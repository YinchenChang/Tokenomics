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說明" sheetId="1" state="visible" r:id="rId3"/>
    <sheet name="1_總覽" sheetId="2" state="visible" r:id="rId4"/>
    <sheet name="1A_需求公式樹" sheetId="3" state="visible" r:id="rId5"/>
    <sheet name="2_輸入" sheetId="4" state="visible" r:id="rId6"/>
    <sheet name="3_m重算" sheetId="5" state="visible" r:id="rId7"/>
    <sheet name="4_分路線" sheetId="6" state="visible" r:id="rId8"/>
    <sheet name="5_敏感度" sheetId="7" state="visible" r:id="rId9"/>
    <sheet name="6_不確定與證據" sheetId="8" state="visible" r:id="rId10"/>
    <sheet name="9_核對對照" sheetId="9" state="visible" r:id="rId11"/>
  </sheets>
  <definedNames>
    <definedName function="false" hidden="false" name="IN_Ad_FY" vbProcedure="false">2_輸入!$D$12</definedName>
    <definedName function="false" hidden="false" name="IN_Ad_FY_Hi" vbProcedure="false">2_輸入!$H$12</definedName>
    <definedName function="false" hidden="false" name="IN_Ad_FY_Lo" vbProcedure="false">2_輸入!$G$12</definedName>
    <definedName function="false" hidden="false" name="IN_Ad_Q1" vbProcedure="false">2_輸入!$D$10</definedName>
    <definedName function="false" hidden="false" name="IN_Ad_Q1_Hi" vbProcedure="false">2_輸入!$H$10</definedName>
    <definedName function="false" hidden="false" name="IN_Ad_Q1_Lo" vbProcedure="false">2_輸入!$G$10</definedName>
    <definedName function="false" hidden="false" name="IN_Ad_Q2" vbProcedure="false">2_輸入!$D$11</definedName>
    <definedName function="false" hidden="false" name="IN_Ad_Q2_Hi" vbProcedure="false">2_輸入!$H$11</definedName>
    <definedName function="false" hidden="false" name="IN_Ad_Q2_Lo" vbProcedure="false">2_輸入!$G$11</definedName>
    <definedName function="false" hidden="false" name="IN_APImultFY" vbProcedure="false">2_輸入!$D$26</definedName>
    <definedName function="false" hidden="false" name="IN_APIratio" vbProcedure="false">2_輸入!$D$24</definedName>
    <definedName function="false" hidden="false" name="IN_APIratio_Hi" vbProcedure="false">2_輸入!$H$24</definedName>
    <definedName function="false" hidden="false" name="IN_APIratio_Lo" vbProcedure="false">2_輸入!$G$24</definedName>
    <definedName function="false" hidden="false" name="IN_APItpm" vbProcedure="false">2_輸入!$D$23</definedName>
    <definedName function="false" hidden="false" name="IN_APItpm26" vbProcedure="false">2_輸入!$D$25</definedName>
    <definedName function="false" hidden="false" name="IN_CapMult_A" vbProcedure="false">2_輸入!$D$54</definedName>
    <definedName function="false" hidden="false" name="IN_CapMult_L" vbProcedure="false">2_輸入!$D$52</definedName>
    <definedName function="false" hidden="false" name="IN_CapMult_S" vbProcedure="false">2_輸入!$D$53</definedName>
    <definedName function="false" hidden="false" name="IN_Chi" vbProcedure="false">2_輸入!$D$51</definedName>
    <definedName function="false" hidden="false" name="IN_Chi_Hi" vbProcedure="false">2_輸入!$H$51</definedName>
    <definedName function="false" hidden="false" name="IN_Chi_Lo" vbProcedure="false">2_輸入!$G$51</definedName>
    <definedName function="false" hidden="false" name="IN_Disc" vbProcedure="false">2_輸入!$D$55</definedName>
    <definedName function="false" hidden="false" name="IN_Disc_Hi" vbProcedure="false">2_輸入!$H$55</definedName>
    <definedName function="false" hidden="false" name="IN_Disc_Lo" vbProcedure="false">2_輸入!$G$55</definedName>
    <definedName function="false" hidden="false" name="IN_DTest" vbProcedure="false">2_輸入!$D$64</definedName>
    <definedName function="false" hidden="false" name="IN_FreeShare" vbProcedure="false">2_輸入!$D$32</definedName>
    <definedName function="false" hidden="false" name="IN_FreeShare_Hi" vbProcedure="false">2_輸入!$H$32</definedName>
    <definedName function="false" hidden="false" name="IN_FreeShare_Lo" vbProcedure="false">2_輸入!$G$32</definedName>
    <definedName function="false" hidden="false" name="IN_ISL_A" vbProcedure="false">2_輸入!$D$47</definedName>
    <definedName function="false" hidden="false" name="IN_ISL_A_Hi" vbProcedure="false">2_輸入!$H$47</definedName>
    <definedName function="false" hidden="false" name="IN_ISL_A_Lo" vbProcedure="false">2_輸入!$G$47</definedName>
    <definedName function="false" hidden="false" name="IN_ISL_L" vbProcedure="false">2_輸入!$D$45</definedName>
    <definedName function="false" hidden="false" name="IN_ISL_L_Hi" vbProcedure="false">2_輸入!$H$45</definedName>
    <definedName function="false" hidden="false" name="IN_ISL_L_Lo" vbProcedure="false">2_輸入!$G$45</definedName>
    <definedName function="false" hidden="false" name="IN_ISL_S" vbProcedure="false">2_輸入!$D$46</definedName>
    <definedName function="false" hidden="false" name="IN_ISL_S_Hi" vbProcedure="false">2_輸入!$H$46</definedName>
    <definedName function="false" hidden="false" name="IN_ISL_S_Lo" vbProcedure="false">2_輸入!$G$46</definedName>
    <definedName function="false" hidden="false" name="IN_Kappa" vbProcedure="false">2_輸入!$D$56</definedName>
    <definedName function="false" hidden="false" name="IN_Kappa_Hi" vbProcedure="false">2_輸入!$H$56</definedName>
    <definedName function="false" hidden="false" name="IN_Kappa_Lo" vbProcedure="false">2_輸入!$G$56</definedName>
    <definedName function="false" hidden="false" name="IN_MixP_A" vbProcedure="false">2_輸入!$D$59</definedName>
    <definedName function="false" hidden="false" name="IN_MixP_A_Hi" vbProcedure="false">2_輸入!$H$59</definedName>
    <definedName function="false" hidden="false" name="IN_MixP_A_Lo" vbProcedure="false">2_輸入!$G$59</definedName>
    <definedName function="false" hidden="false" name="IN_MixP_L" vbProcedure="false">2_輸入!$D$57</definedName>
    <definedName function="false" hidden="false" name="IN_MixP_S" vbProcedure="false">2_輸入!$D$58</definedName>
    <definedName function="false" hidden="false" name="IN_OSL_A" vbProcedure="false">2_輸入!$D$50</definedName>
    <definedName function="false" hidden="false" name="IN_OSL_A_Hi" vbProcedure="false">2_輸入!$H$50</definedName>
    <definedName function="false" hidden="false" name="IN_OSL_A_Lo" vbProcedure="false">2_輸入!$G$50</definedName>
    <definedName function="false" hidden="false" name="IN_OSL_L" vbProcedure="false">2_輸入!$D$48</definedName>
    <definedName function="false" hidden="false" name="IN_OSL_L_Hi" vbProcedure="false">2_輸入!$H$48</definedName>
    <definedName function="false" hidden="false" name="IN_OSL_L_Lo" vbProcedure="false">2_輸入!$G$48</definedName>
    <definedName function="false" hidden="false" name="IN_OSL_S" vbProcedure="false">2_輸入!$D$49</definedName>
    <definedName function="false" hidden="false" name="IN_OSL_S_Hi" vbProcedure="false">2_輸入!$H$49</definedName>
    <definedName function="false" hidden="false" name="IN_OSL_S_Lo" vbProcedure="false">2_輸入!$G$49</definedName>
    <definedName function="false" hidden="false" name="IN_PCache_A" vbProcedure="false">2_輸入!$D$41</definedName>
    <definedName function="false" hidden="false" name="IN_PCache_L" vbProcedure="false">2_輸入!$D$39</definedName>
    <definedName function="false" hidden="false" name="IN_PCache_S" vbProcedure="false">2_輸入!$D$40</definedName>
    <definedName function="false" hidden="false" name="IN_PIn_A" vbProcedure="false">2_輸入!$D$38</definedName>
    <definedName function="false" hidden="false" name="IN_PIn_L" vbProcedure="false">2_輸入!$D$36</definedName>
    <definedName function="false" hidden="false" name="IN_PIn_S" vbProcedure="false">2_輸入!$D$37</definedName>
    <definedName function="false" hidden="false" name="IN_POut_A" vbProcedure="false">2_輸入!$D$44</definedName>
    <definedName function="false" hidden="false" name="IN_POut_L" vbProcedure="false">2_輸入!$D$42</definedName>
    <definedName function="false" hidden="false" name="IN_POut_S" vbProcedure="false">2_輸入!$D$43</definedName>
    <definedName function="false" hidden="false" name="IN_Prompts" vbProcedure="false">2_輸入!$D$27</definedName>
    <definedName function="false" hidden="false" name="IN_Prompts_FY" vbProcedure="false">2_輸入!$D$30</definedName>
    <definedName function="false" hidden="false" name="IN_Prompts_Q1" vbProcedure="false">2_輸入!$D$28</definedName>
    <definedName function="false" hidden="false" name="IN_Prompts_Q2" vbProcedure="false">2_輸入!$D$29</definedName>
    <definedName function="false" hidden="false" name="IN_Px_A" vbProcedure="false">2_輸入!$D$62</definedName>
    <definedName function="false" hidden="false" name="IN_Px_A_Hi" vbProcedure="false">2_輸入!$H$62</definedName>
    <definedName function="false" hidden="false" name="IN_Px_A_Lo" vbProcedure="false">2_輸入!$G$62</definedName>
    <definedName function="false" hidden="false" name="IN_Px_L" vbProcedure="false">2_輸入!$D$60</definedName>
    <definedName function="false" hidden="false" name="IN_Px_L_Hi" vbProcedure="false">2_輸入!$H$60</definedName>
    <definedName function="false" hidden="false" name="IN_Px_L_Lo" vbProcedure="false">2_輸入!$G$60</definedName>
    <definedName function="false" hidden="false" name="IN_Px_S" vbProcedure="false">2_輸入!$D$61</definedName>
    <definedName function="false" hidden="false" name="IN_Px_S_Hi" vbProcedure="false">2_輸入!$H$61</definedName>
    <definedName function="false" hidden="false" name="IN_Px_S_Lo" vbProcedure="false">2_輸入!$G$61</definedName>
    <definedName function="false" hidden="false" name="IN_Rev" vbProcedure="false">2_輸入!$D$6</definedName>
    <definedName function="false" hidden="false" name="IN_RevFY" vbProcedure="false">2_輸入!$D$9</definedName>
    <definedName function="false" hidden="false" name="IN_RevQ1" vbProcedure="false">2_輸入!$D$7</definedName>
    <definedName function="false" hidden="false" name="IN_RevQ2" vbProcedure="false">2_輸入!$D$8</definedName>
    <definedName function="false" hidden="false" name="IN_SeatShare" vbProcedure="false">2_輸入!$D$15</definedName>
    <definedName function="false" hidden="false" name="IN_SeatShare_FY" vbProcedure="false">2_輸入!$D$21</definedName>
    <definedName function="false" hidden="false" name="IN_SeatShare_Hi" vbProcedure="false">2_輸入!$H$15</definedName>
    <definedName function="false" hidden="false" name="IN_SeatShare_Lo" vbProcedure="false">2_輸入!$G$15</definedName>
    <definedName function="false" hidden="false" name="IN_SeatShare_Q1" vbProcedure="false">2_輸入!$D$19</definedName>
    <definedName function="false" hidden="false" name="IN_SeatShare_Q2" vbProcedure="false">2_輸入!$D$20</definedName>
    <definedName function="false" hidden="false" name="IN_SubShare" vbProcedure="false">2_輸入!$D$14</definedName>
    <definedName function="false" hidden="false" name="IN_SubShare_FY" vbProcedure="false">2_輸入!$D$18</definedName>
    <definedName function="false" hidden="false" name="IN_SubShare_Hi" vbProcedure="false">2_輸入!$H$14</definedName>
    <definedName function="false" hidden="false" name="IN_SubShare_Lo" vbProcedure="false">2_輸入!$G$14</definedName>
    <definedName function="false" hidden="false" name="IN_SubShare_Q1" vbProcedure="false">2_輸入!$D$16</definedName>
    <definedName function="false" hidden="false" name="IN_SubShare_Q2" vbProcedure="false">2_輸入!$D$17</definedName>
    <definedName function="false" hidden="false" name="IN_SubTokShare" vbProcedure="false">2_輸入!$D$33</definedName>
    <definedName function="false" hidden="false" name="IN_SubTokShare26" vbProcedure="false">2_輸入!$D$34</definedName>
    <definedName function="false" hidden="false" name="IN_SubTokShare26_Hi" vbProcedure="false">2_輸入!$H$34</definedName>
    <definedName function="false" hidden="false" name="IN_SubTokShare26_Lo" vbProcedure="false">2_輸入!$G$34</definedName>
    <definedName function="false" hidden="false" name="IN_SubTokShare_Hi" vbProcedure="false">2_輸入!$H$33</definedName>
    <definedName function="false" hidden="false" name="IN_SubTokShare_Lo" vbProcedure="false">2_輸入!$G$33</definedName>
    <definedName function="false" hidden="false" name="IN_Tau" vbProcedure="false">2_輸入!$D$31</definedName>
    <definedName function="false" hidden="false" name="IN_Tau_Hi" vbProcedure="false">2_輸入!$H$31</definedName>
    <definedName function="false" hidden="false" name="IN_Tau_Lo" vbProcedure="false">2_輸入!$G$31</definedName>
    <definedName function="false" hidden="false" name="OUT_M" vbProcedure="false">3_m重算!$H$24</definedName>
    <definedName function="false" hidden="false" name="OUT_M_2025" vbProcedure="false">3_m重算!$F$21</definedName>
    <definedName function="false" hidden="false" name="OUT_M_2025_Hi" vbProcedure="false">3_m重算!$G$51</definedName>
    <definedName function="false" hidden="false" name="OUT_M_2025_Lo" vbProcedure="false">3_m重算!$F$51</definedName>
    <definedName function="false" hidden="false" name="OUT_M_2026Q1" vbProcedure="false">3_m重算!$G$21</definedName>
    <definedName function="false" hidden="false" name="OUT_M_2026Q2" vbProcedure="false">3_m重算!$H$21</definedName>
    <definedName function="false" hidden="false" name="OUT_M_2026Q2_Hi" vbProcedure="false">3_m重算!$I$51</definedName>
    <definedName function="false" hidden="false" name="OUT_M_2026Q2_Lo" vbProcedure="false">3_m重算!$H$51</definedName>
    <definedName function="false" hidden="false" name="OUT_M_API" vbProcedure="false">4_分路線!$H$21</definedName>
    <definedName function="false" hidden="false" name="OUT_M_API_2025" vbProcedure="false">4_分路線!$F$21</definedName>
    <definedName function="false" hidden="false" name="OUT_M_FY2026" vbProcedure="false">3_m重算!$I$21</definedName>
    <definedName function="false" hidden="false" name="OUT_M_Seat" vbProcedure="false">4_分路線!$H$23</definedName>
    <definedName function="false" hidden="false" name="OUT_M_Seat_2025" vbProcedure="false">4_分路線!$F$23</definedName>
    <definedName function="false" hidden="false" name="OUT_M_Sub" vbProcedure="false">4_分路線!$H$22</definedName>
    <definedName function="false" hidden="false" name="OUT_M_Sub_2025" vbProcedure="false">4_分路線!$F$22</definedName>
    <definedName function="false" hidden="false" name="OUT_Price25Mix" vbProcedure="false">3_m重算!$F$17</definedName>
    <definedName function="false" hidden="false" name="OUT_PxEff_2026" vbProcedure="false">3_m重算!$H$17</definedName>
    <definedName function="false" hidden="false" name="OUT_PxList_2026" vbProcedure="false">3_m重算!$H$18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<sst xmlns="http://schemas.openxmlformats.org/spreadsheetml/2006/main" count="3518" uniqueCount="1527">
  <si>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閱讀版（</t>
    </r>
    <r>
      <rPr>
        <b val="true"/>
        <sz val="13"/>
        <rFont val="Arial"/>
        <family val="0"/>
        <charset val="1"/>
      </rPr>
      <t xml:space="preserve">Tokenomics v21.2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</si>
  <si>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建立：</t>
    </r>
    <r>
      <rPr>
        <sz val="9"/>
        <color rgb="FF555555"/>
        <rFont val="Arial"/>
        <family val="0"/>
        <charset val="1"/>
      </rPr>
      <t xml:space="preserve">2026-10-24</t>
    </r>
    <r>
      <rPr>
        <sz val="9"/>
        <color rgb="FF555555"/>
        <rFont val="Noto Sans CJK SC"/>
        <family val="2"/>
      </rPr>
      <t xml:space="preserve">（依 </t>
    </r>
    <r>
      <rPr>
        <sz val="9"/>
        <color rgb="FF555555"/>
        <rFont val="Arial"/>
        <family val="0"/>
        <charset val="1"/>
      </rPr>
      <t xml:space="preserve">Andy 2026-10-21 </t>
    </r>
    <r>
      <rPr>
        <sz val="9"/>
        <color rgb="FF555555"/>
        <rFont val="Noto Sans CJK SC"/>
        <family val="2"/>
      </rPr>
      <t xml:space="preserve">新定義重做）。用途：讓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讀懂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（付費服務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的有效牌價變現率）從總覽到最細的推導。本簿每個取自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的數字都已對 </t>
    </r>
    <r>
      <rPr>
        <sz val="9"/>
        <color rgb="FF555555"/>
        <rFont val="Arial"/>
        <family val="0"/>
        <charset val="1"/>
      </rPr>
      <t xml:space="preserve">Tokenomics v21.2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master 45ce1ca</t>
    </r>
    <r>
      <rPr>
        <sz val="9"/>
        <color rgb="FF555555"/>
        <rFont val="Noto Sans CJK SC"/>
        <family val="2"/>
      </rPr>
      <t xml:space="preserve">）逐格核對。</t>
    </r>
  </si>
  <si>
    <r>
      <rPr>
        <b val="true"/>
        <sz val="10"/>
        <rFont val="Noto Sans CJK SC"/>
        <family val="2"/>
      </rPr>
      <t xml:space="preserve">定義（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原話，</t>
    </r>
    <r>
      <rPr>
        <b val="true"/>
        <sz val="10"/>
        <rFont val="Arial"/>
        <family val="0"/>
        <charset val="1"/>
      </rPr>
      <t xml:space="preserve">2026-10-21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</si>
  <si>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14:17</t>
    </r>
    <r>
      <rPr>
        <sz val="10"/>
        <rFont val="Noto Sans CJK SC"/>
        <family val="2"/>
      </rPr>
      <t xml:space="preserve">「我認為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要定義成『付費服務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的有效牌價</t>
    </r>
    <r>
      <rPr>
        <sz val="10"/>
        <rFont val="Arial"/>
        <family val="0"/>
        <charset val="1"/>
      </rPr>
      <t xml:space="preserve">(1-</t>
    </r>
    <r>
      <rPr>
        <sz val="10"/>
        <rFont val="Noto Sans CJK SC"/>
        <family val="2"/>
      </rPr>
      <t xml:space="preserve">折扣</t>
    </r>
    <r>
      <rPr>
        <sz val="10"/>
        <rFont val="Arial"/>
        <family val="0"/>
        <charset val="1"/>
      </rPr>
      <t xml:space="preserve">20%)</t>
    </r>
    <r>
      <rPr>
        <sz val="10"/>
        <rFont val="Noto Sans CJK SC"/>
        <family val="2"/>
      </rPr>
      <t xml:space="preserve">變現率』。」 </t>
    </r>
    <r>
      <rPr>
        <sz val="10"/>
        <rFont val="Arial"/>
        <family val="0"/>
        <charset val="1"/>
      </rPr>
      <t xml:space="preserve">14:37</t>
    </r>
    <r>
      <rPr>
        <sz val="10"/>
        <rFont val="Noto Sans CJK SC"/>
        <family val="2"/>
      </rPr>
      <t xml:space="preserve">「…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的定義和計算就不要牽涉到免費了…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單純只看收費業務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有效牌價變現率。」 </t>
    </r>
    <r>
      <rPr>
        <sz val="10"/>
        <rFont val="Arial"/>
        <family val="0"/>
        <charset val="1"/>
      </rPr>
      <t xml:space="preserve">15:39</t>
    </r>
    <r>
      <rPr>
        <sz val="10"/>
        <rFont val="Noto Sans CJK SC"/>
        <family val="2"/>
      </rPr>
      <t xml:space="preserve">「我認知的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是有效牌價的進一步打折程度，跟營收有關，跟成本無關。」 </t>
    </r>
    <r>
      <rPr>
        <sz val="10"/>
        <rFont val="Arial"/>
        <family val="0"/>
        <charset val="1"/>
      </rPr>
      <t xml:space="preserve">15:59</t>
    </r>
    <r>
      <rPr>
        <sz val="10"/>
        <rFont val="Noto Sans CJK SC"/>
        <family val="2"/>
      </rPr>
      <t xml:space="preserve">「那個</t>
    </r>
    <r>
      <rPr>
        <sz val="10"/>
        <rFont val="Arial"/>
        <family val="0"/>
        <charset val="1"/>
      </rPr>
      <t xml:space="preserve">(1-20%)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是預設折扣，不要寫死，要可以調整」「當然要拆，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本來就只有收入面」。</t>
    </r>
  </si>
  <si>
    <r>
      <rPr>
        <sz val="10"/>
        <rFont val="Arial"/>
        <family val="0"/>
        <charset val="1"/>
      </rPr>
      <t xml:space="preserve">→ m</t>
    </r>
    <r>
      <rPr>
        <sz val="10"/>
        <rFont val="Noto Sans CJK SC"/>
        <family val="2"/>
      </rPr>
      <t xml:space="preserve">＝實收單價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有效牌價；有效牌價＝表列牌價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＝預設折扣（</t>
    </r>
    <r>
      <rPr>
        <sz val="10"/>
        <rFont val="Arial"/>
        <family val="0"/>
        <charset val="1"/>
      </rPr>
      <t xml:space="preserve">Tokenomics B4_Disc</t>
    </r>
    <r>
      <rPr>
        <sz val="10"/>
        <rFont val="Noto Sans CJK SC"/>
        <family val="2"/>
      </rPr>
      <t xml:space="preserve">，預設 </t>
    </r>
    <r>
      <rPr>
        <sz val="10"/>
        <rFont val="Arial"/>
        <family val="0"/>
        <charset val="1"/>
      </rPr>
      <t xml:space="preserve">0.20</t>
    </r>
    <r>
      <rPr>
        <sz val="10"/>
        <rFont val="Noto Sans CJK SC"/>
        <family val="2"/>
      </rPr>
      <t xml:space="preserve">，可調，本簿 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的 </t>
    </r>
    <r>
      <rPr>
        <sz val="10"/>
        <rFont val="Arial"/>
        <family val="0"/>
        <charset val="1"/>
      </rPr>
      <t xml:space="preserve">IN_Disc</t>
    </r>
    <r>
      <rPr>
        <sz val="10"/>
        <rFont val="Noto Sans CJK SC"/>
        <family val="2"/>
      </rPr>
      <t xml:space="preserve">）。只有收入面。</t>
    </r>
  </si>
  <si>
    <t xml:space="preserve">分頁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</si>
  <si>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的一句話定義、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與區間、分路線、</t>
    </r>
    <r>
      <rPr>
        <sz val="10"/>
        <rFont val="Arial"/>
        <family val="0"/>
        <charset val="1"/>
      </rPr>
      <t xml:space="preserve">2025→2026 Q2 </t>
    </r>
    <r>
      <rPr>
        <sz val="10"/>
        <rFont val="Noto Sans CJK SC"/>
        <family val="2"/>
      </rPr>
      <t xml:space="preserve">變化的三因子拆解、與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帳診斷的區別、最不確定的輸入。</t>
    </r>
  </si>
  <si>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需求公式樹：從營收與付費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出發，逐層（</t>
    </r>
    <r>
      <rPr>
        <sz val="10"/>
        <rFont val="Arial"/>
        <family val="0"/>
        <charset val="1"/>
      </rPr>
      <t xml:space="preserve">L0–L5</t>
    </r>
    <r>
      <rPr>
        <sz val="10"/>
        <rFont val="Noto Sans CJK SC"/>
        <family val="2"/>
      </rPr>
      <t xml:space="preserve">）推到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，含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可調驗證與「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必須為真」。建議先讀本頁，細節再看 </t>
    </r>
    <r>
      <rPr>
        <sz val="10"/>
        <rFont val="Arial"/>
        <family val="0"/>
        <charset val="1"/>
      </rPr>
      <t xml:space="preserve">3–5 </t>
    </r>
    <r>
      <rPr>
        <sz val="10"/>
        <rFont val="Noto Sans CJK SC"/>
        <family val="2"/>
      </rPr>
      <t xml:space="preserve">頁。</t>
    </r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</si>
  <si>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輸入：全部葉輸入（藍字，可改）。黃底＝不確定度高且對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影響大。每列附標記、區間、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位置與說明。</t>
    </r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</si>
  <si>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的逐步計算（</t>
    </r>
    <r>
      <rPr>
        <sz val="10"/>
        <rFont val="Arial"/>
        <family val="0"/>
        <charset val="1"/>
      </rPr>
      <t xml:space="preserve">S1–S14</t>
    </r>
    <r>
      <rPr>
        <sz val="10"/>
        <rFont val="Noto Sans CJK SC"/>
        <family val="2"/>
      </rPr>
      <t xml:space="preserve">，四欄＝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</t>
    </r>
    <r>
      <rPr>
        <sz val="10"/>
        <rFont val="Noto Sans CJK SC"/>
        <family val="2"/>
      </rPr>
      <t xml:space="preserve">；另有層級單價展開表與區間端點表），每步附白話說明、原活頁簿位置、原值、差異。</t>
    </r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</si>
  <si>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分路線：</t>
    </r>
    <r>
      <rPr>
        <sz val="10"/>
        <rFont val="Arial"/>
        <family val="0"/>
        <charset val="1"/>
      </rPr>
      <t xml:space="preserve">m_API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消費訂閱／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商用席次（營收三分 </t>
    </r>
    <r>
      <rPr>
        <sz val="10"/>
        <rFont val="Arial"/>
        <family val="0"/>
        <charset val="1"/>
      </rPr>
      <t xml:space="preserve">× token </t>
    </r>
    <r>
      <rPr>
        <sz val="10"/>
        <rFont val="Noto Sans CJK SC"/>
        <family val="2"/>
      </rPr>
      <t xml:space="preserve">三分）。</t>
    </r>
  </si>
  <si>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敏感度：</t>
    </r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對每個有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區間的輸入的單變數擺動。</t>
    </r>
  </si>
  <si>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不確定與證據：最不確定的輸入、要找的證據、建議管道、對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的影響方向（合併 </t>
    </r>
    <r>
      <rPr>
        <sz val="10"/>
        <rFont val="Arial"/>
        <family val="0"/>
        <charset val="1"/>
      </rPr>
      <t xml:space="preserve">v17.0 </t>
    </r>
    <r>
      <rPr>
        <sz val="10"/>
        <rFont val="Noto Sans CJK SC"/>
        <family val="2"/>
      </rPr>
      <t xml:space="preserve">的第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頁）。</t>
    </r>
  </si>
  <si>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核對對照：本簿每個貼上的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數字對應到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的哪一格（</t>
    </r>
    <r>
      <rPr>
        <sz val="10"/>
        <rFont val="Arial"/>
        <family val="0"/>
        <charset val="1"/>
      </rPr>
      <t xml:space="preserve">check_reading_m.py </t>
    </r>
    <r>
      <rPr>
        <sz val="10"/>
        <rFont val="Noto Sans CJK SC"/>
        <family val="2"/>
      </rPr>
      <t xml:space="preserve">逐格核對用）。</t>
    </r>
  </si>
  <si>
    <t xml:space="preserve">顏色</t>
  </si>
  <si>
    <r>
      <rPr>
        <sz val="10"/>
        <rFont val="Noto Sans CJK SC"/>
        <family val="2"/>
      </rPr>
      <t xml:space="preserve">藍字＝輸入或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原值（貼上）；黑字＝本簿公式；綠字＝連結到其他分頁；黃底＝最不確定、優先調研；淺綠底＝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。</t>
    </r>
  </si>
  <si>
    <t xml:space="preserve">範圍與限制</t>
  </si>
  <si>
    <r>
      <rPr>
        <sz val="10"/>
        <rFont val="Arial"/>
        <family val="0"/>
        <charset val="1"/>
      </rPr>
      <t xml:space="preserve">1. m </t>
    </r>
    <r>
      <rPr>
        <sz val="10"/>
        <rFont val="Noto Sans CJK SC"/>
        <family val="2"/>
      </rPr>
      <t xml:space="preserve">只有收入面，不含成本、不經成本鏈。免費服務與訓練研發算力不進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；免費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只在把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總量扣成付費部分時出現。</t>
    </r>
  </si>
  <si>
    <r>
      <rPr>
        <sz val="10"/>
        <rFont val="Arial"/>
        <family val="0"/>
        <charset val="1"/>
      </rPr>
      <t xml:space="preserve">2. token </t>
    </r>
    <r>
      <rPr>
        <sz val="10"/>
        <rFont val="Noto Sans CJK SC"/>
        <family val="2"/>
      </rPr>
      <t xml:space="preserve">帳診斷不是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L1_TokLedger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L1_TokLedger_2026Q2 </t>
    </r>
    <r>
      <rPr>
        <sz val="10"/>
        <rFont val="Noto Sans CJK SC"/>
        <family val="2"/>
      </rPr>
      <t xml:space="preserve">是舊成本鏈的診斷值，在 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只作對照並標明「不是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」。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</si>
  <si>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回本不在本簿：回本由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（壽命期價格係數）與所需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決定，見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閱讀版。</t>
    </r>
  </si>
  <si>
    <r>
      <rPr>
        <sz val="10"/>
        <rFont val="Arial"/>
        <family val="0"/>
        <charset val="1"/>
      </rPr>
      <t xml:space="preserve">4. 2026 </t>
    </r>
    <r>
      <rPr>
        <sz val="10"/>
        <rFont val="Noto Sans CJK SC"/>
        <family val="2"/>
      </rPr>
      <t xml:space="preserve">有效單價的牌價前緣只展開到「表列牌價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請求形狀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能力倍數」；能力倍數（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）現值為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，只列原值，不展開。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</si>
  <si>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敏感度為單變數測試，未測交互作用；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無區間的輸入不自訂區間。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與分路線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為單值，無區間。</t>
    </r>
  </si>
  <si>
    <t xml:space="preserve">修訂紀錄</t>
  </si>
  <si>
    <r>
      <rPr>
        <sz val="10"/>
        <rFont val="Arial"/>
        <family val="0"/>
        <charset val="1"/>
      </rPr>
      <t xml:space="preserve">r2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2026-10-20</t>
    </r>
    <r>
      <rPr>
        <sz val="10"/>
        <rFont val="Noto Sans CJK SC"/>
        <family val="2"/>
      </rPr>
      <t xml:space="preserve">）：新增 </t>
    </r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需求公式樹；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新增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群三個輸入（</t>
    </r>
    <r>
      <rPr>
        <sz val="10"/>
        <rFont val="Arial"/>
        <family val="0"/>
        <charset val="1"/>
      </rPr>
      <t xml:space="preserve">IN_SubShare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IN_SeatShare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IN_SubTokShare</t>
    </r>
    <r>
      <rPr>
        <sz val="10"/>
        <rFont val="Noto Sans CJK SC"/>
        <family val="2"/>
      </rPr>
      <t xml:space="preserve">，取自 </t>
    </r>
    <r>
      <rPr>
        <sz val="10"/>
        <rFont val="Arial"/>
        <family val="0"/>
        <charset val="1"/>
      </rPr>
      <t xml:space="preserve">Tokenomics v15.3 Cap_In C70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C131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C132</t>
    </r>
    <r>
      <rPr>
        <sz val="10"/>
        <rFont val="Noto Sans CJK SC"/>
        <family val="2"/>
      </rPr>
      <t xml:space="preserve">）。其餘頁未改。</t>
    </r>
  </si>
  <si>
    <r>
      <rPr>
        <sz val="10"/>
        <rFont val="Arial"/>
        <family val="0"/>
        <charset val="1"/>
      </rPr>
      <t xml:space="preserve">v17.0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2026-10-20</t>
    </r>
    <r>
      <rPr>
        <sz val="10"/>
        <rFont val="Noto Sans CJK SC"/>
        <family val="2"/>
      </rPr>
      <t xml:space="preserve">）：改名為「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閱讀版」；數字全部對 </t>
    </r>
    <r>
      <rPr>
        <sz val="10"/>
        <rFont val="Arial"/>
        <family val="0"/>
        <charset val="1"/>
      </rPr>
      <t xml:space="preserve">Tokenomics v17.0 </t>
    </r>
    <r>
      <rPr>
        <sz val="10"/>
        <rFont val="Noto Sans CJK SC"/>
        <family val="2"/>
      </rPr>
      <t xml:space="preserve">核對（前置格 </t>
    </r>
    <r>
      <rPr>
        <sz val="10"/>
        <rFont val="Arial"/>
        <family val="0"/>
        <charset val="1"/>
      </rPr>
      <t xml:space="preserve">2,993</t>
    </r>
    <r>
      <rPr>
        <sz val="10"/>
        <rFont val="Noto Sans CJK SC"/>
        <family val="2"/>
      </rPr>
      <t xml:space="preserve">、輸入 </t>
    </r>
    <r>
      <rPr>
        <sz val="10"/>
        <rFont val="Arial"/>
        <family val="0"/>
        <charset val="1"/>
      </rPr>
      <t xml:space="preserve">139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Gov_Map </t>
    </r>
    <r>
      <rPr>
        <sz val="10"/>
        <rFont val="Noto Sans CJK SC"/>
        <family val="2"/>
      </rPr>
      <t xml:space="preserve">區間 </t>
    </r>
    <r>
      <rPr>
        <sz val="10"/>
        <rFont val="Arial"/>
        <family val="0"/>
        <charset val="1"/>
      </rPr>
      <t xml:space="preserve">74</t>
    </r>
    <r>
      <rPr>
        <sz val="10"/>
        <rFont val="Noto Sans CJK SC"/>
        <family val="2"/>
      </rPr>
      <t xml:space="preserve">、各頁原值、公式樹 </t>
    </r>
    <r>
      <rPr>
        <sz val="10"/>
        <rFont val="Arial"/>
        <family val="0"/>
        <charset val="1"/>
      </rPr>
      <t xml:space="preserve">42 </t>
    </r>
    <r>
      <rPr>
        <sz val="10"/>
        <rFont val="Noto Sans CJK SC"/>
        <family val="2"/>
      </rPr>
      <t xml:space="preserve">個原值，全部相同；重算差異 </t>
    </r>
    <r>
      <rPr>
        <sz val="10"/>
        <rFont val="Arial"/>
        <family val="0"/>
        <charset val="1"/>
      </rPr>
      <t xml:space="preserve">&lt; 10⁻¹⁴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IN_SubShare </t>
    </r>
    <r>
      <rPr>
        <sz val="10"/>
        <rFont val="Noto Sans CJK SC"/>
        <family val="2"/>
      </rPr>
      <t xml:space="preserve">低端改為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原值 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、標記改為 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N10</t>
    </r>
    <r>
      <rPr>
        <sz val="10"/>
        <rFont val="Noto Sans CJK SC"/>
        <family val="2"/>
      </rPr>
      <t xml:space="preserve">）；移除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前置格清單（閱讀用不到，另存於 </t>
    </r>
    <r>
      <rPr>
        <sz val="10"/>
        <rFont val="Arial"/>
        <family val="0"/>
        <charset val="1"/>
      </rPr>
      <t xml:space="preserve">repo </t>
    </r>
    <r>
      <rPr>
        <sz val="10"/>
        <rFont val="Noto Sans CJK SC"/>
        <family val="2"/>
      </rPr>
      <t xml:space="preserve">供換版核對）。另補推論支出、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三個輸入的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區間（原本空白）。經未參與製作的代理獨立核對，不一致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</si>
  <si>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v21.2 r0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）：依 </t>
    </r>
    <r>
      <rPr>
        <sz val="10"/>
        <rFont val="Arial"/>
        <family val="0"/>
        <charset val="1"/>
      </rPr>
      <t xml:space="preserve">Andy 10-21 </t>
    </r>
    <r>
      <rPr>
        <sz val="10"/>
        <rFont val="Noto Sans CJK SC"/>
        <family val="2"/>
      </rPr>
      <t xml:space="preserve">新定義重做；舊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（成本鏈 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）改列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帳診斷；移除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持有成本、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每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產出（屬成本鏈，新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不用）。新增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頁合併為 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不確定與證據，新增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核對對照。</t>
    </r>
  </si>
  <si>
    <r>
      <rPr>
        <sz val="9"/>
        <color rgb="FF555555"/>
        <rFont val="Noto Sans CJK SC"/>
        <family val="2"/>
      </rPr>
      <t xml:space="preserve">本簿是 </t>
    </r>
    <r>
      <rPr>
        <sz val="9"/>
        <color rgb="FF555555"/>
        <rFont val="Arial"/>
        <family val="0"/>
        <charset val="1"/>
      </rPr>
      <t xml:space="preserve">Tokenomics v21.2 </t>
    </r>
    <r>
      <rPr>
        <sz val="9"/>
        <color rgb="FF555555"/>
        <rFont val="Noto Sans CJK SC"/>
        <family val="2"/>
      </rPr>
      <t xml:space="preserve">的版本快照，不會隨基準模型自動同步。姊妹檔：</t>
    </r>
    <r>
      <rPr>
        <sz val="9"/>
        <color rgb="FF555555"/>
        <rFont val="Arial"/>
        <family val="0"/>
        <charset val="1"/>
      </rPr>
      <t xml:space="preserve">20261020_L</t>
    </r>
    <r>
      <rPr>
        <sz val="9"/>
        <color rgb="FF555555"/>
        <rFont val="Noto Sans CJK SC"/>
        <family val="2"/>
      </rPr>
      <t xml:space="preserve">閱讀版</t>
    </r>
    <r>
      <rPr>
        <sz val="9"/>
        <color rgb="FF555555"/>
        <rFont val="Arial"/>
        <family val="0"/>
        <charset val="1"/>
      </rPr>
      <t xml:space="preserve">_v17.0.xlsx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閱讀版另行維護）。</t>
    </r>
  </si>
  <si>
    <r>
      <rPr>
        <b val="true"/>
        <sz val="15"/>
        <rFont val="Arial"/>
        <family val="0"/>
        <charset val="1"/>
      </rPr>
      <t xml:space="preserve">m</t>
    </r>
    <r>
      <rPr>
        <b val="true"/>
        <sz val="15"/>
        <rFont val="Noto Sans CJK SC"/>
        <family val="2"/>
      </rPr>
      <t xml:space="preserve">（付費服務 </t>
    </r>
    <r>
      <rPr>
        <b val="true"/>
        <sz val="15"/>
        <rFont val="Arial"/>
        <family val="0"/>
        <charset val="1"/>
      </rPr>
      <t xml:space="preserve">token </t>
    </r>
    <r>
      <rPr>
        <b val="true"/>
        <sz val="15"/>
        <rFont val="Noto Sans CJK SC"/>
        <family val="2"/>
      </rPr>
      <t xml:space="preserve">的有效牌價變現率）總覽</t>
    </r>
  </si>
  <si>
    <r>
      <rPr>
        <sz val="9"/>
        <color rgb="FF555555"/>
        <rFont val="Arial"/>
        <family val="0"/>
        <charset val="1"/>
      </rPr>
      <t xml:space="preserve">Tokenomics v21.2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20261023_Tokenomics_v21.2.xlsx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master 45ce1ca</t>
    </r>
    <r>
      <rPr>
        <sz val="9"/>
        <color rgb="FF555555"/>
        <rFont val="Noto Sans CJK SC"/>
        <family val="2"/>
      </rPr>
      <t xml:space="preserve">）。本頁數字全部連結到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4 </t>
    </r>
    <r>
      <rPr>
        <sz val="9"/>
        <color rgb="FF555555"/>
        <rFont val="Noto Sans CJK SC"/>
        <family val="2"/>
      </rPr>
      <t xml:space="preserve">頁，改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會一起變。</t>
    </r>
  </si>
  <si>
    <t xml:space="preserve">一句話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</si>
  <si>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＝ 實收單價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有效牌價。實收單價＝付費業務（扣廣告）的營收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付費）；有效牌價＝表列牌價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預設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、可調。只有收入面：免費服務與訓練研發算力不產生營收，不進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；也不經成本鏈反推。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＞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表示每個付費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平均實收高於有效牌價，主要來自定額訂閱。</t>
    </r>
  </si>
  <si>
    <t xml:space="preserve">項目</t>
  </si>
  <si>
    <t xml:space="preserve">2025</t>
  </si>
  <si>
    <t xml:space="preserve">2026 Q1</t>
  </si>
  <si>
    <r>
      <rPr>
        <b val="true"/>
        <sz val="10"/>
        <color rgb="FFFFFFFF"/>
        <rFont val="Arial"/>
        <family val="0"/>
        <charset val="1"/>
      </rPr>
      <t xml:space="preserve">2026 Q2</t>
    </r>
    <r>
      <rPr>
        <b val="true"/>
        <sz val="10"/>
        <color rgb="FFFFFFFF"/>
        <rFont val="Noto Sans CJK SC"/>
        <family val="2"/>
      </rPr>
      <t xml:space="preserve">（主口徑）</t>
    </r>
  </si>
  <si>
    <t xml:space="preserve">FY2026</t>
  </si>
  <si>
    <t xml:space="preserve">單位</t>
  </si>
  <si>
    <t xml:space="preserve">怎麼算（細節頁）</t>
  </si>
  <si>
    <t xml:space="preserve">m</t>
  </si>
  <si>
    <t xml:space="preserve">倍</t>
  </si>
  <si>
    <r>
      <rPr>
        <sz val="9"/>
        <color rgb="FF555555"/>
        <rFont val="Noto Sans CJK SC"/>
        <family val="2"/>
      </rPr>
      <t xml:space="preserve">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有效牌價（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S13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</si>
  <si>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分子營收（營收 − 廣告）</t>
    </r>
  </si>
  <si>
    <t xml:space="preserve">$B</t>
  </si>
  <si>
    <r>
      <rPr>
        <sz val="9"/>
        <color rgb="FF555555"/>
        <rFont val="Noto Sans CJK SC"/>
        <family val="2"/>
      </rPr>
      <t xml:space="preserve">營收年化 − 廣告（</t>
    </r>
    <r>
      <rPr>
        <sz val="9"/>
        <color rgb="FF555555"/>
        <rFont val="Arial"/>
        <family val="0"/>
        <charset val="1"/>
      </rPr>
      <t xml:space="preserve">S1–S3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</si>
  <si>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需求面付費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</si>
  <si>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</t>
    </r>
  </si>
  <si>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付費（</t>
    </r>
    <r>
      <rPr>
        <sz val="9"/>
        <color rgb="FF555555"/>
        <rFont val="Arial"/>
        <family val="0"/>
        <charset val="1"/>
      </rPr>
      <t xml:space="preserve">S4–S9</t>
    </r>
    <r>
      <rPr>
        <sz val="9"/>
        <color rgb="FF555555"/>
        <rFont val="Noto Sans CJK SC"/>
        <family val="2"/>
      </rPr>
      <t xml:space="preserve">）</t>
    </r>
  </si>
  <si>
    <t xml:space="preserve">實收單價</t>
  </si>
  <si>
    <t xml:space="preserve">$/M tok</t>
  </si>
  <si>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S12</t>
    </r>
    <r>
      <rPr>
        <sz val="9"/>
        <color rgb="FF555555"/>
        <rFont val="Noto Sans CJK SC"/>
        <family val="2"/>
      </rPr>
      <t xml:space="preserve">）</t>
    </r>
  </si>
  <si>
    <t xml:space="preserve">有效牌價（混合有效單價）</t>
  </si>
  <si>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層級占比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層級有效單價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）</t>
    </r>
  </si>
  <si>
    <t xml:space="preserve">表列混合牌價（未折扣）</t>
  </si>
  <si>
    <r>
      <rPr>
        <sz val="9"/>
        <color rgb="FF555555"/>
        <rFont val="Noto Sans CJK SC"/>
        <family val="2"/>
      </rPr>
      <t xml:space="preserve">有效牌價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）（</t>
    </r>
    <r>
      <rPr>
        <sz val="9"/>
        <color rgb="FF555555"/>
        <rFont val="Arial"/>
        <family val="0"/>
        <charset val="1"/>
      </rPr>
      <t xml:space="preserve">S11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</si>
  <si>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區間（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L1_M </t>
    </r>
    <r>
      <rPr>
        <b val="true"/>
        <sz val="10"/>
        <rFont val="Noto Sans CJK SC"/>
        <family val="2"/>
      </rPr>
      <t xml:space="preserve">區間；低端＝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取高、高端＝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</si>
  <si>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t xml:space="preserve">低</t>
  </si>
  <si>
    <t xml:space="preserve">基準</t>
  </si>
  <si>
    <t xml:space="preserve">高</t>
  </si>
  <si>
    <t xml:space="preserve">說明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</si>
  <si>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L1_M_2025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</si>
  <si>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、免費占比、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全年比例同向取端點（最寬情形，不是機率區間）。</t>
    </r>
  </si>
  <si>
    <r>
      <rPr>
        <sz val="10"/>
        <rFont val="Arial"/>
        <family val="0"/>
        <charset val="1"/>
      </rPr>
      <t xml:space="preserve">2026 Q2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</t>
    </r>
    <r>
      <rPr>
        <sz val="10"/>
        <rFont val="Noto Sans CJK SC"/>
        <family val="2"/>
      </rPr>
      <t xml:space="preserve">，主口徑）</t>
    </r>
  </si>
  <si>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、免費占比同向取端點；營收、</t>
    </r>
    <r>
      <rPr>
        <sz val="9"/>
        <color rgb="FF555555"/>
        <rFont val="Arial"/>
        <family val="0"/>
        <charset val="1"/>
      </rPr>
      <t xml:space="preserve">API token</t>
    </r>
    <r>
      <rPr>
        <sz val="9"/>
        <color rgb="FF555555"/>
        <rFont val="Noto Sans CJK SC"/>
        <family val="2"/>
      </rPr>
      <t xml:space="preserve">、單價、每日訊息數不變。</t>
    </r>
  </si>
  <si>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FY2026</t>
    </r>
  </si>
  <si>
    <t xml:space="preserve">無區間</t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</si>
  <si>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L1_M_2026Q1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L1_M_FY2026 </t>
    </r>
    <r>
      <rPr>
        <sz val="9"/>
        <color rgb="FF555555"/>
        <rFont val="Noto Sans CJK SC"/>
        <family val="2"/>
      </rPr>
      <t xml:space="preserve">區間欄為「無區間」：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欄的輸入是 </t>
    </r>
    <r>
      <rPr>
        <sz val="9"/>
        <color rgb="FF555555"/>
        <rFont val="Arial"/>
        <family val="0"/>
        <charset val="1"/>
      </rPr>
      <t xml:space="preserve">Assumed </t>
    </r>
    <r>
      <rPr>
        <sz val="9"/>
        <color rgb="FF555555"/>
        <rFont val="Noto Sans CJK SC"/>
        <family val="2"/>
      </rPr>
      <t xml:space="preserve">單值，區間待補（單值原因＝無 </t>
    </r>
    <r>
      <rPr>
        <sz val="9"/>
        <color rgb="FF555555"/>
        <rFont val="Arial"/>
        <family val="0"/>
        <charset val="1"/>
      </rPr>
      <t xml:space="preserve">SRC </t>
    </r>
    <r>
      <rPr>
        <sz val="9"/>
        <color rgb="FF555555"/>
        <rFont val="Noto Sans CJK SC"/>
        <family val="2"/>
      </rPr>
      <t xml:space="preserve">區間）。</t>
    </r>
  </si>
  <si>
    <r>
      <rPr>
        <b val="true"/>
        <sz val="10"/>
        <rFont val="Noto Sans CJK SC"/>
        <family val="2"/>
      </rPr>
      <t xml:space="preserve">分路線（細節見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分路線）</t>
    </r>
  </si>
  <si>
    <t xml:space="preserve">路線</t>
  </si>
  <si>
    <t xml:space="preserve">2026 Q2</t>
  </si>
  <si>
    <t xml:space="preserve">讀法</t>
  </si>
  <si>
    <t xml:space="preserve">m_API</t>
  </si>
  <si>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按量計費：實收約為有效牌價的三分之一（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），因為 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API token </t>
    </r>
    <r>
      <rPr>
        <sz val="9"/>
        <color rgb="FF555555"/>
        <rFont val="Noto Sans CJK SC"/>
        <family val="2"/>
      </rPr>
      <t xml:space="preserve">用的是 </t>
    </r>
    <r>
      <rPr>
        <sz val="9"/>
        <color rgb="FF555555"/>
        <rFont val="Arial"/>
        <family val="0"/>
        <charset val="1"/>
      </rPr>
      <t xml:space="preserve">2026-03 </t>
    </r>
    <r>
      <rPr>
        <sz val="9"/>
        <color rgb="FF555555"/>
        <rFont val="Noto Sans CJK SC"/>
        <family val="2"/>
      </rPr>
      <t xml:space="preserve">時點值、營收份額 </t>
    </r>
    <r>
      <rPr>
        <sz val="9"/>
        <color rgb="FF555555"/>
        <rFont val="Arial"/>
        <family val="0"/>
        <charset val="1"/>
      </rPr>
      <t xml:space="preserve">0.20 </t>
    </r>
    <r>
      <rPr>
        <sz val="9"/>
        <color rgb="FF555555"/>
        <rFont val="Noto Sans CJK SC"/>
        <family val="2"/>
      </rPr>
      <t xml:space="preserve">是餘額。</t>
    </r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</si>
  <si>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</t>
    </r>
  </si>
  <si>
    <r>
      <rPr>
        <sz val="9"/>
        <color rgb="FF555555"/>
        <rFont val="Noto Sans CJK SC"/>
        <family val="2"/>
      </rPr>
      <t xml:space="preserve">定額月費：每個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實收是有效牌價的 </t>
    </r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Noto Sans CJK SC"/>
        <family val="2"/>
      </rPr>
      <t xml:space="preserve">倍以上，是整體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的主因。</t>
    </r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</si>
  <si>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</t>
    </r>
  </si>
  <si>
    <t xml:space="preserve">席次定額收費，同上，倍數較小。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</si>
  <si>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從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到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為什麼變：三個因子</t>
    </r>
  </si>
  <si>
    <t xml:space="preserve">因子</t>
  </si>
  <si>
    <r>
      <rPr>
        <b val="true"/>
        <sz val="10"/>
        <color rgb="FFFFFFFF"/>
        <rFont val="Noto Sans CJK SC"/>
        <family val="2"/>
      </rPr>
      <t xml:space="preserve">倍數（</t>
    </r>
    <r>
      <rPr>
        <b val="true"/>
        <sz val="10"/>
        <color rgb="FFFFFFFF"/>
        <rFont val="Arial"/>
        <family val="0"/>
        <charset val="1"/>
      </rPr>
      <t xml:space="preserve">Q2 ÷ 2025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</si>
  <si>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怎麼讀</t>
  </si>
  <si>
    <r>
      <rPr>
        <sz val="10"/>
        <rFont val="Noto Sans CJK SC"/>
        <family val="2"/>
      </rPr>
      <t xml:space="preserve">分子：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</si>
  <si>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營收成長：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的分子變大，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變大。</t>
    </r>
  </si>
  <si>
    <r>
      <rPr>
        <sz val="10"/>
        <rFont val="Noto Sans CJK SC"/>
        <family val="2"/>
      </rPr>
      <t xml:space="preserve">分母之一：付費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年）</t>
    </r>
  </si>
  <si>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增加：分母變大，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變小。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API token </t>
    </r>
    <r>
      <rPr>
        <sz val="9"/>
        <color rgb="FF555555"/>
        <rFont val="Noto Sans CJK SC"/>
        <family val="2"/>
      </rPr>
      <t xml:space="preserve">與每日訊息數都明顯增加。</t>
    </r>
  </si>
  <si>
    <r>
      <rPr>
        <sz val="10"/>
        <rFont val="Noto Sans CJK SC"/>
        <family val="2"/>
      </rPr>
      <t xml:space="preserve">分母之二：有效牌價（</t>
    </r>
    <r>
      <rPr>
        <sz val="10"/>
        <rFont val="Arial"/>
        <family val="0"/>
        <charset val="1"/>
      </rPr>
      <t xml:space="preserve">$/M tok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</si>
  <si>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牌價基準不同（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年度層級單價對 </t>
    </r>
    <r>
      <rPr>
        <sz val="9"/>
        <color rgb="FF555555"/>
        <rFont val="Arial"/>
        <family val="0"/>
        <charset val="1"/>
      </rPr>
      <t xml:space="preserve">2026-09 GPT-6 </t>
    </r>
    <r>
      <rPr>
        <sz val="9"/>
        <color rgb="FF555555"/>
        <rFont val="Noto Sans CJK SC"/>
        <family val="2"/>
      </rPr>
      <t xml:space="preserve">牌價）：分母變大，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變小。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</si>
  <si>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倍數＝分子倍數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倍數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有效牌價倍數）</t>
    </r>
  </si>
  <si>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帳診斷的區別（以下三項不是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</si>
  <si>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名稱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</si>
  <si>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</t>
    </r>
  </si>
  <si>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</si>
  <si>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舊的「機隊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」：成本鏈（推論支出 → 持有成本 → </t>
    </r>
    <r>
      <rPr>
        <sz val="9"/>
        <color rgb="FF555555"/>
        <rFont val="Arial"/>
        <family val="0"/>
        <charset val="1"/>
      </rPr>
      <t xml:space="preserve">GW → token</t>
    </r>
    <r>
      <rPr>
        <sz val="9"/>
        <color rgb="FF555555"/>
        <rFont val="Noto Sans CJK SC"/>
        <family val="2"/>
      </rPr>
      <t xml:space="preserve">）推出的付費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當分母。＝</t>
    </r>
    <r>
      <rPr>
        <sz val="9"/>
        <color rgb="FF555555"/>
        <rFont val="Arial"/>
        <family val="0"/>
        <charset val="1"/>
      </rPr>
      <t xml:space="preserve">m ×</t>
    </r>
    <r>
      <rPr>
        <sz val="9"/>
        <color rgb="FF555555"/>
        <rFont val="Noto Sans CJK SC"/>
        <family val="2"/>
      </rPr>
      <t xml:space="preserve">（真實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模型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），混有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帳誤差，不是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</si>
  <si>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L1_TokLedger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</si>
  <si>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模型付費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需求面付費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（＝</t>
    </r>
    <r>
      <rPr>
        <sz val="9"/>
        <color rgb="FF555555"/>
        <rFont val="Arial"/>
        <family val="0"/>
        <charset val="1"/>
      </rPr>
      <t xml:space="preserve">L1_M_2025 ÷ L1_MFleet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帳係數，歸數量 </t>
    </r>
    <r>
      <rPr>
        <sz val="9"/>
        <color rgb="FF555555"/>
        <rFont val="Arial"/>
        <family val="0"/>
        <charset val="1"/>
      </rPr>
      <t xml:space="preserve">Q </t>
    </r>
    <r>
      <rPr>
        <sz val="9"/>
        <color rgb="FF555555"/>
        <rFont val="Noto Sans CJK SC"/>
        <family val="2"/>
      </rPr>
      <t xml:space="preserve">側。</t>
    </r>
  </si>
  <si>
    <t xml:space="preserve">L1_TokLedger_2026Q2</t>
  </si>
  <si>
    <r>
      <rPr>
        <sz val="9"/>
        <color rgb="FF555555"/>
        <rFont val="Noto Sans CJK SC"/>
        <family val="2"/>
      </rPr>
      <t xml:space="preserve">同上，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。</t>
    </r>
  </si>
  <si>
    <t xml:space="preserve">驗證</t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</si>
  <si>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的 </t>
    </r>
    <r>
      <rPr>
        <sz val="10"/>
        <rFont val="Arial"/>
        <family val="0"/>
        <charset val="1"/>
      </rPr>
      <t xml:space="preserve">m ÷ Tokenomics </t>
    </r>
    <r>
      <rPr>
        <sz val="10"/>
        <rFont val="Noto Sans CJK SC"/>
        <family val="2"/>
      </rPr>
      <t xml:space="preserve">原值 −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（四欄最大絕對值）</t>
    </r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</si>
  <si>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 三路線合計 − 整體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（四欄最大絕對值）</t>
    </r>
  </si>
  <si>
    <r>
      <rPr>
        <b val="true"/>
        <sz val="10"/>
        <rFont val="Noto Sans CJK SC"/>
        <family val="2"/>
      </rPr>
      <t xml:space="preserve">最不確定的輸入（依 </t>
    </r>
    <r>
      <rPr>
        <b val="true"/>
        <sz val="10"/>
        <rFont val="Arial"/>
        <family val="0"/>
        <charset val="1"/>
      </rPr>
      <t xml:space="preserve">5_</t>
    </r>
    <r>
      <rPr>
        <b val="true"/>
        <sz val="10"/>
        <rFont val="Noto Sans CJK SC"/>
        <family val="2"/>
      </rPr>
      <t xml:space="preserve">敏感度 擺動；細節見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頁）</t>
    </r>
  </si>
  <si>
    <t xml:space="preserve">輸入</t>
  </si>
  <si>
    <t xml:space="preserve">擺動</t>
  </si>
  <si>
    <t xml:space="preserve">承重度</t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</si>
  <si>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的需求公式樹：從「誰付錢、誰用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」推到 </t>
    </r>
    <r>
      <rPr>
        <b val="true"/>
        <sz val="13"/>
        <rFont val="Arial"/>
        <family val="0"/>
        <charset val="1"/>
      </rPr>
      <t xml:space="preserve">m</t>
    </r>
    <r>
      <rPr>
        <b val="true"/>
        <sz val="13"/>
        <rFont val="Noto Sans CJK SC"/>
        <family val="2"/>
      </rPr>
      <t xml:space="preserve">（付費服務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的有效牌價變現率）</t>
    </r>
  </si>
  <si>
    <r>
      <rPr>
        <sz val="9"/>
        <color rgb="FF555555"/>
        <rFont val="Noto Sans CJK SC"/>
        <family val="2"/>
      </rPr>
      <t xml:space="preserve">讀法：由上往下，每一層把上一層的一個量拆開。全部是公式，連到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輸入（藍字）、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重算、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分路線；改輸入，本頁一起變。左邊兩欄值＝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（主口徑）；</t>
    </r>
    <r>
      <rPr>
        <sz val="9"/>
        <color rgb="FF555555"/>
        <rFont val="Arial"/>
        <family val="0"/>
        <charset val="1"/>
      </rPr>
      <t xml:space="preserve">Q1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在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重算。</t>
    </r>
    <r>
      <rPr>
        <sz val="9"/>
        <color rgb="FF555555"/>
        <rFont val="Arial"/>
        <family val="0"/>
        <charset val="1"/>
      </rPr>
      <t xml:space="preserve">H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 </t>
    </r>
    <r>
      <rPr>
        <sz val="9"/>
        <color rgb="FF555555"/>
        <rFont val="Noto Sans CJK SC"/>
        <family val="2"/>
      </rPr>
      <t xml:space="preserve">欄＝</t>
    </r>
    <r>
      <rPr>
        <sz val="9"/>
        <color rgb="FF555555"/>
        <rFont val="Arial"/>
        <family val="0"/>
        <charset val="1"/>
      </rPr>
      <t xml:space="preserve">Tokenomics v21.2 </t>
    </r>
    <r>
      <rPr>
        <sz val="9"/>
        <color rgb="FF555555"/>
        <rFont val="Noto Sans CJK SC"/>
        <family val="2"/>
      </rPr>
      <t xml:space="preserve">原值（貼上），</t>
    </r>
    <r>
      <rPr>
        <sz val="9"/>
        <color rgb="FF555555"/>
        <rFont val="Arial"/>
        <family val="0"/>
        <charset val="1"/>
      </rPr>
      <t xml:space="preserve">J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K </t>
    </r>
    <r>
      <rPr>
        <sz val="9"/>
        <color rgb="FF555555"/>
        <rFont val="Noto Sans CJK SC"/>
        <family val="2"/>
      </rPr>
      <t xml:space="preserve">欄＝差異。</t>
    </r>
  </si>
  <si>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單位一律為「兆 </t>
    </r>
    <r>
      <rPr>
        <sz val="9"/>
        <color rgb="FF555555"/>
        <rFont val="Arial"/>
        <family val="0"/>
        <charset val="1"/>
      </rPr>
      <t xml:space="preserve">token/</t>
    </r>
    <r>
      <rPr>
        <sz val="9"/>
        <color rgb="FF555555"/>
        <rFont val="Noto Sans CJK SC"/>
        <family val="2"/>
      </rPr>
      <t xml:space="preserve">年」（</t>
    </r>
    <r>
      <rPr>
        <sz val="9"/>
        <color rgb="FF555555"/>
        <rFont val="Arial"/>
        <family val="0"/>
        <charset val="1"/>
      </rPr>
      <t xml:space="preserve">10¹² token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的 </t>
    </r>
    <r>
      <rPr>
        <sz val="9"/>
        <color rgb="FF555555"/>
        <rFont val="Arial"/>
        <family val="0"/>
        <charset val="1"/>
      </rPr>
      <t xml:space="preserve">M tok ÷ 10⁶</t>
    </r>
    <r>
      <rPr>
        <sz val="9"/>
        <color rgb="FF555555"/>
        <rFont val="Noto Sans CJK SC"/>
        <family val="2"/>
      </rPr>
      <t xml:space="preserve">）。單價一律為「</t>
    </r>
    <r>
      <rPr>
        <sz val="9"/>
        <color rgb="FF555555"/>
        <rFont val="Arial"/>
        <family val="0"/>
        <charset val="1"/>
      </rPr>
      <t xml:space="preserve">$/M token</t>
    </r>
    <r>
      <rPr>
        <sz val="9"/>
        <color rgb="FF555555"/>
        <rFont val="Noto Sans CJK SC"/>
        <family val="2"/>
      </rPr>
      <t xml:space="preserve">」（每百萬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美元）。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的定義（</t>
    </r>
    <r>
      <rPr>
        <sz val="9"/>
        <color rgb="FF555555"/>
        <rFont val="Arial"/>
        <family val="0"/>
        <charset val="1"/>
      </rPr>
      <t xml:space="preserve">Andy 2026-10-21</t>
    </r>
    <r>
      <rPr>
        <sz val="9"/>
        <color rgb="FF555555"/>
        <rFont val="Noto Sans CJK SC"/>
        <family val="2"/>
      </rPr>
      <t xml:space="preserve">）：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有效牌價；有效牌價＝表列牌價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），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預設 </t>
    </r>
    <r>
      <rPr>
        <sz val="9"/>
        <color rgb="FF555555"/>
        <rFont val="Arial"/>
        <family val="0"/>
        <charset val="1"/>
      </rPr>
      <t xml:space="preserve">20%</t>
    </r>
    <r>
      <rPr>
        <sz val="9"/>
        <color rgb="FF555555"/>
        <rFont val="Noto Sans CJK SC"/>
        <family val="2"/>
      </rPr>
      <t xml:space="preserve">、可調；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只有收入面，免費與成本都不進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</si>
  <si>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t xml:space="preserve">層</t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</si>
  <si>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</si>
  <si>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</si>
  <si>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t xml:space="preserve">怎麼算（白話＋公式）</t>
  </si>
  <si>
    <t xml:space="preserve">標記</t>
  </si>
  <si>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</si>
  <si>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</si>
  <si>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</si>
  <si>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</si>
  <si>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rFont val="Arial"/>
        <family val="0"/>
        <charset val="1"/>
      </rPr>
      <t xml:space="preserve">L0</t>
    </r>
    <r>
      <rPr>
        <b val="true"/>
        <sz val="10"/>
        <rFont val="Noto Sans CJK SC"/>
        <family val="2"/>
      </rPr>
      <t xml:space="preserve">　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是什麼：每個付費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實收多少，除以有效牌價</t>
    </r>
  </si>
  <si>
    <t xml:space="preserve">付費服務實際收到的錢（毛額、不含廣告）。</t>
  </si>
  <si>
    <t xml:space="preserve">Interested-party</t>
  </si>
  <si>
    <r>
      <rPr>
        <sz val="10"/>
        <rFont val="Noto Sans CJK SC"/>
        <family val="2"/>
      </rPr>
      <t xml:space="preserve">兆 </t>
    </r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年</t>
    </r>
  </si>
  <si>
    <r>
      <rPr>
        <sz val="9"/>
        <color rgb="FF555555"/>
        <rFont val="Arial"/>
        <family val="0"/>
        <charset val="1"/>
      </rPr>
      <t xml:space="preserve">API token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L3 </t>
    </r>
    <r>
      <rPr>
        <sz val="9"/>
        <color rgb="FF555555"/>
        <rFont val="Noto Sans CJK SC"/>
        <family val="2"/>
      </rPr>
      <t xml:space="preserve">加總）。免費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</si>
  <si>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t xml:space="preserve">Derived</t>
  </si>
  <si>
    <r>
      <rPr>
        <sz val="10"/>
        <rFont val="Noto Sans CJK SC"/>
        <family val="2"/>
      </rPr>
      <t xml:space="preserve">實收單價（每百萬付費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實收）</t>
    </r>
  </si>
  <si>
    <t xml:space="preserve">$/M token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</si>
  <si>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1000 ÷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（兆）。</t>
    </r>
  </si>
  <si>
    <r>
      <rPr>
        <sz val="9"/>
        <color rgb="FF555555"/>
        <rFont val="Noto Sans CJK SC"/>
        <family val="2"/>
      </rPr>
      <t xml:space="preserve">＝有效牌價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）。層級組合加權的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官方牌價。</t>
    </r>
  </si>
  <si>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：預設折扣（可調）</t>
    </r>
  </si>
  <si>
    <t xml:space="preserve">%</t>
  </si>
  <si>
    <r>
      <rPr>
        <sz val="9"/>
        <color rgb="FF555555"/>
        <rFont val="Arial"/>
        <family val="0"/>
        <charset val="1"/>
      </rPr>
      <t xml:space="preserve">Batch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Flex </t>
    </r>
    <r>
      <rPr>
        <sz val="9"/>
        <color rgb="FF555555"/>
        <rFont val="Noto Sans CJK SC"/>
        <family val="2"/>
      </rPr>
      <t xml:space="preserve">半價＋企業議價的加權；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，區間 </t>
    </r>
    <r>
      <rPr>
        <sz val="9"/>
        <color rgb="FF555555"/>
        <rFont val="Arial"/>
        <family val="0"/>
        <charset val="1"/>
      </rPr>
      <t xml:space="preserve">0.1–0.4</t>
    </r>
    <r>
      <rPr>
        <sz val="9"/>
        <color rgb="FF555555"/>
        <rFont val="Noto Sans CJK SC"/>
        <family val="2"/>
      </rPr>
      <t xml:space="preserve">。改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的 </t>
    </r>
    <r>
      <rPr>
        <sz val="9"/>
        <color rgb="FF555555"/>
        <rFont val="Arial"/>
        <family val="0"/>
        <charset val="1"/>
      </rPr>
      <t xml:space="preserve">IN_Disc </t>
    </r>
    <r>
      <rPr>
        <sz val="9"/>
        <color rgb="FF555555"/>
        <rFont val="Noto Sans CJK SC"/>
        <family val="2"/>
      </rPr>
      <t xml:space="preserve">即可。</t>
    </r>
  </si>
  <si>
    <t xml:space="preserve">Assumed</t>
  </si>
  <si>
    <t xml:space="preserve">有效牌價</t>
  </si>
  <si>
    <r>
      <rPr>
        <sz val="9"/>
        <color rgb="FF555555"/>
        <rFont val="Noto Sans CJK SC"/>
        <family val="2"/>
      </rPr>
      <t xml:space="preserve">＝表列牌價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L4 </t>
    </r>
    <r>
      <rPr>
        <sz val="9"/>
        <color rgb="FF555555"/>
        <rFont val="Noto Sans CJK SC"/>
        <family val="2"/>
      </rPr>
      <t xml:space="preserve">展開。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的牌價基準不同（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年度層級單價，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用 </t>
    </r>
    <r>
      <rPr>
        <sz val="9"/>
        <color rgb="FF555555"/>
        <rFont val="Arial"/>
        <family val="0"/>
        <charset val="1"/>
      </rPr>
      <t xml:space="preserve">2026-09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GPT-6 </t>
    </r>
    <r>
      <rPr>
        <sz val="9"/>
        <color rgb="FF555555"/>
        <rFont val="Noto Sans CJK SC"/>
        <family val="2"/>
      </rPr>
      <t xml:space="preserve">牌價）。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</si>
  <si>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實收單價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有效牌價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</si>
  <si>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平均實收高於有效牌價（主要來自定額訂閱）；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＜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：實收低於有效牌價。</t>
    </r>
  </si>
  <si>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　分子與分母：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分子營收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有效單價）</t>
    </r>
  </si>
  <si>
    <t xml:space="preserve">營收（年化）</t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</si>
  <si>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全年；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＝季營收 </t>
    </r>
    <r>
      <rPr>
        <sz val="9"/>
        <color rgb="FF555555"/>
        <rFont val="Arial"/>
        <family val="0"/>
        <charset val="1"/>
      </rPr>
      <t xml:space="preserve">× 4</t>
    </r>
    <r>
      <rPr>
        <sz val="9"/>
        <color rgb="FF555555"/>
        <rFont val="Noto Sans CJK SC"/>
        <family val="2"/>
      </rPr>
      <t xml:space="preserve">。</t>
    </r>
  </si>
  <si>
    <t xml:space="preserve">廣告營收（年化）</t>
  </si>
  <si>
    <r>
      <rPr>
        <sz val="9"/>
        <color rgb="FF555555"/>
        <rFont val="Noto Sans CJK SC"/>
        <family val="2"/>
      </rPr>
      <t xml:space="preserve">不進分子（</t>
    </r>
    <r>
      <rPr>
        <sz val="9"/>
        <color rgb="FF555555"/>
        <rFont val="Arial"/>
        <family val="0"/>
        <charset val="1"/>
      </rPr>
      <t xml:space="preserve">Andy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單純看收費業務）。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無廣告。</t>
    </r>
  </si>
  <si>
    <r>
      <rPr>
        <sz val="10"/>
        <rFont val="Noto Sans CJK SC"/>
        <family val="2"/>
      </rPr>
      <t xml:space="preserve">分子：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</t>
    </r>
  </si>
  <si>
    <t xml:space="preserve">＝營收 − 廣告。</t>
  </si>
  <si>
    <r>
      <rPr>
        <sz val="10"/>
        <rFont val="Noto Sans CJK SC"/>
        <family val="2"/>
      </rPr>
      <t xml:space="preserve">分母：付費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按有效牌價折算的營收</t>
    </r>
  </si>
  <si>
    <r>
      <rPr>
        <sz val="9"/>
        <color rgb="FF555555"/>
        <rFont val="Noto Sans CJK SC"/>
        <family val="2"/>
      </rPr>
      <t xml:space="preserve">＝付費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有效單價：如果每個付費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都照有效牌價收費，營收會是這麼多。</t>
    </r>
  </si>
  <si>
    <r>
      <rPr>
        <sz val="10"/>
        <rFont val="Noto Sans CJK SC"/>
        <family val="2"/>
      </rPr>
      <t xml:space="preserve">檢查：分子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分母</t>
    </r>
  </si>
  <si>
    <r>
      <rPr>
        <sz val="9"/>
        <color rgb="FF555555"/>
        <rFont val="Noto Sans CJK SC"/>
        <family val="2"/>
      </rPr>
      <t xml:space="preserve">應等於 </t>
    </r>
    <r>
      <rPr>
        <sz val="9"/>
        <color rgb="FF555555"/>
        <rFont val="Arial"/>
        <family val="0"/>
        <charset val="1"/>
      </rPr>
      <t xml:space="preserve">L0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（恆等式）。</t>
    </r>
  </si>
  <si>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　營收從哪裡來：三條收費路線，各自的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（分子拆開；細節見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分路線）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</si>
  <si>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營收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</si>
  <si>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API </t>
    </r>
    <r>
      <rPr>
        <sz val="9"/>
        <color rgb="FF555555"/>
        <rFont val="Noto Sans CJK SC"/>
        <family val="2"/>
      </rPr>
      <t xml:space="preserve">份額（餘額）。</t>
    </r>
  </si>
  <si>
    <t xml:space="preserve">消費訂閱營收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</si>
  <si>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消費訂閱份額（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約 </t>
    </r>
    <r>
      <rPr>
        <sz val="9"/>
        <color rgb="FF555555"/>
        <rFont val="Arial"/>
        <family val="0"/>
        <charset val="1"/>
      </rPr>
      <t xml:space="preserve">70%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2026 Q2 0.55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</si>
  <si>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Derived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Assumed</t>
    </r>
  </si>
  <si>
    <t xml:space="preserve">商用席次營收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</si>
  <si>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商用席次份額（</t>
    </r>
    <r>
      <rPr>
        <sz val="9"/>
        <color rgb="FF555555"/>
        <rFont val="Arial"/>
        <family val="0"/>
        <charset val="1"/>
      </rPr>
      <t xml:space="preserve">2025 0.10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2026 Q2 0.25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</si>
  <si>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t xml:space="preserve">按量計費路線：實收低於有效牌價。</t>
  </si>
  <si>
    <r>
      <rPr>
        <sz val="9"/>
        <color rgb="FF555555"/>
        <rFont val="Noto Sans CJK SC"/>
        <family val="2"/>
      </rPr>
      <t xml:space="preserve">定額月費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實際用量：遠大於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，是整體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偏高的主因。</t>
    </r>
  </si>
  <si>
    <t xml:space="preserve">按席次定額收費，同上。</t>
  </si>
  <si>
    <r>
      <rPr>
        <b val="true"/>
        <sz val="10"/>
        <rFont val="Arial"/>
        <family val="0"/>
        <charset val="1"/>
      </rPr>
      <t xml:space="preserve">L3</t>
    </r>
    <r>
      <rPr>
        <b val="true"/>
        <sz val="10"/>
        <rFont val="Noto Sans CJK SC"/>
        <family val="2"/>
      </rPr>
      <t xml:space="preserve">　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由誰用：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付費（二分）；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付費再分消費訂閱／商用席次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</si>
  <si>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</si>
  <si>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十億 </t>
    </r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分鐘</t>
    </r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</si>
  <si>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OpenAI 2025-10-06 </t>
    </r>
    <r>
      <rPr>
        <sz val="9"/>
        <color rgb="FF555555"/>
        <rFont val="Noto Sans CJK SC"/>
        <family val="2"/>
      </rPr>
      <t xml:space="preserve">公告 </t>
    </r>
    <r>
      <rPr>
        <sz val="9"/>
        <color rgb="FF555555"/>
        <rFont val="Arial"/>
        <family val="0"/>
        <charset val="1"/>
      </rPr>
      <t xml:space="preserve">60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2026-03-31 </t>
    </r>
    <r>
      <rPr>
        <sz val="9"/>
        <color rgb="FF555555"/>
        <rFont val="Noto Sans CJK SC"/>
        <family val="2"/>
      </rPr>
      <t xml:space="preserve">融資公告「超過」</t>
    </r>
    <r>
      <rPr>
        <sz val="9"/>
        <color rgb="FF555555"/>
        <rFont val="Arial"/>
        <family val="0"/>
        <charset val="1"/>
      </rPr>
      <t xml:space="preserve">150 </t>
    </r>
    <r>
      <rPr>
        <sz val="9"/>
        <color rgb="FF555555"/>
        <rFont val="Noto Sans CJK SC"/>
        <family val="2"/>
      </rPr>
      <t xml:space="preserve">億（</t>
    </r>
    <r>
      <rPr>
        <sz val="9"/>
        <color rgb="FF555555"/>
        <rFont val="Arial"/>
        <family val="0"/>
        <charset val="1"/>
      </rPr>
      <t xml:space="preserve">Q2 </t>
    </r>
    <r>
      <rPr>
        <sz val="9"/>
        <color rgb="FF555555"/>
        <rFont val="Noto Sans CJK SC"/>
        <family val="2"/>
      </rPr>
      <t xml:space="preserve">當期值未找到）。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</si>
  <si>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全年平均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時點值</t>
    </r>
  </si>
  <si>
    <r>
      <rPr>
        <sz val="9"/>
        <color rgb="FF555555"/>
        <rFont val="Noto Sans CJK SC"/>
        <family val="2"/>
      </rPr>
      <t xml:space="preserve">只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欄：把 </t>
    </r>
    <r>
      <rPr>
        <sz val="9"/>
        <color rgb="FF555555"/>
        <rFont val="Arial"/>
        <family val="0"/>
        <charset val="1"/>
      </rPr>
      <t xml:space="preserve">10 </t>
    </r>
    <r>
      <rPr>
        <sz val="9"/>
        <color rgb="FF555555"/>
        <rFont val="Noto Sans CJK SC"/>
        <family val="2"/>
      </rPr>
      <t xml:space="preserve">月時點值換成全年平均（</t>
    </r>
    <r>
      <rPr>
        <sz val="9"/>
        <color rgb="FF555555"/>
        <rFont val="Arial"/>
        <family val="0"/>
        <charset val="1"/>
      </rPr>
      <t xml:space="preserve">Assumed 0.6–0.9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2026 Q1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Q2 </t>
    </r>
    <r>
      <rPr>
        <sz val="9"/>
        <color rgb="FF555555"/>
        <rFont val="Noto Sans CJK SC"/>
        <family val="2"/>
      </rPr>
      <t xml:space="preserve">不打折，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另乘 </t>
    </r>
    <r>
      <rPr>
        <sz val="9"/>
        <color rgb="FF555555"/>
        <rFont val="Arial"/>
        <family val="0"/>
        <charset val="1"/>
      </rPr>
      <t xml:space="preserve">1.3</t>
    </r>
    <r>
      <rPr>
        <sz val="9"/>
        <color rgb="FF555555"/>
        <rFont val="Noto Sans CJK SC"/>
        <family val="2"/>
      </rPr>
      <t xml:space="preserve">。</t>
    </r>
  </si>
  <si>
    <t xml:space="preserve">→ API token</t>
  </si>
  <si>
    <r>
      <rPr>
        <sz val="9"/>
        <color rgb="FF555555"/>
        <rFont val="Noto Sans CJK SC"/>
        <family val="2"/>
      </rPr>
      <t xml:space="preserve">＝每分鐘 </t>
    </r>
    <r>
      <rPr>
        <sz val="9"/>
        <color rgb="FF555555"/>
        <rFont val="Arial"/>
        <family val="0"/>
        <charset val="1"/>
      </rPr>
      <t xml:space="preserve">token × 525,600 </t>
    </r>
    <r>
      <rPr>
        <sz val="9"/>
        <color rgb="FF555555"/>
        <rFont val="Noto Sans CJK SC"/>
        <family val="2"/>
      </rPr>
      <t xml:space="preserve">分鐘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：年均比例；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</si>
  <si>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</si>
  <si>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Noto Sans CJK SC"/>
        <family val="2"/>
      </rPr>
      <t xml:space="preserve">十億則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</si>
  <si>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自述 </t>
    </r>
    <r>
      <rPr>
        <sz val="9"/>
        <color rgb="FF555555"/>
        <rFont val="Arial"/>
        <family val="0"/>
        <charset val="1"/>
      </rPr>
      <t xml:space="preserve">25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3.6</t>
    </r>
    <r>
      <rPr>
        <sz val="9"/>
        <color rgb="FF555555"/>
        <rFont val="Noto Sans CJK SC"/>
        <family val="2"/>
      </rPr>
      <t xml:space="preserve">（週活比例放大，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</si>
  <si>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Interested-party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Assumed</t>
    </r>
  </si>
  <si>
    <r>
      <rPr>
        <sz val="10"/>
        <rFont val="Noto Sans CJK SC"/>
        <family val="2"/>
      </rPr>
      <t xml:space="preserve">每則訊息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 </t>
    </r>
    <r>
      <rPr>
        <sz val="10"/>
        <rFont val="Arial"/>
        <family val="0"/>
        <charset val="1"/>
      </rPr>
      <t xml:space="preserve">τ</t>
    </r>
  </si>
  <si>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則</t>
    </r>
  </si>
  <si>
    <r>
      <rPr>
        <sz val="9"/>
        <color rgb="FF555555"/>
        <rFont val="Noto Sans CJK SC"/>
        <family val="2"/>
      </rPr>
      <t xml:space="preserve">含輸入、輸出、思考；無公開數字（</t>
    </r>
    <r>
      <rPr>
        <sz val="9"/>
        <color rgb="FF555555"/>
        <rFont val="Arial"/>
        <family val="0"/>
        <charset val="1"/>
      </rPr>
      <t xml:space="preserve">Assumed 2,000–11,000</t>
    </r>
    <r>
      <rPr>
        <sz val="9"/>
        <color rgb="FF555555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</si>
  <si>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免費用戶占 </t>
    </r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比</t>
    </r>
  </si>
  <si>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口徑（</t>
    </r>
    <r>
      <rPr>
        <sz val="9"/>
        <color rgb="FF555555"/>
        <rFont val="Arial"/>
        <family val="0"/>
        <charset val="1"/>
      </rPr>
      <t xml:space="preserve">Assumed 0.4–0.8</t>
    </r>
    <r>
      <rPr>
        <sz val="9"/>
        <color rgb="FF555555"/>
        <rFont val="Noto Sans CJK SC"/>
        <family val="2"/>
      </rPr>
      <t xml:space="preserve">）。只用來把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總量扣成付費部分；免費服務本身不進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</si>
  <si>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總量</t>
    </r>
  </si>
  <si>
    <r>
      <rPr>
        <sz val="9"/>
        <color rgb="FF555555"/>
        <rFont val="Noto Sans CJK SC"/>
        <family val="2"/>
      </rPr>
      <t xml:space="preserve">＝每日訊息 </t>
    </r>
    <r>
      <rPr>
        <sz val="9"/>
        <color rgb="FF555555"/>
        <rFont val="Arial"/>
        <family val="0"/>
        <charset val="1"/>
      </rPr>
      <t xml:space="preserve">× τ × 365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</si>
  <si>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　其中免費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（扣除，不進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</si>
  <si>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＝總量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免費占比。</t>
    </r>
  </si>
  <si>
    <r>
      <rPr>
        <sz val="10"/>
        <rFont val="Arial"/>
        <family val="0"/>
        <charset val="1"/>
      </rPr>
      <t xml:space="preserve">→ 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</si>
  <si>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＝總量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免費占比）。</t>
    </r>
  </si>
  <si>
    <r>
      <rPr>
        <sz val="10"/>
        <rFont val="Noto Sans CJK SC"/>
        <family val="2"/>
      </rPr>
      <t xml:space="preserve">　消費訂閱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</si>
  <si>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消費份額（</t>
    </r>
    <r>
      <rPr>
        <sz val="9"/>
        <color rgb="FF555555"/>
        <rFont val="Arial"/>
        <family val="0"/>
        <charset val="1"/>
      </rPr>
      <t xml:space="preserve">2025 0.75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2026 0.65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</si>
  <si>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（份額）</t>
    </r>
  </si>
  <si>
    <r>
      <rPr>
        <sz val="10"/>
        <rFont val="Noto Sans CJK SC"/>
        <family val="2"/>
      </rPr>
      <t xml:space="preserve">　商用席次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</si>
  <si>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消費份額）。</t>
    </r>
  </si>
  <si>
    <r>
      <rPr>
        <sz val="10"/>
        <rFont val="Noto Sans CJK SC"/>
        <family val="2"/>
      </rPr>
      <t xml:space="preserve">需求面付費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合計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</si>
  <si>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付費。</t>
    </r>
  </si>
  <si>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　有效單價：</t>
    </r>
    <r>
      <rPr>
        <b val="true"/>
        <sz val="10"/>
        <rFont val="Arial"/>
        <family val="0"/>
        <charset val="1"/>
      </rPr>
      <t xml:space="preserve">Σ </t>
    </r>
    <r>
      <rPr>
        <b val="true"/>
        <sz val="10"/>
        <rFont val="Noto Sans CJK SC"/>
        <family val="2"/>
      </rPr>
      <t xml:space="preserve">層級占比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層級有效單價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；層級有效單價 ＝ 表列牌價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請求形狀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d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能力倍數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</si>
  <si>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</si>
  <si>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31 </t>
    </r>
    <r>
      <rPr>
        <sz val="9"/>
        <color rgb="FF555555"/>
        <rFont val="Noto Sans CJK SC"/>
        <family val="2"/>
      </rPr>
      <t xml:space="preserve">列）；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用同一組。</t>
    </r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</si>
  <si>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</si>
  <si>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</si>
  <si>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層級有效單價</t>
    </r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</si>
  <si>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年度表列單價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[ISL ×</t>
    </r>
    <r>
      <rPr>
        <sz val="9"/>
        <color rgb="FF555555"/>
        <rFont val="Noto Sans CJK SC"/>
        <family val="2"/>
      </rPr>
      <t xml:space="preserve">（（</t>
    </r>
    <r>
      <rPr>
        <sz val="9"/>
        <color rgb="FF555555"/>
        <rFont val="Arial"/>
        <family val="0"/>
        <charset val="1"/>
      </rPr>
      <t xml:space="preserve">1 − χ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新鮮 ＋ </t>
    </r>
    <r>
      <rPr>
        <sz val="9"/>
        <color rgb="FF555555"/>
        <rFont val="Arial"/>
        <family val="0"/>
        <charset val="1"/>
      </rPr>
      <t xml:space="preserve">χ × </t>
    </r>
    <r>
      <rPr>
        <sz val="9"/>
        <color rgb="FF555555"/>
        <rFont val="Noto Sans CJK SC"/>
        <family val="2"/>
      </rPr>
      <t xml:space="preserve">快取）＋ </t>
    </r>
    <r>
      <rPr>
        <sz val="9"/>
        <color rgb="FF555555"/>
        <rFont val="Arial"/>
        <family val="0"/>
        <charset val="1"/>
      </rPr>
      <t xml:space="preserve">OSL × </t>
    </r>
    <r>
      <rPr>
        <sz val="9"/>
        <color rgb="FF555555"/>
        <rFont val="Noto Sans CJK SC"/>
        <family val="2"/>
      </rPr>
      <t xml:space="preserve">輸出</t>
    </r>
    <r>
      <rPr>
        <sz val="9"/>
        <color rgb="FF555555"/>
        <rFont val="Arial"/>
        <family val="0"/>
        <charset val="1"/>
      </rPr>
      <t xml:space="preserve">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能力倍數（現值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）。展開見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下方。</t>
    </r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</si>
  <si>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層級有效單價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</si>
  <si>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層級有效單價</t>
    </r>
  </si>
  <si>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：請求形狀修正</t>
    </r>
  </si>
  <si>
    <r>
      <rPr>
        <sz val="9"/>
        <color rgb="FF555555"/>
        <rFont val="Noto Sans CJK SC"/>
        <family val="2"/>
      </rPr>
      <t xml:space="preserve">實際流量每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秒總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參考請求（</t>
    </r>
    <r>
      <rPr>
        <sz val="9"/>
        <color rgb="FF555555"/>
        <rFont val="Arial"/>
        <family val="0"/>
        <charset val="1"/>
      </rPr>
      <t xml:space="preserve">Derived 0.65–1.2</t>
    </r>
    <r>
      <rPr>
        <sz val="9"/>
        <color rgb="FF555555"/>
        <rFont val="Noto Sans CJK SC"/>
        <family val="2"/>
      </rPr>
      <t xml:space="preserve">）；乘入混合有效單價。</t>
    </r>
  </si>
  <si>
    <r>
      <rPr>
        <b val="true"/>
        <sz val="10"/>
        <rFont val="Noto Sans CJK SC"/>
        <family val="2"/>
      </rPr>
      <t xml:space="preserve">→ 混合有效單價 ＝ </t>
    </r>
    <r>
      <rPr>
        <b val="true"/>
        <sz val="10"/>
        <rFont val="Arial"/>
        <family val="0"/>
        <charset val="1"/>
      </rPr>
      <t xml:space="preserve">Σ </t>
    </r>
    <r>
      <rPr>
        <b val="true"/>
        <sz val="10"/>
        <rFont val="Noto Sans CJK SC"/>
        <family val="2"/>
      </rPr>
      <t xml:space="preserve">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層級單價 </t>
    </r>
    <r>
      <rPr>
        <b val="true"/>
        <sz val="10"/>
        <rFont val="Arial"/>
        <family val="0"/>
        <charset val="1"/>
      </rPr>
      <t xml:space="preserve">× κ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</si>
  <si>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L0 </t>
    </r>
    <r>
      <rPr>
        <sz val="9"/>
        <color rgb="FF555555"/>
        <rFont val="Noto Sans CJK SC"/>
        <family val="2"/>
      </rPr>
      <t xml:space="preserve">的有效牌價。</t>
    </r>
  </si>
  <si>
    <r>
      <rPr>
        <sz val="10"/>
        <rFont val="Noto Sans CJK SC"/>
        <family val="2"/>
      </rPr>
      <t xml:space="preserve">試算用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</t>
    </r>
    <r>
      <rPr>
        <sz val="10"/>
        <rFont val="Arial"/>
        <family val="0"/>
        <charset val="1"/>
      </rPr>
      <t xml:space="preserve">IN_DTest</t>
    </r>
    <r>
      <rPr>
        <sz val="10"/>
        <rFont val="Noto Sans CJK SC"/>
        <family val="2"/>
      </rPr>
      <t xml:space="preserve">，可改）</t>
    </r>
  </si>
  <si>
    <t xml:space="preserve">只用在下兩列；不影響其他頁。</t>
  </si>
  <si>
    <t xml:space="preserve">本簿試算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</si>
  <si>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改成試算值後的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</si>
  <si>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用同一組輸入、只把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換成試算值，整套有效單價重算（營收與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是觀測值，不隨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動）。</t>
    </r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</si>
  <si>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變動倍數（試算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基準）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</si>
  <si>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(1 − </t>
    </r>
    <r>
      <rPr>
        <sz val="9"/>
        <color rgb="FF555555"/>
        <rFont val="Noto Sans CJK SC"/>
        <family val="2"/>
      </rPr>
      <t xml:space="preserve">基準 </t>
    </r>
    <r>
      <rPr>
        <sz val="9"/>
        <color rgb="FF555555"/>
        <rFont val="Arial"/>
        <family val="0"/>
        <charset val="1"/>
      </rPr>
      <t xml:space="preserve">d) ÷ (1 − </t>
    </r>
    <r>
      <rPr>
        <sz val="9"/>
        <color rgb="FF555555"/>
        <rFont val="Noto Sans CJK SC"/>
        <family val="2"/>
      </rPr>
      <t xml:space="preserve">試算 </t>
    </r>
    <r>
      <rPr>
        <sz val="9"/>
        <color rgb="FF555555"/>
        <rFont val="Arial"/>
        <family val="0"/>
        <charset val="1"/>
      </rPr>
      <t xml:space="preserve">d)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</si>
  <si>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不變的是 </t>
    </r>
    <r>
      <rPr>
        <sz val="10"/>
        <rFont val="Arial"/>
        <family val="0"/>
        <charset val="1"/>
      </rPr>
      <t xml:space="preserve">m 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</si>
  <si>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表列牌價。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只是改「用哪個價當基準」，營收不變，所以不變的是實收對表列牌價的比，不是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</si>
  <si>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　必須為真：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（實收＝有效牌價）需要什麼（每次只動一個假設，其他不動）</t>
    </r>
  </si>
  <si>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 </t>
    </r>
    <r>
      <rPr>
        <sz val="10"/>
        <rFont val="Noto Sans CJK SC"/>
        <family val="2"/>
      </rPr>
      <t xml:space="preserve">要多大</t>
    </r>
  </si>
  <si>
    <r>
      <rPr>
        <sz val="9"/>
        <color rgb="FF555555"/>
        <rFont val="Noto Sans CJK SC"/>
        <family val="2"/>
      </rPr>
      <t xml:space="preserve">令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＝（營收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有效單價）− </t>
    </r>
    <r>
      <rPr>
        <sz val="9"/>
        <color rgb="FF555555"/>
        <rFont val="Arial"/>
        <family val="0"/>
        <charset val="1"/>
      </rPr>
      <t xml:space="preserve">API token</t>
    </r>
    <r>
      <rPr>
        <sz val="9"/>
        <color rgb="FF555555"/>
        <rFont val="Noto Sans CJK SC"/>
        <family val="2"/>
      </rPr>
      <t xml:space="preserve">，反解 </t>
    </r>
    <r>
      <rPr>
        <sz val="9"/>
        <color rgb="FF555555"/>
        <rFont val="Arial"/>
        <family val="0"/>
        <charset val="1"/>
      </rPr>
      <t xml:space="preserve">τ</t>
    </r>
    <r>
      <rPr>
        <sz val="9"/>
        <color rgb="FF555555"/>
        <rFont val="Noto Sans CJK SC"/>
        <family val="2"/>
      </rPr>
      <t xml:space="preserve">。現值 </t>
    </r>
    <r>
      <rPr>
        <sz val="9"/>
        <color rgb="FF555555"/>
        <rFont val="Arial"/>
        <family val="0"/>
        <charset val="1"/>
      </rPr>
      <t xml:space="preserve">4,000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區間 </t>
    </r>
    <r>
      <rPr>
        <sz val="9"/>
        <color rgb="FF555555"/>
        <rFont val="Arial"/>
        <family val="0"/>
        <charset val="1"/>
      </rPr>
      <t xml:space="preserve">2,000–11,000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</si>
  <si>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要多少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</si>
  <si>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有效單價。</t>
    </r>
  </si>
  <si>
    <r>
      <rPr>
        <sz val="10"/>
        <rFont val="Noto Sans CJK SC"/>
        <family val="2"/>
      </rPr>
      <t xml:space="preserve">　　相對現有付費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的倍數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</si>
  <si>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（因為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＝ 營收折算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實際付費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</si>
  <si>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(c) d </t>
    </r>
    <r>
      <rPr>
        <sz val="10"/>
        <rFont val="Noto Sans CJK SC"/>
        <family val="2"/>
      </rPr>
      <t xml:space="preserve">要是多少</t>
    </r>
  </si>
  <si>
    <r>
      <rPr>
        <sz val="9"/>
        <color rgb="FF555555"/>
        <rFont val="Noto Sans CJK SC"/>
        <family val="2"/>
      </rPr>
      <t xml:space="preserve">令有效牌價＝實收單價，反解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1 −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m</t>
    </r>
    <r>
      <rPr>
        <sz val="9"/>
        <color rgb="FF555555"/>
        <rFont val="Noto Sans CJK SC"/>
        <family val="2"/>
      </rPr>
      <t xml:space="preserve">。負值代表連不打折的表列牌價都低於實收，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不可能解釋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。</t>
    </r>
  </si>
  <si>
    <t xml:space="preserve">下鑽</t>
  </si>
  <si>
    <r>
      <rPr>
        <sz val="10"/>
        <rFont val="Noto Sans CJK SC"/>
        <family val="2"/>
      </rPr>
      <t xml:space="preserve">牌價與有效單價（</t>
    </r>
    <r>
      <rPr>
        <sz val="10"/>
        <rFont val="Arial"/>
        <family val="0"/>
        <charset val="1"/>
      </rPr>
      <t xml:space="preserve">L0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L4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S10–S11 </t>
    </r>
    <r>
      <rPr>
        <sz val="10"/>
        <rFont val="Noto Sans CJK SC"/>
        <family val="2"/>
      </rPr>
      <t xml:space="preserve">與層級單價展開表</t>
    </r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</si>
  <si>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L3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S4–S9</t>
    </r>
  </si>
  <si>
    <r>
      <rPr>
        <sz val="10"/>
        <rFont val="Noto Sans CJK SC"/>
        <family val="2"/>
      </rPr>
      <t xml:space="preserve">分路線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L2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</t>
    </r>
  </si>
  <si>
    <r>
      <rPr>
        <sz val="10"/>
        <rFont val="Noto Sans CJK SC"/>
        <family val="2"/>
      </rPr>
      <t xml:space="preserve">各輸入的區間與擺動 → 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敏感度；要找的證據 → 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</t>
    </r>
  </si>
  <si>
    <r>
      <rPr>
        <sz val="10"/>
        <rFont val="Noto Sans CJK SC"/>
        <family val="2"/>
      </rPr>
      <t xml:space="preserve">本頁每個原值與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的對應 →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</t>
    </r>
  </si>
  <si>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可調驗證（一句話）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</si>
  <si>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推導的全部輸入（藍字＝輸入值，可改；改動後 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頁與 </t>
    </r>
    <r>
      <rPr>
        <b val="true"/>
        <sz val="13"/>
        <rFont val="Arial"/>
        <family val="0"/>
        <charset val="1"/>
      </rPr>
      <t xml:space="preserve">1A </t>
    </r>
    <r>
      <rPr>
        <b val="true"/>
        <sz val="13"/>
        <rFont val="Noto Sans CJK SC"/>
        <family val="2"/>
      </rPr>
      <t xml:space="preserve">會自動重算）</t>
    </r>
  </si>
  <si>
    <r>
      <rPr>
        <sz val="9"/>
        <color rgb="FF555555"/>
        <rFont val="Noto Sans CJK SC"/>
        <family val="2"/>
      </rPr>
      <t xml:space="preserve">值取自 </t>
    </r>
    <r>
      <rPr>
        <sz val="9"/>
        <color rgb="FF555555"/>
        <rFont val="Arial"/>
        <family val="0"/>
        <charset val="1"/>
      </rPr>
      <t xml:space="preserve">Tokenomics v21.2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20261023_Tokenomics_v21.2.xlsx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master 45ce1ca</t>
    </r>
    <r>
      <rPr>
        <sz val="9"/>
        <color rgb="FF555555"/>
        <rFont val="Noto Sans CJK SC"/>
        <family val="2"/>
      </rPr>
      <t xml:space="preserve">）。標記與區間取自該簿 </t>
    </r>
    <r>
      <rPr>
        <sz val="9"/>
        <color rgb="FF555555"/>
        <rFont val="Arial"/>
        <family val="0"/>
        <charset val="1"/>
      </rPr>
      <t xml:space="preserve">Gov_Map </t>
    </r>
    <r>
      <rPr>
        <sz val="9"/>
        <color rgb="FF555555"/>
        <rFont val="Noto Sans CJK SC"/>
        <family val="2"/>
      </rPr>
      <t xml:space="preserve">或 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的低／高欄；「—」＝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無此登錄。黃底＝不確定度高且對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影響大（見 </t>
    </r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敏感度）。每格與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的對應登錄在 </t>
    </r>
    <r>
      <rPr>
        <sz val="9"/>
        <color rgb="FF555555"/>
        <rFont val="Arial"/>
        <family val="0"/>
        <charset val="1"/>
      </rPr>
      <t xml:space="preserve">9_</t>
    </r>
    <r>
      <rPr>
        <sz val="9"/>
        <color rgb="FF555555"/>
        <rFont val="Noto Sans CJK SC"/>
        <family val="2"/>
      </rPr>
      <t xml:space="preserve">核對對照。</t>
    </r>
  </si>
  <si>
    <t xml:space="preserve">ID</t>
  </si>
  <si>
    <t xml:space="preserve">群組</t>
  </si>
  <si>
    <t xml:space="preserve">值</t>
  </si>
  <si>
    <r>
      <rPr>
        <b val="true"/>
        <sz val="10"/>
        <color rgb="FFFFFFFF"/>
        <rFont val="Noto Sans CJK SC"/>
        <family val="2"/>
      </rPr>
      <t xml:space="preserve">標記（</t>
    </r>
    <r>
      <rPr>
        <b val="true"/>
        <sz val="10"/>
        <color rgb="FFFFFFFF"/>
        <rFont val="Arial"/>
        <family val="0"/>
        <charset val="1"/>
      </rPr>
      <t xml:space="preserve">Gov_Map</t>
    </r>
    <r>
      <rPr>
        <b val="true"/>
        <sz val="10"/>
        <color rgb="FFFFFFFF"/>
        <rFont val="Noto Sans CJK SC"/>
        <family val="2"/>
      </rPr>
      <t xml:space="preserve">／</t>
    </r>
    <r>
      <rPr>
        <b val="true"/>
        <sz val="10"/>
        <color rgb="FFFFFFFF"/>
        <rFont val="Arial"/>
        <family val="0"/>
        <charset val="1"/>
      </rPr>
      <t xml:space="preserve">SRC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</si>
  <si>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區間低</t>
  </si>
  <si>
    <t xml:space="preserve">區間高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</si>
  <si>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位置</t>
    </r>
  </si>
  <si>
    <t xml:space="preserve">說明與來源</t>
  </si>
  <si>
    <t xml:space="preserve">不確定度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</si>
  <si>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營收與廣告（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的分子）</t>
    </r>
  </si>
  <si>
    <t xml:space="preserve">IN_Rev</t>
  </si>
  <si>
    <t xml:space="preserve">A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</si>
  <si>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全年營收（毛額）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</si>
  <si>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）</t>
    </r>
  </si>
  <si>
    <t xml:space="preserve">—</t>
  </si>
  <si>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</si>
  <si>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Cap_In!C69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查核財報營收 </t>
    </r>
    <r>
      <rPr>
        <sz val="10"/>
        <rFont val="Arial"/>
        <family val="0"/>
        <charset val="1"/>
      </rPr>
      <t xml:space="preserve">130.7 </t>
    </r>
    <r>
      <rPr>
        <sz val="10"/>
        <rFont val="Noto Sans CJK SC"/>
        <family val="2"/>
      </rPr>
      <t xml:space="preserve">億美元（外流、</t>
    </r>
    <r>
      <rPr>
        <sz val="10"/>
        <rFont val="Arial"/>
        <family val="0"/>
        <charset val="1"/>
      </rPr>
      <t xml:space="preserve">FT </t>
    </r>
    <r>
      <rPr>
        <sz val="10"/>
        <rFont val="Noto Sans CJK SC"/>
        <family val="2"/>
      </rPr>
      <t xml:space="preserve">核實）。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無廣告，分子＝營收。</t>
    </r>
  </si>
  <si>
    <t xml:space="preserve">IN_RevQ1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</si>
  <si>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季營收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</si>
  <si>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SRC_DEM_069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</si>
  <si>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SRC_DEM_069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</si>
  <si>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Cap_In!D185 = </t>
    </r>
    <r>
      <rPr>
        <sz val="10"/>
        <rFont val="Noto Sans CJK SC"/>
        <family val="2"/>
      </rPr>
      <t xml:space="preserve">本格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（年化）。</t>
    </r>
    <r>
      <rPr>
        <sz val="10"/>
        <rFont val="Arial"/>
        <family val="0"/>
        <charset val="1"/>
      </rPr>
      <t xml:space="preserve">The Information 2026-05-22</t>
    </r>
    <r>
      <rPr>
        <sz val="10"/>
        <rFont val="Noto Sans CJK SC"/>
        <family val="2"/>
      </rPr>
      <t xml:space="preserve">（二手）。</t>
    </r>
  </si>
  <si>
    <t xml:space="preserve">中</t>
  </si>
  <si>
    <t xml:space="preserve">IN_RevQ2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</si>
  <si>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季營收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</si>
  <si>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SRC_DEM_042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</si>
  <si>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SRC_DEM_042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</si>
  <si>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Cap_In!E185 = </t>
    </r>
    <r>
      <rPr>
        <sz val="10"/>
        <rFont val="Noto Sans CJK SC"/>
        <family val="2"/>
      </rPr>
      <t xml:space="preserve">本格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（年化）。</t>
    </r>
    <r>
      <rPr>
        <sz val="10"/>
        <rFont val="Arial"/>
        <family val="0"/>
        <charset val="1"/>
      </rPr>
      <t xml:space="preserve">WSJ 2026-08-18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CryptoBriefing </t>
    </r>
    <r>
      <rPr>
        <sz val="10"/>
        <rFont val="Noto Sans CJK SC"/>
        <family val="2"/>
      </rPr>
      <t xml:space="preserve">轉述）。主口徑 </t>
    </r>
    <r>
      <rPr>
        <sz val="10"/>
        <rFont val="Arial"/>
        <family val="0"/>
        <charset val="1"/>
      </rPr>
      <t xml:space="preserve">L1_M </t>
    </r>
    <r>
      <rPr>
        <sz val="10"/>
        <rFont val="Noto Sans CJK SC"/>
        <family val="2"/>
      </rPr>
      <t xml:space="preserve">用本格。</t>
    </r>
  </si>
  <si>
    <t xml:space="preserve">IN_RevFY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</si>
  <si>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全年營收（內部預測）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</si>
  <si>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GM624</t>
    </r>
    <r>
      <rPr>
        <sz val="10"/>
        <rFont val="Noto Sans CJK SC"/>
        <family val="2"/>
      </rPr>
      <t xml:space="preserve">，單值）</t>
    </r>
  </si>
  <si>
    <t xml:space="preserve">Cap_In!F185</t>
  </si>
  <si>
    <r>
      <rPr>
        <sz val="10"/>
        <rFont val="Noto Sans CJK SC"/>
        <family val="2"/>
      </rPr>
      <t xml:space="preserve">藍字常數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，內部預測，不登 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</si>
  <si>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IN_Ad_Q1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</si>
  <si>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</si>
  <si>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GM640</t>
    </r>
    <r>
      <rPr>
        <sz val="10"/>
        <rFont val="Noto Sans CJK SC"/>
        <family val="2"/>
      </rPr>
      <t xml:space="preserve">）</t>
    </r>
  </si>
  <si>
    <t xml:space="preserve">Cap_In!D186</t>
  </si>
  <si>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定義：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只看收費業務；廣告不進分子（</t>
    </r>
    <r>
      <rPr>
        <sz val="10"/>
        <rFont val="Arial"/>
        <family val="0"/>
        <charset val="1"/>
      </rPr>
      <t xml:space="preserve">Tokenomics J23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（常數，非輸入）。</t>
    </r>
  </si>
  <si>
    <t xml:space="preserve">IN_Ad_Q2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</si>
  <si>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</si>
  <si>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GM641</t>
    </r>
    <r>
      <rPr>
        <sz val="10"/>
        <rFont val="Noto Sans CJK SC"/>
        <family val="2"/>
      </rPr>
      <t xml:space="preserve">）</t>
    </r>
  </si>
  <si>
    <t xml:space="preserve">Cap_In!E186</t>
  </si>
  <si>
    <r>
      <rPr>
        <sz val="10"/>
        <rFont val="Noto Sans CJK SC"/>
        <family val="2"/>
      </rPr>
      <t xml:space="preserve">依據 </t>
    </r>
    <r>
      <rPr>
        <sz val="10"/>
        <rFont val="Arial"/>
        <family val="0"/>
        <charset val="1"/>
      </rPr>
      <t xml:space="preserve">SRC_DEM_072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廣告年化達 </t>
    </r>
    <r>
      <rPr>
        <sz val="10"/>
        <rFont val="Arial"/>
        <family val="0"/>
        <charset val="1"/>
      </rPr>
      <t xml:space="preserve">$1B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。</t>
    </r>
  </si>
  <si>
    <t xml:space="preserve">IN_Ad_FY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</si>
  <si>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</si>
  <si>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GM642</t>
    </r>
    <r>
      <rPr>
        <sz val="10"/>
        <rFont val="Noto Sans CJK SC"/>
        <family val="2"/>
      </rPr>
      <t xml:space="preserve">）</t>
    </r>
  </si>
  <si>
    <t xml:space="preserve">Cap_In!F186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</si>
  <si>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</si>
  <si>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營收份額（只用在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分路線；不影響整體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</si>
  <si>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IN_SubShare</t>
  </si>
  <si>
    <t xml:space="preserve">B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</si>
  <si>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營收中消費訂閱占比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</si>
  <si>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SRC_DEM_039 FT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</t>
    </r>
  </si>
  <si>
    <t xml:space="preserve">Cap_In!C70</t>
  </si>
  <si>
    <r>
      <rPr>
        <sz val="10"/>
        <rFont val="Noto Sans CJK SC"/>
        <family val="2"/>
      </rPr>
      <t xml:space="preserve">低端＝</t>
    </r>
    <r>
      <rPr>
        <sz val="10"/>
        <rFont val="Arial"/>
        <family val="0"/>
        <charset val="1"/>
      </rPr>
      <t xml:space="preserve">SRC_DEM_041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 SRC_DEM_007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；高端 </t>
    </r>
    <r>
      <rPr>
        <sz val="10"/>
        <rFont val="Arial"/>
        <family val="0"/>
        <charset val="1"/>
      </rPr>
      <t xml:space="preserve">0.82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 </t>
    </r>
    <r>
      <rPr>
        <sz val="10"/>
        <rFont val="Arial"/>
        <family val="0"/>
        <charset val="1"/>
      </rPr>
      <t xml:space="preserve">N10 </t>
    </r>
    <r>
      <rPr>
        <sz val="10"/>
        <rFont val="Noto Sans CJK SC"/>
        <family val="2"/>
      </rPr>
      <t xml:space="preserve">區間上緣（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未追溯到單一 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</rPr>
      <t xml:space="preserve">）。</t>
    </r>
  </si>
  <si>
    <t xml:space="preserve">IN_SeatShare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</si>
  <si>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營收中商用席次占比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</si>
  <si>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GM614</t>
    </r>
    <r>
      <rPr>
        <sz val="10"/>
        <rFont val="Noto Sans CJK SC"/>
        <family val="2"/>
      </rPr>
      <t xml:space="preserve">）</t>
    </r>
  </si>
  <si>
    <t xml:space="preserve">Cap_In!C131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</si>
  <si>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0.10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0.05–0.15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J18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營收＝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消費訂閱 − 商用席次（餘額，</t>
    </r>
    <r>
      <rPr>
        <sz val="10"/>
        <rFont val="Arial"/>
        <family val="0"/>
        <charset val="1"/>
      </rPr>
      <t xml:space="preserve">SRC_DEM_071 Sacra 15–20%</t>
    </r>
    <r>
      <rPr>
        <sz val="10"/>
        <rFont val="Noto Sans CJK SC"/>
        <family val="2"/>
      </rPr>
      <t xml:space="preserve">）。</t>
    </r>
  </si>
  <si>
    <t xml:space="preserve">IN_SubShare_Q1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</si>
  <si>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營收份額：消費訂閱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</si>
  <si>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GM625</t>
    </r>
    <r>
      <rPr>
        <sz val="10"/>
        <rFont val="Noto Sans CJK SC"/>
        <family val="2"/>
      </rPr>
      <t xml:space="preserve">，單值）</t>
    </r>
  </si>
  <si>
    <t xml:space="preserve">Cap_In!D188</t>
  </si>
  <si>
    <r>
      <rPr>
        <sz val="10"/>
        <rFont val="Arial"/>
        <family val="0"/>
        <charset val="1"/>
      </rPr>
      <t xml:space="preserve">2026-03 OpenAI</t>
    </r>
    <r>
      <rPr>
        <sz val="10"/>
        <rFont val="Noto Sans CJK SC"/>
        <family val="2"/>
      </rPr>
      <t xml:space="preserve">：消費約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、企業 </t>
    </r>
    <r>
      <rPr>
        <sz val="10"/>
        <rFont val="Arial"/>
        <family val="0"/>
        <charset val="1"/>
      </rPr>
      <t xml:space="preserve">&gt;40%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SRC_DEM_023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</si>
  <si>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IN_SubShare_Q2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</si>
  <si>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營收份額：消費訂閱</t>
    </r>
  </si>
  <si>
    <t xml:space="preserve">Cap_In!E188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</si>
  <si>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</si>
  <si>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IN_SubShare_FY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</si>
  <si>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營收份額：消費訂閱</t>
    </r>
  </si>
  <si>
    <t xml:space="preserve">Cap_In!F188</t>
  </si>
  <si>
    <r>
      <rPr>
        <sz val="10"/>
        <rFont val="Noto Sans CJK SC"/>
        <family val="2"/>
      </rPr>
      <t xml:space="preserve">企業 </t>
    </r>
    <r>
      <rPr>
        <sz val="10"/>
        <rFont val="Arial"/>
        <family val="0"/>
        <charset val="1"/>
      </rPr>
      <t xml:space="preserve">2026-07 </t>
    </r>
    <r>
      <rPr>
        <sz val="10"/>
        <rFont val="Noto Sans CJK SC"/>
        <family val="2"/>
      </rPr>
      <t xml:space="preserve">超過消費、</t>
    </r>
    <r>
      <rPr>
        <sz val="10"/>
        <rFont val="Arial"/>
        <family val="0"/>
        <charset val="1"/>
      </rPr>
      <t xml:space="preserve">7–9 </t>
    </r>
    <r>
      <rPr>
        <sz val="10"/>
        <rFont val="Noto Sans CJK SC"/>
        <family val="2"/>
      </rPr>
      <t xml:space="preserve">月翻倍（</t>
    </r>
    <r>
      <rPr>
        <sz val="10"/>
        <rFont val="Arial"/>
        <family val="0"/>
        <charset val="1"/>
      </rPr>
      <t xml:space="preserve">N05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</si>
  <si>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IN_SeatShare_Q1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</si>
  <si>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營收份額：商用席次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</si>
  <si>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GM626</t>
    </r>
    <r>
      <rPr>
        <sz val="10"/>
        <rFont val="Noto Sans CJK SC"/>
        <family val="2"/>
      </rPr>
      <t xml:space="preserve">，單值）</t>
    </r>
  </si>
  <si>
    <t xml:space="preserve">Cap_In!D189</t>
  </si>
  <si>
    <r>
      <rPr>
        <sz val="10"/>
        <rFont val="Noto Sans CJK SC"/>
        <family val="2"/>
      </rPr>
      <t xml:space="preserve">企業增量歸席次；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份額＝餘額（各欄 </t>
    </r>
    <r>
      <rPr>
        <sz val="10"/>
        <rFont val="Arial"/>
        <family val="0"/>
        <charset val="1"/>
      </rPr>
      <t xml:space="preserve">0.20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</si>
  <si>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IN_SeatShare_Q2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</si>
  <si>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營收份額：商用席次</t>
    </r>
  </si>
  <si>
    <t xml:space="preserve">Cap_In!E189</t>
  </si>
  <si>
    <t xml:space="preserve">IN_SeatShare_FY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</si>
  <si>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營收份額：商用席次</t>
    </r>
  </si>
  <si>
    <t xml:space="preserve">Cap_In!F189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</si>
  <si>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的分母之一；免費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，只在算付費占比時扣除）</t>
    </r>
  </si>
  <si>
    <t xml:space="preserve">IN_APItpm</t>
  </si>
  <si>
    <t xml:space="preserve">C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</si>
  <si>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處理量（</t>
    </r>
    <r>
      <rPr>
        <sz val="10"/>
        <rFont val="Arial"/>
        <family val="0"/>
        <charset val="1"/>
      </rPr>
      <t xml:space="preserve">2025-10 </t>
    </r>
    <r>
      <rPr>
        <sz val="10"/>
        <rFont val="Noto Sans CJK SC"/>
        <family val="2"/>
      </rPr>
      <t xml:space="preserve">時點）</t>
    </r>
  </si>
  <si>
    <r>
      <rPr>
        <sz val="10"/>
        <rFont val="Noto Sans CJK SC"/>
        <family val="2"/>
      </rPr>
      <t xml:space="preserve">十億 </t>
    </r>
    <r>
      <rPr>
        <sz val="10"/>
        <rFont val="Arial"/>
        <family val="0"/>
        <charset val="1"/>
      </rPr>
      <t xml:space="preserve">tok/</t>
    </r>
    <r>
      <rPr>
        <sz val="10"/>
        <rFont val="Noto Sans CJK SC"/>
        <family val="2"/>
      </rPr>
      <t xml:space="preserve">分鐘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</si>
  <si>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</si>
  <si>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</si>
  <si>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列使用：</t>
    </r>
    <r>
      <rPr>
        <sz val="10"/>
        <rFont val="Arial"/>
        <family val="0"/>
        <charset val="1"/>
      </rPr>
      <t xml:space="preserve">OpenAI 2025-10-06 </t>
    </r>
    <r>
      <rPr>
        <sz val="10"/>
        <rFont val="Noto Sans CJK SC"/>
        <family val="2"/>
      </rPr>
      <t xml:space="preserve">公告 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億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／分鐘。</t>
    </r>
  </si>
  <si>
    <t xml:space="preserve">IN_APIratio</t>
  </si>
  <si>
    <r>
      <rPr>
        <sz val="10"/>
        <rFont val="Arial"/>
        <family val="0"/>
        <charset val="1"/>
      </rPr>
      <t xml:space="preserve">2025 API </t>
    </r>
    <r>
      <rPr>
        <sz val="10"/>
        <rFont val="Noto Sans CJK SC"/>
        <family val="2"/>
      </rPr>
      <t xml:space="preserve">全年平均 </t>
    </r>
    <r>
      <rPr>
        <sz val="10"/>
        <rFont val="Arial"/>
        <family val="0"/>
        <charset val="1"/>
      </rPr>
      <t xml:space="preserve">÷ 10 </t>
    </r>
    <r>
      <rPr>
        <sz val="10"/>
        <rFont val="Noto Sans CJK SC"/>
        <family val="2"/>
      </rPr>
      <t xml:space="preserve">月時點值</t>
    </r>
  </si>
  <si>
    <t xml:space="preserve">x</t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</si>
  <si>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GM584</t>
    </r>
    <r>
      <rPr>
        <sz val="10"/>
        <rFont val="Noto Sans CJK SC"/>
        <family val="2"/>
      </rPr>
      <t xml:space="preserve">）</t>
    </r>
  </si>
  <si>
    <t xml:space="preserve">Alloc_In!C14</t>
  </si>
  <si>
    <r>
      <rPr>
        <sz val="10"/>
        <rFont val="Noto Sans CJK SC"/>
        <family val="2"/>
      </rPr>
      <t xml:space="preserve">把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月時點值換成全年平均（成長中，所以＜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）。</t>
    </r>
  </si>
  <si>
    <t xml:space="preserve">IN_APItpm26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</si>
  <si>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處理量（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時點；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共用）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</si>
  <si>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</si>
  <si>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</si>
  <si>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融資公告（</t>
    </r>
    <r>
      <rPr>
        <sz val="10"/>
        <rFont val="Arial"/>
        <family val="0"/>
        <charset val="1"/>
      </rPr>
      <t xml:space="preserve">2026-03-31</t>
    </r>
    <r>
      <rPr>
        <sz val="10"/>
        <rFont val="Noto Sans CJK SC"/>
        <family val="2"/>
      </rPr>
      <t xml:space="preserve">）「超過」</t>
    </r>
    <r>
      <rPr>
        <sz val="10"/>
        <rFont val="Arial"/>
        <family val="0"/>
        <charset val="1"/>
      </rPr>
      <t xml:space="preserve">15 B tok/min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當期值已搜尋，未找到（</t>
    </r>
    <r>
      <rPr>
        <sz val="10"/>
        <rFont val="Arial"/>
        <family val="0"/>
        <charset val="1"/>
      </rPr>
      <t xml:space="preserve">DB_Evidence E399</t>
    </r>
    <r>
      <rPr>
        <sz val="10"/>
        <rFont val="Noto Sans CJK SC"/>
        <family val="2"/>
      </rPr>
      <t xml:space="preserve">）。</t>
    </r>
  </si>
  <si>
    <t xml:space="preserve">IN_APImultFY</t>
  </si>
  <si>
    <r>
      <rPr>
        <sz val="10"/>
        <rFont val="Arial"/>
        <family val="0"/>
        <charset val="1"/>
      </rPr>
      <t xml:space="preserve">FY2026 API token ÷ 2026 Q2 </t>
    </r>
    <r>
      <rPr>
        <sz val="10"/>
        <rFont val="Noto Sans CJK SC"/>
        <family val="2"/>
      </rPr>
      <t xml:space="preserve">時點值（年均倍數）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</si>
  <si>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GM627</t>
    </r>
    <r>
      <rPr>
        <sz val="10"/>
        <rFont val="Noto Sans CJK SC"/>
        <family val="2"/>
      </rPr>
      <t xml:space="preserve">，單值）</t>
    </r>
  </si>
  <si>
    <t xml:space="preserve">Cap_In!F195</t>
  </si>
  <si>
    <r>
      <rPr>
        <sz val="10"/>
        <rFont val="Arial"/>
        <family val="0"/>
        <charset val="1"/>
      </rPr>
      <t xml:space="preserve">FY2026 API token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時點值年化 </t>
    </r>
    <r>
      <rPr>
        <sz val="10"/>
        <rFont val="Arial"/>
        <family val="0"/>
        <charset val="1"/>
      </rPr>
      <t xml:space="preserve">× 1.3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</si>
  <si>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IN_Prompts</t>
  </si>
  <si>
    <r>
      <rPr>
        <sz val="10"/>
        <rFont val="Arial"/>
        <family val="0"/>
        <charset val="1"/>
      </rPr>
      <t xml:space="preserve">2025 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</si>
  <si>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</si>
  <si>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</si>
  <si>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</si>
  <si>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告知 </t>
    </r>
    <r>
      <rPr>
        <sz val="10"/>
        <rFont val="Arial"/>
        <family val="0"/>
        <charset val="1"/>
      </rPr>
      <t xml:space="preserve">Axios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2025-07-21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億則／日。</t>
    </r>
  </si>
  <si>
    <t xml:space="preserve">IN_Prompts_Q1</t>
  </si>
  <si>
    <r>
      <rPr>
        <sz val="10"/>
        <rFont val="Arial"/>
        <family val="0"/>
        <charset val="1"/>
      </rPr>
      <t xml:space="preserve">2026 Q1 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</si>
  <si>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GM628</t>
    </r>
    <r>
      <rPr>
        <sz val="10"/>
        <rFont val="Noto Sans CJK SC"/>
        <family val="2"/>
      </rPr>
      <t xml:space="preserve">，單值）</t>
    </r>
  </si>
  <si>
    <t xml:space="preserve">Cap_In!D197</t>
  </si>
  <si>
    <r>
      <rPr>
        <sz val="10"/>
        <rFont val="Noto Sans CJK SC"/>
        <family val="2"/>
      </rPr>
      <t xml:space="preserve">由週活比例放大推得；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</si>
  <si>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IN_Prompts_Q2</t>
  </si>
  <si>
    <r>
      <rPr>
        <sz val="10"/>
        <rFont val="Arial"/>
        <family val="0"/>
        <charset val="1"/>
      </rPr>
      <t xml:space="preserve">2026 Q2 ChatGPT </t>
    </r>
    <r>
      <rPr>
        <sz val="10"/>
        <rFont val="Noto Sans CJK SC"/>
        <family val="2"/>
      </rPr>
      <t xml:space="preserve">每日訊息數</t>
    </r>
  </si>
  <si>
    <t xml:space="preserve">Cap_In!E197</t>
  </si>
  <si>
    <r>
      <rPr>
        <sz val="10"/>
        <rFont val="Arial"/>
        <family val="0"/>
        <charset val="1"/>
      </rPr>
      <t xml:space="preserve">2.5 × 1.0 B ÷ 0.7 B </t>
    </r>
    <r>
      <rPr>
        <sz val="10"/>
        <rFont val="Noto Sans CJK SC"/>
        <family val="2"/>
      </rPr>
      <t xml:space="preserve">週活 ≈ </t>
    </r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無區間。主口徑 </t>
    </r>
    <r>
      <rPr>
        <sz val="10"/>
        <rFont val="Arial"/>
        <family val="0"/>
        <charset val="1"/>
      </rPr>
      <t xml:space="preserve">L1_M </t>
    </r>
    <r>
      <rPr>
        <sz val="10"/>
        <rFont val="Noto Sans CJK SC"/>
        <family val="2"/>
      </rPr>
      <t xml:space="preserve">用本格。</t>
    </r>
  </si>
  <si>
    <t xml:space="preserve">IN_Prompts_FY</t>
  </si>
  <si>
    <r>
      <rPr>
        <sz val="10"/>
        <rFont val="Arial"/>
        <family val="0"/>
        <charset val="1"/>
      </rPr>
      <t xml:space="preserve">FY2026 ChatGPT </t>
    </r>
    <r>
      <rPr>
        <sz val="10"/>
        <rFont val="Noto Sans CJK SC"/>
        <family val="2"/>
      </rPr>
      <t xml:space="preserve">每日訊息數</t>
    </r>
  </si>
  <si>
    <t xml:space="preserve">Cap_In!F197</t>
  </si>
  <si>
    <t xml:space="preserve">IN_Tau</t>
  </si>
  <si>
    <r>
      <rPr>
        <sz val="10"/>
        <rFont val="Arial"/>
        <family val="0"/>
        <charset val="1"/>
      </rPr>
      <t xml:space="preserve">tok/</t>
    </r>
    <r>
      <rPr>
        <sz val="10"/>
        <rFont val="Noto Sans CJK SC"/>
        <family val="2"/>
      </rPr>
      <t xml:space="preserve">則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</si>
  <si>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GM586</t>
    </r>
    <r>
      <rPr>
        <sz val="10"/>
        <rFont val="Noto Sans CJK SC"/>
        <family val="2"/>
      </rPr>
      <t xml:space="preserve">）</t>
    </r>
  </si>
  <si>
    <t xml:space="preserve">Alloc_In!C15</t>
  </si>
  <si>
    <r>
      <rPr>
        <sz val="10"/>
        <rFont val="Noto Sans CJK SC"/>
        <family val="2"/>
      </rPr>
      <t xml:space="preserve">含輸入、上下文、推理與輸出；無公開數字。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共用。</t>
    </r>
  </si>
  <si>
    <t xml:space="preserve">IN_FreeShare</t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</si>
  <si>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中免費用戶占比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</si>
  <si>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GM588</t>
    </r>
    <r>
      <rPr>
        <sz val="10"/>
        <rFont val="Noto Sans CJK SC"/>
        <family val="2"/>
      </rPr>
      <t xml:space="preserve">）</t>
    </r>
  </si>
  <si>
    <t xml:space="preserve">Alloc_In!C16</t>
  </si>
  <si>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口徑（不是用戶數口徑，也不是支出口徑）。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共用。</t>
    </r>
  </si>
  <si>
    <t xml:space="preserve">IN_SubTokShare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</si>
  <si>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</si>
  <si>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GM616</t>
    </r>
    <r>
      <rPr>
        <sz val="10"/>
        <rFont val="Noto Sans CJK SC"/>
        <family val="2"/>
      </rPr>
      <t xml:space="preserve">）</t>
    </r>
  </si>
  <si>
    <t xml:space="preserve">Cap_In!C132</t>
  </si>
  <si>
    <r>
      <rPr>
        <sz val="10"/>
        <rFont val="Noto Sans CJK SC"/>
        <family val="2"/>
      </rPr>
      <t xml:space="preserve">只用在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分路線；商用席次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＝餘額。</t>
    </r>
  </si>
  <si>
    <t xml:space="preserve">IN_SubTokShare26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</si>
  <si>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</si>
  <si>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GM643</t>
    </r>
    <r>
      <rPr>
        <sz val="10"/>
        <rFont val="Noto Sans CJK SC"/>
        <family val="2"/>
      </rPr>
      <t xml:space="preserve">，單值）</t>
    </r>
  </si>
  <si>
    <t xml:space="preserve">Cap_In!D200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</si>
  <si>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三欄共用 </t>
    </r>
    <r>
      <rPr>
        <sz val="10"/>
        <rFont val="Arial"/>
        <family val="0"/>
        <charset val="1"/>
      </rPr>
      <t xml:space="preserve">0.65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 </t>
    </r>
    <r>
      <rPr>
        <sz val="10"/>
        <rFont val="Noto Sans CJK SC"/>
        <family val="2"/>
      </rPr>
      <t xml:space="preserve">連結 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企業席次增加後消費份額應低於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</si>
  <si>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牌價與有效單價（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的分母之二）</t>
    </r>
  </si>
  <si>
    <t xml:space="preserve">IN_PIn_L</t>
  </si>
  <si>
    <t xml:space="preserve">D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</si>
  <si>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新鮮輸入 表列牌價</t>
    </r>
  </si>
  <si>
    <t xml:space="preserve">$/M</t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</si>
  <si>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SRC_PRC_003</t>
    </r>
    <r>
      <rPr>
        <sz val="10"/>
        <rFont val="Noto Sans CJK SC"/>
        <family val="2"/>
      </rPr>
      <t xml:space="preserve">）</t>
    </r>
  </si>
  <si>
    <t xml:space="preserve">Cap_In!C6</t>
  </si>
  <si>
    <r>
      <rPr>
        <sz val="10"/>
        <rFont val="Arial"/>
        <family val="0"/>
        <charset val="1"/>
      </rPr>
      <t xml:space="preserve">GPT-6 Luna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Standard</t>
    </r>
    <r>
      <rPr>
        <sz val="10"/>
        <rFont val="Noto Sans CJK SC"/>
        <family val="2"/>
      </rPr>
      <t xml:space="preserve">、短上下文，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。</t>
    </r>
  </si>
  <si>
    <t xml:space="preserve">IN_PIn_S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</si>
  <si>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新鮮輸入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</si>
  <si>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SRC_PRC_006</t>
    </r>
    <r>
      <rPr>
        <sz val="10"/>
        <rFont val="Noto Sans CJK SC"/>
        <family val="2"/>
      </rPr>
      <t xml:space="preserve">）</t>
    </r>
  </si>
  <si>
    <t xml:space="preserve">Cap_In!D6</t>
  </si>
  <si>
    <r>
      <rPr>
        <sz val="10"/>
        <rFont val="Arial"/>
        <family val="0"/>
        <charset val="1"/>
      </rPr>
      <t xml:space="preserve">GPT-6 Sol</t>
    </r>
    <r>
      <rPr>
        <sz val="10"/>
        <rFont val="Noto Sans CJK SC"/>
        <family val="2"/>
      </rPr>
      <t xml:space="preserve">。</t>
    </r>
  </si>
  <si>
    <t xml:space="preserve">IN_PIn_A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</si>
  <si>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新鮮輸入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</si>
  <si>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SRC_PRC_009</t>
    </r>
    <r>
      <rPr>
        <sz val="10"/>
        <rFont val="Noto Sans CJK SC"/>
        <family val="2"/>
      </rPr>
      <t xml:space="preserve">）</t>
    </r>
  </si>
  <si>
    <t xml:space="preserve">Cap_In!E6</t>
  </si>
  <si>
    <r>
      <rPr>
        <sz val="10"/>
        <rFont val="Arial"/>
        <family val="0"/>
        <charset val="1"/>
      </rPr>
      <t xml:space="preserve">GPT-6 Astra</t>
    </r>
    <r>
      <rPr>
        <sz val="10"/>
        <rFont val="Noto Sans CJK SC"/>
        <family val="2"/>
      </rPr>
      <t xml:space="preserve">。</t>
    </r>
  </si>
  <si>
    <t xml:space="preserve">IN_PCache_L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</si>
  <si>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</si>
  <si>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SRC_PRC_004</t>
    </r>
    <r>
      <rPr>
        <sz val="10"/>
        <rFont val="Noto Sans CJK SC"/>
        <family val="2"/>
      </rPr>
      <t xml:space="preserve">）</t>
    </r>
  </si>
  <si>
    <t xml:space="preserve">Cap_In!C7</t>
  </si>
  <si>
    <r>
      <rPr>
        <sz val="10"/>
        <rFont val="Noto Sans CJK SC"/>
        <family val="2"/>
      </rPr>
      <t xml:space="preserve">＝輸入價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。</t>
    </r>
  </si>
  <si>
    <t xml:space="preserve">IN_PCache_S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</si>
  <si>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</si>
  <si>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SRC_PRC_007</t>
    </r>
    <r>
      <rPr>
        <sz val="10"/>
        <rFont val="Noto Sans CJK SC"/>
        <family val="2"/>
      </rPr>
      <t xml:space="preserve">）</t>
    </r>
  </si>
  <si>
    <t xml:space="preserve">Cap_In!D7</t>
  </si>
  <si>
    <t xml:space="preserve">IN_PCache_A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</si>
  <si>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</si>
  <si>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SRC_PRC_010</t>
    </r>
    <r>
      <rPr>
        <sz val="10"/>
        <rFont val="Noto Sans CJK SC"/>
        <family val="2"/>
      </rPr>
      <t xml:space="preserve">）</t>
    </r>
  </si>
  <si>
    <t xml:space="preserve">Cap_In!E7</t>
  </si>
  <si>
    <t xml:space="preserve">IN_POut_L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</si>
  <si>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</si>
  <si>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SRC_PRC_005</t>
    </r>
    <r>
      <rPr>
        <sz val="10"/>
        <rFont val="Noto Sans CJK SC"/>
        <family val="2"/>
      </rPr>
      <t xml:space="preserve">）</t>
    </r>
  </si>
  <si>
    <t xml:space="preserve">Cap_In!C8</t>
  </si>
  <si>
    <r>
      <rPr>
        <sz val="10"/>
        <rFont val="Noto Sans CJK SC"/>
        <family val="2"/>
      </rPr>
      <t xml:space="preserve">思考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依輸出價計費。</t>
    </r>
  </si>
  <si>
    <t xml:space="preserve">IN_POut_S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</si>
  <si>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</si>
  <si>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SRC_PRC_008</t>
    </r>
    <r>
      <rPr>
        <sz val="10"/>
        <rFont val="Noto Sans CJK SC"/>
        <family val="2"/>
      </rPr>
      <t xml:space="preserve">）</t>
    </r>
  </si>
  <si>
    <t xml:space="preserve">Cap_In!D8</t>
  </si>
  <si>
    <t xml:space="preserve">IN_POut_A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</si>
  <si>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</si>
  <si>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SRC_PRC_011</t>
    </r>
    <r>
      <rPr>
        <sz val="10"/>
        <rFont val="Noto Sans CJK SC"/>
        <family val="2"/>
      </rPr>
      <t xml:space="preserve">）</t>
    </r>
  </si>
  <si>
    <t xml:space="preserve">Cap_In!E8</t>
  </si>
  <si>
    <t xml:space="preserve">IN_ISL_L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</si>
  <si>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</si>
  <si>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t xml:space="preserve">tok</t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</si>
  <si>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GM245</t>
    </r>
    <r>
      <rPr>
        <sz val="10"/>
        <rFont val="Noto Sans CJK SC"/>
        <family val="2"/>
      </rPr>
      <t xml:space="preserve">）</t>
    </r>
  </si>
  <si>
    <t xml:space="preserve">Serving!C23</t>
  </si>
  <si>
    <t xml:space="preserve">決定「新鮮輸入／快取輸入／輸出」三種價在混合價裡的權重。</t>
  </si>
  <si>
    <t xml:space="preserve">IN_ISL_S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</si>
  <si>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</si>
  <si>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GM246</t>
    </r>
    <r>
      <rPr>
        <sz val="10"/>
        <rFont val="Noto Sans CJK SC"/>
        <family val="2"/>
      </rPr>
      <t xml:space="preserve">）</t>
    </r>
  </si>
  <si>
    <t xml:space="preserve">Serving!D23</t>
  </si>
  <si>
    <t xml:space="preserve">IN_ISL_A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</si>
  <si>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</si>
  <si>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GM247</t>
    </r>
    <r>
      <rPr>
        <sz val="10"/>
        <rFont val="Noto Sans CJK SC"/>
        <family val="2"/>
      </rPr>
      <t xml:space="preserve">）</t>
    </r>
  </si>
  <si>
    <t xml:space="preserve">Serving!E23</t>
  </si>
  <si>
    <t xml:space="preserve">IN_OSL_L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</si>
  <si>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</si>
  <si>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GM248</t>
    </r>
    <r>
      <rPr>
        <sz val="10"/>
        <rFont val="Noto Sans CJK SC"/>
        <family val="2"/>
      </rPr>
      <t xml:space="preserve">）</t>
    </r>
  </si>
  <si>
    <t xml:space="preserve">Serving!C24</t>
  </si>
  <si>
    <t xml:space="preserve">IN_OSL_S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</si>
  <si>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</si>
  <si>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GM249</t>
    </r>
    <r>
      <rPr>
        <sz val="10"/>
        <rFont val="Noto Sans CJK SC"/>
        <family val="2"/>
      </rPr>
      <t xml:space="preserve">）</t>
    </r>
  </si>
  <si>
    <t xml:space="preserve">Serving!D24</t>
  </si>
  <si>
    <t xml:space="preserve">IN_OSL_A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</si>
  <si>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</si>
  <si>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GM250</t>
    </r>
    <r>
      <rPr>
        <sz val="10"/>
        <rFont val="Noto Sans CJK SC"/>
        <family val="2"/>
      </rPr>
      <t xml:space="preserve">）</t>
    </r>
  </si>
  <si>
    <t xml:space="preserve">Serving!E24</t>
  </si>
  <si>
    <t xml:space="preserve">IN_Chi</t>
  </si>
  <si>
    <r>
      <rPr>
        <sz val="10"/>
        <rFont val="Noto Sans CJK SC"/>
        <family val="2"/>
      </rPr>
      <t xml:space="preserve">參考請求快取命中率 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</rPr>
      <t xml:space="preserve">（輸入中屬快取命中的比例）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</si>
  <si>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GM443</t>
    </r>
    <r>
      <rPr>
        <sz val="10"/>
        <rFont val="Noto Sans CJK SC"/>
        <family val="2"/>
      </rPr>
      <t xml:space="preserve">）</t>
    </r>
  </si>
  <si>
    <t xml:space="preserve">Cap_In!C13</t>
  </si>
  <si>
    <r>
      <rPr>
        <sz val="10"/>
        <rFont val="Arial"/>
        <family val="0"/>
        <charset val="1"/>
      </rPr>
      <t xml:space="preserve">DeepSeek 2025-03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56.3%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agent </t>
    </r>
    <r>
      <rPr>
        <sz val="10"/>
        <rFont val="Noto Sans CJK SC"/>
        <family val="2"/>
      </rPr>
      <t xml:space="preserve">流量約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。成本與營收用同一 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</rPr>
      <t xml:space="preserve">。</t>
    </r>
  </si>
  <si>
    <t xml:space="preserve">IN_CapMult_L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</si>
  <si>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能力單價倍數</t>
    </r>
  </si>
  <si>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Gov_Map GM445</t>
    </r>
    <r>
      <rPr>
        <sz val="10"/>
        <rFont val="Noto Sans CJK SC"/>
        <family val="2"/>
      </rPr>
      <t xml:space="preserve">）</t>
    </r>
  </si>
  <si>
    <t xml:space="preserve">Price_Frontier!C38</t>
  </si>
  <si>
    <r>
      <rPr>
        <sz val="10"/>
        <rFont val="Noto Sans CJK SC"/>
        <family val="2"/>
      </rPr>
      <t xml:space="preserve">＝（</t>
    </r>
    <r>
      <rPr>
        <sz val="10"/>
        <rFont val="Arial"/>
        <family val="0"/>
        <charset val="1"/>
      </rPr>
      <t xml:space="preserve">H_CAP × </t>
    </r>
    <r>
      <rPr>
        <sz val="10"/>
        <rFont val="Noto Sans CJK SC"/>
        <family val="2"/>
      </rPr>
      <t xml:space="preserve">有效訓練算力倍數）</t>
    </r>
    <r>
      <rPr>
        <sz val="10"/>
        <rFont val="Arial"/>
        <family val="0"/>
        <charset val="1"/>
      </rPr>
      <t xml:space="preserve">^ε</t>
    </r>
    <r>
      <rPr>
        <sz val="10"/>
        <rFont val="Noto Sans CJK SC"/>
        <family val="2"/>
      </rPr>
      <t xml:space="preserve">；基準 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，倍數恆為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。本簿只列原值，不展開。</t>
    </r>
  </si>
  <si>
    <t xml:space="preserve">IN_CapMult_S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</si>
  <si>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能力單價倍數</t>
    </r>
  </si>
  <si>
    <t xml:space="preserve">Price_Frontier!D38</t>
  </si>
  <si>
    <t xml:space="preserve">同上。</t>
  </si>
  <si>
    <t xml:space="preserve">IN_CapMult_A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</si>
  <si>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能力單價倍數</t>
    </r>
  </si>
  <si>
    <t xml:space="preserve">Price_Frontier!E38</t>
  </si>
  <si>
    <t xml:space="preserve">IN_Disc</t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</si>
  <si>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（預設折扣；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半價＋企業議價，加權）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</si>
  <si>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GM441</t>
    </r>
    <r>
      <rPr>
        <sz val="10"/>
        <rFont val="Noto Sans CJK SC"/>
        <family val="2"/>
      </rPr>
      <t xml:space="preserve">）</t>
    </r>
  </si>
  <si>
    <t xml:space="preserve">Cap_In!C12</t>
  </si>
  <si>
    <r>
      <rPr>
        <sz val="10"/>
        <rFont val="Noto Sans CJK SC"/>
        <family val="2"/>
      </rPr>
      <t xml:space="preserve">【可調輸入，不得寫死】有效牌價＝表列牌價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</rPr>
      <t xml:space="preserve">半價為牌價事實，占比與企業折扣找不到（</t>
    </r>
    <r>
      <rPr>
        <sz val="10"/>
        <rFont val="Arial"/>
        <family val="0"/>
        <charset val="1"/>
      </rPr>
      <t xml:space="preserve">DB_Evidence E359</t>
    </r>
    <r>
      <rPr>
        <sz val="10"/>
        <rFont val="Noto Sans CJK SC"/>
        <family val="2"/>
      </rPr>
      <t xml:space="preserve">）。</t>
    </r>
  </si>
  <si>
    <t xml:space="preserve">IN_Kappa</t>
  </si>
  <si>
    <r>
      <rPr>
        <sz val="10"/>
        <rFont val="Noto Sans CJK SC"/>
        <family val="2"/>
      </rPr>
      <t xml:space="preserve">請求形狀修正 </t>
    </r>
    <r>
      <rPr>
        <sz val="10"/>
        <rFont val="Arial"/>
        <family val="0"/>
        <charset val="1"/>
      </rPr>
      <t xml:space="preserve">κ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</si>
  <si>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GM644</t>
    </r>
    <r>
      <rPr>
        <sz val="10"/>
        <rFont val="Noto Sans CJK SC"/>
        <family val="2"/>
      </rPr>
      <t xml:space="preserve">）</t>
    </r>
  </si>
  <si>
    <t xml:space="preserve">Alloc_In!C26</t>
  </si>
  <si>
    <r>
      <rPr>
        <sz val="10"/>
        <rFont val="Noto Sans CJK SC"/>
        <family val="2"/>
      </rPr>
      <t xml:space="preserve">實際流量每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秒總 </t>
    </r>
    <r>
      <rPr>
        <sz val="10"/>
        <rFont val="Arial"/>
        <family val="0"/>
        <charset val="1"/>
      </rPr>
      <t xml:space="preserve">token ÷ </t>
    </r>
    <r>
      <rPr>
        <sz val="10"/>
        <rFont val="Noto Sans CJK SC"/>
        <family val="2"/>
      </rPr>
      <t xml:space="preserve">參考請求；乘入混合有效單價（</t>
    </r>
    <r>
      <rPr>
        <sz val="10"/>
        <rFont val="Arial"/>
        <family val="0"/>
        <charset val="1"/>
      </rPr>
      <t xml:space="preserve">Tokenomics v9.0 M3</t>
    </r>
    <r>
      <rPr>
        <sz val="10"/>
        <rFont val="Noto Sans CJK SC"/>
        <family val="2"/>
      </rPr>
      <t xml:space="preserve">）。</t>
    </r>
  </si>
  <si>
    <t xml:space="preserve">IN_MixP_L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</si>
  <si>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Luna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</si>
  <si>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GM457</t>
    </r>
    <r>
      <rPr>
        <sz val="10"/>
        <rFont val="Noto Sans CJK SC"/>
        <family val="2"/>
      </rPr>
      <t xml:space="preserve">，群組）</t>
    </r>
  </si>
  <si>
    <t xml:space="preserve">Cap_In!C31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</si>
  <si>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v0.5 tokenMix</t>
    </r>
    <r>
      <rPr>
        <sz val="10"/>
        <rFont val="Noto Sans CJK SC"/>
        <family val="2"/>
      </rPr>
      <t xml:space="preserve">；三者合計須為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</t>
    </r>
  </si>
  <si>
    <t xml:space="preserve">IN_MixP_S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</si>
  <si>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Sol</t>
    </r>
  </si>
  <si>
    <t xml:space="preserve">Cap_In!D31</t>
  </si>
  <si>
    <t xml:space="preserve">IN_MixP_A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</si>
  <si>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Astra</t>
    </r>
  </si>
  <si>
    <t xml:space="preserve">Cap_In!E31</t>
  </si>
  <si>
    <r>
      <rPr>
        <sz val="10"/>
        <rFont val="Noto Sans CJK SC"/>
        <family val="2"/>
      </rPr>
      <t xml:space="preserve">區間 </t>
    </r>
    <r>
      <rPr>
        <sz val="10"/>
        <rFont val="Arial"/>
        <family val="0"/>
        <charset val="1"/>
      </rPr>
      <t xml:space="preserve">0.10–0.30 </t>
    </r>
    <r>
      <rPr>
        <sz val="10"/>
        <rFont val="Noto Sans CJK SC"/>
        <family val="2"/>
      </rPr>
      <t xml:space="preserve">只寫在 </t>
    </r>
    <r>
      <rPr>
        <sz val="10"/>
        <rFont val="Arial"/>
        <family val="0"/>
        <charset val="1"/>
      </rPr>
      <t xml:space="preserve">Gov_Map GM457 </t>
    </r>
    <r>
      <rPr>
        <sz val="10"/>
        <rFont val="Noto Sans CJK SC"/>
        <family val="2"/>
      </rPr>
      <t xml:space="preserve">理由欄文字（</t>
    </r>
    <r>
      <rPr>
        <sz val="10"/>
        <rFont val="Arial"/>
        <family val="0"/>
        <charset val="1"/>
      </rPr>
      <t xml:space="preserve">v15.2 B6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0.4:0.45 </t>
    </r>
    <r>
      <rPr>
        <sz val="10"/>
        <rFont val="Noto Sans CJK SC"/>
        <family val="2"/>
      </rPr>
      <t xml:space="preserve">補足），不是儲存格值；本簿手填。</t>
    </r>
  </si>
  <si>
    <t xml:space="preserve">IN_Px_L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</si>
  <si>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</si>
  <si>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GM665</t>
    </r>
    <r>
      <rPr>
        <sz val="10"/>
        <rFont val="Noto Sans CJK SC"/>
        <family val="2"/>
      </rPr>
      <t xml:space="preserve">）</t>
    </r>
  </si>
  <si>
    <t xml:space="preserve">Cap_In!C278</t>
  </si>
  <si>
    <r>
      <rPr>
        <sz val="10"/>
        <rFont val="Noto Sans CJK SC"/>
        <family val="2"/>
      </rPr>
      <t xml:space="preserve">參考請求混合單價，在售天數加權；只用在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欄。</t>
    </r>
  </si>
  <si>
    <t xml:space="preserve">IN_Px_S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</si>
  <si>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</si>
  <si>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GM667</t>
    </r>
    <r>
      <rPr>
        <sz val="10"/>
        <rFont val="Noto Sans CJK SC"/>
        <family val="2"/>
      </rPr>
      <t xml:space="preserve">）</t>
    </r>
  </si>
  <si>
    <t xml:space="preserve">Cap_In!C279</t>
  </si>
  <si>
    <t xml:space="preserve">IN_Px_A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</si>
  <si>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</si>
  <si>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GM669</t>
    </r>
    <r>
      <rPr>
        <sz val="10"/>
        <rFont val="Noto Sans CJK SC"/>
        <family val="2"/>
      </rPr>
      <t xml:space="preserve">）</t>
    </r>
  </si>
  <si>
    <t xml:space="preserve">Cap_In!C280</t>
  </si>
  <si>
    <r>
      <rPr>
        <sz val="10"/>
        <rFont val="Noto Sans CJK SC"/>
        <family val="2"/>
      </rPr>
      <t xml:space="preserve">用量加權（</t>
    </r>
    <r>
      <rPr>
        <sz val="10"/>
        <rFont val="Arial"/>
        <family val="0"/>
        <charset val="1"/>
      </rPr>
      <t xml:space="preserve">v15.2 B2</t>
    </r>
    <r>
      <rPr>
        <sz val="10"/>
        <rFont val="Noto Sans CJK SC"/>
        <family val="2"/>
      </rPr>
      <t xml:space="preserve">），各模型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占比未公開。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</si>
  <si>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本簿試算用（不是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的值，不影響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頁）</t>
    </r>
  </si>
  <si>
    <t xml:space="preserve">IN_DTest</t>
  </si>
  <si>
    <t xml:space="preserve">E</t>
  </si>
  <si>
    <r>
      <rPr>
        <sz val="10"/>
        <rFont val="Noto Sans CJK SC"/>
        <family val="2"/>
      </rPr>
      <t xml:space="preserve">試算：把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改成多少看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1A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L4 </t>
    </r>
    <r>
      <rPr>
        <sz val="10"/>
        <rFont val="Noto Sans CJK SC"/>
        <family val="2"/>
      </rPr>
      <t xml:space="preserve">層使用）</t>
    </r>
  </si>
  <si>
    <r>
      <rPr>
        <sz val="10"/>
        <rFont val="Noto Sans CJK SC"/>
        <family val="2"/>
      </rPr>
      <t xml:space="preserve">預設 </t>
    </r>
    <r>
      <rPr>
        <sz val="10"/>
        <rFont val="Arial"/>
        <family val="0"/>
        <charset val="1"/>
      </rPr>
      <t xml:space="preserve">0.30</t>
    </r>
    <r>
      <rPr>
        <sz val="10"/>
        <rFont val="Noto Sans CJK SC"/>
        <family val="2"/>
      </rPr>
      <t xml:space="preserve">。只用在 </t>
    </r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 的「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可調驗證」兩列；改它不會動其他頁。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</si>
  <si>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的逐步重算（全部為公式；改 </t>
    </r>
    <r>
      <rPr>
        <b val="true"/>
        <sz val="13"/>
        <rFont val="Arial"/>
        <family val="0"/>
        <charset val="1"/>
      </rPr>
      <t xml:space="preserve">2_</t>
    </r>
    <r>
      <rPr>
        <b val="true"/>
        <sz val="13"/>
        <rFont val="Noto Sans CJK SC"/>
        <family val="2"/>
      </rPr>
      <t xml:space="preserve">輸入 的藍字即可看到每一步怎麼變）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</si>
  <si>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（付費服務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的有效牌價變現率）＝ 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有效牌價 ＝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（需求面付費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混合有效單價）。只有收入面，不經成本鏈。每一步列出對應的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格與原值，最後三組欄為原值與差異。四欄＝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年度、</t>
    </r>
    <r>
      <rPr>
        <sz val="9"/>
        <color rgb="FF555555"/>
        <rFont val="Arial"/>
        <family val="0"/>
        <charset val="1"/>
      </rPr>
      <t xml:space="preserve">2026 Q1 </t>
    </r>
    <r>
      <rPr>
        <sz val="9"/>
        <color rgb="FF555555"/>
        <rFont val="Noto Sans CJK SC"/>
        <family val="2"/>
      </rPr>
      <t xml:space="preserve">年化、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年化（主口徑）、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預測。</t>
    </r>
  </si>
  <si>
    <t xml:space="preserve">步驟</t>
  </si>
  <si>
    <t xml:space="preserve">白話說明與公式</t>
  </si>
  <si>
    <t xml:space="preserve">原活頁簿位置</t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</si>
  <si>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</si>
  <si>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</si>
  <si>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</si>
  <si>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</si>
  <si>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</si>
  <si>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</si>
  <si>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</si>
  <si>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</si>
  <si>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組：分子——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</t>
    </r>
  </si>
  <si>
    <t xml:space="preserve">S1</t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</si>
  <si>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＝全年營收；</t>
    </r>
    <r>
      <rPr>
        <sz val="9"/>
        <color rgb="FF555555"/>
        <rFont val="Arial"/>
        <family val="0"/>
        <charset val="1"/>
      </rPr>
      <t xml:space="preserve">2026 Q1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＝季營收 </t>
    </r>
    <r>
      <rPr>
        <sz val="9"/>
        <color rgb="FF555555"/>
        <rFont val="Arial"/>
        <family val="0"/>
        <charset val="1"/>
      </rPr>
      <t xml:space="preserve">× 4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FY2026</t>
    </r>
    <r>
      <rPr>
        <sz val="9"/>
        <color rgb="FF555555"/>
        <rFont val="Noto Sans CJK SC"/>
        <family val="2"/>
      </rPr>
      <t xml:space="preserve">＝內部預測。毛額，不扣 </t>
    </r>
    <r>
      <rPr>
        <sz val="9"/>
        <color rgb="FF555555"/>
        <rFont val="Arial"/>
        <family val="0"/>
        <charset val="1"/>
      </rPr>
      <t xml:space="preserve">Microsoft </t>
    </r>
    <r>
      <rPr>
        <sz val="9"/>
        <color rgb="FF555555"/>
        <rFont val="Noto Sans CJK SC"/>
        <family val="2"/>
      </rPr>
      <t xml:space="preserve">分潤。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</si>
  <si>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185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</si>
  <si>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S2</t>
  </si>
  <si>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定義：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單純看收費業務，廣告不進分子。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沒有廣告（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的常數 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</si>
  <si>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186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C–F</t>
    </r>
  </si>
  <si>
    <t xml:space="preserve">S3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</si>
  <si>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</si>
  <si>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S1 − S2</t>
    </r>
    <r>
      <rPr>
        <sz val="9"/>
        <color rgb="FF555555"/>
        <rFont val="Noto Sans CJK SC"/>
        <family val="2"/>
      </rPr>
      <t xml:space="preserve">。這是「付費服務實際收到的錢」。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</si>
  <si>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187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為第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</si>
  <si>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組：分母之一——需求面付費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付費；免費不進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</si>
  <si>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S4</t>
  </si>
  <si>
    <r>
      <rPr>
        <sz val="10"/>
        <rFont val="Arial"/>
        <family val="0"/>
        <charset val="1"/>
      </rPr>
      <t xml:space="preserve">API token</t>
    </r>
    <r>
      <rPr>
        <sz val="10"/>
        <rFont val="Noto Sans CJK SC"/>
        <family val="2"/>
      </rPr>
      <t xml:space="preserve">（全年）</t>
    </r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</si>
  <si>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＝每分鐘 </t>
    </r>
    <r>
      <rPr>
        <sz val="9"/>
        <color rgb="FF555555"/>
        <rFont val="Arial"/>
        <family val="0"/>
        <charset val="1"/>
      </rPr>
      <t xml:space="preserve">token × 525,600 </t>
    </r>
    <r>
      <rPr>
        <sz val="9"/>
        <color rgb="FF555555"/>
        <rFont val="Noto Sans CJK SC"/>
        <family val="2"/>
      </rPr>
      <t xml:space="preserve">分鐘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全年平均比例；</t>
    </r>
    <r>
      <rPr>
        <sz val="9"/>
        <color rgb="FF555555"/>
        <rFont val="Arial"/>
        <family val="0"/>
        <charset val="1"/>
      </rPr>
      <t xml:space="preserve">2026 Q1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2026-03 </t>
    </r>
    <r>
      <rPr>
        <sz val="9"/>
        <color rgb="FF555555"/>
        <rFont val="Noto Sans CJK SC"/>
        <family val="2"/>
      </rPr>
      <t xml:space="preserve">時點值 </t>
    </r>
    <r>
      <rPr>
        <sz val="9"/>
        <color rgb="FF555555"/>
        <rFont val="Arial"/>
        <family val="0"/>
        <charset val="1"/>
      </rPr>
      <t xml:space="preserve">× 525,600</t>
    </r>
    <r>
      <rPr>
        <sz val="9"/>
        <color rgb="FF555555"/>
        <rFont val="Noto Sans CJK SC"/>
        <family val="2"/>
      </rPr>
      <t xml:space="preserve">（不打折）；</t>
    </r>
    <r>
      <rPr>
        <sz val="9"/>
        <color rgb="FF555555"/>
        <rFont val="Arial"/>
        <family val="0"/>
        <charset val="1"/>
      </rPr>
      <t xml:space="preserve">FY2026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Q2 × </t>
    </r>
    <r>
      <rPr>
        <sz val="9"/>
        <color rgb="FF555555"/>
        <rFont val="Noto Sans CJK SC"/>
        <family val="2"/>
      </rPr>
      <t xml:space="preserve">年均倍數 </t>
    </r>
    <r>
      <rPr>
        <sz val="9"/>
        <color rgb="FF555555"/>
        <rFont val="Arial"/>
        <family val="0"/>
        <charset val="1"/>
      </rPr>
      <t xml:space="preserve">1.3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</si>
  <si>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Noto Sans CJK SC"/>
        <family val="2"/>
      </rPr>
      <t xml:space="preserve">列（</t>
    </r>
    <r>
      <rPr>
        <sz val="9"/>
        <color rgb="FF555555"/>
        <rFont val="Arial"/>
        <family val="0"/>
        <charset val="1"/>
      </rPr>
      <t xml:space="preserve">AL_DAPI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196 </t>
    </r>
    <r>
      <rPr>
        <sz val="9"/>
        <color rgb="FF555555"/>
        <rFont val="Noto Sans CJK SC"/>
        <family val="2"/>
      </rPr>
      <t xml:space="preserve">列</t>
    </r>
  </si>
  <si>
    <t xml:space="preserve">S5</t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</si>
  <si>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自述 </t>
    </r>
    <r>
      <rPr>
        <sz val="9"/>
        <color rgb="FF555555"/>
        <rFont val="Arial"/>
        <family val="0"/>
        <charset val="1"/>
      </rPr>
      <t xml:space="preserve">25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由週活比例放大（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</si>
  <si>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SRC_DEM_012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197 </t>
    </r>
    <r>
      <rPr>
        <sz val="9"/>
        <color rgb="FF555555"/>
        <rFont val="Noto Sans CJK SC"/>
        <family val="2"/>
      </rPr>
      <t xml:space="preserve">列</t>
    </r>
  </si>
  <si>
    <t xml:space="preserve">S6</t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</si>
  <si>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總量（含免費）</t>
    </r>
  </si>
  <si>
    <r>
      <rPr>
        <sz val="9"/>
        <color rgb="FF555555"/>
        <rFont val="Noto Sans CJK SC"/>
        <family val="2"/>
      </rPr>
      <t xml:space="preserve">＝每日訊息數 </t>
    </r>
    <r>
      <rPr>
        <sz val="9"/>
        <color rgb="FF555555"/>
        <rFont val="Arial"/>
        <family val="0"/>
        <charset val="1"/>
      </rPr>
      <t xml:space="preserve">× 10⁹ × </t>
    </r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 τ × 365 ÷ 10⁶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沒有公開數字（</t>
    </r>
    <r>
      <rPr>
        <sz val="9"/>
        <color rgb="FF555555"/>
        <rFont val="Arial"/>
        <family val="0"/>
        <charset val="1"/>
      </rPr>
      <t xml:space="preserve">Assumed 4,000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</si>
  <si>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198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199 </t>
    </r>
    <r>
      <rPr>
        <sz val="9"/>
        <color rgb="FF555555"/>
        <rFont val="Noto Sans CJK SC"/>
        <family val="2"/>
      </rPr>
      <t xml:space="preserve">列</t>
    </r>
  </si>
  <si>
    <t xml:space="preserve">S7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</si>
  <si>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</si>
  <si>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× </t>
    </r>
    <r>
      <rPr>
        <sz val="9"/>
        <color rgb="FF555555"/>
        <rFont val="Noto Sans CJK SC"/>
        <family val="2"/>
      </rPr>
      <t xml:space="preserve">免費占比。這部分不產生營收，計入管理費用，不進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Andy 10-21 14:37</t>
    </r>
    <r>
      <rPr>
        <sz val="9"/>
        <color rgb="FF555555"/>
        <rFont val="Noto Sans CJK SC"/>
        <family val="2"/>
      </rPr>
      <t xml:space="preserve">）；這裡只是為了從總量扣掉。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</si>
  <si>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199 </t>
    </r>
    <r>
      <rPr>
        <sz val="9"/>
        <color rgb="FF555555"/>
        <rFont val="Noto Sans CJK SC"/>
        <family val="2"/>
      </rPr>
      <t xml:space="preserve">列</t>
    </r>
  </si>
  <si>
    <t xml:space="preserve">S8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</si>
  <si>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</si>
  <si>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S6 − S7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</si>
  <si>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</t>
    </r>
  </si>
  <si>
    <t xml:space="preserve">S9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</si>
  <si>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S4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S8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的分母用的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數量。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</si>
  <si>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196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</si>
  <si>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組：分母之二——混合有效單價（有效牌價；細節見本頁下方「層級單價展開表」）</t>
    </r>
  </si>
  <si>
    <t xml:space="preserve">S10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</si>
  <si>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混合有效單價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</si>
  <si>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</t>
    </r>
    <r>
      <rPr>
        <sz val="9"/>
        <color rgb="FF555555"/>
        <rFont val="Noto Sans CJK SC"/>
        <family val="2"/>
      </rPr>
      <t xml:space="preserve">（層級占比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層級有效單價）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的層級有效單價＝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年度表列單價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的層級有效單價＝</t>
    </r>
    <r>
      <rPr>
        <sz val="9"/>
        <color rgb="FF555555"/>
        <rFont val="Arial"/>
        <family val="0"/>
        <charset val="1"/>
      </rPr>
      <t xml:space="preserve">IF_PriceRef</t>
    </r>
    <r>
      <rPr>
        <sz val="9"/>
        <color rgb="FF555555"/>
        <rFont val="Noto Sans CJK SC"/>
        <family val="2"/>
      </rPr>
      <t xml:space="preserve">（表列牌價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請求形狀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能力倍數）。</t>
    </r>
  </si>
  <si>
    <r>
      <rPr>
        <sz val="9"/>
        <color rgb="FF555555"/>
        <rFont val="Arial"/>
        <family val="0"/>
        <charset val="1"/>
      </rPr>
      <t xml:space="preserve">CAP_Price25Mix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Cap_In C281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205 </t>
    </r>
    <r>
      <rPr>
        <sz val="9"/>
        <color rgb="FF555555"/>
        <rFont val="Noto Sans CJK SC"/>
        <family val="2"/>
      </rPr>
      <t xml:space="preserve">列</t>
    </r>
  </si>
  <si>
    <t xml:space="preserve">S11</t>
  </si>
  <si>
    <t xml:space="preserve">混合表列牌價（未折扣）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</si>
  <si>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S10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）。與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無關：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變動時有效單價同比例變動，表列牌價不動。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沒有對應名稱。</t>
    </r>
  </si>
  <si>
    <r>
      <rPr>
        <sz val="9"/>
        <color rgb="FF555555"/>
        <rFont val="Arial"/>
        <family val="0"/>
        <charset val="1"/>
      </rPr>
      <t xml:space="preserve">L1_PxList_2026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D126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</si>
  <si>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組：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實收單價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有效牌價</t>
    </r>
  </si>
  <si>
    <t xml:space="preserve">S12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</si>
  <si>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S3 × 10⁹ ÷ S9</t>
    </r>
    <r>
      <rPr>
        <sz val="9"/>
        <color rgb="FF555555"/>
        <rFont val="Noto Sans CJK SC"/>
        <family val="2"/>
      </rPr>
      <t xml:space="preserve">。付費服務每賣出 </t>
    </r>
    <r>
      <rPr>
        <sz val="9"/>
        <color rgb="FF555555"/>
        <rFont val="Arial"/>
        <family val="0"/>
        <charset val="1"/>
      </rPr>
      <t xml:space="preserve">100 </t>
    </r>
    <r>
      <rPr>
        <sz val="9"/>
        <color rgb="FF555555"/>
        <rFont val="Noto Sans CJK SC"/>
        <family val="2"/>
      </rPr>
      <t xml:space="preserve">萬個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，實際收到多少錢。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沒有這一格，本簿新增。</t>
    </r>
  </si>
  <si>
    <t xml:space="preserve">（本簿新增）</t>
  </si>
  <si>
    <t xml:space="preserve">S13</t>
  </si>
  <si>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的有效牌價變現率）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</si>
  <si>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S12 ÷ S10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：實收高於有效牌價（訂閱定額月費遠超用量的牌價等值）；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＜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：實收低於有效牌價。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</si>
  <si>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C–F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m_</t>
    </r>
    <r>
      <rPr>
        <sz val="9"/>
        <color rgb="FF555555"/>
        <rFont val="Noto Sans CJK SC"/>
        <family val="2"/>
      </rPr>
      <t xml:space="preserve">整體）</t>
    </r>
  </si>
  <si>
    <t xml:space="preserve">S14</t>
  </si>
  <si>
    <r>
      <rPr>
        <sz val="10"/>
        <rFont val="Noto Sans CJK SC"/>
        <family val="2"/>
      </rPr>
      <t xml:space="preserve">檢查：另一種寫法的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</si>
  <si>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S3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S9 × S10</t>
    </r>
    <r>
      <rPr>
        <sz val="9"/>
        <color rgb="FF555555"/>
        <rFont val="Noto Sans CJK SC"/>
        <family val="2"/>
      </rPr>
      <t xml:space="preserve">）。應與 </t>
    </r>
    <r>
      <rPr>
        <sz val="9"/>
        <color rgb="FF555555"/>
        <rFont val="Arial"/>
        <family val="0"/>
        <charset val="1"/>
      </rPr>
      <t xml:space="preserve">S13 </t>
    </r>
    <r>
      <rPr>
        <sz val="9"/>
        <color rgb="FF555555"/>
        <rFont val="Noto Sans CJK SC"/>
        <family val="2"/>
      </rPr>
      <t xml:space="preserve">完全相同（恆等式）。</t>
    </r>
  </si>
  <si>
    <t xml:space="preserve">L1</t>
  </si>
  <si>
    <r>
      <rPr>
        <sz val="10"/>
        <rFont val="Noto Sans CJK SC"/>
        <family val="2"/>
      </rPr>
      <t xml:space="preserve">對照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名稱 </t>
    </r>
    <r>
      <rPr>
        <sz val="10"/>
        <rFont val="Arial"/>
        <family val="0"/>
        <charset val="1"/>
      </rPr>
      <t xml:space="preserve">L1_M_2025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_2026Q1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_2026Q2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_FY2026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</si>
  <si>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L1 </t>
    </r>
    <r>
      <rPr>
        <sz val="9"/>
        <color rgb="FF555555"/>
        <rFont val="Noto Sans CJK SC"/>
        <family val="2"/>
      </rPr>
      <t xml:space="preserve">頁輸出名稱（下游契約）；與 </t>
    </r>
    <r>
      <rPr>
        <sz val="9"/>
        <color rgb="FF555555"/>
        <rFont val="Arial"/>
        <family val="0"/>
        <charset val="1"/>
      </rPr>
      <t xml:space="preserve">S13 </t>
    </r>
    <r>
      <rPr>
        <sz val="9"/>
        <color rgb="FF555555"/>
        <rFont val="Noto Sans CJK SC"/>
        <family val="2"/>
      </rPr>
      <t xml:space="preserve">同值。</t>
    </r>
  </si>
  <si>
    <r>
      <rPr>
        <sz val="9"/>
        <color rgb="FF555555"/>
        <rFont val="Arial"/>
        <family val="0"/>
        <charset val="1"/>
      </rPr>
      <t xml:space="preserve">L1 D117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D118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D119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D120</t>
    </r>
  </si>
  <si>
    <t xml:space="preserve">L2</t>
  </si>
  <si>
    <r>
      <rPr>
        <b val="true"/>
        <sz val="10"/>
        <rFont val="Noto Sans CJK SC"/>
        <family val="2"/>
      </rPr>
      <t xml:space="preserve">主口徑 </t>
    </r>
    <r>
      <rPr>
        <b val="true"/>
        <sz val="10"/>
        <rFont val="Arial"/>
        <family val="0"/>
        <charset val="1"/>
      </rPr>
      <t xml:space="preserve">L1_M</t>
    </r>
    <r>
      <rPr>
        <b val="true"/>
        <sz val="10"/>
        <rFont val="Noto Sans CJK SC"/>
        <family val="2"/>
      </rPr>
      <t xml:space="preserve">（＝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</si>
  <si>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的主口徑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年化（</t>
    </r>
    <r>
      <rPr>
        <sz val="9"/>
        <color rgb="FF555555"/>
        <rFont val="Arial"/>
        <family val="0"/>
        <charset val="1"/>
      </rPr>
      <t xml:space="preserve">J1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待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提供「市場預估 </t>
    </r>
    <r>
      <rPr>
        <sz val="9"/>
        <color rgb="FF555555"/>
        <rFont val="Arial"/>
        <family val="0"/>
        <charset val="1"/>
      </rPr>
      <t xml:space="preserve">360 </t>
    </r>
    <r>
      <rPr>
        <sz val="9"/>
        <color rgb="FF555555"/>
        <rFont val="Noto Sans CJK SC"/>
        <family val="2"/>
      </rPr>
      <t xml:space="preserve">億」出處再議。</t>
    </r>
  </si>
  <si>
    <t xml:space="preserve">L1 D121</t>
  </si>
  <si>
    <r>
      <rPr>
        <b val="true"/>
        <sz val="10"/>
        <rFont val="Noto Sans CJK SC"/>
        <family val="2"/>
      </rPr>
      <t xml:space="preserve">層級單價展開表（</t>
    </r>
    <r>
      <rPr>
        <b val="true"/>
        <sz val="10"/>
        <rFont val="Arial"/>
        <family val="0"/>
        <charset val="1"/>
      </rPr>
      <t xml:space="preserve">S10 </t>
    </r>
    <r>
      <rPr>
        <b val="true"/>
        <sz val="10"/>
        <rFont val="Noto Sans CJK SC"/>
        <family val="2"/>
      </rPr>
      <t xml:space="preserve">的細項；欄 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，不是期間）</t>
    </r>
  </si>
  <si>
    <t xml:space="preserve">T1</t>
  </si>
  <si>
    <t xml:space="preserve">新鮮輸入 表列牌價</t>
  </si>
  <si>
    <r>
      <rPr>
        <sz val="9"/>
        <color rgb="FF555555"/>
        <rFont val="Noto Sans CJK SC"/>
        <family val="2"/>
      </rPr>
      <t xml:space="preserve">輸入：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官方牌價（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組）。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</si>
  <si>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</si>
  <si>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T2</t>
  </si>
  <si>
    <t xml:space="preserve">快取輸入 表列牌價</t>
  </si>
  <si>
    <t xml:space="preserve">輸入。</t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</si>
  <si>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</si>
  <si>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T3</t>
  </si>
  <si>
    <t xml:space="preserve">輸出（含思考）表列牌價</t>
  </si>
  <si>
    <r>
      <rPr>
        <sz val="9"/>
        <color rgb="FF555555"/>
        <rFont val="Noto Sans CJK SC"/>
        <family val="2"/>
      </rPr>
      <t xml:space="preserve">輸入。思考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依輸出價計費。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</si>
  <si>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</si>
  <si>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T4</t>
  </si>
  <si>
    <t xml:space="preserve">能力單價倍數</t>
  </si>
  <si>
    <r>
      <rPr>
        <sz val="9"/>
        <color rgb="FF555555"/>
        <rFont val="Noto Sans CJK SC"/>
        <family val="2"/>
      </rPr>
      <t xml:space="preserve">＝（</t>
    </r>
    <r>
      <rPr>
        <sz val="9"/>
        <color rgb="FF555555"/>
        <rFont val="Arial"/>
        <family val="0"/>
        <charset val="1"/>
      </rPr>
      <t xml:space="preserve">H_CAP × </t>
    </r>
    <r>
      <rPr>
        <sz val="9"/>
        <color rgb="FF555555"/>
        <rFont val="Noto Sans CJK SC"/>
        <family val="2"/>
      </rPr>
      <t xml:space="preserve">有效訓練算力倍數）</t>
    </r>
    <r>
      <rPr>
        <sz val="9"/>
        <color rgb="FF555555"/>
        <rFont val="Arial"/>
        <family val="0"/>
        <charset val="1"/>
      </rPr>
      <t xml:space="preserve">^ε</t>
    </r>
    <r>
      <rPr>
        <sz val="9"/>
        <color rgb="FF555555"/>
        <rFont val="Noto Sans CJK SC"/>
        <family val="2"/>
      </rPr>
      <t xml:space="preserve">。基準 </t>
    </r>
    <r>
      <rPr>
        <sz val="9"/>
        <color rgb="FF555555"/>
        <rFont val="Arial"/>
        <family val="0"/>
        <charset val="1"/>
      </rPr>
      <t xml:space="preserve">ε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，所以恆為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（本簿只列原值，不展開）。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</si>
  <si>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</si>
  <si>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T5</t>
  </si>
  <si>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</si>
  <si>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Serving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</si>
  <si>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T6</t>
  </si>
  <si>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</si>
  <si>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9"/>
        <color rgb="FF555555"/>
        <rFont val="Arial"/>
        <family val="0"/>
        <charset val="1"/>
      </rPr>
      <t xml:space="preserve">Serving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24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</si>
  <si>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T7</t>
  </si>
  <si>
    <r>
      <rPr>
        <sz val="10"/>
        <rFont val="Noto Sans CJK SC"/>
        <family val="2"/>
      </rPr>
      <t xml:space="preserve">快取命中率 </t>
    </r>
    <r>
      <rPr>
        <sz val="10"/>
        <rFont val="Arial"/>
        <family val="0"/>
        <charset val="1"/>
      </rPr>
      <t xml:space="preserve">χ</t>
    </r>
  </si>
  <si>
    <t xml:space="preserve">輸入（三層共用）。</t>
  </si>
  <si>
    <t xml:space="preserve">Cap_In C13</t>
  </si>
  <si>
    <t xml:space="preserve">T8</t>
  </si>
  <si>
    <t xml:space="preserve">新鮮輸入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</si>
  <si>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T1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</si>
  <si>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</si>
  <si>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T9</t>
  </si>
  <si>
    <t xml:space="preserve">快取輸入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</si>
  <si>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T2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</si>
  <si>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</si>
  <si>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T10</t>
  </si>
  <si>
    <t xml:space="preserve">輸出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</si>
  <si>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T3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</si>
  <si>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44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</si>
  <si>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T11</t>
  </si>
  <si>
    <r>
      <rPr>
        <b val="true"/>
        <sz val="10"/>
        <rFont val="Noto Sans CJK SC"/>
        <family val="2"/>
      </rPr>
      <t xml:space="preserve">參考請求混合有效價（</t>
    </r>
    <r>
      <rPr>
        <b val="true"/>
        <sz val="10"/>
        <rFont val="Arial"/>
        <family val="0"/>
        <charset val="1"/>
      </rPr>
      <t xml:space="preserve">IF_PriceRef_*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</si>
  <si>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[ISL ×</t>
    </r>
    <r>
      <rPr>
        <sz val="9"/>
        <color rgb="FF555555"/>
        <rFont val="Noto Sans CJK SC"/>
        <family val="2"/>
      </rPr>
      <t xml:space="preserve">（（</t>
    </r>
    <r>
      <rPr>
        <sz val="9"/>
        <color rgb="FF555555"/>
        <rFont val="Arial"/>
        <family val="0"/>
        <charset val="1"/>
      </rPr>
      <t xml:space="preserve">1 − χ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T8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χ × T9</t>
    </r>
    <r>
      <rPr>
        <sz val="9"/>
        <color rgb="FF555555"/>
        <rFont val="Noto Sans CJK SC"/>
        <family val="2"/>
      </rPr>
      <t xml:space="preserve">）＋ </t>
    </r>
    <r>
      <rPr>
        <sz val="9"/>
        <color rgb="FF555555"/>
        <rFont val="Arial"/>
        <family val="0"/>
        <charset val="1"/>
      </rPr>
      <t xml:space="preserve">OSL × T10]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）。每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（輸入加輸出）的平均有效價。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</si>
  <si>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45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IF_PriceRef_Luna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Sol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Astra</t>
    </r>
  </si>
  <si>
    <t xml:space="preserve">T12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</si>
  <si>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層級占比</t>
    </r>
  </si>
  <si>
    <r>
      <rPr>
        <sz val="9"/>
        <color rgb="FF555555"/>
        <rFont val="Noto Sans CJK SC"/>
        <family val="2"/>
      </rPr>
      <t xml:space="preserve">輸入（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）。三者合計＝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</si>
  <si>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B4_MixPaid</t>
    </r>
    <r>
      <rPr>
        <sz val="9"/>
        <color rgb="FF555555"/>
        <rFont val="Noto Sans CJK SC"/>
        <family val="2"/>
      </rPr>
      <t xml:space="preserve">）</t>
    </r>
  </si>
  <si>
    <t xml:space="preserve">T13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</si>
  <si>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層級有效單價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</si>
  <si>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年度層級表列單價（輸入）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不再乘能力倍數（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價格對應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年的模型）。</t>
    </r>
    <r>
      <rPr>
        <sz val="9"/>
        <color rgb="FF555555"/>
        <rFont val="Arial"/>
        <family val="0"/>
        <charset val="1"/>
      </rPr>
      <t xml:space="preserve">S10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欄用本列。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</si>
  <si>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278–280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（表列）</t>
    </r>
  </si>
  <si>
    <t xml:space="preserve">T14</t>
  </si>
  <si>
    <r>
      <rPr>
        <sz val="10"/>
        <rFont val="Noto Sans CJK SC"/>
        <family val="2"/>
      </rPr>
      <t xml:space="preserve">　　其中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年度層級單價（表列，未折扣）</t>
    </r>
  </si>
  <si>
    <t xml:space="preserve">輸入的原值。</t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</si>
  <si>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278–280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</si>
  <si>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</si>
  <si>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</si>
  <si>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</si>
  <si>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</si>
  <si>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</si>
  <si>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</si>
  <si>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</si>
  <si>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</si>
  <si>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</si>
  <si>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rFont val="Noto Sans CJK SC"/>
        <family val="2"/>
      </rPr>
      <t xml:space="preserve">區間端點（低端＝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取低；高端＝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取高。營收與單價取基準，價格區間不交——與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寫法相同）</t>
    </r>
  </si>
  <si>
    <t xml:space="preserve">E1</t>
  </si>
  <si>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</t>
    </r>
  </si>
  <si>
    <r>
      <rPr>
        <sz val="9"/>
        <color rgb="FF555555"/>
        <rFont val="Noto Sans CJK SC"/>
        <family val="2"/>
      </rPr>
      <t xml:space="preserve">低端取區間上緣（</t>
    </r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小）；高端取下緣。</t>
    </r>
  </si>
  <si>
    <r>
      <rPr>
        <sz val="9"/>
        <color rgb="FF555555"/>
        <rFont val="Arial"/>
        <family val="0"/>
        <charset val="1"/>
      </rPr>
      <t xml:space="preserve">Alloc_In D15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E15</t>
    </r>
  </si>
  <si>
    <t xml:space="preserve">E2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</si>
  <si>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免費占比</t>
    </r>
  </si>
  <si>
    <r>
      <rPr>
        <sz val="9"/>
        <color rgb="FF555555"/>
        <rFont val="Noto Sans CJK SC"/>
        <family val="2"/>
      </rPr>
      <t xml:space="preserve">低端取區間下緣（免費少→付費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多）；高端取上緣。</t>
    </r>
  </si>
  <si>
    <r>
      <rPr>
        <sz val="9"/>
        <color rgb="FF555555"/>
        <rFont val="Arial"/>
        <family val="0"/>
        <charset val="1"/>
      </rPr>
      <t xml:space="preserve">Alloc_In D16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E16</t>
    </r>
  </si>
  <si>
    <t xml:space="preserve">E3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</si>
  <si>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全年平均比例（只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</si>
  <si>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低端取上緣、高端取下緣；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欄用時點值，不適用。</t>
    </r>
  </si>
  <si>
    <r>
      <rPr>
        <sz val="9"/>
        <color rgb="FF555555"/>
        <rFont val="Arial"/>
        <family val="0"/>
        <charset val="1"/>
      </rPr>
      <t xml:space="preserve">Alloc_In D14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</t>
    </r>
  </si>
  <si>
    <t xml:space="preserve">E4</t>
  </si>
  <si>
    <t xml:space="preserve">API token</t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</si>
  <si>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依 </t>
    </r>
    <r>
      <rPr>
        <sz val="9"/>
        <color rgb="FF555555"/>
        <rFont val="Arial"/>
        <family val="0"/>
        <charset val="1"/>
      </rPr>
      <t xml:space="preserve">E3 </t>
    </r>
    <r>
      <rPr>
        <sz val="9"/>
        <color rgb="FF555555"/>
        <rFont val="Noto Sans CJK SC"/>
        <family val="2"/>
      </rPr>
      <t xml:space="preserve">重算；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與基準相同。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</si>
  <si>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</si>
  <si>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E5</t>
  </si>
  <si>
    <r>
      <rPr>
        <sz val="9"/>
        <color rgb="FF555555"/>
        <rFont val="Noto Sans CJK SC"/>
        <family val="2"/>
      </rPr>
      <t xml:space="preserve">＝每日訊息數 </t>
    </r>
    <r>
      <rPr>
        <sz val="9"/>
        <color rgb="FF555555"/>
        <rFont val="Arial"/>
        <family val="0"/>
        <charset val="1"/>
      </rPr>
      <t xml:space="preserve">× 10⁹ × τ × 365 ÷ 10⁶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免費占比），用端點的 </t>
    </r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與免費占比。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</si>
  <si>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</si>
  <si>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E6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</si>
  <si>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E4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E5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</si>
  <si>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</si>
  <si>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E7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</si>
  <si>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分子營收（取基準）</t>
    </r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</si>
  <si>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S3</t>
    </r>
    <r>
      <rPr>
        <sz val="9"/>
        <color rgb="FF555555"/>
        <rFont val="Noto Sans CJK SC"/>
        <family val="2"/>
      </rPr>
      <t xml:space="preserve">。</t>
    </r>
  </si>
  <si>
    <t xml:space="preserve">E8</t>
  </si>
  <si>
    <t xml:space="preserve">混合有效單價（取基準）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</si>
  <si>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。</t>
    </r>
  </si>
  <si>
    <t xml:space="preserve">E9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</si>
  <si>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端點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</si>
  <si>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E7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E6 × E8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</si>
  <si>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L1_M_2025_Lo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_Hi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E117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F117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L1_M_2026Q2_Lo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_Hi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E119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F119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</si>
  <si>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按收費模式拆開：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／消費訂閱／商用席次（營收三分 </t>
    </r>
    <r>
      <rPr>
        <b val="true"/>
        <sz val="13"/>
        <rFont val="Arial"/>
        <family val="0"/>
        <charset val="1"/>
      </rPr>
      <t xml:space="preserve">× token </t>
    </r>
    <r>
      <rPr>
        <b val="true"/>
        <sz val="13"/>
        <rFont val="Noto Sans CJK SC"/>
        <family val="2"/>
      </rPr>
      <t xml:space="preserve">三分）</t>
    </r>
  </si>
  <si>
    <r>
      <rPr>
        <sz val="9"/>
        <color rgb="FF555555"/>
        <rFont val="Noto Sans CJK SC"/>
        <family val="2"/>
      </rPr>
      <t xml:space="preserve">每條路線的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＝該路線營收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（該路線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混合有效單價）。三條路線共用同一個有效單價，所以差別全在「每個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實收多少」。主口徑看 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欄；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欄取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三分法。營收份額與消費訂閱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份額是 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，只影響分路線，不影響整體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</si>
  <si>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</si>
  <si>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R1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</si>
  <si>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S3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</si>
  <si>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</si>
  <si>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R2</t>
  </si>
  <si>
    <t xml:space="preserve">營收份額：消費訂閱</t>
  </si>
  <si>
    <r>
      <rPr>
        <sz val="9"/>
        <color rgb="FF555555"/>
        <rFont val="Noto Sans CJK SC"/>
        <family val="2"/>
      </rPr>
      <t xml:space="preserve">輸入。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約 </t>
    </r>
    <r>
      <rPr>
        <sz val="9"/>
        <color rgb="FF555555"/>
        <rFont val="Arial"/>
        <family val="0"/>
        <charset val="1"/>
      </rPr>
      <t xml:space="preserve">70%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FT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逐期下降（企業成長）。</t>
    </r>
  </si>
  <si>
    <r>
      <rPr>
        <sz val="9"/>
        <color rgb="FF555555"/>
        <rFont val="Arial"/>
        <family val="0"/>
        <charset val="1"/>
      </rPr>
      <t xml:space="preserve">Cap_In C70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</si>
  <si>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R3</t>
  </si>
  <si>
    <t xml:space="preserve">營收份額：商用席次</t>
  </si>
  <si>
    <r>
      <rPr>
        <sz val="9"/>
        <color rgb="FF555555"/>
        <rFont val="Noto Sans CJK SC"/>
        <family val="2"/>
      </rPr>
      <t xml:space="preserve">輸入（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</si>
  <si>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C131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</si>
  <si>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R4</t>
  </si>
  <si>
    <r>
      <rPr>
        <sz val="10"/>
        <rFont val="Noto Sans CJK SC"/>
        <family val="2"/>
      </rPr>
      <t xml:space="preserve">營收份額：</t>
    </r>
    <r>
      <rPr>
        <sz val="10"/>
        <rFont val="Arial"/>
        <family val="0"/>
        <charset val="1"/>
      </rPr>
      <t xml:space="preserve">API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</si>
  <si>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消費訂閱 − 商用席次（餘額；前兩項的誤差全落在這裡）。</t>
    </r>
  </si>
  <si>
    <r>
      <rPr>
        <sz val="9"/>
        <color rgb="FF555555"/>
        <rFont val="Arial"/>
        <family val="0"/>
        <charset val="1"/>
      </rPr>
      <t xml:space="preserve">Cap_In C137÷C69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</si>
  <si>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R5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</si>
  <si>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R2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</si>
  <si>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135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</si>
  <si>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R6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</si>
  <si>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R3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</si>
  <si>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</si>
  <si>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R7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</si>
  <si>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</si>
  <si>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</si>
  <si>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</si>
  <si>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t xml:space="preserve">R8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</si>
  <si>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</si>
  <si>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</si>
  <si>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R9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</si>
  <si>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S8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</si>
  <si>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</si>
  <si>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R10</t>
  </si>
  <si>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</si>
  <si>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9"/>
        <color rgb="FF555555"/>
        <rFont val="Noto Sans CJK SC"/>
        <family val="2"/>
      </rPr>
      <t xml:space="preserve">輸入（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三欄共用 </t>
    </r>
    <r>
      <rPr>
        <sz val="9"/>
        <color rgb="FF555555"/>
        <rFont val="Arial"/>
        <family val="0"/>
        <charset val="1"/>
      </rPr>
      <t xml:space="preserve">0.65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</si>
  <si>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C132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</si>
  <si>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R11</t>
  </si>
  <si>
    <r>
      <rPr>
        <sz val="10"/>
        <rFont val="Noto Sans CJK SC"/>
        <family val="2"/>
      </rPr>
      <t xml:space="preserve">消費訂閱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</si>
  <si>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R9 × R10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</si>
  <si>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</si>
  <si>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R12</t>
  </si>
  <si>
    <r>
      <rPr>
        <sz val="10"/>
        <rFont val="Noto Sans CJK SC"/>
        <family val="2"/>
      </rPr>
      <t xml:space="preserve">商用席次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</si>
  <si>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R9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R10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</si>
  <si>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</si>
  <si>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r>
      <rPr>
        <b val="true"/>
        <sz val="10"/>
        <rFont val="Noto Sans CJK SC"/>
        <family val="2"/>
      </rPr>
      <t xml:space="preserve">各路線 </t>
    </r>
    <r>
      <rPr>
        <b val="true"/>
        <sz val="10"/>
        <rFont val="Arial"/>
        <family val="0"/>
        <charset val="1"/>
      </rPr>
      <t xml:space="preserve">m</t>
    </r>
  </si>
  <si>
    <t xml:space="preserve">R13</t>
  </si>
  <si>
    <t xml:space="preserve">混合有效單價（三路線共用）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</si>
  <si>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</si>
  <si>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CAP_Price25Mix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205 </t>
    </r>
    <r>
      <rPr>
        <sz val="9"/>
        <color rgb="FF555555"/>
        <rFont val="Noto Sans CJK SC"/>
        <family val="2"/>
      </rPr>
      <t xml:space="preserve">列</t>
    </r>
  </si>
  <si>
    <t xml:space="preserve">R14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</si>
  <si>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R7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R8 × R13</t>
    </r>
    <r>
      <rPr>
        <sz val="9"/>
        <color rgb="FF555555"/>
        <rFont val="Noto Sans CJK SC"/>
        <family val="2"/>
      </rPr>
      <t xml:space="preserve">）。按量計費；實收低於有效牌價。</t>
    </r>
  </si>
  <si>
    <r>
      <rPr>
        <sz val="9"/>
        <color rgb="FF555555"/>
        <rFont val="Arial"/>
        <family val="0"/>
        <charset val="1"/>
      </rPr>
      <t xml:space="preserve">L1_MAPI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206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L1_M_API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</si>
  <si>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R15</t>
  </si>
  <si>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</si>
  <si>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R5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R11 × R13</t>
    </r>
    <r>
      <rPr>
        <sz val="9"/>
        <color rgb="FF555555"/>
        <rFont val="Noto Sans CJK SC"/>
        <family val="2"/>
      </rPr>
      <t xml:space="preserve">）。定額月費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實際用量：遠大於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，表示訂閱用戶付的錢遠超過用掉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的有效牌價等值（或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數被低估）。</t>
    </r>
  </si>
  <si>
    <r>
      <rPr>
        <sz val="9"/>
        <color rgb="FF555555"/>
        <rFont val="Arial"/>
        <family val="0"/>
        <charset val="1"/>
      </rPr>
      <t xml:space="preserve">L1_MSub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207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L1_M_Sub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</si>
  <si>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R16</t>
  </si>
  <si>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</si>
  <si>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R6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R12 × R13</t>
    </r>
    <r>
      <rPr>
        <sz val="9"/>
        <color rgb="FF555555"/>
        <rFont val="Noto Sans CJK SC"/>
        <family val="2"/>
      </rPr>
      <t xml:space="preserve">）。按席次定額收費，同上。</t>
    </r>
  </si>
  <si>
    <r>
      <rPr>
        <sz val="9"/>
        <color rgb="FF555555"/>
        <rFont val="Arial"/>
        <family val="0"/>
        <charset val="1"/>
      </rPr>
      <t xml:space="preserve">L1_MSeat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208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L1_M_Seat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</si>
  <si>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R17</t>
  </si>
  <si>
    <r>
      <rPr>
        <sz val="10"/>
        <rFont val="Noto Sans CJK SC"/>
        <family val="2"/>
      </rPr>
      <t xml:space="preserve">三路線合計的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</si>
  <si>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＝（</t>
    </r>
    <r>
      <rPr>
        <sz val="9"/>
        <color rgb="FF555555"/>
        <rFont val="Arial"/>
        <family val="0"/>
        <charset val="1"/>
      </rPr>
      <t xml:space="preserve">R5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R6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R7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10⁹ ÷</t>
    </r>
    <r>
      <rPr>
        <sz val="9"/>
        <color rgb="FF555555"/>
        <rFont val="Noto Sans CJK SC"/>
        <family val="2"/>
      </rPr>
      <t xml:space="preserve">（（</t>
    </r>
    <r>
      <rPr>
        <sz val="9"/>
        <color rgb="FF555555"/>
        <rFont val="Arial"/>
        <family val="0"/>
        <charset val="1"/>
      </rPr>
      <t xml:space="preserve">R8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R11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R12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R13</t>
    </r>
    <r>
      <rPr>
        <sz val="9"/>
        <color rgb="FF555555"/>
        <rFont val="Noto Sans CJK SC"/>
        <family val="2"/>
      </rPr>
      <t xml:space="preserve">）。三分只是把同一分子、同一分母拆開，必須等於整體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</si>
  <si>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</si>
  <si>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R18</t>
  </si>
  <si>
    <r>
      <rPr>
        <sz val="10"/>
        <rFont val="Noto Sans CJK SC"/>
        <family val="2"/>
      </rPr>
      <t xml:space="preserve">檢查：</t>
    </r>
    <r>
      <rPr>
        <sz val="10"/>
        <rFont val="Arial"/>
        <family val="0"/>
        <charset val="1"/>
      </rPr>
      <t xml:space="preserve">R17 − 3_m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S13</t>
    </r>
  </si>
  <si>
    <r>
      <rPr>
        <sz val="9"/>
        <color rgb="FF555555"/>
        <rFont val="Noto Sans CJK SC"/>
        <family val="2"/>
      </rPr>
      <t xml:space="preserve">應為 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。</t>
    </r>
  </si>
  <si>
    <t xml:space="preserve">R19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</si>
  <si>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</t>
    </r>
    <r>
      <rPr>
        <sz val="10"/>
        <rFont val="Arial"/>
        <family val="0"/>
        <charset val="1"/>
      </rPr>
      <t xml:space="preserve">API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</si>
  <si>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R7 × 10⁹ ÷ R8</t>
    </r>
    <r>
      <rPr>
        <sz val="9"/>
        <color rgb="FF555555"/>
        <rFont val="Noto Sans CJK SC"/>
        <family val="2"/>
      </rPr>
      <t xml:space="preserve">。</t>
    </r>
  </si>
  <si>
    <t xml:space="preserve">R20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</si>
  <si>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實收：消費訂閱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</si>
  <si>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R5 × 10⁹ ÷ R11</t>
    </r>
    <r>
      <rPr>
        <sz val="9"/>
        <color rgb="FF555555"/>
        <rFont val="Noto Sans CJK SC"/>
        <family val="2"/>
      </rPr>
      <t xml:space="preserve">。</t>
    </r>
  </si>
  <si>
    <t xml:space="preserve">R21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</si>
  <si>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實收：商用席次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</si>
  <si>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R6 × 10⁹ ÷ R12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</si>
  <si>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L1_M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 Q2</t>
    </r>
    <r>
      <rPr>
        <b val="true"/>
        <sz val="13"/>
        <rFont val="Noto Sans CJK SC"/>
        <family val="2"/>
      </rPr>
      <t xml:space="preserve">，主口徑）的單變數敏感度</t>
    </r>
  </si>
  <si>
    <r>
      <rPr>
        <sz val="9"/>
        <color rgb="FF555555"/>
        <rFont val="Noto Sans CJK SC"/>
        <family val="2"/>
      </rPr>
      <t xml:space="preserve">每個有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區間的輸入，各取低端與高端，其餘不動，用本簿公式重算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是乘除式，直接寫出）。承重度＝弧彈性 </t>
    </r>
    <r>
      <rPr>
        <sz val="9"/>
        <color rgb="FF555555"/>
        <rFont val="Arial"/>
        <family val="0"/>
        <charset val="1"/>
      </rPr>
      <t xml:space="preserve">ln(m</t>
    </r>
    <r>
      <rPr>
        <sz val="9"/>
        <color rgb="FF555555"/>
        <rFont val="Noto Sans CJK SC"/>
        <family val="2"/>
      </rPr>
      <t xml:space="preserve">高</t>
    </r>
    <r>
      <rPr>
        <sz val="9"/>
        <color rgb="FF555555"/>
        <rFont val="Arial"/>
        <family val="0"/>
        <charset val="1"/>
      </rPr>
      <t xml:space="preserve">/m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) ÷ ln(</t>
    </r>
    <r>
      <rPr>
        <sz val="9"/>
        <color rgb="FF555555"/>
        <rFont val="Noto Sans CJK SC"/>
        <family val="2"/>
      </rPr>
      <t xml:space="preserve">輸入高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輸入低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；擺動＝</t>
    </r>
    <r>
      <rPr>
        <sz val="9"/>
        <color rgb="FF555555"/>
        <rFont val="Arial"/>
        <family val="0"/>
        <charset val="1"/>
      </rPr>
      <t xml:space="preserve">|m</t>
    </r>
    <r>
      <rPr>
        <sz val="9"/>
        <color rgb="FF555555"/>
        <rFont val="Noto Sans CJK SC"/>
        <family val="2"/>
      </rPr>
      <t xml:space="preserve">高 −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| ÷ m </t>
    </r>
    <r>
      <rPr>
        <sz val="9"/>
        <color rgb="FF555555"/>
        <rFont val="Noto Sans CJK SC"/>
        <family val="2"/>
      </rPr>
      <t xml:space="preserve">基準。只測單一變數，未測交互作用。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沒有區間的輸入寫「</t>
    </r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無區間」，不自訂區間。</t>
    </r>
  </si>
  <si>
    <t xml:space="preserve">#</t>
  </si>
  <si>
    <t xml:space="preserve">怎麼擺動</t>
  </si>
  <si>
    <t xml:space="preserve">低值</t>
  </si>
  <si>
    <t xml:space="preserve">高值</t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</si>
  <si>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（低值）</t>
    </r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</si>
  <si>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（高值）</t>
    </r>
  </si>
  <si>
    <t xml:space="preserve">相對變化（低）</t>
  </si>
  <si>
    <t xml:space="preserve">相對變化（高）</t>
  </si>
  <si>
    <t xml:space="preserve">排名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</si>
  <si>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基準（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）</t>
    </r>
  </si>
  <si>
    <t xml:space="preserve">檢查：公式在基準值重算 − 基準</t>
  </si>
  <si>
    <r>
      <rPr>
        <sz val="9"/>
        <color rgb="FF555555"/>
        <rFont val="Arial"/>
        <family val="0"/>
        <charset val="1"/>
      </rPr>
      <t xml:space="preserve">IN_Tau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IN_Tau_Lo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IN_Tau_Hi</t>
    </r>
  </si>
  <si>
    <t xml:space="preserve">Alloc_In C15</t>
  </si>
  <si>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小。</t>
    </r>
  </si>
  <si>
    <r>
      <rPr>
        <sz val="9"/>
        <color rgb="FF555555"/>
        <rFont val="Arial"/>
        <family val="0"/>
        <charset val="1"/>
      </rPr>
      <t xml:space="preserve">IN_FreeShare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IN_FreeShare_Lo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IN_FreeShare_Hi</t>
    </r>
  </si>
  <si>
    <t xml:space="preserve">Alloc_In C16</t>
  </si>
  <si>
    <r>
      <rPr>
        <sz val="9"/>
        <color rgb="FF555555"/>
        <rFont val="Noto Sans CJK SC"/>
        <family val="2"/>
      </rPr>
      <t xml:space="preserve">免費占比大→付費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少→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大。</t>
    </r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</si>
  <si>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</si>
  <si>
    <r>
      <rPr>
        <sz val="9"/>
        <color rgb="FF555555"/>
        <rFont val="Arial"/>
        <family val="0"/>
        <charset val="1"/>
      </rPr>
      <t xml:space="preserve">IN_Disc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IN_Disc_Lo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IN_Disc_Hi</t>
    </r>
  </si>
  <si>
    <t xml:space="preserve">Cap_In C12</t>
  </si>
  <si>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大→有效牌價低→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大（</t>
    </r>
    <r>
      <rPr>
        <sz val="9"/>
        <color rgb="FF555555"/>
        <rFont val="Arial"/>
        <family val="0"/>
        <charset val="1"/>
      </rPr>
      <t xml:space="preserve">m×(1 − d) </t>
    </r>
    <r>
      <rPr>
        <sz val="9"/>
        <color rgb="FF555555"/>
        <rFont val="Noto Sans CJK SC"/>
        <family val="2"/>
      </rPr>
      <t xml:space="preserve">不變）。</t>
    </r>
  </si>
  <si>
    <r>
      <rPr>
        <sz val="10"/>
        <rFont val="Noto Sans CJK SC"/>
        <family val="2"/>
      </rPr>
      <t xml:space="preserve">請求形狀 </t>
    </r>
    <r>
      <rPr>
        <sz val="10"/>
        <rFont val="Arial"/>
        <family val="0"/>
        <charset val="1"/>
      </rPr>
      <t xml:space="preserve">κ</t>
    </r>
  </si>
  <si>
    <r>
      <rPr>
        <sz val="9"/>
        <color rgb="FF555555"/>
        <rFont val="Arial"/>
        <family val="0"/>
        <charset val="1"/>
      </rPr>
      <t xml:space="preserve">IN_Kappa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IN_Kappa_Lo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IN_Kappa_Hi</t>
    </r>
  </si>
  <si>
    <t xml:space="preserve">Alloc_In C26</t>
  </si>
  <si>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乘進有效單價，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成反比。</t>
    </r>
  </si>
  <si>
    <r>
      <rPr>
        <sz val="10"/>
        <rFont val="Noto Sans CJK SC"/>
        <family val="2"/>
      </rPr>
      <t xml:space="preserve">快取命中 </t>
    </r>
    <r>
      <rPr>
        <sz val="10"/>
        <rFont val="Arial"/>
        <family val="0"/>
        <charset val="1"/>
      </rPr>
      <t xml:space="preserve">χ</t>
    </r>
  </si>
  <si>
    <r>
      <rPr>
        <sz val="9"/>
        <color rgb="FF555555"/>
        <rFont val="Arial"/>
        <family val="0"/>
        <charset val="1"/>
      </rPr>
      <t xml:space="preserve">IN_Chi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IN_Chi_Lo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IN_Chi_Hi</t>
    </r>
  </si>
  <si>
    <r>
      <rPr>
        <sz val="9"/>
        <color rgb="FF555555"/>
        <rFont val="Arial"/>
        <family val="0"/>
        <charset val="1"/>
      </rPr>
      <t xml:space="preserve">χ </t>
    </r>
    <r>
      <rPr>
        <sz val="9"/>
        <color rgb="FF555555"/>
        <rFont val="Noto Sans CJK SC"/>
        <family val="2"/>
      </rPr>
      <t xml:space="preserve">大→輸入多按便宜的快取價→有效單價低→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大。</t>
    </r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</si>
  <si>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廣告營收（年化）</t>
    </r>
  </si>
  <si>
    <r>
      <rPr>
        <sz val="9"/>
        <color rgb="FF555555"/>
        <rFont val="Arial"/>
        <family val="0"/>
        <charset val="1"/>
      </rPr>
      <t xml:space="preserve">IN_Ad_Q2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IN_Ad_Q2_Lo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IN_Ad_Q2_Hi</t>
    </r>
  </si>
  <si>
    <t xml:space="preserve">Cap_In E186</t>
  </si>
  <si>
    <t xml:space="preserve">廣告從分子扣除；影響小。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</si>
  <si>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層級占比</t>
    </r>
  </si>
  <si>
    <r>
      <rPr>
        <sz val="9"/>
        <color rgb="FF555555"/>
        <rFont val="Arial"/>
        <family val="0"/>
        <charset val="1"/>
      </rPr>
      <t xml:space="preserve">IN_MixP_A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IN_MixP_A_Lo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IN_MixP_A_Hi</t>
    </r>
  </si>
  <si>
    <r>
      <rPr>
        <sz val="9"/>
        <color rgb="FF555555"/>
        <rFont val="Arial"/>
        <family val="0"/>
        <charset val="1"/>
      </rPr>
      <t xml:space="preserve">Cap_In E31</t>
    </r>
    <r>
      <rPr>
        <sz val="9"/>
        <color rgb="FF555555"/>
        <rFont val="Noto Sans CJK SC"/>
        <family val="2"/>
      </rPr>
      <t xml:space="preserve">（區間來自 </t>
    </r>
    <r>
      <rPr>
        <sz val="9"/>
        <color rgb="FF555555"/>
        <rFont val="Arial"/>
        <family val="0"/>
        <charset val="1"/>
      </rPr>
      <t xml:space="preserve">Gov_Map GM457 </t>
    </r>
    <r>
      <rPr>
        <sz val="9"/>
        <color rgb="FF555555"/>
        <rFont val="Noto Sans CJK SC"/>
        <family val="2"/>
      </rPr>
      <t xml:space="preserve">文字）</t>
    </r>
  </si>
  <si>
    <r>
      <rPr>
        <sz val="9"/>
        <color rgb="FF555555"/>
        <rFont val="Arial"/>
        <family val="0"/>
        <charset val="1"/>
      </rPr>
      <t xml:space="preserve">Luna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Sol </t>
    </r>
    <r>
      <rPr>
        <sz val="9"/>
        <color rgb="FF555555"/>
        <rFont val="Noto Sans CJK SC"/>
        <family val="2"/>
      </rPr>
      <t xml:space="preserve">依 </t>
    </r>
    <r>
      <rPr>
        <sz val="9"/>
        <color rgb="FF555555"/>
        <rFont val="Arial"/>
        <family val="0"/>
        <charset val="1"/>
      </rPr>
      <t xml:space="preserve">0.40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0.45 </t>
    </r>
    <r>
      <rPr>
        <sz val="9"/>
        <color rgb="FF555555"/>
        <rFont val="Noto Sans CJK SC"/>
        <family val="2"/>
      </rPr>
      <t xml:space="preserve">補足；</t>
    </r>
    <r>
      <rPr>
        <sz val="9"/>
        <color rgb="FF555555"/>
        <rFont val="Arial"/>
        <family val="0"/>
        <charset val="1"/>
      </rPr>
      <t xml:space="preserve">Astra </t>
    </r>
    <r>
      <rPr>
        <sz val="9"/>
        <color rgb="FF555555"/>
        <rFont val="Noto Sans CJK SC"/>
        <family val="2"/>
      </rPr>
      <t xml:space="preserve">貴，占比大→有效單價高→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小。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</si>
  <si>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</si>
  <si>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IN_ISL_L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IN_ISL_L_Lo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IN_ISL_L_Hi</t>
    </r>
  </si>
  <si>
    <t xml:space="preserve">Serving C23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</si>
  <si>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</si>
  <si>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IN_ISL_S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IN_ISL_S_Lo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IN_ISL_S_Hi</t>
    </r>
  </si>
  <si>
    <t xml:space="preserve">Serving D23</t>
  </si>
  <si>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長→新鮮／快取輸入價權重大→</t>
    </r>
    <r>
      <rPr>
        <sz val="9"/>
        <color rgb="FF555555"/>
        <rFont val="Arial"/>
        <family val="0"/>
        <charset val="1"/>
      </rPr>
      <t xml:space="preserve">Sol </t>
    </r>
    <r>
      <rPr>
        <sz val="9"/>
        <color rgb="FF555555"/>
        <rFont val="Noto Sans CJK SC"/>
        <family val="2"/>
      </rPr>
      <t xml:space="preserve">有效價低。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</si>
  <si>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</si>
  <si>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IN_ISL_A_Hi</t>
    </r>
  </si>
  <si>
    <t xml:space="preserve">Serving E23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</si>
  <si>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</si>
  <si>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IN_OSL_L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IN_OSL_L_Lo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IN_OSL_L_Hi</t>
    </r>
  </si>
  <si>
    <t xml:space="preserve">Serving C24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</si>
  <si>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</si>
  <si>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IN_OSL_S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IN_OSL_S_Lo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IN_OSL_S_Hi</t>
    </r>
  </si>
  <si>
    <t xml:space="preserve">Serving D24</t>
  </si>
  <si>
    <r>
      <rPr>
        <sz val="9"/>
        <color rgb="FF555555"/>
        <rFont val="Arial"/>
        <family val="0"/>
        <charset val="1"/>
      </rPr>
      <t xml:space="preserve">OSL </t>
    </r>
    <r>
      <rPr>
        <sz val="9"/>
        <color rgb="FF555555"/>
        <rFont val="Noto Sans CJK SC"/>
        <family val="2"/>
      </rPr>
      <t xml:space="preserve">長→貴的輸出價權重大→有效價高→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小。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</si>
  <si>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</si>
  <si>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IN_OSL_A_Hi</t>
    </r>
  </si>
  <si>
    <t xml:space="preserve">Serving E24</t>
  </si>
  <si>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與免費占比同向取端點（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L1_M_2026Q2 </t>
    </r>
    <r>
      <rPr>
        <b val="true"/>
        <sz val="10"/>
        <rFont val="Noto Sans CJK SC"/>
        <family val="2"/>
      </rPr>
      <t xml:space="preserve">區間）</t>
    </r>
  </si>
  <si>
    <r>
      <rPr>
        <sz val="9"/>
        <color rgb="FF555555"/>
        <rFont val="Noto Sans CJK SC"/>
        <family val="2"/>
      </rPr>
      <t xml:space="preserve">兩個輸入同時取端點的包絡（最寬情形），不是機率區間；連結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E9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</si>
  <si>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無區間的 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／單值輸入（不自訂區間，不計算擺動）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</si>
  <si>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無區間</t>
    </r>
  </si>
  <si>
    <r>
      <rPr>
        <sz val="9"/>
        <color rgb="FF555555"/>
        <rFont val="Arial"/>
        <family val="0"/>
        <charset val="1"/>
      </rPr>
      <t xml:space="preserve">Interested-party </t>
    </r>
    <r>
      <rPr>
        <sz val="9"/>
        <color rgb="FF555555"/>
        <rFont val="Noto Sans CJK SC"/>
        <family val="2"/>
      </rPr>
      <t xml:space="preserve">單值（</t>
    </r>
    <r>
      <rPr>
        <sz val="9"/>
        <color rgb="FF555555"/>
        <rFont val="Arial"/>
        <family val="0"/>
        <charset val="1"/>
      </rPr>
      <t xml:space="preserve">WSJ </t>
    </r>
    <r>
      <rPr>
        <sz val="9"/>
        <color rgb="FF555555"/>
        <rFont val="Noto Sans CJK SC"/>
        <family val="2"/>
      </rPr>
      <t xml:space="preserve">轉述）；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近似與營收成正比（扣廣告後）。</t>
    </r>
  </si>
  <si>
    <r>
      <rPr>
        <sz val="10"/>
        <rFont val="Arial"/>
        <family val="0"/>
        <charset val="1"/>
      </rPr>
      <t xml:space="preserve">2026 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</si>
  <si>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Arial"/>
        <family val="0"/>
        <charset val="1"/>
      </rPr>
      <t xml:space="preserve">2026-03 </t>
    </r>
    <r>
      <rPr>
        <sz val="9"/>
        <color rgb="FF555555"/>
        <rFont val="Noto Sans CJK SC"/>
        <family val="2"/>
      </rPr>
      <t xml:space="preserve">時點值，</t>
    </r>
    <r>
      <rPr>
        <sz val="9"/>
        <color rgb="FF555555"/>
        <rFont val="Arial"/>
        <family val="0"/>
        <charset val="1"/>
      </rPr>
      <t xml:space="preserve">Q2 </t>
    </r>
    <r>
      <rPr>
        <sz val="9"/>
        <color rgb="FF555555"/>
        <rFont val="Noto Sans CJK SC"/>
        <family val="2"/>
      </rPr>
      <t xml:space="preserve">當期值未找到（</t>
    </r>
    <r>
      <rPr>
        <sz val="9"/>
        <color rgb="FF555555"/>
        <rFont val="Arial"/>
        <family val="0"/>
        <charset val="1"/>
      </rPr>
      <t xml:space="preserve">E399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</si>
  <si>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，週活比例放大；</t>
    </r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無區間。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</si>
  <si>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營收份額、消費訂閱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</si>
  <si>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9"/>
        <color rgb="FF555555"/>
        <rFont val="Noto Sans CJK SC"/>
        <family val="2"/>
      </rPr>
      <t xml:space="preserve">只影響分路線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，不影響整體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</si>
  <si>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能力單價倍數 </t>
    </r>
    <r>
      <rPr>
        <sz val="10"/>
        <rFont val="Arial"/>
        <family val="0"/>
        <charset val="1"/>
      </rPr>
      <t xml:space="preserve">ε</t>
    </r>
  </si>
  <si>
    <t xml:space="preserve">不影響</t>
  </si>
  <si>
    <r>
      <rPr>
        <sz val="9"/>
        <color rgb="FF555555"/>
        <rFont val="Arial"/>
        <family val="0"/>
        <charset val="1"/>
      </rPr>
      <t xml:space="preserve">ε </t>
    </r>
    <r>
      <rPr>
        <sz val="9"/>
        <color rgb="FF555555"/>
        <rFont val="Noto Sans CJK SC"/>
        <family val="2"/>
      </rPr>
      <t xml:space="preserve">的區間 </t>
    </r>
    <r>
      <rPr>
        <sz val="9"/>
        <color rgb="FF555555"/>
        <rFont val="Arial"/>
        <family val="0"/>
        <charset val="1"/>
      </rPr>
      <t xml:space="preserve">0–0.5 </t>
    </r>
    <r>
      <rPr>
        <sz val="9"/>
        <color rgb="FF555555"/>
        <rFont val="Noto Sans CJK SC"/>
        <family val="2"/>
      </rPr>
      <t xml:space="preserve">存在，但倍數＝</t>
    </r>
    <r>
      <rPr>
        <sz val="9"/>
        <color rgb="FF555555"/>
        <rFont val="Arial"/>
        <family val="0"/>
        <charset val="1"/>
      </rPr>
      <t xml:space="preserve">(H_CAP × </t>
    </r>
    <r>
      <rPr>
        <sz val="9"/>
        <color rgb="FF555555"/>
        <rFont val="Noto Sans CJK SC"/>
        <family val="2"/>
      </rPr>
      <t xml:space="preserve">算力倍數</t>
    </r>
    <r>
      <rPr>
        <sz val="9"/>
        <color rgb="FF555555"/>
        <rFont val="Arial"/>
        <family val="0"/>
        <charset val="1"/>
      </rPr>
      <t xml:space="preserve">)^ε</t>
    </r>
    <r>
      <rPr>
        <sz val="9"/>
        <color rgb="FF555555"/>
        <rFont val="Noto Sans CJK SC"/>
        <family val="2"/>
      </rPr>
      <t xml:space="preserve">，現值兩者皆為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ε </t>
    </r>
    <r>
      <rPr>
        <sz val="9"/>
        <color rgb="FF555555"/>
        <rFont val="Noto Sans CJK SC"/>
        <family val="2"/>
      </rPr>
      <t xml:space="preserve">怎麼動倍數都是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不受影響。</t>
    </r>
  </si>
  <si>
    <r>
      <rPr>
        <b val="true"/>
        <sz val="13"/>
        <rFont val="Noto Sans CJK SC"/>
        <family val="2"/>
      </rPr>
      <t xml:space="preserve">最不確定的輸入：為什麼不確定、要找什麼證據、找到後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往哪個方向動</t>
    </r>
  </si>
  <si>
    <r>
      <rPr>
        <sz val="9"/>
        <color rgb="FF555555"/>
        <rFont val="Noto Sans CJK SC"/>
        <family val="2"/>
      </rPr>
      <t xml:space="preserve">排序依據：</t>
    </r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敏感度 的擺動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證據取得難度。分工：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端可在公開網路找；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線上＝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在付費牆或需登入的來源找；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線下＝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線下調研。另列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交接檔「證據 </t>
    </r>
    <r>
      <rPr>
        <sz val="9"/>
        <color rgb="FF555555"/>
        <rFont val="Arial"/>
        <family val="0"/>
        <charset val="1"/>
      </rPr>
      <t xml:space="preserve">(4) m</t>
    </r>
    <r>
      <rPr>
        <sz val="9"/>
        <color rgb="FF555555"/>
        <rFont val="Noto Sans CJK SC"/>
        <family val="2"/>
      </rPr>
      <t xml:space="preserve">」三項（</t>
    </r>
    <r>
      <rPr>
        <sz val="9"/>
        <color rgb="FF555555"/>
        <rFont val="Arial"/>
        <family val="0"/>
        <charset val="1"/>
      </rPr>
      <t xml:space="preserve">2026 API token </t>
    </r>
    <r>
      <rPr>
        <sz val="9"/>
        <color rgb="FF555555"/>
        <rFont val="Noto Sans CJK SC"/>
        <family val="2"/>
      </rPr>
      <t xml:space="preserve">當期值、訂閱用量分布、企業折扣）；交接檔本文本次未能讀取，三項名稱引自工作單。</t>
    </r>
  </si>
  <si>
    <t xml:space="preserve">優先</t>
  </si>
  <si>
    <t xml:space="preserve">現值（區間）</t>
  </si>
  <si>
    <t xml:space="preserve">為什麼不確定</t>
  </si>
  <si>
    <t xml:space="preserve">要找的證據（找到就能定案的口徑）／可直接用的問題</t>
  </si>
  <si>
    <t xml:space="preserve">建議管道</t>
  </si>
  <si>
    <r>
      <rPr>
        <b val="true"/>
        <sz val="10"/>
        <color rgb="FFFFFFFF"/>
        <rFont val="Noto Sans CJK SC"/>
        <family val="2"/>
      </rPr>
      <t xml:space="preserve">對 </t>
    </r>
    <r>
      <rPr>
        <b val="true"/>
        <sz val="10"/>
        <color rgb="FFFFFFFF"/>
        <rFont val="Arial"/>
        <family val="0"/>
        <charset val="1"/>
      </rPr>
      <t xml:space="preserve">m </t>
    </r>
    <r>
      <rPr>
        <b val="true"/>
        <sz val="10"/>
        <color rgb="FFFFFFFF"/>
        <rFont val="Noto Sans CJK SC"/>
        <family val="2"/>
      </rPr>
      <t xml:space="preserve">的影響方向</t>
    </r>
  </si>
  <si>
    <t xml:space="preserve">找到後要改的格</t>
  </si>
  <si>
    <t xml:space="preserve">分工</t>
  </si>
  <si>
    <t xml:space="preserve">一、可以「搜尋」解決</t>
  </si>
  <si>
    <r>
      <rPr>
        <sz val="10"/>
        <rFont val="Noto Sans CJK SC"/>
        <family val="2"/>
      </rPr>
      <t xml:space="preserve">每則訊息 </t>
    </r>
    <r>
      <rPr>
        <sz val="10"/>
        <rFont val="Arial"/>
        <family val="0"/>
        <charset val="1"/>
      </rPr>
      <t xml:space="preserve">token τ</t>
    </r>
  </si>
  <si>
    <r>
      <rPr>
        <sz val="10"/>
        <rFont val="Arial"/>
        <family val="0"/>
        <charset val="1"/>
      </rPr>
      <t xml:space="preserve">4,000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2,000–11,000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</si>
  <si>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</t>
    </r>
  </si>
  <si>
    <r>
      <rPr>
        <sz val="10"/>
        <rFont val="Noto Sans CJK SC"/>
        <family val="2"/>
      </rPr>
      <t xml:space="preserve">無公開數字；含輸入、上下文、推理與輸出，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與長文件使用會大幅拉高。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</si>
  <si>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每則對話（含推理）的平均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；付費與免費用戶分開。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</si>
  <si>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State of AI</t>
    </r>
    <r>
      <rPr>
        <sz val="10"/>
        <rFont val="Noto Sans CJK SC"/>
        <family val="2"/>
      </rPr>
      <t xml:space="preserve">》（每請求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代理值）；</t>
    </r>
    <r>
      <rPr>
        <sz val="10"/>
        <rFont val="Arial"/>
        <family val="0"/>
        <charset val="1"/>
      </rPr>
      <t xml:space="preserve">NBER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How people use ChatGPT</t>
    </r>
    <r>
      <rPr>
        <sz val="10"/>
        <rFont val="Noto Sans CJK SC"/>
        <family val="2"/>
      </rPr>
      <t xml:space="preserve">》（訊息數、無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OpenAI DevDay</t>
    </r>
    <r>
      <rPr>
        <sz val="10"/>
        <rFont val="Noto Sans CJK SC"/>
        <family val="2"/>
      </rPr>
      <t xml:space="preserve">。本串已搜尋：</t>
    </r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長度未找到。</t>
    </r>
  </si>
  <si>
    <r>
      <rPr>
        <sz val="10"/>
        <rFont val="Arial"/>
        <family val="0"/>
        <charset val="1"/>
      </rPr>
      <t xml:space="preserve">τ↑→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</si>
  <si>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Alloc_In C15 → 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S6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</si>
  <si>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免費占比（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口徑）</t>
    </r>
  </si>
  <si>
    <r>
      <rPr>
        <sz val="10"/>
        <rFont val="Arial"/>
        <family val="0"/>
        <charset val="1"/>
      </rPr>
      <t xml:space="preserve">0.6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0.4–0.8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</si>
  <si>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口徑與支出口徑混用過；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另有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投資人資料的免費算力占比預估（</t>
    </r>
    <r>
      <rPr>
        <sz val="10"/>
        <rFont val="Arial"/>
        <family val="0"/>
        <charset val="1"/>
      </rPr>
      <t xml:space="preserve">L1_FreeShare_2026 0.34</t>
    </r>
    <r>
      <rPr>
        <sz val="10"/>
        <rFont val="Noto Sans CJK SC"/>
        <family val="2"/>
      </rPr>
      <t xml:space="preserve">，算力口徑，</t>
    </r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），口徑不同、未進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</si>
  <si>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免費與付費用戶各自的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占比（不是用戶數、不是算力支出）。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</si>
  <si>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投資人資料（</t>
    </r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）；招股文件若 </t>
    </r>
    <r>
      <rPr>
        <sz val="10"/>
        <rFont val="Arial"/>
        <family val="0"/>
        <charset val="1"/>
      </rPr>
      <t xml:space="preserve">IPO</t>
    </r>
    <r>
      <rPr>
        <sz val="10"/>
        <rFont val="Noto Sans CJK SC"/>
        <family val="2"/>
      </rPr>
      <t xml:space="preserve">；第三方流量統計。</t>
    </r>
  </si>
  <si>
    <r>
      <rPr>
        <sz val="10"/>
        <rFont val="Noto Sans CJK SC"/>
        <family val="2"/>
      </rPr>
      <t xml:space="preserve">免費占比↑→付費 </t>
    </r>
    <r>
      <rPr>
        <sz val="10"/>
        <rFont val="Arial"/>
        <family val="0"/>
        <charset val="1"/>
      </rPr>
      <t xml:space="preserve">token↓→m↑</t>
    </r>
    <r>
      <rPr>
        <sz val="10"/>
        <rFont val="Noto Sans CJK SC"/>
        <family val="2"/>
      </rPr>
      <t xml:space="preserve">。</t>
    </r>
  </si>
  <si>
    <t xml:space="preserve">Alloc_In C16 → S7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</si>
  <si>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線上＋</t>
    </r>
    <r>
      <rPr>
        <sz val="10"/>
        <rFont val="Arial"/>
        <family val="0"/>
        <charset val="1"/>
      </rPr>
      <t xml:space="preserve">C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</si>
  <si>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</si>
  <si>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3.8 </t>
    </r>
    <r>
      <rPr>
        <sz val="10"/>
        <rFont val="Noto Sans CJK SC"/>
        <family val="2"/>
      </rPr>
      <t xml:space="preserve">十億則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日（</t>
    </r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無區間）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</si>
  <si>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值是由週活比例放大推得（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），沒有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訊息數的直接揭露。</t>
    </r>
  </si>
  <si>
    <r>
      <rPr>
        <sz val="10"/>
        <rFont val="Arial"/>
        <family val="0"/>
        <charset val="1"/>
      </rPr>
      <t xml:space="preserve">ChatGPT 2026 </t>
    </r>
    <r>
      <rPr>
        <sz val="10"/>
        <rFont val="Noto Sans CJK SC"/>
        <family val="2"/>
      </rPr>
      <t xml:space="preserve">每日提示數或每週活躍用戶的官方更新。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</si>
  <si>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公告、</t>
    </r>
    <r>
      <rPr>
        <sz val="10"/>
        <rFont val="Arial"/>
        <family val="0"/>
        <charset val="1"/>
      </rPr>
      <t xml:space="preserve">Axios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TechCrunch </t>
    </r>
    <r>
      <rPr>
        <sz val="10"/>
        <rFont val="Noto Sans CJK SC"/>
        <family val="2"/>
      </rPr>
      <t xml:space="preserve">轉述。</t>
    </r>
  </si>
  <si>
    <r>
      <rPr>
        <sz val="10"/>
        <rFont val="Noto Sans CJK SC"/>
        <family val="2"/>
      </rPr>
      <t xml:space="preserve">訊息數↑→付費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（近似反比，因 </t>
    </r>
    <r>
      <rPr>
        <sz val="10"/>
        <rFont val="Arial"/>
        <family val="0"/>
        <charset val="1"/>
      </rPr>
      <t xml:space="preserve">API token </t>
    </r>
    <r>
      <rPr>
        <sz val="10"/>
        <rFont val="Noto Sans CJK SC"/>
        <family val="2"/>
      </rPr>
      <t xml:space="preserve">是固定部分）。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</si>
  <si>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197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S5</t>
    </r>
  </si>
  <si>
    <r>
      <rPr>
        <sz val="10"/>
        <rFont val="Arial"/>
        <family val="0"/>
        <charset val="1"/>
      </rPr>
      <t xml:space="preserve">2026 API token </t>
    </r>
    <r>
      <rPr>
        <sz val="10"/>
        <rFont val="Noto Sans CJK SC"/>
        <family val="2"/>
      </rPr>
      <t xml:space="preserve">當期值</t>
    </r>
  </si>
  <si>
    <r>
      <rPr>
        <sz val="10"/>
        <rFont val="Arial"/>
        <family val="0"/>
        <charset val="1"/>
      </rPr>
      <t xml:space="preserve">15 B tok/</t>
    </r>
    <r>
      <rPr>
        <sz val="10"/>
        <rFont val="Noto Sans CJK SC"/>
        <family val="2"/>
      </rPr>
      <t xml:space="preserve">分鐘（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時點；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沿用）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</si>
  <si>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當期值已搜尋，未找到（</t>
    </r>
    <r>
      <rPr>
        <sz val="10"/>
        <rFont val="Arial"/>
        <family val="0"/>
        <charset val="1"/>
      </rPr>
      <t xml:space="preserve">DB_Evidence E399</t>
    </r>
    <r>
      <rPr>
        <sz val="10"/>
        <rFont val="Noto Sans CJK SC"/>
        <family val="2"/>
      </rPr>
      <t xml:space="preserve">）；時點值「超過」</t>
    </r>
    <r>
      <rPr>
        <sz val="10"/>
        <rFont val="Arial"/>
        <family val="0"/>
        <charset val="1"/>
      </rPr>
      <t xml:space="preserve">15B</t>
    </r>
    <r>
      <rPr>
        <sz val="10"/>
        <rFont val="Noto Sans CJK SC"/>
        <family val="2"/>
      </rPr>
      <t xml:space="preserve">，年化後不打折，可能高估或低估全年。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交接檔證據 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項。</t>
    </r>
  </si>
  <si>
    <r>
      <rPr>
        <sz val="10"/>
        <rFont val="Arial"/>
        <family val="0"/>
        <charset val="1"/>
      </rPr>
      <t xml:space="preserve">OpenAI 2026 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Q3 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的最新揭露。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</si>
  <si>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官方部落格、</t>
    </r>
    <r>
      <rPr>
        <sz val="10"/>
        <rFont val="Arial"/>
        <family val="0"/>
        <charset val="1"/>
      </rPr>
      <t xml:space="preserve">DevDay 2026</t>
    </r>
    <r>
      <rPr>
        <sz val="10"/>
        <rFont val="Noto Sans CJK SC"/>
        <family val="2"/>
      </rPr>
      <t xml:space="preserve">、第三方統計頁。</t>
    </r>
  </si>
  <si>
    <r>
      <rPr>
        <sz val="10"/>
        <rFont val="Arial"/>
        <family val="0"/>
        <charset val="1"/>
      </rPr>
      <t xml:space="preserve">API token↑→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</si>
  <si>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196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S4</t>
    </r>
  </si>
  <si>
    <r>
      <rPr>
        <sz val="10"/>
        <rFont val="Noto Sans CJK SC"/>
        <family val="2"/>
      </rPr>
      <t xml:space="preserve">層級組合（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占比）</t>
    </r>
  </si>
  <si>
    <r>
      <rPr>
        <sz val="10"/>
        <rFont val="Arial"/>
        <family val="0"/>
        <charset val="1"/>
      </rPr>
      <t xml:space="preserve">Luna 0.40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Sol 0.45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Astra 0.15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Astra 0.10–0.30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</si>
  <si>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各模型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占比未公開；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單價約為 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倍，占比對有效單價影響大。</t>
    </r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</si>
  <si>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（及舊模型）的占比，按季。</t>
    </r>
  </si>
  <si>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模型排行（代理值）；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官方數字。</t>
    </r>
  </si>
  <si>
    <r>
      <rPr>
        <sz val="10"/>
        <rFont val="Arial"/>
        <family val="0"/>
        <charset val="1"/>
      </rPr>
      <t xml:space="preserve">Astra↑→</t>
    </r>
    <r>
      <rPr>
        <sz val="10"/>
        <rFont val="Noto Sans CJK SC"/>
        <family val="2"/>
      </rPr>
      <t xml:space="preserve">有效單價↑→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</si>
  <si>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31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T12</t>
    </r>
  </si>
  <si>
    <r>
      <rPr>
        <sz val="10"/>
        <rFont val="Noto Sans CJK SC"/>
        <family val="2"/>
      </rPr>
      <t xml:space="preserve">快取命中率 </t>
    </r>
    <r>
      <rPr>
        <sz val="10"/>
        <rFont val="Arial"/>
        <family val="0"/>
        <charset val="1"/>
      </rPr>
      <t xml:space="preserve">χ </t>
    </r>
    <r>
      <rPr>
        <sz val="10"/>
        <rFont val="Noto Sans CJK SC"/>
        <family val="2"/>
      </rPr>
      <t xml:space="preserve">與請求形狀（</t>
    </r>
    <r>
      <rPr>
        <sz val="10"/>
        <rFont val="Arial"/>
        <family val="0"/>
        <charset val="1"/>
      </rPr>
      <t xml:space="preserve">ISL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</si>
  <si>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χ 0.55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0.3–0.75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Sol ISL 16,384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OSL 2,048</t>
    </r>
  </si>
  <si>
    <r>
      <rPr>
        <sz val="10"/>
        <rFont val="Noto Sans CJK SC"/>
        <family val="2"/>
      </rPr>
      <t xml:space="preserve">決定新鮮輸入、快取輸入、輸出三種價在混合價裡的權重；</t>
    </r>
    <r>
      <rPr>
        <sz val="10"/>
        <rFont val="Arial"/>
        <family val="0"/>
        <charset val="1"/>
      </rPr>
      <t xml:space="preserve">2026 agent </t>
    </r>
    <r>
      <rPr>
        <sz val="10"/>
        <rFont val="Noto Sans CJK SC"/>
        <family val="2"/>
      </rPr>
      <t xml:space="preserve">流量快取約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，高於現值。</t>
    </r>
  </si>
  <si>
    <r>
      <rPr>
        <sz val="10"/>
        <rFont val="Noto Sans CJK SC"/>
        <family val="2"/>
      </rPr>
      <t xml:space="preserve">各類流量（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agent</t>
    </r>
    <r>
      <rPr>
        <sz val="10"/>
        <rFont val="Noto Sans CJK SC"/>
        <family val="2"/>
      </rPr>
      <t xml:space="preserve">）的平均輸入／輸出長度與快取命中率。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</si>
  <si>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prompt 1.5K→6K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completion 150→400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快取約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OpenAI DevDay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</si>
  <si>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χ↑→</t>
    </r>
    <r>
      <rPr>
        <sz val="10"/>
        <rFont val="Noto Sans CJK SC"/>
        <family val="2"/>
      </rPr>
      <t xml:space="preserve">有效單價↓→</t>
    </r>
    <r>
      <rPr>
        <sz val="10"/>
        <rFont val="Arial"/>
        <family val="0"/>
        <charset val="1"/>
      </rPr>
      <t xml:space="preserve">m↑</t>
    </r>
    <r>
      <rPr>
        <sz val="10"/>
        <rFont val="Noto Sans CJK SC"/>
        <family val="2"/>
      </rPr>
      <t xml:space="preserve">；輸出越長→有效單價↑→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</si>
  <si>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C13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Serving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23–24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T5–T7</t>
    </r>
  </si>
  <si>
    <t xml:space="preserve">廣告營收</t>
  </si>
  <si>
    <r>
      <rPr>
        <sz val="10"/>
        <rFont val="Arial"/>
        <family val="0"/>
        <charset val="1"/>
      </rPr>
      <t xml:space="preserve">2026 Q2 0.5 $B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0.3–0.8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</si>
  <si>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依據 </t>
    </r>
    <r>
      <rPr>
        <sz val="10"/>
        <rFont val="Arial"/>
        <family val="0"/>
        <charset val="1"/>
      </rPr>
      <t xml:space="preserve">SRC_DEM_072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廣告年化達 </t>
    </r>
    <r>
      <rPr>
        <sz val="10"/>
        <rFont val="Arial"/>
        <family val="0"/>
        <charset val="1"/>
      </rPr>
      <t xml:space="preserve">$1B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年化值為推定。</t>
    </r>
  </si>
  <si>
    <t xml:space="preserve">廣告營收的季度揭露。</t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</si>
  <si>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／媒體報導。</t>
    </r>
  </si>
  <si>
    <r>
      <rPr>
        <sz val="10"/>
        <rFont val="Noto Sans CJK SC"/>
        <family val="2"/>
      </rPr>
      <t xml:space="preserve">廣告↑→分子↓→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（影響小）。</t>
    </r>
  </si>
  <si>
    <t xml:space="preserve">Cap_In E186 → S2</t>
  </si>
  <si>
    <t xml:space="preserve">二、需要「實地調研」或付費資料</t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</si>
  <si>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占比與企業折扣）</t>
    </r>
  </si>
  <si>
    <r>
      <rPr>
        <sz val="10"/>
        <rFont val="Arial"/>
        <family val="0"/>
        <charset val="1"/>
      </rPr>
      <t xml:space="preserve">0.20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0.1–0.4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</si>
  <si>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</rPr>
      <t xml:space="preserve">半價是公開牌價，但占比與企業議價找不到（</t>
    </r>
    <r>
      <rPr>
        <sz val="10"/>
        <rFont val="Arial"/>
        <family val="0"/>
        <charset val="1"/>
      </rPr>
      <t xml:space="preserve">DB_Evidence E359</t>
    </r>
    <r>
      <rPr>
        <sz val="10"/>
        <rFont val="Noto Sans CJK SC"/>
        <family val="2"/>
      </rPr>
      <t xml:space="preserve">：三輪搜尋未找到）。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交接檔證據 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項「企業折扣」。</t>
    </r>
  </si>
  <si>
    <r>
      <rPr>
        <sz val="10"/>
        <rFont val="Noto Sans CJK SC"/>
        <family val="2"/>
      </rPr>
      <t xml:space="preserve">問：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用量中 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的占比？大型企業承諾用量合約相對牌價的平均折扣？優先處理溢價與快取計價如何影響實收？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</si>
  <si>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大客戶（企業、新創）；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業務；雲端市集（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</si>
  <si>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d↑→</t>
    </r>
    <r>
      <rPr>
        <sz val="10"/>
        <rFont val="Noto Sans CJK SC"/>
        <family val="2"/>
      </rPr>
      <t xml:space="preserve">有效牌價↓→</t>
    </r>
    <r>
      <rPr>
        <sz val="10"/>
        <rFont val="Arial"/>
        <family val="0"/>
        <charset val="1"/>
      </rPr>
      <t xml:space="preserve">m↑</t>
    </r>
    <r>
      <rPr>
        <sz val="10"/>
        <rFont val="Noto Sans CJK SC"/>
        <family val="2"/>
      </rPr>
      <t xml:space="preserve">；但 </t>
    </r>
    <r>
      <rPr>
        <sz val="10"/>
        <rFont val="Arial"/>
        <family val="0"/>
        <charset val="1"/>
      </rPr>
      <t xml:space="preserve">m×(1 − d) </t>
    </r>
    <r>
      <rPr>
        <sz val="10"/>
        <rFont val="Noto Sans CJK SC"/>
        <family val="2"/>
      </rPr>
      <t xml:space="preserve">不變（見 </t>
    </r>
    <r>
      <rPr>
        <sz val="10"/>
        <rFont val="Arial"/>
        <family val="0"/>
        <charset val="1"/>
      </rPr>
      <t xml:space="preserve">1A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可調驗證）。</t>
    </r>
  </si>
  <si>
    <t xml:space="preserve">Cap_In C12 → IN_Disc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</si>
  <si>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</t>
    </r>
  </si>
  <si>
    <t xml:space="preserve">訂閱用量分布（重度與輕度用戶）</t>
  </si>
  <si>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0.75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0.65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0.5–0.9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</si>
  <si>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消費訂閱＞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的根本原因是定額月費遠高於多數用戶的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用量等值；但用量分布（重度用戶人數與比例）沒有揭露。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交接檔證據 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項。</t>
    </r>
  </si>
  <si>
    <r>
      <rPr>
        <sz val="10"/>
        <rFont val="Noto Sans CJK SC"/>
        <family val="2"/>
      </rPr>
      <t xml:space="preserve">問：</t>
    </r>
    <r>
      <rPr>
        <sz val="10"/>
        <rFont val="Arial"/>
        <family val="0"/>
        <charset val="1"/>
      </rPr>
      <t xml:space="preserve">Plus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Pro </t>
    </r>
    <r>
      <rPr>
        <sz val="10"/>
        <rFont val="Noto Sans CJK SC"/>
        <family val="2"/>
      </rPr>
      <t xml:space="preserve">用戶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用量的分布（中位數、</t>
    </r>
    <r>
      <rPr>
        <sz val="10"/>
        <rFont val="Arial"/>
        <family val="0"/>
        <charset val="1"/>
      </rPr>
      <t xml:space="preserve">p90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p99</t>
    </r>
    <r>
      <rPr>
        <sz val="10"/>
        <rFont val="Noto Sans CJK SC"/>
        <family val="2"/>
      </rPr>
      <t xml:space="preserve">）？重度用戶占訂閱人數與占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的比例？方案上限（速率限制）實際觸頂比例？</t>
    </r>
  </si>
  <si>
    <r>
      <rPr>
        <sz val="10"/>
        <rFont val="Noto Sans CJK SC"/>
        <family val="2"/>
      </rPr>
      <t xml:space="preserve">前員工與業者訪談；第三方用量調查；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研究報告（用戶行為）。</t>
    </r>
  </si>
  <si>
    <r>
      <rPr>
        <sz val="10"/>
        <rFont val="Noto Sans CJK SC"/>
        <family val="2"/>
      </rPr>
      <t xml:space="preserve">不影響整體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（只影響訂閱與席次的分路線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）；整體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的訂閱貢獻要靠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與免費占比。</t>
    </r>
  </si>
  <si>
    <r>
      <rPr>
        <sz val="10"/>
        <rFont val="Arial"/>
        <family val="0"/>
        <charset val="1"/>
      </rPr>
      <t xml:space="preserve">Cap_In C132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D200 → 4_</t>
    </r>
    <r>
      <rPr>
        <sz val="10"/>
        <rFont val="Noto Sans CJK SC"/>
        <family val="2"/>
      </rPr>
      <t xml:space="preserve">分路線 </t>
    </r>
    <r>
      <rPr>
        <sz val="10"/>
        <rFont val="Arial"/>
        <family val="0"/>
        <charset val="1"/>
      </rPr>
      <t xml:space="preserve">R10</t>
    </r>
  </si>
  <si>
    <t xml:space="preserve">商用席次定價與實際用量</t>
  </si>
  <si>
    <r>
      <rPr>
        <sz val="10"/>
        <rFont val="Noto Sans CJK SC"/>
        <family val="2"/>
      </rPr>
      <t xml:space="preserve">席次營收份額 </t>
    </r>
    <r>
      <rPr>
        <sz val="10"/>
        <rFont val="Arial"/>
        <family val="0"/>
        <charset val="1"/>
      </rPr>
      <t xml:space="preserve">2026 Q2 0.25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</si>
  <si>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「企業」口徑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未定義（席次＋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？）；席次實際用量只有 </t>
    </r>
    <r>
      <rPr>
        <sz val="10"/>
        <rFont val="Arial"/>
        <family val="0"/>
        <charset val="1"/>
      </rPr>
      <t xml:space="preserve">p95</t>
    </r>
    <r>
      <rPr>
        <sz val="10"/>
        <rFont val="Noto Sans CJK SC"/>
        <family val="2"/>
      </rPr>
      <t xml:space="preserve">／中位數（</t>
    </r>
    <r>
      <rPr>
        <sz val="10"/>
        <rFont val="Arial"/>
        <family val="0"/>
        <charset val="1"/>
      </rPr>
      <t xml:space="preserve">SRC_DEM_045</t>
    </r>
    <r>
      <rPr>
        <sz val="10"/>
        <rFont val="Noto Sans CJK SC"/>
        <family val="2"/>
      </rPr>
      <t xml:space="preserve">）。</t>
    </r>
  </si>
  <si>
    <t xml:space="preserve">企業席次單價、席次數、企業年約折扣、承諾用量。</t>
  </si>
  <si>
    <r>
      <rPr>
        <sz val="10"/>
        <rFont val="Noto Sans CJK SC"/>
        <family val="2"/>
      </rPr>
      <t xml:space="preserve">企業客戶採購人員；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業務；雲端市集。</t>
    </r>
  </si>
  <si>
    <r>
      <rPr>
        <sz val="10"/>
        <rFont val="Noto Sans CJK SC"/>
        <family val="2"/>
      </rPr>
      <t xml:space="preserve">只影響分路線 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商用席次與 </t>
    </r>
    <r>
      <rPr>
        <sz val="10"/>
        <rFont val="Arial"/>
        <family val="0"/>
        <charset val="1"/>
      </rPr>
      <t xml:space="preserve">m_API </t>
    </r>
    <r>
      <rPr>
        <sz val="10"/>
        <rFont val="Noto Sans CJK SC"/>
        <family val="2"/>
      </rPr>
      <t xml:space="preserve">的分攤。</t>
    </r>
  </si>
  <si>
    <r>
      <rPr>
        <sz val="10"/>
        <rFont val="Arial"/>
        <family val="0"/>
        <charset val="1"/>
      </rPr>
      <t xml:space="preserve">Cap_In E189 → 4_</t>
    </r>
    <r>
      <rPr>
        <sz val="10"/>
        <rFont val="Noto Sans CJK SC"/>
        <family val="2"/>
      </rPr>
      <t xml:space="preserve">分路線</t>
    </r>
  </si>
  <si>
    <t xml:space="preserve">其他收入面變數（尚未進模型）</t>
  </si>
  <si>
    <r>
      <rPr>
        <sz val="10"/>
        <rFont val="Arial"/>
        <family val="0"/>
        <charset val="1"/>
      </rPr>
      <t xml:space="preserve">README </t>
    </r>
    <r>
      <rPr>
        <sz val="10"/>
        <rFont val="Noto Sans CJK SC"/>
        <family val="2"/>
      </rPr>
      <t xml:space="preserve">列出，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未量化</t>
    </r>
  </si>
  <si>
    <t xml:space="preserve">訂閱方案用量上限與速率限制、年繳與月繳折扣、促銷與試用額度、區域定價、經雲端市集或合作夥伴的營收分成（毛額與淨額口徑）、退款與壞帳。</t>
  </si>
  <si>
    <r>
      <rPr>
        <sz val="10"/>
        <rFont val="Noto Sans CJK SC"/>
        <family val="2"/>
      </rPr>
      <t xml:space="preserve">各項對實收營收（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分子）的調整幅度。</t>
    </r>
  </si>
  <si>
    <r>
      <rPr>
        <sz val="10"/>
        <rFont val="Noto Sans CJK SC"/>
        <family val="2"/>
      </rPr>
      <t xml:space="preserve">財報附註；招股文件若 </t>
    </r>
    <r>
      <rPr>
        <sz val="10"/>
        <rFont val="Arial"/>
        <family val="0"/>
        <charset val="1"/>
      </rPr>
      <t xml:space="preserve">IPO</t>
    </r>
    <r>
      <rPr>
        <sz val="10"/>
        <rFont val="Noto Sans CJK SC"/>
        <family val="2"/>
      </rPr>
      <t xml:space="preserve">；業者訪談。</t>
    </r>
  </si>
  <si>
    <r>
      <rPr>
        <sz val="10"/>
        <rFont val="Noto Sans CJK SC"/>
        <family val="2"/>
      </rPr>
      <t xml:space="preserve">多為分子（實收）調整：實收↓→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</si>
  <si>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b val="true"/>
        <sz val="13"/>
        <rFont val="Noto Sans CJK SC"/>
        <family val="2"/>
      </rPr>
      <t xml:space="preserve">核對對照：本簿貼上的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數字 ↔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位置</t>
    </r>
  </si>
  <si>
    <r>
      <rPr>
        <sz val="9"/>
        <color rgb="FF555555"/>
        <rFont val="Noto Sans CJK SC"/>
        <family val="2"/>
      </rPr>
      <t xml:space="preserve">類型：輸入／區間低／區間高／原值＝貼上自 </t>
    </r>
    <r>
      <rPr>
        <sz val="9"/>
        <color rgb="FF555555"/>
        <rFont val="Arial"/>
        <family val="0"/>
        <charset val="1"/>
      </rPr>
      <t xml:space="preserve">Tokenomics v21.2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tools/reading_workbooks/check_reading_m.py </t>
    </r>
    <r>
      <rPr>
        <sz val="9"/>
        <color rgb="FF555555"/>
        <rFont val="Noto Sans CJK SC"/>
        <family val="2"/>
      </rPr>
      <t xml:space="preserve">逐格比對（相對容差 </t>
    </r>
    <r>
      <rPr>
        <sz val="9"/>
        <color rgb="FF555555"/>
        <rFont val="Arial"/>
        <family val="0"/>
        <charset val="1"/>
      </rPr>
      <t xml:space="preserve">1e-9</t>
    </r>
    <r>
      <rPr>
        <sz val="9"/>
        <color rgb="FF555555"/>
        <rFont val="Noto Sans CJK SC"/>
        <family val="2"/>
      </rPr>
      <t xml:space="preserve">）；差異＝須 ≤ </t>
    </r>
    <r>
      <rPr>
        <sz val="9"/>
        <color rgb="FF555555"/>
        <rFont val="Arial"/>
        <family val="0"/>
        <charset val="1"/>
      </rPr>
      <t xml:space="preserve">1e-9 </t>
    </r>
    <r>
      <rPr>
        <sz val="9"/>
        <color rgb="FF555555"/>
        <rFont val="Noto Sans CJK SC"/>
        <family val="2"/>
      </rPr>
      <t xml:space="preserve">的差異格。閱讀時可略過本頁。</t>
    </r>
  </si>
  <si>
    <t xml:space="preserve">本簿頁</t>
  </si>
  <si>
    <t xml:space="preserve">本簿格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</si>
  <si>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位置（具名範圍或 頁</t>
    </r>
    <r>
      <rPr>
        <b val="true"/>
        <sz val="10"/>
        <color rgb="FFFFFFFF"/>
        <rFont val="Arial"/>
        <family val="0"/>
        <charset val="1"/>
      </rPr>
      <t xml:space="preserve">!</t>
    </r>
    <r>
      <rPr>
        <b val="true"/>
        <sz val="10"/>
        <color rgb="FFFFFFFF"/>
        <rFont val="Noto Sans CJK SC"/>
        <family val="2"/>
      </rPr>
      <t xml:space="preserve">格；可為四則運算）</t>
    </r>
  </si>
  <si>
    <t xml:space="preserve">類型</t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</si>
  <si>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</t>
    </r>
  </si>
  <si>
    <t xml:space="preserve">D6</t>
  </si>
  <si>
    <t xml:space="preserve">SRC_DEM_007</t>
  </si>
  <si>
    <t xml:space="preserve">D7</t>
  </si>
  <si>
    <t xml:space="preserve">SRC_DEM_069</t>
  </si>
  <si>
    <t xml:space="preserve">D8</t>
  </si>
  <si>
    <t xml:space="preserve">SRC_DEM_042</t>
  </si>
  <si>
    <t xml:space="preserve">D9</t>
  </si>
  <si>
    <t xml:space="preserve">D10</t>
  </si>
  <si>
    <t xml:space="preserve">G10</t>
  </si>
  <si>
    <t xml:space="preserve">Gov_Map!K644</t>
  </si>
  <si>
    <t xml:space="preserve">H10</t>
  </si>
  <si>
    <t xml:space="preserve">Gov_Map!L644</t>
  </si>
  <si>
    <t xml:space="preserve">D11</t>
  </si>
  <si>
    <t xml:space="preserve">G11</t>
  </si>
  <si>
    <t xml:space="preserve">Gov_Map!K645</t>
  </si>
  <si>
    <t xml:space="preserve">H11</t>
  </si>
  <si>
    <t xml:space="preserve">Gov_Map!L645</t>
  </si>
  <si>
    <t xml:space="preserve">D12</t>
  </si>
  <si>
    <t xml:space="preserve">G12</t>
  </si>
  <si>
    <t xml:space="preserve">Gov_Map!K646</t>
  </si>
  <si>
    <t xml:space="preserve">H12</t>
  </si>
  <si>
    <t xml:space="preserve">Gov_Map!L646</t>
  </si>
  <si>
    <t xml:space="preserve">D14</t>
  </si>
  <si>
    <t xml:space="preserve">G14</t>
  </si>
  <si>
    <t xml:space="preserve">Cap_In!D70</t>
  </si>
  <si>
    <t xml:space="preserve">H14</t>
  </si>
  <si>
    <t xml:space="preserve">Cap_In!E70</t>
  </si>
  <si>
    <t xml:space="preserve">D15</t>
  </si>
  <si>
    <t xml:space="preserve">G15</t>
  </si>
  <si>
    <t xml:space="preserve">Gov_Map!K618</t>
  </si>
  <si>
    <t xml:space="preserve">H15</t>
  </si>
  <si>
    <t xml:space="preserve">Gov_Map!L618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</si>
  <si>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</si>
  <si>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</si>
  <si>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</si>
  <si>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</si>
  <si>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</si>
  <si>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</si>
  <si>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D23</t>
  </si>
  <si>
    <t xml:space="preserve">SRC_DEM_010</t>
  </si>
  <si>
    <t xml:space="preserve">D24</t>
  </si>
  <si>
    <t xml:space="preserve">G24</t>
  </si>
  <si>
    <t xml:space="preserve">Gov_Map!K588</t>
  </si>
  <si>
    <t xml:space="preserve">H24</t>
  </si>
  <si>
    <t xml:space="preserve">Gov_Map!L588</t>
  </si>
  <si>
    <t xml:space="preserve">D25</t>
  </si>
  <si>
    <t xml:space="preserve">SRC_DEM_011</t>
  </si>
  <si>
    <t xml:space="preserve">D26</t>
  </si>
  <si>
    <t xml:space="preserve">D27</t>
  </si>
  <si>
    <t xml:space="preserve">SRC_DEM_012</t>
  </si>
  <si>
    <t xml:space="preserve">D28</t>
  </si>
  <si>
    <t xml:space="preserve">D29</t>
  </si>
  <si>
    <t xml:space="preserve">D30</t>
  </si>
  <si>
    <t xml:space="preserve">D31</t>
  </si>
  <si>
    <t xml:space="preserve">G31</t>
  </si>
  <si>
    <t xml:space="preserve">Gov_Map!K590</t>
  </si>
  <si>
    <t xml:space="preserve">H31</t>
  </si>
  <si>
    <t xml:space="preserve">Gov_Map!L590</t>
  </si>
  <si>
    <t xml:space="preserve">D32</t>
  </si>
  <si>
    <t xml:space="preserve">G32</t>
  </si>
  <si>
    <t xml:space="preserve">Gov_Map!K592</t>
  </si>
  <si>
    <t xml:space="preserve">H32</t>
  </si>
  <si>
    <t xml:space="preserve">Gov_Map!L592</t>
  </si>
  <si>
    <t xml:space="preserve">D33</t>
  </si>
  <si>
    <t xml:space="preserve">G33</t>
  </si>
  <si>
    <t xml:space="preserve">Gov_Map!K620</t>
  </si>
  <si>
    <t xml:space="preserve">H33</t>
  </si>
  <si>
    <t xml:space="preserve">Gov_Map!L620</t>
  </si>
  <si>
    <t xml:space="preserve">D34</t>
  </si>
  <si>
    <t xml:space="preserve">G34</t>
  </si>
  <si>
    <t xml:space="preserve">Gov_Map!K647</t>
  </si>
  <si>
    <t xml:space="preserve">H34</t>
  </si>
  <si>
    <t xml:space="preserve">Gov_Map!L647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</si>
  <si>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</si>
  <si>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</si>
  <si>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</si>
  <si>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</si>
  <si>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</si>
  <si>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</si>
  <si>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</si>
  <si>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</si>
  <si>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</si>
  <si>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</si>
  <si>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G45</t>
  </si>
  <si>
    <t xml:space="preserve">Gov_Map!K249</t>
  </si>
  <si>
    <t xml:space="preserve">H45</t>
  </si>
  <si>
    <t xml:space="preserve">Gov_Map!L249</t>
  </si>
  <si>
    <t xml:space="preserve">D46</t>
  </si>
  <si>
    <t xml:space="preserve">G46</t>
  </si>
  <si>
    <t xml:space="preserve">Gov_Map!K250</t>
  </si>
  <si>
    <t xml:space="preserve">H46</t>
  </si>
  <si>
    <t xml:space="preserve">Gov_Map!L250</t>
  </si>
  <si>
    <t xml:space="preserve">D47</t>
  </si>
  <si>
    <t xml:space="preserve">G47</t>
  </si>
  <si>
    <t xml:space="preserve">Gov_Map!K251</t>
  </si>
  <si>
    <t xml:space="preserve">H47</t>
  </si>
  <si>
    <t xml:space="preserve">Gov_Map!L251</t>
  </si>
  <si>
    <t xml:space="preserve">D48</t>
  </si>
  <si>
    <t xml:space="preserve">G48</t>
  </si>
  <si>
    <t xml:space="preserve">Gov_Map!K252</t>
  </si>
  <si>
    <t xml:space="preserve">H48</t>
  </si>
  <si>
    <t xml:space="preserve">Gov_Map!L252</t>
  </si>
  <si>
    <t xml:space="preserve">D49</t>
  </si>
  <si>
    <t xml:space="preserve">G49</t>
  </si>
  <si>
    <t xml:space="preserve">Gov_Map!K253</t>
  </si>
  <si>
    <t xml:space="preserve">H49</t>
  </si>
  <si>
    <t xml:space="preserve">Gov_Map!L253</t>
  </si>
  <si>
    <t xml:space="preserve">D50</t>
  </si>
  <si>
    <t xml:space="preserve">G50</t>
  </si>
  <si>
    <t xml:space="preserve">Gov_Map!K254</t>
  </si>
  <si>
    <t xml:space="preserve">H50</t>
  </si>
  <si>
    <t xml:space="preserve">Gov_Map!L254</t>
  </si>
  <si>
    <t xml:space="preserve">D51</t>
  </si>
  <si>
    <t xml:space="preserve">G51</t>
  </si>
  <si>
    <t xml:space="preserve">Gov_Map!K447</t>
  </si>
  <si>
    <t xml:space="preserve">H51</t>
  </si>
  <si>
    <t xml:space="preserve">Gov_Map!L447</t>
  </si>
  <si>
    <t xml:space="preserve">D52</t>
  </si>
  <si>
    <t xml:space="preserve">D53</t>
  </si>
  <si>
    <t xml:space="preserve">D54</t>
  </si>
  <si>
    <t xml:space="preserve">D55</t>
  </si>
  <si>
    <t xml:space="preserve">G55</t>
  </si>
  <si>
    <t xml:space="preserve">Gov_Map!K445</t>
  </si>
  <si>
    <t xml:space="preserve">H55</t>
  </si>
  <si>
    <t xml:space="preserve">Gov_Map!L445</t>
  </si>
  <si>
    <t xml:space="preserve">D56</t>
  </si>
  <si>
    <t xml:space="preserve">G56</t>
  </si>
  <si>
    <t xml:space="preserve">Gov_Map!K648</t>
  </si>
  <si>
    <t xml:space="preserve">H56</t>
  </si>
  <si>
    <t xml:space="preserve">Gov_Map!L648</t>
  </si>
  <si>
    <t xml:space="preserve">D57</t>
  </si>
  <si>
    <t xml:space="preserve">D58</t>
  </si>
  <si>
    <t xml:space="preserve">D59</t>
  </si>
  <si>
    <t xml:space="preserve">D60</t>
  </si>
  <si>
    <t xml:space="preserve">G60</t>
  </si>
  <si>
    <t xml:space="preserve">Cap_In!D278</t>
  </si>
  <si>
    <t xml:space="preserve">H60</t>
  </si>
  <si>
    <t xml:space="preserve">Cap_In!E278</t>
  </si>
  <si>
    <t xml:space="preserve">D61</t>
  </si>
  <si>
    <t xml:space="preserve">G61</t>
  </si>
  <si>
    <t xml:space="preserve">Cap_In!D279</t>
  </si>
  <si>
    <t xml:space="preserve">H61</t>
  </si>
  <si>
    <t xml:space="preserve">Cap_In!E279</t>
  </si>
  <si>
    <t xml:space="preserve">D62</t>
  </si>
  <si>
    <t xml:space="preserve">G62</t>
  </si>
  <si>
    <t xml:space="preserve">Cap_In!D280</t>
  </si>
  <si>
    <t xml:space="preserve">H62</t>
  </si>
  <si>
    <t xml:space="preserve">Cap_In!E280</t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</si>
  <si>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</t>
    </r>
  </si>
  <si>
    <t xml:space="preserve">J6</t>
  </si>
  <si>
    <t xml:space="preserve">Cap_In!C69</t>
  </si>
  <si>
    <t xml:space="preserve">原值</t>
  </si>
  <si>
    <t xml:space="preserve">N6</t>
  </si>
  <si>
    <t xml:space="preserve">差異</t>
  </si>
  <si>
    <t xml:space="preserve">K6</t>
  </si>
  <si>
    <t xml:space="preserve">Cap_In!D185</t>
  </si>
  <si>
    <t xml:space="preserve">O6</t>
  </si>
  <si>
    <t xml:space="preserve">L6</t>
  </si>
  <si>
    <t xml:space="preserve">Cap_In!E185</t>
  </si>
  <si>
    <t xml:space="preserve">P6</t>
  </si>
  <si>
    <t xml:space="preserve">M6</t>
  </si>
  <si>
    <t xml:space="preserve">Q6</t>
  </si>
  <si>
    <t xml:space="preserve">J7</t>
  </si>
  <si>
    <t xml:space="preserve">Cap_In!C186</t>
  </si>
  <si>
    <t xml:space="preserve">N7</t>
  </si>
  <si>
    <t xml:space="preserve">K7</t>
  </si>
  <si>
    <t xml:space="preserve">O7</t>
  </si>
  <si>
    <t xml:space="preserve">L7</t>
  </si>
  <si>
    <t xml:space="preserve">P7</t>
  </si>
  <si>
    <t xml:space="preserve">M7</t>
  </si>
  <si>
    <t xml:space="preserve">Q7</t>
  </si>
  <si>
    <t xml:space="preserve">J8</t>
  </si>
  <si>
    <t xml:space="preserve">N8</t>
  </si>
  <si>
    <t xml:space="preserve">K8</t>
  </si>
  <si>
    <t xml:space="preserve">Cap_In!D187</t>
  </si>
  <si>
    <t xml:space="preserve">O8</t>
  </si>
  <si>
    <t xml:space="preserve">L8</t>
  </si>
  <si>
    <t xml:space="preserve">Cap_In!E187</t>
  </si>
  <si>
    <t xml:space="preserve">P8</t>
  </si>
  <si>
    <t xml:space="preserve">M8</t>
  </si>
  <si>
    <t xml:space="preserve">Cap_In!F187</t>
  </si>
  <si>
    <t xml:space="preserve">Q8</t>
  </si>
  <si>
    <t xml:space="preserve">J10</t>
  </si>
  <si>
    <t xml:space="preserve">AL_DAPI</t>
  </si>
  <si>
    <t xml:space="preserve">N10</t>
  </si>
  <si>
    <t xml:space="preserve">K10</t>
  </si>
  <si>
    <t xml:space="preserve">Cap_In!D196</t>
  </si>
  <si>
    <t xml:space="preserve">O10</t>
  </si>
  <si>
    <t xml:space="preserve">L10</t>
  </si>
  <si>
    <t xml:space="preserve">Cap_In!E196</t>
  </si>
  <si>
    <t xml:space="preserve">P10</t>
  </si>
  <si>
    <t xml:space="preserve">M10</t>
  </si>
  <si>
    <t xml:space="preserve">Cap_In!F196</t>
  </si>
  <si>
    <t xml:space="preserve">Q10</t>
  </si>
  <si>
    <t xml:space="preserve">J11</t>
  </si>
  <si>
    <t xml:space="preserve">N11</t>
  </si>
  <si>
    <t xml:space="preserve">K11</t>
  </si>
  <si>
    <t xml:space="preserve">O11</t>
  </si>
  <si>
    <t xml:space="preserve">L11</t>
  </si>
  <si>
    <t xml:space="preserve">P11</t>
  </si>
  <si>
    <t xml:space="preserve">M11</t>
  </si>
  <si>
    <t xml:space="preserve">Q11</t>
  </si>
  <si>
    <t xml:space="preserve">J12</t>
  </si>
  <si>
    <t xml:space="preserve">AL_DChat</t>
  </si>
  <si>
    <t xml:space="preserve">N12</t>
  </si>
  <si>
    <t xml:space="preserve">K12</t>
  </si>
  <si>
    <t xml:space="preserve">Cap_In!D198+Cap_In!D199</t>
  </si>
  <si>
    <t xml:space="preserve">O12</t>
  </si>
  <si>
    <t xml:space="preserve">L12</t>
  </si>
  <si>
    <t xml:space="preserve">Cap_In!E198+Cap_In!E199</t>
  </si>
  <si>
    <t xml:space="preserve">P12</t>
  </si>
  <si>
    <t xml:space="preserve">M12</t>
  </si>
  <si>
    <t xml:space="preserve">Cap_In!F198+Cap_In!F199</t>
  </si>
  <si>
    <t xml:space="preserve">Q12</t>
  </si>
  <si>
    <t xml:space="preserve">J13</t>
  </si>
  <si>
    <t xml:space="preserve">AL_DChatFree</t>
  </si>
  <si>
    <t xml:space="preserve">N13</t>
  </si>
  <si>
    <t xml:space="preserve">K13</t>
  </si>
  <si>
    <t xml:space="preserve">Cap_In!D199</t>
  </si>
  <si>
    <t xml:space="preserve">O13</t>
  </si>
  <si>
    <t xml:space="preserve">L13</t>
  </si>
  <si>
    <t xml:space="preserve">Cap_In!E199</t>
  </si>
  <si>
    <t xml:space="preserve">P13</t>
  </si>
  <si>
    <t xml:space="preserve">M13</t>
  </si>
  <si>
    <t xml:space="preserve">Cap_In!F199</t>
  </si>
  <si>
    <t xml:space="preserve">Q13</t>
  </si>
  <si>
    <t xml:space="preserve">J14</t>
  </si>
  <si>
    <t xml:space="preserve">AL_DChatPaid</t>
  </si>
  <si>
    <t xml:space="preserve">N14</t>
  </si>
  <si>
    <t xml:space="preserve">K14</t>
  </si>
  <si>
    <t xml:space="preserve">Cap_In!D198</t>
  </si>
  <si>
    <t xml:space="preserve">O14</t>
  </si>
  <si>
    <t xml:space="preserve">L14</t>
  </si>
  <si>
    <t xml:space="preserve">Cap_In!E198</t>
  </si>
  <si>
    <t xml:space="preserve">P14</t>
  </si>
  <si>
    <t xml:space="preserve">M14</t>
  </si>
  <si>
    <t xml:space="preserve">Cap_In!F198</t>
  </si>
  <si>
    <t xml:space="preserve">Q14</t>
  </si>
  <si>
    <t xml:space="preserve">J15</t>
  </si>
  <si>
    <t xml:space="preserve">Cap_In!C83</t>
  </si>
  <si>
    <t xml:space="preserve">N15</t>
  </si>
  <si>
    <t xml:space="preserve">K15</t>
  </si>
  <si>
    <t xml:space="preserve">Cap_In!D196+Cap_In!D198</t>
  </si>
  <si>
    <t xml:space="preserve">O15</t>
  </si>
  <si>
    <t xml:space="preserve">L15</t>
  </si>
  <si>
    <t xml:space="preserve">Cap_In!E196+Cap_In!E198</t>
  </si>
  <si>
    <t xml:space="preserve">P15</t>
  </si>
  <si>
    <t xml:space="preserve">M15</t>
  </si>
  <si>
    <t xml:space="preserve">Cap_In!F196+Cap_In!F198</t>
  </si>
  <si>
    <t xml:space="preserve">Q15</t>
  </si>
  <si>
    <t xml:space="preserve">J17</t>
  </si>
  <si>
    <t xml:space="preserve">CAP_Price25Mix</t>
  </si>
  <si>
    <t xml:space="preserve">N17</t>
  </si>
  <si>
    <t xml:space="preserve">K17</t>
  </si>
  <si>
    <t xml:space="preserve">Cap_In!D205</t>
  </si>
  <si>
    <t xml:space="preserve">O17</t>
  </si>
  <si>
    <t xml:space="preserve">L17</t>
  </si>
  <si>
    <t xml:space="preserve">Cap_In!E205</t>
  </si>
  <si>
    <t xml:space="preserve">P17</t>
  </si>
  <si>
    <t xml:space="preserve">M17</t>
  </si>
  <si>
    <t xml:space="preserve">Cap_In!F205</t>
  </si>
  <si>
    <t xml:space="preserve">Q17</t>
  </si>
  <si>
    <t xml:space="preserve">K18</t>
  </si>
  <si>
    <t xml:space="preserve">L1_PxList_2026</t>
  </si>
  <si>
    <t xml:space="preserve">O18</t>
  </si>
  <si>
    <t xml:space="preserve">L18</t>
  </si>
  <si>
    <t xml:space="preserve">P18</t>
  </si>
  <si>
    <t xml:space="preserve">M18</t>
  </si>
  <si>
    <t xml:space="preserve">Q18</t>
  </si>
  <si>
    <t xml:space="preserve">J21</t>
  </si>
  <si>
    <t xml:space="preserve">Cap_In!C209</t>
  </si>
  <si>
    <t xml:space="preserve">N21</t>
  </si>
  <si>
    <t xml:space="preserve">K21</t>
  </si>
  <si>
    <t xml:space="preserve">Cap_In!D209</t>
  </si>
  <si>
    <t xml:space="preserve">O21</t>
  </si>
  <si>
    <t xml:space="preserve">L21</t>
  </si>
  <si>
    <t xml:space="preserve">Cap_In!E209</t>
  </si>
  <si>
    <t xml:space="preserve">P21</t>
  </si>
  <si>
    <t xml:space="preserve">M21</t>
  </si>
  <si>
    <t xml:space="preserve">Cap_In!F209</t>
  </si>
  <si>
    <t xml:space="preserve">Q21</t>
  </si>
  <si>
    <t xml:space="preserve">J23</t>
  </si>
  <si>
    <t xml:space="preserve">L1_M_2025</t>
  </si>
  <si>
    <t xml:space="preserve">N23</t>
  </si>
  <si>
    <t xml:space="preserve">K23</t>
  </si>
  <si>
    <t xml:space="preserve">L1_M_2026Q1</t>
  </si>
  <si>
    <t xml:space="preserve">O23</t>
  </si>
  <si>
    <t xml:space="preserve">L23</t>
  </si>
  <si>
    <t xml:space="preserve">L1_M_2026Q2</t>
  </si>
  <si>
    <t xml:space="preserve">P23</t>
  </si>
  <si>
    <t xml:space="preserve">M23</t>
  </si>
  <si>
    <t xml:space="preserve">L1_M_FY2026</t>
  </si>
  <si>
    <t xml:space="preserve">Q23</t>
  </si>
  <si>
    <t xml:space="preserve">L24</t>
  </si>
  <si>
    <t xml:space="preserve">L1_M</t>
  </si>
  <si>
    <t xml:space="preserve">P24</t>
  </si>
  <si>
    <t xml:space="preserve">J26</t>
  </si>
  <si>
    <t xml:space="preserve">N26</t>
  </si>
  <si>
    <t xml:space="preserve">K26</t>
  </si>
  <si>
    <t xml:space="preserve">O26</t>
  </si>
  <si>
    <t xml:space="preserve">L26</t>
  </si>
  <si>
    <t xml:space="preserve">P26</t>
  </si>
  <si>
    <t xml:space="preserve">J27</t>
  </si>
  <si>
    <t xml:space="preserve">N27</t>
  </si>
  <si>
    <t xml:space="preserve">K27</t>
  </si>
  <si>
    <t xml:space="preserve">O27</t>
  </si>
  <si>
    <t xml:space="preserve">L27</t>
  </si>
  <si>
    <t xml:space="preserve">P27</t>
  </si>
  <si>
    <t xml:space="preserve">J28</t>
  </si>
  <si>
    <t xml:space="preserve">N28</t>
  </si>
  <si>
    <t xml:space="preserve">K28</t>
  </si>
  <si>
    <t xml:space="preserve">O28</t>
  </si>
  <si>
    <t xml:space="preserve">L28</t>
  </si>
  <si>
    <t xml:space="preserve">P28</t>
  </si>
  <si>
    <t xml:space="preserve">J29</t>
  </si>
  <si>
    <t xml:space="preserve">N29</t>
  </si>
  <si>
    <t xml:space="preserve">K29</t>
  </si>
  <si>
    <t xml:space="preserve">O29</t>
  </si>
  <si>
    <t xml:space="preserve">L29</t>
  </si>
  <si>
    <t xml:space="preserve">P29</t>
  </si>
  <si>
    <t xml:space="preserve">J30</t>
  </si>
  <si>
    <t xml:space="preserve">N30</t>
  </si>
  <si>
    <t xml:space="preserve">K30</t>
  </si>
  <si>
    <t xml:space="preserve">O30</t>
  </si>
  <si>
    <t xml:space="preserve">L30</t>
  </si>
  <si>
    <t xml:space="preserve">P30</t>
  </si>
  <si>
    <t xml:space="preserve">J31</t>
  </si>
  <si>
    <t xml:space="preserve">N31</t>
  </si>
  <si>
    <t xml:space="preserve">K31</t>
  </si>
  <si>
    <t xml:space="preserve">O31</t>
  </si>
  <si>
    <t xml:space="preserve">L31</t>
  </si>
  <si>
    <t xml:space="preserve">P31</t>
  </si>
  <si>
    <t xml:space="preserve">J32</t>
  </si>
  <si>
    <t xml:space="preserve">N32</t>
  </si>
  <si>
    <t xml:space="preserve">K32</t>
  </si>
  <si>
    <t xml:space="preserve">O32</t>
  </si>
  <si>
    <t xml:space="preserve">L32</t>
  </si>
  <si>
    <t xml:space="preserve">P32</t>
  </si>
  <si>
    <t xml:space="preserve">J33</t>
  </si>
  <si>
    <t xml:space="preserve">Price_Frontier!C41</t>
  </si>
  <si>
    <t xml:space="preserve">N33</t>
  </si>
  <si>
    <t xml:space="preserve">K33</t>
  </si>
  <si>
    <t xml:space="preserve">Price_Frontier!D41</t>
  </si>
  <si>
    <t xml:space="preserve">O33</t>
  </si>
  <si>
    <t xml:space="preserve">L33</t>
  </si>
  <si>
    <t xml:space="preserve">Price_Frontier!E41</t>
  </si>
  <si>
    <t xml:space="preserve">P33</t>
  </si>
  <si>
    <t xml:space="preserve">J34</t>
  </si>
  <si>
    <t xml:space="preserve">Price_Frontier!C42</t>
  </si>
  <si>
    <t xml:space="preserve">N34</t>
  </si>
  <si>
    <t xml:space="preserve">K34</t>
  </si>
  <si>
    <t xml:space="preserve">Price_Frontier!D42</t>
  </si>
  <si>
    <t xml:space="preserve">O34</t>
  </si>
  <si>
    <t xml:space="preserve">L34</t>
  </si>
  <si>
    <t xml:space="preserve">Price_Frontier!E42</t>
  </si>
  <si>
    <t xml:space="preserve">P34</t>
  </si>
  <si>
    <t xml:space="preserve">J35</t>
  </si>
  <si>
    <t xml:space="preserve">Price_Frontier!C44</t>
  </si>
  <si>
    <t xml:space="preserve">N35</t>
  </si>
  <si>
    <t xml:space="preserve">K35</t>
  </si>
  <si>
    <t xml:space="preserve">Price_Frontier!D44</t>
  </si>
  <si>
    <t xml:space="preserve">O35</t>
  </si>
  <si>
    <t xml:space="preserve">L35</t>
  </si>
  <si>
    <t xml:space="preserve">Price_Frontier!E44</t>
  </si>
  <si>
    <t xml:space="preserve">P35</t>
  </si>
  <si>
    <t xml:space="preserve">J36</t>
  </si>
  <si>
    <t xml:space="preserve">IF_PriceRef_Luna</t>
  </si>
  <si>
    <t xml:space="preserve">N36</t>
  </si>
  <si>
    <t xml:space="preserve">K36</t>
  </si>
  <si>
    <t xml:space="preserve">IF_PriceRef_Sol</t>
  </si>
  <si>
    <t xml:space="preserve">O36</t>
  </si>
  <si>
    <t xml:space="preserve">L36</t>
  </si>
  <si>
    <t xml:space="preserve">IF_PriceRef_Astra</t>
  </si>
  <si>
    <t xml:space="preserve">P36</t>
  </si>
  <si>
    <t xml:space="preserve">J37</t>
  </si>
  <si>
    <t xml:space="preserve">N37</t>
  </si>
  <si>
    <t xml:space="preserve">K37</t>
  </si>
  <si>
    <t xml:space="preserve">O37</t>
  </si>
  <si>
    <t xml:space="preserve">L37</t>
  </si>
  <si>
    <t xml:space="preserve">P37</t>
  </si>
  <si>
    <t xml:space="preserve">J39</t>
  </si>
  <si>
    <t xml:space="preserve">N39</t>
  </si>
  <si>
    <t xml:space="preserve">K39</t>
  </si>
  <si>
    <t xml:space="preserve">O39</t>
  </si>
  <si>
    <t xml:space="preserve">L39</t>
  </si>
  <si>
    <t xml:space="preserve">P39</t>
  </si>
  <si>
    <t xml:space="preserve">J43</t>
  </si>
  <si>
    <t xml:space="preserve">Alloc_In!E15</t>
  </si>
  <si>
    <t xml:space="preserve">N43</t>
  </si>
  <si>
    <t xml:space="preserve">K43</t>
  </si>
  <si>
    <t xml:space="preserve">Alloc_In!D15</t>
  </si>
  <si>
    <t xml:space="preserve">O43</t>
  </si>
  <si>
    <t xml:space="preserve">L43</t>
  </si>
  <si>
    <t xml:space="preserve">P43</t>
  </si>
  <si>
    <t xml:space="preserve">M43</t>
  </si>
  <si>
    <t xml:space="preserve">Q43</t>
  </si>
  <si>
    <t xml:space="preserve">J44</t>
  </si>
  <si>
    <t xml:space="preserve">Alloc_In!D16</t>
  </si>
  <si>
    <t xml:space="preserve">N44</t>
  </si>
  <si>
    <t xml:space="preserve">K44</t>
  </si>
  <si>
    <t xml:space="preserve">Alloc_In!E16</t>
  </si>
  <si>
    <t xml:space="preserve">O44</t>
  </si>
  <si>
    <t xml:space="preserve">L44</t>
  </si>
  <si>
    <t xml:space="preserve">P44</t>
  </si>
  <si>
    <t xml:space="preserve">M44</t>
  </si>
  <si>
    <t xml:space="preserve">Q44</t>
  </si>
  <si>
    <t xml:space="preserve">J45</t>
  </si>
  <si>
    <t xml:space="preserve">Alloc_In!E14</t>
  </si>
  <si>
    <t xml:space="preserve">N45</t>
  </si>
  <si>
    <t xml:space="preserve">K45</t>
  </si>
  <si>
    <t xml:space="preserve">Alloc_In!D14</t>
  </si>
  <si>
    <t xml:space="preserve">O45</t>
  </si>
  <si>
    <t xml:space="preserve">J46</t>
  </si>
  <si>
    <t xml:space="preserve">Cap_In!D82</t>
  </si>
  <si>
    <t xml:space="preserve">N46</t>
  </si>
  <si>
    <t xml:space="preserve">K46</t>
  </si>
  <si>
    <t xml:space="preserve">Cap_In!E82</t>
  </si>
  <si>
    <t xml:space="preserve">O46</t>
  </si>
  <si>
    <t xml:space="preserve">J47</t>
  </si>
  <si>
    <t xml:space="preserve">Cap_In!D81</t>
  </si>
  <si>
    <t xml:space="preserve">N47</t>
  </si>
  <si>
    <t xml:space="preserve">K47</t>
  </si>
  <si>
    <t xml:space="preserve">Cap_In!E81</t>
  </si>
  <si>
    <t xml:space="preserve">O47</t>
  </si>
  <si>
    <t xml:space="preserve">J48</t>
  </si>
  <si>
    <t xml:space="preserve">Cap_In!D83</t>
  </si>
  <si>
    <t xml:space="preserve">N48</t>
  </si>
  <si>
    <t xml:space="preserve">K48</t>
  </si>
  <si>
    <t xml:space="preserve">Cap_In!E83</t>
  </si>
  <si>
    <t xml:space="preserve">O48</t>
  </si>
  <si>
    <t xml:space="preserve">J51</t>
  </si>
  <si>
    <t xml:space="preserve">L1_M_2025_Lo</t>
  </si>
  <si>
    <t xml:space="preserve">N51</t>
  </si>
  <si>
    <t xml:space="preserve">K51</t>
  </si>
  <si>
    <t xml:space="preserve">L1_M_2025_Hi</t>
  </si>
  <si>
    <t xml:space="preserve">O51</t>
  </si>
  <si>
    <t xml:space="preserve">L51</t>
  </si>
  <si>
    <t xml:space="preserve">L1_M_2026Q2_Lo</t>
  </si>
  <si>
    <t xml:space="preserve">P51</t>
  </si>
  <si>
    <t xml:space="preserve">M51</t>
  </si>
  <si>
    <t xml:space="preserve">L1_M_2026Q2_Hi</t>
  </si>
  <si>
    <t xml:space="preserve">Q51</t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</si>
  <si>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</t>
    </r>
  </si>
  <si>
    <t xml:space="preserve">J9</t>
  </si>
  <si>
    <t xml:space="preserve">Cap_In!C137/Cap_In!C69</t>
  </si>
  <si>
    <t xml:space="preserve">N9</t>
  </si>
  <si>
    <t xml:space="preserve">K9</t>
  </si>
  <si>
    <t xml:space="preserve">Cap_In!D190</t>
  </si>
  <si>
    <t xml:space="preserve">O9</t>
  </si>
  <si>
    <t xml:space="preserve">L9</t>
  </si>
  <si>
    <t xml:space="preserve">Cap_In!E190</t>
  </si>
  <si>
    <t xml:space="preserve">P9</t>
  </si>
  <si>
    <t xml:space="preserve">M9</t>
  </si>
  <si>
    <t xml:space="preserve">Cap_In!F190</t>
  </si>
  <si>
    <t xml:space="preserve">Q9</t>
  </si>
  <si>
    <t xml:space="preserve">Cap_In!C135</t>
  </si>
  <si>
    <t xml:space="preserve">Cap_In!D191</t>
  </si>
  <si>
    <t xml:space="preserve">Cap_In!E191</t>
  </si>
  <si>
    <t xml:space="preserve">Cap_In!F191</t>
  </si>
  <si>
    <t xml:space="preserve">Cap_In!C136</t>
  </si>
  <si>
    <t xml:space="preserve">Cap_In!D192</t>
  </si>
  <si>
    <t xml:space="preserve">Cap_In!E192</t>
  </si>
  <si>
    <t xml:space="preserve">Cap_In!F192</t>
  </si>
  <si>
    <t xml:space="preserve">Cap_In!C137</t>
  </si>
  <si>
    <t xml:space="preserve">Cap_In!D193</t>
  </si>
  <si>
    <t xml:space="preserve">Cap_In!E193</t>
  </si>
  <si>
    <t xml:space="preserve">Cap_In!F193</t>
  </si>
  <si>
    <t xml:space="preserve">Cap_In!C140</t>
  </si>
  <si>
    <t xml:space="preserve">Cap_In!C81</t>
  </si>
  <si>
    <t xml:space="preserve">J16</t>
  </si>
  <si>
    <t xml:space="preserve">N16</t>
  </si>
  <si>
    <t xml:space="preserve">K16</t>
  </si>
  <si>
    <t xml:space="preserve">O16</t>
  </si>
  <si>
    <t xml:space="preserve">L16</t>
  </si>
  <si>
    <t xml:space="preserve">Cap_In!E200</t>
  </si>
  <si>
    <t xml:space="preserve">P16</t>
  </si>
  <si>
    <t xml:space="preserve">M16</t>
  </si>
  <si>
    <t xml:space="preserve">Cap_In!F200</t>
  </si>
  <si>
    <t xml:space="preserve">Q16</t>
  </si>
  <si>
    <t xml:space="preserve">Cap_In!C141</t>
  </si>
  <si>
    <t xml:space="preserve">Cap_In!D201</t>
  </si>
  <si>
    <t xml:space="preserve">Cap_In!E201</t>
  </si>
  <si>
    <t xml:space="preserve">Cap_In!F201</t>
  </si>
  <si>
    <t xml:space="preserve">J18</t>
  </si>
  <si>
    <t xml:space="preserve">Cap_In!C142</t>
  </si>
  <si>
    <t xml:space="preserve">N18</t>
  </si>
  <si>
    <t xml:space="preserve">Cap_In!D202</t>
  </si>
  <si>
    <t xml:space="preserve">Cap_In!E202</t>
  </si>
  <si>
    <t xml:space="preserve">Cap_In!F202</t>
  </si>
  <si>
    <t xml:space="preserve">J20</t>
  </si>
  <si>
    <t xml:space="preserve">N20</t>
  </si>
  <si>
    <t xml:space="preserve">K20</t>
  </si>
  <si>
    <t xml:space="preserve">O20</t>
  </si>
  <si>
    <t xml:space="preserve">L20</t>
  </si>
  <si>
    <t xml:space="preserve">P20</t>
  </si>
  <si>
    <t xml:space="preserve">M20</t>
  </si>
  <si>
    <t xml:space="preserve">Q20</t>
  </si>
  <si>
    <t xml:space="preserve">L1_MAPI</t>
  </si>
  <si>
    <t xml:space="preserve">Cap_In!D206</t>
  </si>
  <si>
    <t xml:space="preserve">L1_M_API</t>
  </si>
  <si>
    <t xml:space="preserve">Cap_In!F206</t>
  </si>
  <si>
    <t xml:space="preserve">J22</t>
  </si>
  <si>
    <t xml:space="preserve">L1_MSub</t>
  </si>
  <si>
    <t xml:space="preserve">N22</t>
  </si>
  <si>
    <t xml:space="preserve">K22</t>
  </si>
  <si>
    <t xml:space="preserve">Cap_In!D207</t>
  </si>
  <si>
    <t xml:space="preserve">O22</t>
  </si>
  <si>
    <t xml:space="preserve">L22</t>
  </si>
  <si>
    <t xml:space="preserve">L1_M_Sub</t>
  </si>
  <si>
    <t xml:space="preserve">P22</t>
  </si>
  <si>
    <t xml:space="preserve">M22</t>
  </si>
  <si>
    <t xml:space="preserve">Cap_In!F207</t>
  </si>
  <si>
    <t xml:space="preserve">Q22</t>
  </si>
  <si>
    <t xml:space="preserve">L1_MSeat</t>
  </si>
  <si>
    <t xml:space="preserve">Cap_In!D208</t>
  </si>
  <si>
    <t xml:space="preserve">L1_M_Seat</t>
  </si>
  <si>
    <t xml:space="preserve">Cap_In!F208</t>
  </si>
  <si>
    <t xml:space="preserve">J24</t>
  </si>
  <si>
    <t xml:space="preserve">Cap_In!C147</t>
  </si>
  <si>
    <t xml:space="preserve">N24</t>
  </si>
  <si>
    <t xml:space="preserve">K24</t>
  </si>
  <si>
    <t xml:space="preserve">O24</t>
  </si>
  <si>
    <t xml:space="preserve">M24</t>
  </si>
  <si>
    <t xml:space="preserve">Q24</t>
  </si>
  <si>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</t>
    </r>
  </si>
  <si>
    <t xml:space="preserve">H7</t>
  </si>
  <si>
    <t xml:space="preserve">I7</t>
  </si>
  <si>
    <t xml:space="preserve">H8</t>
  </si>
  <si>
    <t xml:space="preserve">Cap_In!C83/1000000</t>
  </si>
  <si>
    <t xml:space="preserve">I8</t>
  </si>
  <si>
    <t xml:space="preserve">(Cap_In!E196+Cap_In!E198)/1000000</t>
  </si>
  <si>
    <t xml:space="preserve">I10</t>
  </si>
  <si>
    <t xml:space="preserve">I11</t>
  </si>
  <si>
    <t xml:space="preserve">I12</t>
  </si>
  <si>
    <t xml:space="preserve">L1_PxEff_2026</t>
  </si>
  <si>
    <t xml:space="preserve">H13</t>
  </si>
  <si>
    <t xml:space="preserve">I13</t>
  </si>
  <si>
    <t xml:space="preserve">I15</t>
  </si>
  <si>
    <t xml:space="preserve">H16</t>
  </si>
  <si>
    <t xml:space="preserve">I16</t>
  </si>
  <si>
    <t xml:space="preserve">H17</t>
  </si>
  <si>
    <t xml:space="preserve">I17</t>
  </si>
  <si>
    <t xml:space="preserve">H21</t>
  </si>
  <si>
    <t xml:space="preserve">I21</t>
  </si>
  <si>
    <t xml:space="preserve">H22</t>
  </si>
  <si>
    <t xml:space="preserve">I22</t>
  </si>
  <si>
    <t xml:space="preserve">H23</t>
  </si>
  <si>
    <t xml:space="preserve">I23</t>
  </si>
  <si>
    <t xml:space="preserve">I24</t>
  </si>
  <si>
    <t xml:space="preserve">H25</t>
  </si>
  <si>
    <t xml:space="preserve">J25</t>
  </si>
  <si>
    <t xml:space="preserve">I25</t>
  </si>
  <si>
    <t xml:space="preserve">K25</t>
  </si>
  <si>
    <t xml:space="preserve">H26</t>
  </si>
  <si>
    <t xml:space="preserve">I26</t>
  </si>
  <si>
    <t xml:space="preserve">H28</t>
  </si>
  <si>
    <t xml:space="preserve">I28</t>
  </si>
  <si>
    <t xml:space="preserve">H29</t>
  </si>
  <si>
    <t xml:space="preserve">H30</t>
  </si>
  <si>
    <t xml:space="preserve">AL_DAPI/1000000</t>
  </si>
  <si>
    <t xml:space="preserve">I30</t>
  </si>
  <si>
    <t xml:space="preserve">Cap_In!E196/1000000</t>
  </si>
  <si>
    <t xml:space="preserve">I31</t>
  </si>
  <si>
    <t xml:space="preserve">I32</t>
  </si>
  <si>
    <t xml:space="preserve">I33</t>
  </si>
  <si>
    <t xml:space="preserve">AL_DChat/1000000</t>
  </si>
  <si>
    <t xml:space="preserve">I34</t>
  </si>
  <si>
    <t xml:space="preserve">(Cap_In!E198+Cap_In!E199)/1000000</t>
  </si>
  <si>
    <t xml:space="preserve">H35</t>
  </si>
  <si>
    <t xml:space="preserve">AL_DChatFree/1000000</t>
  </si>
  <si>
    <t xml:space="preserve">I35</t>
  </si>
  <si>
    <t xml:space="preserve">Cap_In!E199/1000000</t>
  </si>
  <si>
    <t xml:space="preserve">H36</t>
  </si>
  <si>
    <t xml:space="preserve">AL_DChatPaid/1000000</t>
  </si>
  <si>
    <t xml:space="preserve">I36</t>
  </si>
  <si>
    <t xml:space="preserve">Cap_In!E198/1000000</t>
  </si>
  <si>
    <t xml:space="preserve">H37</t>
  </si>
  <si>
    <t xml:space="preserve">Cap_In!C141/1000000</t>
  </si>
  <si>
    <t xml:space="preserve">I37</t>
  </si>
  <si>
    <t xml:space="preserve">Cap_In!E201/1000000</t>
  </si>
  <si>
    <t xml:space="preserve">H38</t>
  </si>
  <si>
    <t xml:space="preserve">Cap_In!C142/1000000</t>
  </si>
  <si>
    <t xml:space="preserve">J38</t>
  </si>
  <si>
    <t xml:space="preserve">I38</t>
  </si>
  <si>
    <t xml:space="preserve">Cap_In!E202/1000000</t>
  </si>
  <si>
    <t xml:space="preserve">K38</t>
  </si>
  <si>
    <t xml:space="preserve">H39</t>
  </si>
  <si>
    <t xml:space="preserve">I39</t>
  </si>
  <si>
    <t xml:space="preserve">H41</t>
  </si>
  <si>
    <t xml:space="preserve">J41</t>
  </si>
  <si>
    <t xml:space="preserve">I41</t>
  </si>
  <si>
    <t xml:space="preserve">K41</t>
  </si>
  <si>
    <t xml:space="preserve">H42</t>
  </si>
  <si>
    <t xml:space="preserve">J42</t>
  </si>
  <si>
    <t xml:space="preserve">I42</t>
  </si>
  <si>
    <t xml:space="preserve">K42</t>
  </si>
  <si>
    <t xml:space="preserve">H43</t>
  </si>
  <si>
    <t xml:space="preserve">I43</t>
  </si>
  <si>
    <t xml:space="preserve">I44</t>
  </si>
  <si>
    <t xml:space="preserve">I45</t>
  </si>
  <si>
    <t xml:space="preserve">I46</t>
  </si>
  <si>
    <t xml:space="preserve">I47</t>
  </si>
  <si>
    <t xml:space="preserve">I48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</si>
  <si>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</t>
    </r>
  </si>
  <si>
    <t xml:space="preserve">C36</t>
  </si>
  <si>
    <t xml:space="preserve">L1_MFleet</t>
  </si>
  <si>
    <t xml:space="preserve">C37</t>
  </si>
  <si>
    <t xml:space="preserve">L1_TokLedger</t>
  </si>
  <si>
    <t xml:space="preserve">C38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</si>
</sst>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.00"/>
    <numFmt numFmtId="167" formatCode="#,##0"/>
    <numFmt numFmtId="168" formatCode="0.0000%"/>
    <numFmt numFmtId="169" formatCode="0.0E+00"/>
    <numFmt numFmtId="170" formatCode="0%"/>
    <numFmt numFmtId="171" formatCode="#,##0.000"/>
    <numFmt numFmtId="172" formatCode="0.000%"/>
    <numFmt numFmtId="173" formatCode="0.0000"/>
    <numFmt numFmtId="174" formatCode="0.0"/>
    <numFmt numFmtId="175" formatCode="0.0%"/>
    <numFmt numFmtId="176" formatCode="0.####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20.1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4" hidden="false" customHeight="false" outlineLevel="0" collapsed="false">
      <c r="B5" s="4" t="s">
        <v>3</v>
      </c>
    </row>
    <row r="6" customFormat="false" ht="29.85" hidden="false" customHeight="false" outlineLevel="0" collapsed="false">
      <c r="B6" s="4" t="s">
        <v>4</v>
      </c>
    </row>
    <row r="8" customFormat="false" ht="15" hidden="false" customHeight="false" outlineLevel="0" collapsed="false">
      <c r="B8" s="3" t="s">
        <v>5</v>
      </c>
    </row>
    <row r="9" customFormat="false" ht="29.8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29.8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4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5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8" customFormat="false" ht="15" hidden="false" customHeight="false" outlineLevel="0" collapsed="false">
      <c r="B28" s="3" t="s">
        <v>22</v>
      </c>
    </row>
    <row r="29" customFormat="false" ht="29.85" hidden="false" customHeight="false" outlineLevel="0" collapsed="false">
      <c r="B29" s="4" t="s">
        <v>23</v>
      </c>
    </row>
    <row r="30" customFormat="false" ht="58.2" hidden="false" customHeight="false" outlineLevel="0" collapsed="false">
      <c r="B30" s="4" t="s">
        <v>24</v>
      </c>
    </row>
    <row r="31" customFormat="false" ht="29.85" hidden="false" customHeight="false" outlineLevel="0" collapsed="false">
      <c r="B31" s="4" t="s">
        <v>25</v>
      </c>
    </row>
    <row r="33" customFormat="false" ht="15" hidden="false" customHeight="false" outlineLevel="0" collapsed="false">
      <c r="B33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23.1" hidden="false" customHeight="false" outlineLevel="0" collapsed="false">
      <c r="B1" s="6" t="s">
        <v>27</v>
      </c>
    </row>
    <row r="2" customFormat="false" ht="15" hidden="false" customHeight="false" outlineLevel="0" collapsed="false">
      <c r="B2" s="7" t="s">
        <v>28</v>
      </c>
    </row>
    <row r="4" customFormat="false" ht="15" hidden="false" customHeight="false" outlineLevel="0" collapsed="false">
      <c r="B4" s="8" t="s">
        <v>29</v>
      </c>
    </row>
    <row r="5" customFormat="false" ht="57.75" hidden="false" customHeight="true" outlineLevel="0" collapsed="false">
      <c r="B5" s="9" t="s">
        <v>30</v>
      </c>
      <c r="C5" s="9"/>
      <c r="D5" s="9"/>
      <c r="E5" s="9"/>
      <c r="F5" s="9"/>
      <c r="G5" s="9"/>
      <c r="H5" s="9"/>
    </row>
    <row r="7" customFormat="false" ht="29.85" hidden="false" customHeight="false" outlineLevel="0" collapsed="false">
      <c r="B7" s="10" t="s">
        <v>31</v>
      </c>
      <c r="C7" s="11" t="s">
        <v>32</v>
      </c>
      <c r="D7" s="11" t="s">
        <v>33</v>
      </c>
      <c r="E7" s="11" t="s">
        <v>34</v>
      </c>
      <c r="F7" s="11" t="s">
        <v>35</v>
      </c>
      <c r="G7" s="10" t="s">
        <v>36</v>
      </c>
      <c r="H7" s="10" t="s">
        <v>37</v>
      </c>
    </row>
    <row r="8" customFormat="false" ht="15" hidden="false" customHeight="false" outlineLevel="0" collapsed="false">
      <c r="B8" s="12" t="s">
        <v>38</v>
      </c>
      <c r="C8" s="13" t="n">
        <f aca="false">3_m重算!F21</f>
        <v>2.51354667422089</v>
      </c>
      <c r="D8" s="13" t="n">
        <f aca="false">3_m重算!G21</f>
        <v>1.19233912334674</v>
      </c>
      <c r="E8" s="13" t="n">
        <f aca="false">3_m重算!H21</f>
        <v>1.34320115513779</v>
      </c>
      <c r="F8" s="13" t="n">
        <f aca="false">3_m重算!I21</f>
        <v>1.4316985447146</v>
      </c>
      <c r="G8" s="14" t="s">
        <v>39</v>
      </c>
      <c r="H8" s="15" t="s">
        <v>40</v>
      </c>
    </row>
    <row r="9" customFormat="false" ht="15" hidden="false" customHeight="false" outlineLevel="0" collapsed="false">
      <c r="B9" s="4" t="s">
        <v>41</v>
      </c>
      <c r="C9" s="16" t="n">
        <f aca="false">3_m重算!F8</f>
        <v>13.07</v>
      </c>
      <c r="D9" s="16" t="n">
        <f aca="false">3_m重算!G8</f>
        <v>22.8</v>
      </c>
      <c r="E9" s="16" t="n">
        <f aca="false">3_m重算!H8</f>
        <v>26.3</v>
      </c>
      <c r="F9" s="16" t="n">
        <f aca="false">3_m重算!I8</f>
        <v>35</v>
      </c>
      <c r="G9" s="4" t="s">
        <v>42</v>
      </c>
      <c r="H9" s="2" t="s">
        <v>43</v>
      </c>
    </row>
    <row r="10" customFormat="false" ht="15" hidden="false" customHeight="false" outlineLevel="0" collapsed="false">
      <c r="B10" s="5" t="s">
        <v>44</v>
      </c>
      <c r="C10" s="17" t="n">
        <f aca="false">3_m重算!F15</f>
        <v>3825200000</v>
      </c>
      <c r="D10" s="17" t="n">
        <f aca="false">3_m重算!G15</f>
        <v>9752800000</v>
      </c>
      <c r="E10" s="17" t="n">
        <f aca="false">3_m重算!H15</f>
        <v>9986400000</v>
      </c>
      <c r="F10" s="17" t="n">
        <f aca="false">3_m重算!I15</f>
        <v>12468400000</v>
      </c>
      <c r="G10" s="4" t="s">
        <v>45</v>
      </c>
      <c r="H10" s="18" t="s">
        <v>46</v>
      </c>
    </row>
    <row r="11" customFormat="false" ht="15" hidden="false" customHeight="false" outlineLevel="0" collapsed="false">
      <c r="B11" s="5" t="s">
        <v>47</v>
      </c>
      <c r="C11" s="19" t="n">
        <f aca="false">3_m重算!F20</f>
        <v>3.41681480706891</v>
      </c>
      <c r="D11" s="19" t="n">
        <f aca="false">3_m重算!G20</f>
        <v>2.3377901730785</v>
      </c>
      <c r="E11" s="19" t="n">
        <f aca="false">3_m重算!H20</f>
        <v>2.63358167107266</v>
      </c>
      <c r="F11" s="19" t="n">
        <f aca="false">3_m重算!I20</f>
        <v>2.80709633954637</v>
      </c>
      <c r="G11" s="4" t="s">
        <v>48</v>
      </c>
      <c r="H11" s="2" t="s">
        <v>49</v>
      </c>
    </row>
    <row r="12" customFormat="false" ht="15" hidden="false" customHeight="false" outlineLevel="0" collapsed="false">
      <c r="B12" s="5" t="s">
        <v>50</v>
      </c>
      <c r="C12" s="19" t="n">
        <f aca="false">3_m重算!F17</f>
        <v>1.35936</v>
      </c>
      <c r="D12" s="19" t="n">
        <f aca="false">3_m重算!G17</f>
        <v>1.96067555555556</v>
      </c>
      <c r="E12" s="19" t="n">
        <f aca="false">3_m重算!H17</f>
        <v>1.96067555555556</v>
      </c>
      <c r="F12" s="19" t="n">
        <f aca="false">3_m重算!I17</f>
        <v>1.96067555555556</v>
      </c>
      <c r="G12" s="4" t="s">
        <v>48</v>
      </c>
      <c r="H12" s="18" t="s">
        <v>51</v>
      </c>
    </row>
    <row r="13" customFormat="false" ht="15" hidden="false" customHeight="false" outlineLevel="0" collapsed="false">
      <c r="B13" s="5" t="s">
        <v>52</v>
      </c>
      <c r="C13" s="19" t="n">
        <f aca="false">3_m重算!F18</f>
        <v>1.6992</v>
      </c>
      <c r="D13" s="19" t="n">
        <f aca="false">3_m重算!G18</f>
        <v>2.45084444444444</v>
      </c>
      <c r="E13" s="19" t="n">
        <f aca="false">3_m重算!H18</f>
        <v>2.45084444444444</v>
      </c>
      <c r="F13" s="19" t="n">
        <f aca="false">3_m重算!I18</f>
        <v>2.45084444444444</v>
      </c>
      <c r="G13" s="4" t="s">
        <v>48</v>
      </c>
      <c r="H13" s="2" t="s">
        <v>53</v>
      </c>
    </row>
    <row r="15" customFormat="false" ht="15" hidden="false" customHeight="false" outlineLevel="0" collapsed="false">
      <c r="B15" s="8" t="s">
        <v>54</v>
      </c>
    </row>
    <row r="16" customFormat="false" ht="15" hidden="false" customHeight="false" outlineLevel="0" collapsed="false">
      <c r="B16" s="10"/>
      <c r="C16" s="10" t="s">
        <v>55</v>
      </c>
      <c r="D16" s="10" t="s">
        <v>56</v>
      </c>
      <c r="E16" s="10" t="s">
        <v>57</v>
      </c>
      <c r="F16" s="10"/>
      <c r="G16" s="10"/>
      <c r="H16" s="10" t="s">
        <v>58</v>
      </c>
    </row>
    <row r="17" customFormat="false" ht="15" hidden="false" customHeight="false" outlineLevel="0" collapsed="false">
      <c r="B17" s="4" t="s">
        <v>59</v>
      </c>
      <c r="C17" s="19" t="n">
        <f aca="false">3_m重算!F51</f>
        <v>1.08510335911332</v>
      </c>
      <c r="D17" s="19" t="n">
        <f aca="false">3_m重算!F21</f>
        <v>2.51354667422089</v>
      </c>
      <c r="E17" s="19" t="n">
        <f aca="false">3_m重算!G51</f>
        <v>4.25969746860203</v>
      </c>
      <c r="H17" s="2" t="s">
        <v>60</v>
      </c>
    </row>
    <row r="18" customFormat="false" ht="15" hidden="false" customHeight="false" outlineLevel="0" collapsed="false">
      <c r="B18" s="4" t="s">
        <v>61</v>
      </c>
      <c r="C18" s="19" t="n">
        <f aca="false">3_m重算!H51</f>
        <v>0.810184823733908</v>
      </c>
      <c r="D18" s="19" t="n">
        <f aca="false">3_m重算!H21</f>
        <v>1.34320115513779</v>
      </c>
      <c r="E18" s="19" t="n">
        <f aca="false">3_m重算!I51</f>
        <v>1.59505137172613</v>
      </c>
      <c r="H18" s="2" t="s">
        <v>62</v>
      </c>
    </row>
    <row r="19" customFormat="false" ht="26.85" hidden="false" customHeight="false" outlineLevel="0" collapsed="false">
      <c r="B19" s="4" t="s">
        <v>63</v>
      </c>
      <c r="C19" s="20" t="s">
        <v>64</v>
      </c>
      <c r="H19" s="18" t="s">
        <v>65</v>
      </c>
    </row>
    <row r="21" customFormat="false" ht="15" hidden="false" customHeight="false" outlineLevel="0" collapsed="false">
      <c r="B21" s="8" t="s">
        <v>66</v>
      </c>
    </row>
    <row r="22" customFormat="false" ht="15" hidden="false" customHeight="false" outlineLevel="0" collapsed="false">
      <c r="B22" s="10" t="s">
        <v>67</v>
      </c>
      <c r="C22" s="11" t="s">
        <v>32</v>
      </c>
      <c r="D22" s="11" t="s">
        <v>33</v>
      </c>
      <c r="E22" s="11" t="s">
        <v>68</v>
      </c>
      <c r="F22" s="11" t="s">
        <v>35</v>
      </c>
      <c r="G22" s="10" t="s">
        <v>36</v>
      </c>
      <c r="H22" s="10" t="s">
        <v>69</v>
      </c>
    </row>
    <row r="23" customFormat="false" ht="26.85" hidden="false" customHeight="false" outlineLevel="0" collapsed="false">
      <c r="B23" s="4" t="s">
        <v>70</v>
      </c>
      <c r="C23" s="19" t="n">
        <f aca="false">4_分路線!F21</f>
        <v>0.81302373906898</v>
      </c>
      <c r="D23" s="19" t="n">
        <f aca="false">4_分路線!G21</f>
        <v>0.294993531257639</v>
      </c>
      <c r="E23" s="19" t="n">
        <f aca="false">4_分路線!H21</f>
        <v>0.340277625968241</v>
      </c>
      <c r="F23" s="19" t="n">
        <f aca="false">4_分路線!I21</f>
        <v>0.348339190081557</v>
      </c>
      <c r="G23" s="5" t="s">
        <v>39</v>
      </c>
      <c r="H23" s="18" t="s">
        <v>71</v>
      </c>
    </row>
    <row r="24" customFormat="false" ht="15" hidden="false" customHeight="false" outlineLevel="0" collapsed="false">
      <c r="B24" s="4" t="s">
        <v>72</v>
      </c>
      <c r="C24" s="19" t="n">
        <f aca="false">4_分路線!F22</f>
        <v>6.14645946736149</v>
      </c>
      <c r="D24" s="19" t="n">
        <f aca="false">4_分路線!G22</f>
        <v>5.74386443073768</v>
      </c>
      <c r="E24" s="19" t="n">
        <f aca="false">4_分路線!H22</f>
        <v>5.39863541199614</v>
      </c>
      <c r="F24" s="19" t="n">
        <f aca="false">4_分路線!I22</f>
        <v>5.56884363090911</v>
      </c>
      <c r="G24" s="5" t="s">
        <v>39</v>
      </c>
      <c r="H24" s="2" t="s">
        <v>73</v>
      </c>
    </row>
    <row r="25" customFormat="false" ht="15" hidden="false" customHeight="false" outlineLevel="0" collapsed="false">
      <c r="B25" s="4" t="s">
        <v>74</v>
      </c>
      <c r="C25" s="19" t="n">
        <f aca="false">4_分路線!F23</f>
        <v>2.6341969145835</v>
      </c>
      <c r="D25" s="19" t="n">
        <f aca="false">4_分路線!G23</f>
        <v>3.55572559998047</v>
      </c>
      <c r="E25" s="19" t="n">
        <f aca="false">4_分路線!H23</f>
        <v>4.55728963350323</v>
      </c>
      <c r="F25" s="19" t="n">
        <f aca="false">4_分路線!I23</f>
        <v>8.04388524464649</v>
      </c>
      <c r="G25" s="5" t="s">
        <v>39</v>
      </c>
      <c r="H25" s="2" t="s">
        <v>75</v>
      </c>
    </row>
    <row r="27" customFormat="false" ht="15" hidden="false" customHeight="false" outlineLevel="0" collapsed="false">
      <c r="B27" s="21" t="s">
        <v>76</v>
      </c>
    </row>
    <row r="28" customFormat="false" ht="29.85" hidden="false" customHeight="false" outlineLevel="0" collapsed="false">
      <c r="B28" s="10" t="s">
        <v>77</v>
      </c>
      <c r="C28" s="11" t="s">
        <v>32</v>
      </c>
      <c r="D28" s="11" t="s">
        <v>68</v>
      </c>
      <c r="E28" s="10" t="s">
        <v>78</v>
      </c>
      <c r="F28" s="10"/>
      <c r="G28" s="10"/>
      <c r="H28" s="10" t="s">
        <v>79</v>
      </c>
    </row>
    <row r="29" customFormat="false" ht="15" hidden="false" customHeight="false" outlineLevel="0" collapsed="false">
      <c r="B29" s="5" t="s">
        <v>80</v>
      </c>
      <c r="C29" s="16" t="n">
        <f aca="false">3_m重算!F8</f>
        <v>13.07</v>
      </c>
      <c r="D29" s="16" t="n">
        <f aca="false">3_m重算!H8</f>
        <v>26.3</v>
      </c>
      <c r="E29" s="22" t="n">
        <f aca="false">D29/C29</f>
        <v>2.01224177505738</v>
      </c>
      <c r="H29" s="2" t="s">
        <v>81</v>
      </c>
    </row>
    <row r="30" customFormat="false" ht="15" hidden="false" customHeight="false" outlineLevel="0" collapsed="false">
      <c r="B30" s="5" t="s">
        <v>82</v>
      </c>
      <c r="C30" s="17" t="n">
        <f aca="false">3_m重算!F15</f>
        <v>3825200000</v>
      </c>
      <c r="D30" s="17" t="n">
        <f aca="false">3_m重算!H15</f>
        <v>9986400000</v>
      </c>
      <c r="E30" s="22" t="n">
        <f aca="false">D30/C30</f>
        <v>2.61068702290076</v>
      </c>
      <c r="H30" s="18" t="s">
        <v>83</v>
      </c>
    </row>
    <row r="31" customFormat="false" ht="15" hidden="false" customHeight="false" outlineLevel="0" collapsed="false">
      <c r="B31" s="5" t="s">
        <v>84</v>
      </c>
      <c r="C31" s="19" t="n">
        <f aca="false">3_m重算!F17</f>
        <v>1.35936</v>
      </c>
      <c r="D31" s="19" t="n">
        <f aca="false">3_m重算!H17</f>
        <v>1.96067555555556</v>
      </c>
      <c r="E31" s="22" t="n">
        <f aca="false">D31/C31</f>
        <v>1.44235195647625</v>
      </c>
      <c r="H31" s="2" t="s">
        <v>85</v>
      </c>
    </row>
    <row r="32" customFormat="false" ht="29.85" hidden="false" customHeight="false" outlineLevel="0" collapsed="false">
      <c r="B32" s="12" t="s">
        <v>86</v>
      </c>
      <c r="E32" s="13" t="n">
        <f aca="false">E29/(E30*E31)</f>
        <v>0.534384807297894</v>
      </c>
      <c r="H32" s="2" t="str">
        <f aca="false">"應等於 m 的 Q2 ÷ 2025："&amp;TEXT(D8/C8,"0.000")&amp;"；差 "&amp;TEXT(E32-D8/C8,"0.0E+00")</f>
        <v>應等於 m 的 Q2 ÷ 2025：0.474；差 6.0E-02</v>
      </c>
    </row>
    <row r="34" customFormat="false" ht="15" hidden="false" customHeight="false" outlineLevel="0" collapsed="false">
      <c r="B34" s="8" t="s">
        <v>87</v>
      </c>
    </row>
    <row r="35" customFormat="false" ht="29.85" hidden="false" customHeight="false" outlineLevel="0" collapsed="false">
      <c r="B35" s="10" t="s">
        <v>88</v>
      </c>
      <c r="C35" s="11" t="s">
        <v>89</v>
      </c>
      <c r="D35" s="10"/>
      <c r="E35" s="10"/>
      <c r="F35" s="10"/>
      <c r="G35" s="10" t="s">
        <v>36</v>
      </c>
      <c r="H35" s="10" t="s">
        <v>29</v>
      </c>
    </row>
    <row r="36" customFormat="false" ht="26.85" hidden="false" customHeight="false" outlineLevel="0" collapsed="false">
      <c r="B36" s="4" t="s">
        <v>90</v>
      </c>
      <c r="C36" s="23" t="n">
        <v>0.947804246237318</v>
      </c>
      <c r="G36" s="5" t="s">
        <v>39</v>
      </c>
      <c r="H36" s="2" t="s">
        <v>91</v>
      </c>
    </row>
    <row r="37" customFormat="false" ht="26.85" hidden="false" customHeight="false" outlineLevel="0" collapsed="false">
      <c r="B37" s="4" t="s">
        <v>92</v>
      </c>
      <c r="C37" s="23" t="n">
        <v>2.65196815080688</v>
      </c>
      <c r="G37" s="5" t="s">
        <v>39</v>
      </c>
      <c r="H37" s="2" t="s">
        <v>93</v>
      </c>
    </row>
    <row r="38" customFormat="false" ht="15" hidden="false" customHeight="false" outlineLevel="0" collapsed="false">
      <c r="B38" s="4" t="s">
        <v>94</v>
      </c>
      <c r="C38" s="23" t="n">
        <v>3.01947256066794</v>
      </c>
      <c r="G38" s="5" t="s">
        <v>39</v>
      </c>
      <c r="H38" s="2" t="s">
        <v>95</v>
      </c>
    </row>
    <row r="40" customFormat="false" ht="15" hidden="false" customHeight="false" outlineLevel="0" collapsed="false">
      <c r="B40" s="8" t="s">
        <v>96</v>
      </c>
    </row>
    <row r="41" customFormat="false" ht="29.85" hidden="false" customHeight="false" outlineLevel="0" collapsed="false">
      <c r="B41" s="4" t="s">
        <v>97</v>
      </c>
      <c r="C41" s="24" t="n">
        <f aca="false">MAX(ABS(3_m重算!N21),ABS(3_m重算!O21),ABS(3_m重算!P21),ABS(3_m重算!Q21))</f>
        <v>0</v>
      </c>
    </row>
    <row r="42" customFormat="false" ht="29.85" hidden="false" customHeight="false" outlineLevel="0" collapsed="false">
      <c r="B42" s="4" t="s">
        <v>98</v>
      </c>
      <c r="C42" s="25" t="n">
        <f aca="false">MAX(ABS(4_分路線!F25),ABS(4_分路線!G25),ABS(4_分路線!H25),ABS(4_分路線!I25))</f>
        <v>0</v>
      </c>
    </row>
    <row r="44" customFormat="false" ht="15" hidden="false" customHeight="false" outlineLevel="0" collapsed="false">
      <c r="B44" s="8" t="s">
        <v>99</v>
      </c>
    </row>
    <row r="45" customFormat="false" ht="15" hidden="false" customHeight="false" outlineLevel="0" collapsed="false">
      <c r="B45" s="10" t="s">
        <v>100</v>
      </c>
      <c r="C45" s="10" t="s">
        <v>101</v>
      </c>
      <c r="D45" s="10" t="s">
        <v>102</v>
      </c>
    </row>
    <row r="46" customFormat="false" ht="15" hidden="false" customHeight="false" outlineLevel="0" collapsed="false">
      <c r="B46" s="26" t="str">
        <f aca="false">5_敏感度!B7</f>
        <v>每則 token τ</v>
      </c>
      <c r="C46" s="27" t="n">
        <f aca="false">5_敏感度!L7</f>
        <v>0.386877828054299</v>
      </c>
      <c r="D46" s="16" t="n">
        <f aca="false">5_敏感度!K7</f>
        <v>-0.249235177853974</v>
      </c>
    </row>
    <row r="47" customFormat="false" ht="15" hidden="false" customHeight="false" outlineLevel="0" collapsed="false">
      <c r="B47" s="26" t="str">
        <f aca="false">5_敏感度!B9</f>
        <v>有效折扣 d</v>
      </c>
      <c r="C47" s="27" t="n">
        <f aca="false">5_敏感度!L9</f>
        <v>0.444444444444445</v>
      </c>
      <c r="D47" s="16" t="n">
        <f aca="false">5_敏感度!K9</f>
        <v>0.292481250360578</v>
      </c>
    </row>
    <row r="48" customFormat="false" ht="15" hidden="false" customHeight="false" outlineLevel="0" collapsed="false">
      <c r="B48" s="26" t="str">
        <f aca="false">5_敏感度!B10</f>
        <v>請求形狀 κ</v>
      </c>
      <c r="C48" s="27" t="n">
        <f aca="false">5_敏感度!L10</f>
        <v>0.705128205128205</v>
      </c>
      <c r="D48" s="16" t="n">
        <f aca="false">5_敏感度!K10</f>
        <v>-1</v>
      </c>
    </row>
    <row r="49" customFormat="false" ht="15" hidden="false" customHeight="false" outlineLevel="0" collapsed="false">
      <c r="B49" s="26" t="str">
        <f aca="false">5_敏感度!B13</f>
        <v>Astra 層級占比</v>
      </c>
      <c r="C49" s="27" t="n">
        <f aca="false">5_敏感度!L13</f>
        <v>0.576368630311015</v>
      </c>
      <c r="D49" s="16" t="n">
        <f aca="false">5_敏感度!K13</f>
        <v>-0.580163866005242</v>
      </c>
    </row>
    <row r="50" customFormat="false" ht="15" hidden="false" customHeight="false" outlineLevel="0" collapsed="false">
      <c r="B50" s="26" t="str">
        <f aca="false">5_敏感度!B11</f>
        <v>快取命中 χ</v>
      </c>
      <c r="C50" s="27" t="n">
        <f aca="false">5_敏感度!L11</f>
        <v>0.355525344727132</v>
      </c>
      <c r="D50" s="16" t="n">
        <f aca="false">5_敏感度!K11</f>
        <v>0.387535021764232</v>
      </c>
    </row>
    <row r="51" customFormat="false" ht="15" hidden="false" customHeight="false" outlineLevel="0" collapsed="false">
      <c r="B51" s="26" t="str">
        <f aca="false">5_敏感度!B8</f>
        <v>ChatGPT 免費占比</v>
      </c>
      <c r="C51" s="27" t="n">
        <f aca="false">5_敏感度!L8</f>
        <v>0.212885154061625</v>
      </c>
      <c r="D51" s="16" t="n">
        <f aca="false">5_敏感度!K8</f>
        <v>0.304854581528421</v>
      </c>
    </row>
    <row r="52" customFormat="false" ht="15" hidden="false" customHeight="false" outlineLevel="0" collapsed="false">
      <c r="B52" s="26" t="str">
        <f aca="false">5_敏感度!B15</f>
        <v>Sol 參考輸入長度 ISL</v>
      </c>
      <c r="C52" s="27" t="n">
        <f aca="false">5_敏感度!L15</f>
        <v>0.284215551428989</v>
      </c>
      <c r="D52" s="16" t="n">
        <f aca="false">5_敏感度!K15</f>
        <v>0.133297606591677</v>
      </c>
    </row>
    <row r="53" customFormat="false" ht="15" hidden="false" customHeight="false" outlineLevel="0" collapsed="false">
      <c r="B53" s="26" t="str">
        <f aca="false">5_敏感度!B18</f>
        <v>Sol 參考輸出長度 OSL</v>
      </c>
      <c r="C53" s="27" t="n">
        <f aca="false">5_敏感度!L18</f>
        <v>0.222412951240352</v>
      </c>
      <c r="D53" s="16" t="n">
        <f aca="false">5_敏感度!K18</f>
        <v>-0.16387039605091</v>
      </c>
    </row>
  </sheetData>
  <mergeCells count="1">
    <mergeCell ref="B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5" min="3" style="0" width="14"/>
    <col collapsed="false" customWidth="true" hidden="false" outlineLevel="0" max="6" min="6" style="0" width="66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1" min="10" style="0" width="10"/>
  </cols>
  <sheetData>
    <row r="1" customFormat="false" ht="20.1" hidden="false" customHeight="false" outlineLevel="0" collapsed="false">
      <c r="A1" s="28" t="s">
        <v>103</v>
      </c>
    </row>
    <row r="2" customFormat="false" ht="15" hidden="false" customHeight="false" outlineLevel="0" collapsed="false">
      <c r="A2" s="20" t="s">
        <v>104</v>
      </c>
    </row>
    <row r="3" customFormat="false" ht="15" hidden="false" customHeight="false" outlineLevel="0" collapsed="false">
      <c r="A3" s="7" t="s">
        <v>105</v>
      </c>
    </row>
    <row r="5" customFormat="false" ht="26.85" hidden="false" customHeight="false" outlineLevel="0" collapsed="false">
      <c r="A5" s="10" t="s">
        <v>106</v>
      </c>
      <c r="B5" s="10" t="s">
        <v>31</v>
      </c>
      <c r="C5" s="10" t="s">
        <v>107</v>
      </c>
      <c r="D5" s="10" t="s">
        <v>108</v>
      </c>
      <c r="E5" s="10" t="s">
        <v>36</v>
      </c>
      <c r="F5" s="10" t="s">
        <v>109</v>
      </c>
      <c r="G5" s="10" t="s">
        <v>110</v>
      </c>
      <c r="H5" s="10" t="s">
        <v>111</v>
      </c>
      <c r="I5" s="10" t="s">
        <v>112</v>
      </c>
      <c r="J5" s="10" t="s">
        <v>113</v>
      </c>
      <c r="K5" s="10" t="s">
        <v>114</v>
      </c>
    </row>
    <row r="6" customFormat="false" ht="15" hidden="false" customHeight="false" outlineLevel="0" collapsed="false">
      <c r="A6" s="29" t="s">
        <v>115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customFormat="false" ht="15" hidden="false" customHeight="false" outlineLevel="0" collapsed="false">
      <c r="A7" s="4"/>
      <c r="B7" s="4" t="s">
        <v>41</v>
      </c>
      <c r="C7" s="31" t="n">
        <f aca="false">3_m重算!F8</f>
        <v>13.07</v>
      </c>
      <c r="D7" s="31" t="n">
        <f aca="false">3_m重算!H8</f>
        <v>26.3</v>
      </c>
      <c r="E7" s="4" t="s">
        <v>42</v>
      </c>
      <c r="F7" s="2" t="s">
        <v>116</v>
      </c>
      <c r="G7" s="18" t="s">
        <v>117</v>
      </c>
      <c r="H7" s="32" t="n">
        <v>13.07</v>
      </c>
      <c r="I7" s="32" t="n">
        <v>26.3</v>
      </c>
      <c r="J7" s="33" t="n">
        <f aca="false">IF(H7=0,C7-H7,C7/H7-1)</f>
        <v>0</v>
      </c>
      <c r="K7" s="33" t="n">
        <f aca="false">IF(I7=0,D7-I7,D7/I7-1)</f>
        <v>0</v>
      </c>
    </row>
    <row r="8" customFormat="false" ht="15" hidden="false" customHeight="false" outlineLevel="0" collapsed="false">
      <c r="A8" s="4"/>
      <c r="B8" s="5" t="s">
        <v>44</v>
      </c>
      <c r="C8" s="34" t="n">
        <f aca="false">3_m重算!F15/1000000</f>
        <v>3825.2</v>
      </c>
      <c r="D8" s="34" t="n">
        <f aca="false">3_m重算!H15/1000000</f>
        <v>9986.4</v>
      </c>
      <c r="E8" s="5" t="s">
        <v>118</v>
      </c>
      <c r="F8" s="18" t="s">
        <v>119</v>
      </c>
      <c r="G8" s="18" t="s">
        <v>120</v>
      </c>
      <c r="H8" s="32" t="n">
        <v>3825.2</v>
      </c>
      <c r="I8" s="32" t="n">
        <v>9986.4</v>
      </c>
      <c r="J8" s="33" t="n">
        <f aca="false">IF(H8=0,C8-H8,C8/H8-1)</f>
        <v>0</v>
      </c>
      <c r="K8" s="33" t="n">
        <f aca="false">IF(I8=0,D8-I8,D8/I8-1)</f>
        <v>0</v>
      </c>
    </row>
    <row r="9" customFormat="false" ht="15" hidden="false" customHeight="false" outlineLevel="0" collapsed="false">
      <c r="A9" s="4"/>
      <c r="B9" s="5" t="s">
        <v>121</v>
      </c>
      <c r="C9" s="35" t="n">
        <f aca="false">3_m重算!F20</f>
        <v>3.41681480706891</v>
      </c>
      <c r="D9" s="35" t="n">
        <f aca="false">3_m重算!H20</f>
        <v>2.63358167107266</v>
      </c>
      <c r="E9" s="4" t="s">
        <v>122</v>
      </c>
      <c r="F9" s="2" t="s">
        <v>123</v>
      </c>
      <c r="G9" s="18" t="s">
        <v>120</v>
      </c>
    </row>
    <row r="10" customFormat="false" ht="15" hidden="false" customHeight="false" outlineLevel="0" collapsed="false">
      <c r="A10" s="4"/>
      <c r="B10" s="5" t="s">
        <v>52</v>
      </c>
      <c r="C10" s="35" t="n">
        <f aca="false">3_m重算!F18</f>
        <v>1.6992</v>
      </c>
      <c r="D10" s="35" t="n">
        <f aca="false">3_m重算!H18</f>
        <v>2.45084444444444</v>
      </c>
      <c r="E10" s="4" t="s">
        <v>122</v>
      </c>
      <c r="F10" s="2" t="s">
        <v>124</v>
      </c>
      <c r="G10" s="18" t="s">
        <v>120</v>
      </c>
      <c r="I10" s="36" t="n">
        <v>2.45084444444444</v>
      </c>
      <c r="K10" s="33" t="n">
        <f aca="false">IF(I10=0,D10-I10,D10/I10-1)</f>
        <v>0</v>
      </c>
    </row>
    <row r="11" customFormat="false" ht="26.85" hidden="false" customHeight="false" outlineLevel="0" collapsed="false">
      <c r="A11" s="4"/>
      <c r="B11" s="4" t="s">
        <v>125</v>
      </c>
      <c r="C11" s="37" t="n">
        <f aca="false">IN_Disc</f>
        <v>0.2</v>
      </c>
      <c r="D11" s="37" t="n">
        <f aca="false">IN_Disc</f>
        <v>0.2</v>
      </c>
      <c r="E11" s="4" t="s">
        <v>126</v>
      </c>
      <c r="F11" s="18" t="s">
        <v>127</v>
      </c>
      <c r="G11" s="18" t="s">
        <v>128</v>
      </c>
      <c r="H11" s="38" t="n">
        <v>0.2</v>
      </c>
      <c r="I11" s="38" t="n">
        <v>0.2</v>
      </c>
      <c r="J11" s="33" t="n">
        <f aca="false">IF(H11=0,C11-H11,C11/H11-1)</f>
        <v>0</v>
      </c>
      <c r="K11" s="33" t="n">
        <f aca="false">IF(I11=0,D11-I11,D11/I11-1)</f>
        <v>0</v>
      </c>
    </row>
    <row r="12" customFormat="false" ht="26.85" hidden="false" customHeight="false" outlineLevel="0" collapsed="false">
      <c r="A12" s="4"/>
      <c r="B12" s="5" t="s">
        <v>129</v>
      </c>
      <c r="C12" s="35" t="n">
        <f aca="false">3_m重算!F17</f>
        <v>1.35936</v>
      </c>
      <c r="D12" s="35" t="n">
        <f aca="false">3_m重算!H17</f>
        <v>1.96067555555556</v>
      </c>
      <c r="E12" s="4" t="s">
        <v>122</v>
      </c>
      <c r="F12" s="2" t="s">
        <v>130</v>
      </c>
      <c r="G12" s="18" t="s">
        <v>120</v>
      </c>
      <c r="H12" s="36" t="n">
        <v>1.35936</v>
      </c>
      <c r="I12" s="36" t="n">
        <v>1.96067555555556</v>
      </c>
      <c r="J12" s="33" t="n">
        <f aca="false">IF(H12=0,C12-H12,C12/H12-1)</f>
        <v>0</v>
      </c>
      <c r="K12" s="33" t="n">
        <f aca="false">IF(I12=0,D12-I12,D12/I12-1)</f>
        <v>0</v>
      </c>
    </row>
    <row r="13" customFormat="false" ht="26.85" hidden="false" customHeight="false" outlineLevel="0" collapsed="false">
      <c r="A13" s="12"/>
      <c r="B13" s="12" t="s">
        <v>131</v>
      </c>
      <c r="C13" s="39" t="n">
        <f aca="false">3_m重算!F21</f>
        <v>2.51354667422089</v>
      </c>
      <c r="D13" s="39" t="n">
        <f aca="false">3_m重算!H21</f>
        <v>1.34320115513779</v>
      </c>
      <c r="E13" s="40" t="s">
        <v>39</v>
      </c>
      <c r="F13" s="41" t="s">
        <v>132</v>
      </c>
      <c r="G13" s="41" t="s">
        <v>120</v>
      </c>
      <c r="H13" s="42" t="n">
        <v>2.51354667422089</v>
      </c>
      <c r="I13" s="42" t="n">
        <v>1.34320115513779</v>
      </c>
      <c r="J13" s="43" t="n">
        <f aca="false">IF(H13=0,C13-H13,C13/H13-1)</f>
        <v>0</v>
      </c>
      <c r="K13" s="43" t="n">
        <f aca="false">IF(I13=0,D13-I13,D13/I13-1)</f>
        <v>0</v>
      </c>
    </row>
    <row r="14" customFormat="false" ht="15" hidden="false" customHeight="false" outlineLevel="0" collapsed="false">
      <c r="A14" s="29" t="s">
        <v>133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customFormat="false" ht="15" hidden="false" customHeight="false" outlineLevel="0" collapsed="false">
      <c r="A15" s="4"/>
      <c r="B15" s="5" t="s">
        <v>134</v>
      </c>
      <c r="C15" s="31" t="n">
        <f aca="false">3_m重算!F6</f>
        <v>13.07</v>
      </c>
      <c r="D15" s="31" t="n">
        <f aca="false">3_m重算!H6</f>
        <v>26.8</v>
      </c>
      <c r="E15" s="4" t="s">
        <v>42</v>
      </c>
      <c r="F15" s="18" t="s">
        <v>135</v>
      </c>
      <c r="G15" s="18" t="s">
        <v>117</v>
      </c>
      <c r="H15" s="32" t="n">
        <v>13.07</v>
      </c>
      <c r="I15" s="32" t="n">
        <v>26.8</v>
      </c>
      <c r="J15" s="33" t="n">
        <f aca="false">IF(H15=0,C15-H15,C15/H15-1)</f>
        <v>0</v>
      </c>
      <c r="K15" s="33" t="n">
        <f aca="false">IF(I15=0,D15-I15,D15/I15-1)</f>
        <v>0</v>
      </c>
    </row>
    <row r="16" customFormat="false" ht="15" hidden="false" customHeight="false" outlineLevel="0" collapsed="false">
      <c r="A16" s="4"/>
      <c r="B16" s="5" t="s">
        <v>136</v>
      </c>
      <c r="C16" s="31" t="n">
        <f aca="false">3_m重算!F7</f>
        <v>0</v>
      </c>
      <c r="D16" s="31" t="n">
        <f aca="false">3_m重算!H7</f>
        <v>0.5</v>
      </c>
      <c r="E16" s="4" t="s">
        <v>42</v>
      </c>
      <c r="F16" s="2" t="s">
        <v>137</v>
      </c>
      <c r="G16" s="18" t="s">
        <v>128</v>
      </c>
      <c r="H16" s="32" t="n">
        <v>0</v>
      </c>
      <c r="I16" s="32" t="n">
        <v>0.5</v>
      </c>
      <c r="J16" s="33" t="n">
        <f aca="false">IF(H16=0,C16-H16,C16/H16-1)</f>
        <v>0</v>
      </c>
      <c r="K16" s="33" t="n">
        <f aca="false">IF(I16=0,D16-I16,D16/I16-1)</f>
        <v>0</v>
      </c>
    </row>
    <row r="17" customFormat="false" ht="15" hidden="false" customHeight="false" outlineLevel="0" collapsed="false">
      <c r="A17" s="4"/>
      <c r="B17" s="5" t="s">
        <v>138</v>
      </c>
      <c r="C17" s="31" t="n">
        <f aca="false">3_m重算!F8</f>
        <v>13.07</v>
      </c>
      <c r="D17" s="31" t="n">
        <f aca="false">3_m重算!H8</f>
        <v>26.3</v>
      </c>
      <c r="E17" s="4" t="s">
        <v>42</v>
      </c>
      <c r="F17" s="2" t="s">
        <v>139</v>
      </c>
      <c r="G17" s="18" t="s">
        <v>120</v>
      </c>
      <c r="H17" s="32" t="n">
        <v>13.07</v>
      </c>
      <c r="I17" s="32" t="n">
        <v>26.3</v>
      </c>
      <c r="J17" s="33" t="n">
        <f aca="false">IF(H17=0,C17-H17,C17/H17-1)</f>
        <v>0</v>
      </c>
      <c r="K17" s="33" t="n">
        <f aca="false">IF(I17=0,D17-I17,D17/I17-1)</f>
        <v>0</v>
      </c>
    </row>
    <row r="18" customFormat="false" ht="15" hidden="false" customHeight="false" outlineLevel="0" collapsed="false">
      <c r="A18" s="4"/>
      <c r="B18" s="5" t="s">
        <v>140</v>
      </c>
      <c r="C18" s="34" t="n">
        <f aca="false">3_m重算!F15*3_m重算!F17/1000000000</f>
        <v>5.199823872</v>
      </c>
      <c r="D18" s="34" t="n">
        <f aca="false">3_m重算!H15*3_m重算!H17/1000000000</f>
        <v>19.580090368</v>
      </c>
      <c r="E18" s="4" t="s">
        <v>42</v>
      </c>
      <c r="F18" s="2" t="s">
        <v>141</v>
      </c>
      <c r="G18" s="18" t="s">
        <v>120</v>
      </c>
    </row>
    <row r="19" customFormat="false" ht="15" hidden="false" customHeight="false" outlineLevel="0" collapsed="false">
      <c r="A19" s="4"/>
      <c r="B19" s="5" t="s">
        <v>142</v>
      </c>
      <c r="C19" s="44" t="n">
        <f aca="false">C17/C18</f>
        <v>2.51354667422089</v>
      </c>
      <c r="D19" s="44" t="n">
        <f aca="false">D17/D18</f>
        <v>1.34320115513779</v>
      </c>
      <c r="E19" s="5" t="s">
        <v>39</v>
      </c>
      <c r="F19" s="2" t="s">
        <v>143</v>
      </c>
      <c r="G19" s="18" t="s">
        <v>120</v>
      </c>
    </row>
    <row r="20" customFormat="false" ht="15" hidden="false" customHeight="false" outlineLevel="0" collapsed="false">
      <c r="A20" s="29" t="s">
        <v>144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customFormat="false" ht="15" hidden="false" customHeight="false" outlineLevel="0" collapsed="false">
      <c r="A21" s="4"/>
      <c r="B21" s="4" t="s">
        <v>145</v>
      </c>
      <c r="C21" s="31" t="n">
        <f aca="false">4_分路線!F12</f>
        <v>2.614</v>
      </c>
      <c r="D21" s="31" t="n">
        <f aca="false">4_分路線!H12</f>
        <v>5.26</v>
      </c>
      <c r="E21" s="4" t="s">
        <v>42</v>
      </c>
      <c r="F21" s="2" t="s">
        <v>146</v>
      </c>
      <c r="G21" s="18" t="s">
        <v>120</v>
      </c>
      <c r="H21" s="32" t="n">
        <v>2.614</v>
      </c>
      <c r="I21" s="32" t="n">
        <v>5.26</v>
      </c>
      <c r="J21" s="33" t="n">
        <f aca="false">IF(H21=0,C21-H21,C21/H21-1)</f>
        <v>0</v>
      </c>
      <c r="K21" s="33" t="n">
        <f aca="false">IF(I21=0,D21-I21,D21/I21-1)</f>
        <v>0</v>
      </c>
    </row>
    <row r="22" customFormat="false" ht="15" hidden="false" customHeight="false" outlineLevel="0" collapsed="false">
      <c r="A22" s="4"/>
      <c r="B22" s="5" t="s">
        <v>147</v>
      </c>
      <c r="C22" s="31" t="n">
        <f aca="false">4_分路線!F10</f>
        <v>9.149</v>
      </c>
      <c r="D22" s="31" t="n">
        <f aca="false">4_分路線!H10</f>
        <v>14.465</v>
      </c>
      <c r="E22" s="4" t="s">
        <v>42</v>
      </c>
      <c r="F22" s="2" t="s">
        <v>148</v>
      </c>
      <c r="G22" s="18" t="s">
        <v>149</v>
      </c>
      <c r="H22" s="32" t="n">
        <v>9.149</v>
      </c>
      <c r="I22" s="32" t="n">
        <v>14.465</v>
      </c>
      <c r="J22" s="33" t="n">
        <f aca="false">IF(H22=0,C22-H22,C22/H22-1)</f>
        <v>0</v>
      </c>
      <c r="K22" s="33" t="n">
        <f aca="false">IF(I22=0,D22-I22,D22/I22-1)</f>
        <v>0</v>
      </c>
    </row>
    <row r="23" customFormat="false" ht="15" hidden="false" customHeight="false" outlineLevel="0" collapsed="false">
      <c r="A23" s="4"/>
      <c r="B23" s="5" t="s">
        <v>150</v>
      </c>
      <c r="C23" s="31" t="n">
        <f aca="false">4_分路線!F11</f>
        <v>1.307</v>
      </c>
      <c r="D23" s="31" t="n">
        <f aca="false">4_分路線!H11</f>
        <v>6.575</v>
      </c>
      <c r="E23" s="4" t="s">
        <v>42</v>
      </c>
      <c r="F23" s="2" t="s">
        <v>151</v>
      </c>
      <c r="G23" s="18" t="s">
        <v>128</v>
      </c>
      <c r="H23" s="32" t="n">
        <v>1.307</v>
      </c>
      <c r="I23" s="32" t="n">
        <v>6.575</v>
      </c>
      <c r="J23" s="33" t="n">
        <f aca="false">IF(H23=0,C23-H23,C23/H23-1)</f>
        <v>0</v>
      </c>
      <c r="K23" s="33" t="n">
        <f aca="false">IF(I23=0,D23-I23,D23/I23-1)</f>
        <v>0</v>
      </c>
    </row>
    <row r="24" customFormat="false" ht="15" hidden="false" customHeight="false" outlineLevel="0" collapsed="false">
      <c r="A24" s="4"/>
      <c r="B24" s="4" t="s">
        <v>70</v>
      </c>
      <c r="C24" s="35" t="n">
        <f aca="false">4_分路線!F21</f>
        <v>0.81302373906898</v>
      </c>
      <c r="D24" s="35" t="n">
        <f aca="false">4_分路線!H21</f>
        <v>0.340277625968241</v>
      </c>
      <c r="E24" s="5" t="s">
        <v>39</v>
      </c>
      <c r="F24" s="2" t="s">
        <v>152</v>
      </c>
      <c r="G24" s="18" t="s">
        <v>120</v>
      </c>
      <c r="H24" s="36" t="n">
        <v>0.81302373906898</v>
      </c>
      <c r="I24" s="36" t="n">
        <v>0.340277625968241</v>
      </c>
      <c r="J24" s="33" t="n">
        <f aca="false">IF(H24=0,C24-H24,C24/H24-1)</f>
        <v>0</v>
      </c>
      <c r="K24" s="33" t="n">
        <f aca="false">IF(I24=0,D24-I24,D24/I24-1)</f>
        <v>0</v>
      </c>
    </row>
    <row r="25" customFormat="false" ht="15" hidden="false" customHeight="false" outlineLevel="0" collapsed="false">
      <c r="A25" s="4"/>
      <c r="B25" s="4" t="s">
        <v>72</v>
      </c>
      <c r="C25" s="35" t="n">
        <f aca="false">4_分路線!F22</f>
        <v>6.14645946736149</v>
      </c>
      <c r="D25" s="35" t="n">
        <f aca="false">4_分路線!H22</f>
        <v>5.39863541199614</v>
      </c>
      <c r="E25" s="5" t="s">
        <v>39</v>
      </c>
      <c r="F25" s="2" t="s">
        <v>153</v>
      </c>
      <c r="G25" s="18" t="s">
        <v>120</v>
      </c>
      <c r="H25" s="36" t="n">
        <v>6.14645946736149</v>
      </c>
      <c r="I25" s="36" t="n">
        <v>5.39863541199614</v>
      </c>
      <c r="J25" s="33" t="n">
        <f aca="false">IF(H25=0,C25-H25,C25/H25-1)</f>
        <v>0</v>
      </c>
      <c r="K25" s="33" t="n">
        <f aca="false">IF(I25=0,D25-I25,D25/I25-1)</f>
        <v>0</v>
      </c>
    </row>
    <row r="26" customFormat="false" ht="15" hidden="false" customHeight="false" outlineLevel="0" collapsed="false">
      <c r="A26" s="4"/>
      <c r="B26" s="4" t="s">
        <v>74</v>
      </c>
      <c r="C26" s="35" t="n">
        <f aca="false">4_分路線!F23</f>
        <v>2.6341969145835</v>
      </c>
      <c r="D26" s="35" t="n">
        <f aca="false">4_分路線!H23</f>
        <v>4.55728963350323</v>
      </c>
      <c r="E26" s="5" t="s">
        <v>39</v>
      </c>
      <c r="F26" s="2" t="s">
        <v>154</v>
      </c>
      <c r="G26" s="18" t="s">
        <v>120</v>
      </c>
      <c r="H26" s="36" t="n">
        <v>2.6341969145835</v>
      </c>
      <c r="I26" s="36" t="n">
        <v>4.55728963350323</v>
      </c>
      <c r="J26" s="33" t="n">
        <f aca="false">IF(H26=0,C26-H26,C26/H26-1)</f>
        <v>0</v>
      </c>
      <c r="K26" s="33" t="n">
        <f aca="false">IF(I26=0,D26-I26,D26/I26-1)</f>
        <v>0</v>
      </c>
    </row>
    <row r="27" customFormat="false" ht="15" hidden="false" customHeight="false" outlineLevel="0" collapsed="false">
      <c r="A27" s="29" t="s">
        <v>155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customFormat="false" ht="26.85" hidden="false" customHeight="false" outlineLevel="0" collapsed="false">
      <c r="A28" s="4"/>
      <c r="B28" s="4" t="s">
        <v>156</v>
      </c>
      <c r="C28" s="45" t="n">
        <f aca="false">IN_APItpm</f>
        <v>6</v>
      </c>
      <c r="D28" s="45" t="n">
        <f aca="false">IN_APItpm26</f>
        <v>15</v>
      </c>
      <c r="E28" s="5" t="s">
        <v>157</v>
      </c>
      <c r="F28" s="18" t="s">
        <v>158</v>
      </c>
      <c r="G28" s="18" t="s">
        <v>117</v>
      </c>
      <c r="H28" s="46" t="n">
        <v>6</v>
      </c>
      <c r="I28" s="46" t="n">
        <v>15</v>
      </c>
      <c r="J28" s="33" t="n">
        <f aca="false">IF(H28=0,C28-H28,C28/H28-1)</f>
        <v>0</v>
      </c>
      <c r="K28" s="33" t="n">
        <f aca="false">IF(I28=0,D28-I28,D28/I28-1)</f>
        <v>0</v>
      </c>
    </row>
    <row r="29" customFormat="false" ht="26.85" hidden="false" customHeight="false" outlineLevel="0" collapsed="false">
      <c r="A29" s="4"/>
      <c r="B29" s="4" t="s">
        <v>159</v>
      </c>
      <c r="C29" s="37" t="n">
        <f aca="false">IN_APIratio</f>
        <v>0.75</v>
      </c>
      <c r="E29" s="5" t="s">
        <v>39</v>
      </c>
      <c r="F29" s="2" t="s">
        <v>160</v>
      </c>
      <c r="G29" s="18" t="s">
        <v>128</v>
      </c>
      <c r="H29" s="38" t="n">
        <v>0.75</v>
      </c>
      <c r="J29" s="33" t="n">
        <f aca="false">IF(H29=0,C29-H29,C29/H29-1)</f>
        <v>0</v>
      </c>
    </row>
    <row r="30" customFormat="false" ht="15" hidden="false" customHeight="false" outlineLevel="0" collapsed="false">
      <c r="A30" s="4"/>
      <c r="B30" s="4" t="s">
        <v>161</v>
      </c>
      <c r="C30" s="34" t="n">
        <f aca="false">3_m重算!F10/1000000</f>
        <v>2365.2</v>
      </c>
      <c r="D30" s="34" t="n">
        <f aca="false">3_m重算!H10/1000000</f>
        <v>7884</v>
      </c>
      <c r="E30" s="5" t="s">
        <v>118</v>
      </c>
      <c r="F30" s="2" t="s">
        <v>162</v>
      </c>
      <c r="G30" s="18" t="s">
        <v>120</v>
      </c>
      <c r="H30" s="32" t="n">
        <v>2365.2</v>
      </c>
      <c r="I30" s="32" t="n">
        <v>7884</v>
      </c>
      <c r="J30" s="33" t="n">
        <f aca="false">IF(H30=0,C30-H30,C30/H30-1)</f>
        <v>0</v>
      </c>
      <c r="K30" s="33" t="n">
        <f aca="false">IF(I30=0,D30-I30,D30/I30-1)</f>
        <v>0</v>
      </c>
    </row>
    <row r="31" customFormat="false" ht="15" hidden="false" customHeight="false" outlineLevel="0" collapsed="false">
      <c r="A31" s="4"/>
      <c r="B31" s="4" t="s">
        <v>163</v>
      </c>
      <c r="C31" s="37" t="n">
        <f aca="false">IN_Prompts</f>
        <v>2.5</v>
      </c>
      <c r="D31" s="37" t="n">
        <f aca="false">IN_Prompts_Q2</f>
        <v>3.6</v>
      </c>
      <c r="E31" s="5" t="s">
        <v>164</v>
      </c>
      <c r="F31" s="18" t="s">
        <v>165</v>
      </c>
      <c r="G31" s="18" t="s">
        <v>166</v>
      </c>
      <c r="H31" s="38" t="n">
        <v>2.5</v>
      </c>
      <c r="I31" s="38" t="n">
        <v>3.6</v>
      </c>
      <c r="J31" s="33" t="n">
        <f aca="false">IF(H31=0,C31-H31,C31/H31-1)</f>
        <v>0</v>
      </c>
      <c r="K31" s="33" t="n">
        <f aca="false">IF(I31=0,D31-I31,D31/I31-1)</f>
        <v>0</v>
      </c>
    </row>
    <row r="32" customFormat="false" ht="15" hidden="false" customHeight="false" outlineLevel="0" collapsed="false">
      <c r="A32" s="4"/>
      <c r="B32" s="5" t="s">
        <v>167</v>
      </c>
      <c r="C32" s="47" t="n">
        <f aca="false">IN_Tau</f>
        <v>4000</v>
      </c>
      <c r="D32" s="47" t="n">
        <f aca="false">IN_Tau</f>
        <v>4000</v>
      </c>
      <c r="E32" s="4" t="s">
        <v>168</v>
      </c>
      <c r="F32" s="2" t="s">
        <v>169</v>
      </c>
      <c r="G32" s="18" t="s">
        <v>128</v>
      </c>
      <c r="H32" s="48" t="n">
        <v>4000</v>
      </c>
      <c r="I32" s="48" t="n">
        <v>4000</v>
      </c>
      <c r="J32" s="33" t="n">
        <f aca="false">IF(H32=0,C32-H32,C32/H32-1)</f>
        <v>0</v>
      </c>
      <c r="K32" s="33" t="n">
        <f aca="false">IF(I32=0,D32-I32,D32/I32-1)</f>
        <v>0</v>
      </c>
    </row>
    <row r="33" customFormat="false" ht="26.85" hidden="false" customHeight="false" outlineLevel="0" collapsed="false">
      <c r="A33" s="4"/>
      <c r="B33" s="5" t="s">
        <v>170</v>
      </c>
      <c r="C33" s="37" t="n">
        <f aca="false">IN_FreeShare</f>
        <v>0.6</v>
      </c>
      <c r="D33" s="37" t="n">
        <f aca="false">IN_FreeShare</f>
        <v>0.6</v>
      </c>
      <c r="E33" s="4" t="s">
        <v>126</v>
      </c>
      <c r="F33" s="18" t="s">
        <v>171</v>
      </c>
      <c r="G33" s="18" t="s">
        <v>128</v>
      </c>
      <c r="H33" s="38" t="n">
        <v>0.6</v>
      </c>
      <c r="I33" s="38" t="n">
        <v>0.6</v>
      </c>
      <c r="J33" s="33" t="n">
        <f aca="false">IF(H33=0,C33-H33,C33/H33-1)</f>
        <v>0</v>
      </c>
      <c r="K33" s="33" t="n">
        <f aca="false">IF(I33=0,D33-I33,D33/I33-1)</f>
        <v>0</v>
      </c>
    </row>
    <row r="34" customFormat="false" ht="15" hidden="false" customHeight="false" outlineLevel="0" collapsed="false">
      <c r="A34" s="4"/>
      <c r="B34" s="4" t="s">
        <v>172</v>
      </c>
      <c r="C34" s="34" t="n">
        <f aca="false">3_m重算!F12/1000000</f>
        <v>3650</v>
      </c>
      <c r="D34" s="34" t="n">
        <f aca="false">3_m重算!H12/1000000</f>
        <v>5256</v>
      </c>
      <c r="E34" s="5" t="s">
        <v>118</v>
      </c>
      <c r="F34" s="2" t="s">
        <v>173</v>
      </c>
      <c r="G34" s="18" t="s">
        <v>120</v>
      </c>
      <c r="H34" s="32" t="n">
        <v>3650</v>
      </c>
      <c r="I34" s="32" t="n">
        <v>5256</v>
      </c>
      <c r="J34" s="33" t="n">
        <f aca="false">IF(H34=0,C34-H34,C34/H34-1)</f>
        <v>0</v>
      </c>
      <c r="K34" s="33" t="n">
        <f aca="false">IF(I34=0,D34-I34,D34/I34-1)</f>
        <v>0</v>
      </c>
    </row>
    <row r="35" customFormat="false" ht="15" hidden="false" customHeight="false" outlineLevel="0" collapsed="false">
      <c r="A35" s="4"/>
      <c r="B35" s="5" t="s">
        <v>174</v>
      </c>
      <c r="C35" s="34" t="n">
        <f aca="false">3_m重算!F13/1000000</f>
        <v>2190</v>
      </c>
      <c r="D35" s="34" t="n">
        <f aca="false">3_m重算!H13/1000000</f>
        <v>3153.6</v>
      </c>
      <c r="E35" s="5" t="s">
        <v>118</v>
      </c>
      <c r="F35" s="2" t="s">
        <v>175</v>
      </c>
      <c r="G35" s="18" t="s">
        <v>120</v>
      </c>
      <c r="H35" s="32" t="n">
        <v>2190</v>
      </c>
      <c r="I35" s="32" t="n">
        <v>3153.6</v>
      </c>
      <c r="J35" s="33" t="n">
        <f aca="false">IF(H35=0,C35-H35,C35/H35-1)</f>
        <v>0</v>
      </c>
      <c r="K35" s="33" t="n">
        <f aca="false">IF(I35=0,D35-I35,D35/I35-1)</f>
        <v>0</v>
      </c>
    </row>
    <row r="36" customFormat="false" ht="15" hidden="false" customHeight="false" outlineLevel="0" collapsed="false">
      <c r="A36" s="4"/>
      <c r="B36" s="4" t="s">
        <v>176</v>
      </c>
      <c r="C36" s="34" t="n">
        <f aca="false">3_m重算!F14/1000000</f>
        <v>1460</v>
      </c>
      <c r="D36" s="34" t="n">
        <f aca="false">3_m重算!H14/1000000</f>
        <v>2102.4</v>
      </c>
      <c r="E36" s="5" t="s">
        <v>118</v>
      </c>
      <c r="F36" s="2" t="s">
        <v>177</v>
      </c>
      <c r="G36" s="18" t="s">
        <v>120</v>
      </c>
      <c r="H36" s="32" t="n">
        <v>1460</v>
      </c>
      <c r="I36" s="32" t="n">
        <v>2102.4</v>
      </c>
      <c r="J36" s="33" t="n">
        <f aca="false">IF(H36=0,C36-H36,C36/H36-1)</f>
        <v>0</v>
      </c>
      <c r="K36" s="33" t="n">
        <f aca="false">IF(I36=0,D36-I36,D36/I36-1)</f>
        <v>0</v>
      </c>
    </row>
    <row r="37" customFormat="false" ht="15" hidden="false" customHeight="false" outlineLevel="0" collapsed="false">
      <c r="A37" s="4"/>
      <c r="B37" s="5" t="s">
        <v>178</v>
      </c>
      <c r="C37" s="34" t="n">
        <f aca="false">4_分路線!F17/1000000</f>
        <v>1095</v>
      </c>
      <c r="D37" s="34" t="n">
        <f aca="false">4_分路線!H17/1000000</f>
        <v>1366.56</v>
      </c>
      <c r="E37" s="5" t="s">
        <v>118</v>
      </c>
      <c r="F37" s="2" t="s">
        <v>179</v>
      </c>
      <c r="G37" s="18" t="s">
        <v>180</v>
      </c>
      <c r="H37" s="32" t="n">
        <v>1095</v>
      </c>
      <c r="I37" s="32" t="n">
        <v>1366.56</v>
      </c>
      <c r="J37" s="33" t="n">
        <f aca="false">IF(H37=0,C37-H37,C37/H37-1)</f>
        <v>0</v>
      </c>
      <c r="K37" s="33" t="n">
        <f aca="false">IF(I37=0,D37-I37,D37/I37-1)</f>
        <v>0</v>
      </c>
    </row>
    <row r="38" customFormat="false" ht="15" hidden="false" customHeight="false" outlineLevel="0" collapsed="false">
      <c r="A38" s="4"/>
      <c r="B38" s="5" t="s">
        <v>181</v>
      </c>
      <c r="C38" s="34" t="n">
        <f aca="false">4_分路線!F18/1000000</f>
        <v>365</v>
      </c>
      <c r="D38" s="34" t="n">
        <f aca="false">4_分路線!H18/1000000</f>
        <v>735.84</v>
      </c>
      <c r="E38" s="5" t="s">
        <v>118</v>
      </c>
      <c r="F38" s="2" t="s">
        <v>182</v>
      </c>
      <c r="G38" s="18" t="s">
        <v>180</v>
      </c>
      <c r="H38" s="32" t="n">
        <v>365</v>
      </c>
      <c r="I38" s="32" t="n">
        <v>735.84</v>
      </c>
      <c r="J38" s="33" t="n">
        <f aca="false">IF(H38=0,C38-H38,C38/H38-1)</f>
        <v>0</v>
      </c>
      <c r="K38" s="33" t="n">
        <f aca="false">IF(I38=0,D38-I38,D38/I38-1)</f>
        <v>0</v>
      </c>
    </row>
    <row r="39" customFormat="false" ht="15" hidden="false" customHeight="false" outlineLevel="0" collapsed="false">
      <c r="A39" s="4"/>
      <c r="B39" s="5" t="s">
        <v>183</v>
      </c>
      <c r="C39" s="34" t="n">
        <f aca="false">3_m重算!F15/1000000</f>
        <v>3825.2</v>
      </c>
      <c r="D39" s="34" t="n">
        <f aca="false">3_m重算!H15/1000000</f>
        <v>9986.4</v>
      </c>
      <c r="E39" s="5" t="s">
        <v>118</v>
      </c>
      <c r="F39" s="2" t="s">
        <v>184</v>
      </c>
      <c r="G39" s="18" t="s">
        <v>120</v>
      </c>
      <c r="H39" s="32" t="n">
        <v>3825.2</v>
      </c>
      <c r="I39" s="32" t="n">
        <v>9986.4</v>
      </c>
      <c r="J39" s="33" t="n">
        <f aca="false">IF(H39=0,C39-H39,C39/H39-1)</f>
        <v>0</v>
      </c>
      <c r="K39" s="33" t="n">
        <f aca="false">IF(I39=0,D39-I39,D39/I39-1)</f>
        <v>0</v>
      </c>
    </row>
    <row r="40" customFormat="false" ht="15" hidden="false" customHeight="false" outlineLevel="0" collapsed="false">
      <c r="A40" s="29" t="s">
        <v>185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customFormat="false" ht="15" hidden="false" customHeight="false" outlineLevel="0" collapsed="false">
      <c r="A41" s="4"/>
      <c r="B41" s="4" t="s">
        <v>186</v>
      </c>
      <c r="C41" s="16" t="n">
        <f aca="false">3_m重算!F37</f>
        <v>0.4</v>
      </c>
      <c r="D41" s="16" t="n">
        <f aca="false">3_m重算!F37</f>
        <v>0.4</v>
      </c>
      <c r="E41" s="4" t="s">
        <v>126</v>
      </c>
      <c r="F41" s="18" t="s">
        <v>187</v>
      </c>
      <c r="G41" s="18" t="s">
        <v>128</v>
      </c>
      <c r="H41" s="38" t="n">
        <v>0.4</v>
      </c>
      <c r="I41" s="38" t="n">
        <v>0.4</v>
      </c>
      <c r="J41" s="33" t="n">
        <f aca="false">IF(H41=0,C41-H41,C41/H41-1)</f>
        <v>0</v>
      </c>
      <c r="K41" s="33" t="n">
        <f aca="false">IF(I41=0,D41-I41,D41/I41-1)</f>
        <v>0</v>
      </c>
    </row>
    <row r="42" customFormat="false" ht="15" hidden="false" customHeight="false" outlineLevel="0" collapsed="false">
      <c r="A42" s="4"/>
      <c r="B42" s="4" t="s">
        <v>188</v>
      </c>
      <c r="C42" s="16" t="n">
        <f aca="false">3_m重算!G37</f>
        <v>0.45</v>
      </c>
      <c r="D42" s="16" t="n">
        <f aca="false">3_m重算!G37</f>
        <v>0.45</v>
      </c>
      <c r="E42" s="4" t="s">
        <v>126</v>
      </c>
      <c r="F42" s="18" t="s">
        <v>187</v>
      </c>
      <c r="G42" s="18" t="s">
        <v>128</v>
      </c>
      <c r="H42" s="38" t="n">
        <v>0.45</v>
      </c>
      <c r="I42" s="38" t="n">
        <v>0.45</v>
      </c>
      <c r="J42" s="33" t="n">
        <f aca="false">IF(H42=0,C42-H42,C42/H42-1)</f>
        <v>0</v>
      </c>
      <c r="K42" s="33" t="n">
        <f aca="false">IF(I42=0,D42-I42,D42/I42-1)</f>
        <v>0</v>
      </c>
    </row>
    <row r="43" customFormat="false" ht="15" hidden="false" customHeight="false" outlineLevel="0" collapsed="false">
      <c r="A43" s="4"/>
      <c r="B43" s="4" t="s">
        <v>189</v>
      </c>
      <c r="C43" s="16" t="n">
        <f aca="false">3_m重算!H37</f>
        <v>0.15</v>
      </c>
      <c r="D43" s="16" t="n">
        <f aca="false">3_m重算!H37</f>
        <v>0.15</v>
      </c>
      <c r="E43" s="4" t="s">
        <v>126</v>
      </c>
      <c r="F43" s="18" t="s">
        <v>187</v>
      </c>
      <c r="G43" s="18" t="s">
        <v>128</v>
      </c>
      <c r="H43" s="38" t="n">
        <v>0.15</v>
      </c>
      <c r="I43" s="38" t="n">
        <v>0.15</v>
      </c>
      <c r="J43" s="33" t="n">
        <f aca="false">IF(H43=0,C43-H43,C43/H43-1)</f>
        <v>0</v>
      </c>
      <c r="K43" s="33" t="n">
        <f aca="false">IF(I43=0,D43-I43,D43/I43-1)</f>
        <v>0</v>
      </c>
    </row>
    <row r="44" customFormat="false" ht="26.85" hidden="false" customHeight="false" outlineLevel="0" collapsed="false">
      <c r="A44" s="4"/>
      <c r="B44" s="4" t="s">
        <v>190</v>
      </c>
      <c r="C44" s="35" t="n">
        <f aca="false">3_m重算!F38</f>
        <v>0.0828</v>
      </c>
      <c r="D44" s="35" t="n">
        <f aca="false">3_m重算!F36</f>
        <v>0.0803555555555556</v>
      </c>
      <c r="E44" s="4" t="s">
        <v>122</v>
      </c>
      <c r="F44" s="18" t="s">
        <v>191</v>
      </c>
      <c r="G44" s="18" t="s">
        <v>120</v>
      </c>
      <c r="I44" s="36" t="n">
        <v>0.0803555555555556</v>
      </c>
      <c r="K44" s="33" t="n">
        <f aca="false">IF(I44=0,D44-I44,D44/I44-1)</f>
        <v>0</v>
      </c>
    </row>
    <row r="45" customFormat="false" ht="26.85" hidden="false" customHeight="false" outlineLevel="0" collapsed="false">
      <c r="A45" s="4"/>
      <c r="B45" s="4" t="s">
        <v>192</v>
      </c>
      <c r="C45" s="35" t="n">
        <f aca="false">3_m重算!G38</f>
        <v>1.7472</v>
      </c>
      <c r="D45" s="35" t="n">
        <f aca="false">3_m重算!G36</f>
        <v>1.60711111111111</v>
      </c>
      <c r="E45" s="4" t="s">
        <v>122</v>
      </c>
      <c r="F45" s="18" t="s">
        <v>191</v>
      </c>
      <c r="G45" s="18" t="s">
        <v>120</v>
      </c>
      <c r="I45" s="36" t="n">
        <v>1.60711111111111</v>
      </c>
      <c r="K45" s="33" t="n">
        <f aca="false">IF(I45=0,D45-I45,D45/I45-1)</f>
        <v>0</v>
      </c>
    </row>
    <row r="46" customFormat="false" ht="26.85" hidden="false" customHeight="false" outlineLevel="0" collapsed="false">
      <c r="A46" s="4"/>
      <c r="B46" s="4" t="s">
        <v>193</v>
      </c>
      <c r="C46" s="35" t="n">
        <f aca="false">3_m重算!H38</f>
        <v>3.6</v>
      </c>
      <c r="D46" s="35" t="n">
        <f aca="false">3_m重算!H36</f>
        <v>8.03555555555555</v>
      </c>
      <c r="E46" s="4" t="s">
        <v>122</v>
      </c>
      <c r="F46" s="18" t="s">
        <v>191</v>
      </c>
      <c r="G46" s="18" t="s">
        <v>120</v>
      </c>
      <c r="I46" s="36" t="n">
        <v>8.03555555555555</v>
      </c>
      <c r="K46" s="33" t="n">
        <f aca="false">IF(I46=0,D46-I46,D46/I46-1)</f>
        <v>0</v>
      </c>
    </row>
    <row r="47" customFormat="false" ht="15" hidden="false" customHeight="false" outlineLevel="0" collapsed="false">
      <c r="A47" s="4"/>
      <c r="B47" s="4" t="s">
        <v>194</v>
      </c>
      <c r="C47" s="37" t="n">
        <f aca="false">IN_Kappa</f>
        <v>1</v>
      </c>
      <c r="D47" s="37" t="n">
        <f aca="false">IN_Kappa</f>
        <v>1</v>
      </c>
      <c r="E47" s="5" t="s">
        <v>39</v>
      </c>
      <c r="F47" s="2" t="s">
        <v>195</v>
      </c>
      <c r="G47" s="18" t="s">
        <v>120</v>
      </c>
      <c r="H47" s="38" t="n">
        <v>1</v>
      </c>
      <c r="I47" s="38" t="n">
        <v>1</v>
      </c>
      <c r="J47" s="33" t="n">
        <f aca="false">IF(H47=0,C47-H47,C47/H47-1)</f>
        <v>0</v>
      </c>
      <c r="K47" s="33" t="n">
        <f aca="false">IF(I47=0,D47-I47,D47/I47-1)</f>
        <v>0</v>
      </c>
    </row>
    <row r="48" customFormat="false" ht="15" hidden="false" customHeight="false" outlineLevel="0" collapsed="false">
      <c r="A48" s="40"/>
      <c r="B48" s="40" t="s">
        <v>196</v>
      </c>
      <c r="C48" s="39" t="n">
        <f aca="false">3_m重算!F17</f>
        <v>1.35936</v>
      </c>
      <c r="D48" s="39" t="n">
        <f aca="false">3_m重算!H17</f>
        <v>1.96067555555556</v>
      </c>
      <c r="E48" s="12" t="s">
        <v>122</v>
      </c>
      <c r="F48" s="15" t="s">
        <v>197</v>
      </c>
      <c r="G48" s="41" t="s">
        <v>120</v>
      </c>
      <c r="H48" s="42" t="n">
        <v>1.35936</v>
      </c>
      <c r="I48" s="42" t="n">
        <v>1.96067555555556</v>
      </c>
      <c r="J48" s="43" t="n">
        <f aca="false">IF(H48=0,C48-H48,C48/H48-1)</f>
        <v>0</v>
      </c>
      <c r="K48" s="43" t="n">
        <f aca="false">IF(I48=0,D48-I48,D48/I48-1)</f>
        <v>0</v>
      </c>
    </row>
    <row r="49" customFormat="false" ht="15" hidden="false" customHeight="false" outlineLevel="0" collapsed="false">
      <c r="A49" s="4"/>
      <c r="B49" s="5" t="s">
        <v>198</v>
      </c>
      <c r="C49" s="37" t="n">
        <f aca="false">IN_DTest</f>
        <v>0.3</v>
      </c>
      <c r="D49" s="37" t="n">
        <f aca="false">IN_DTest</f>
        <v>0.3</v>
      </c>
      <c r="E49" s="4" t="s">
        <v>126</v>
      </c>
      <c r="F49" s="2" t="s">
        <v>199</v>
      </c>
      <c r="G49" s="2" t="s">
        <v>200</v>
      </c>
    </row>
    <row r="50" customFormat="false" ht="26.85" hidden="false" customHeight="false" outlineLevel="0" collapsed="false">
      <c r="A50" s="4"/>
      <c r="B50" s="4" t="s">
        <v>201</v>
      </c>
      <c r="C50" s="44" t="n">
        <f aca="false">3_m重算!F8*1000000000/(3_m重算!F15*(IN_Kappa*(1-IN_DTest)*(IN_MixP_L*IN_Px_L+IN_MixP_S*IN_Px_S+IN_MixP_A*IN_Px_A)))</f>
        <v>2.87262477053816</v>
      </c>
      <c r="D50" s="44" t="n">
        <f aca="false">(IN_RevQ2*4-IN_Ad_Q2)*1000000000/((IN_APItpm26*1000000000*525600/1000000+IN_Prompts_Q2*1000000000*IN_Tau*365/1000000*(1-IN_FreeShare))*(IN_Kappa*(1-IN_DTest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1.53508703444319</v>
      </c>
      <c r="E50" s="5" t="s">
        <v>39</v>
      </c>
      <c r="F50" s="2" t="s">
        <v>202</v>
      </c>
      <c r="G50" s="18" t="s">
        <v>120</v>
      </c>
    </row>
    <row r="51" customFormat="false" ht="15" hidden="false" customHeight="false" outlineLevel="0" collapsed="false">
      <c r="A51" s="4"/>
      <c r="B51" s="4" t="s">
        <v>203</v>
      </c>
      <c r="C51" s="44" t="n">
        <f aca="false">C50/C13</f>
        <v>1.14285714285714</v>
      </c>
      <c r="D51" s="44" t="n">
        <f aca="false">D50/D13</f>
        <v>1.14285714285714</v>
      </c>
      <c r="E51" s="5" t="s">
        <v>39</v>
      </c>
      <c r="F51" s="2" t="s">
        <v>204</v>
      </c>
      <c r="G51" s="18" t="s">
        <v>120</v>
      </c>
    </row>
    <row r="52" customFormat="false" ht="26.85" hidden="false" customHeight="false" outlineLevel="0" collapsed="false">
      <c r="A52" s="4"/>
      <c r="B52" s="5" t="s">
        <v>205</v>
      </c>
      <c r="C52" s="44" t="n">
        <f aca="false">C13*(1-IN_Disc)</f>
        <v>2.01083733937671</v>
      </c>
      <c r="D52" s="44" t="n">
        <f aca="false">D13*(1-IN_Disc)</f>
        <v>1.07456092411024</v>
      </c>
      <c r="E52" s="5" t="s">
        <v>39</v>
      </c>
      <c r="F52" s="2" t="s">
        <v>206</v>
      </c>
      <c r="G52" s="18" t="s">
        <v>120</v>
      </c>
    </row>
    <row r="53" customFormat="false" ht="15" hidden="false" customHeight="false" outlineLevel="0" collapsed="false">
      <c r="A53" s="29" t="s">
        <v>207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customFormat="false" ht="26.85" hidden="false" customHeight="false" outlineLevel="0" collapsed="false">
      <c r="A54" s="4"/>
      <c r="B54" s="4" t="s">
        <v>208</v>
      </c>
      <c r="C54" s="47" t="n">
        <f aca="false">(3_m重算!F8*1000000000/3_m重算!F17-3_m重算!F10)/(3_m重算!F11*1000000000*365/1000000*(1-IN_FreeShare))</f>
        <v>19861.9691458349</v>
      </c>
      <c r="D54" s="47" t="n">
        <f aca="false">(3_m重算!H8*1000000000/3_m重算!H17-3_m重算!H10)/(3_m重算!H11*1000000000*365/1000000*(1-IN_FreeShare))</f>
        <v>10520.8219476181</v>
      </c>
      <c r="E54" s="4" t="s">
        <v>168</v>
      </c>
      <c r="F54" s="2" t="s">
        <v>209</v>
      </c>
      <c r="G54" s="18" t="s">
        <v>120</v>
      </c>
    </row>
    <row r="55" customFormat="false" ht="15" hidden="false" customHeight="false" outlineLevel="0" collapsed="false">
      <c r="A55" s="4"/>
      <c r="B55" s="4" t="s">
        <v>210</v>
      </c>
      <c r="C55" s="47" t="n">
        <f aca="false">3_m重算!F8*1000000000/3_m重算!F17/1000000</f>
        <v>9614.81873822975</v>
      </c>
      <c r="D55" s="47" t="n">
        <f aca="false">3_m重算!H8*1000000000/3_m重算!H17/1000000</f>
        <v>13413.7440156681</v>
      </c>
      <c r="E55" s="5" t="s">
        <v>118</v>
      </c>
      <c r="F55" s="2" t="s">
        <v>211</v>
      </c>
      <c r="G55" s="18" t="s">
        <v>120</v>
      </c>
    </row>
    <row r="56" customFormat="false" ht="15" hidden="false" customHeight="false" outlineLevel="0" collapsed="false">
      <c r="A56" s="4"/>
      <c r="B56" s="5" t="s">
        <v>212</v>
      </c>
      <c r="C56" s="22" t="n">
        <f aca="false">C55/C8</f>
        <v>2.51354667422089</v>
      </c>
      <c r="D56" s="22" t="n">
        <f aca="false">D55/D8</f>
        <v>1.34320115513779</v>
      </c>
      <c r="E56" s="5" t="s">
        <v>39</v>
      </c>
      <c r="F56" s="2" t="s">
        <v>213</v>
      </c>
      <c r="G56" s="18" t="s">
        <v>120</v>
      </c>
    </row>
    <row r="57" customFormat="false" ht="26.85" hidden="false" customHeight="false" outlineLevel="0" collapsed="false">
      <c r="A57" s="4"/>
      <c r="B57" s="4" t="s">
        <v>214</v>
      </c>
      <c r="C57" s="49" t="n">
        <f aca="false">1-(1-IN_Disc)*C13</f>
        <v>-1.01083733937671</v>
      </c>
      <c r="D57" s="49" t="n">
        <f aca="false">1-(1-IN_Disc)*D13</f>
        <v>-0.0745609241102354</v>
      </c>
      <c r="E57" s="4" t="s">
        <v>126</v>
      </c>
      <c r="F57" s="2" t="s">
        <v>215</v>
      </c>
      <c r="G57" s="18" t="s">
        <v>120</v>
      </c>
    </row>
    <row r="58" customFormat="false" ht="15" hidden="false" customHeight="false" outlineLevel="0" collapsed="false">
      <c r="A58" s="50" t="s">
        <v>216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customFormat="false" ht="29.85" hidden="false" customHeight="false" outlineLevel="0" collapsed="false">
      <c r="B59" s="5" t="s">
        <v>217</v>
      </c>
    </row>
    <row r="60" customFormat="false" ht="15" hidden="false" customHeight="false" outlineLevel="0" collapsed="false">
      <c r="B60" s="5" t="s">
        <v>218</v>
      </c>
    </row>
    <row r="61" customFormat="false" ht="15" hidden="false" customHeight="false" outlineLevel="0" collapsed="false">
      <c r="B61" s="5" t="s">
        <v>219</v>
      </c>
    </row>
    <row r="62" customFormat="false" ht="29.85" hidden="false" customHeight="false" outlineLevel="0" collapsed="false">
      <c r="B62" s="5" t="s">
        <v>220</v>
      </c>
    </row>
    <row r="63" customFormat="false" ht="29.85" hidden="false" customHeight="false" outlineLevel="0" collapsed="false">
      <c r="B63" s="5" t="s">
        <v>221</v>
      </c>
    </row>
    <row r="65" customFormat="false" ht="15" hidden="false" customHeight="false" outlineLevel="0" collapsed="false">
      <c r="B65" s="51" t="s">
        <v>222</v>
      </c>
      <c r="C65" s="52" t="str">
        <f aca="false">"把 d 從 "&amp;TEXT(IN_Disc,"0.00")&amp;" 改成 "&amp;TEXT(IN_DTest,"0.00")&amp;" 重算：2026 Q2 的 m 由 "&amp;TEXT(D13,"0.000")&amp;" 變成 "&amp;TEXT(D50,"0.000")&amp;"（×"&amp;TEXT(D50/D13,"0.000")&amp;"）；2025 由 "&amp;TEXT(C13,"0.000")&amp;" 變成 "&amp;TEXT(C50,"0.000")&amp;"。m 會變：營收與 token 是觀測值，d 只改有效牌價的基準，所以 m 隨 1/(1 − d) 變；不變的是 m ×（1 − d）＝實收單價 ÷ 表列牌價。"</f>
        <v>把 d 從 0.20 改成 0.30 重算：2026 Q2 的 m 由 1.343 變成 1.535（×1.143）；2025 由 2.514 變成 2.873。m 會變：營收與 token 是觀測值，d 只改有效牌價的基準，所以 m 隨 1/(1 − d) 變；不變的是 m ×（1 − d）＝實收單價 ÷ 表列牌價。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8" min="7" style="0" width="11"/>
    <col collapsed="false" customWidth="true" hidden="false" outlineLevel="0" max="9" min="9" style="0" width="20"/>
    <col collapsed="false" customWidth="true" hidden="false" outlineLevel="0" max="10" min="10" style="0" width="70"/>
    <col collapsed="false" customWidth="true" hidden="false" outlineLevel="0" max="11" min="11" style="0" width="9"/>
  </cols>
  <sheetData>
    <row r="1" customFormat="false" ht="20.1" hidden="false" customHeight="false" outlineLevel="0" collapsed="false">
      <c r="A1" s="28" t="s">
        <v>223</v>
      </c>
    </row>
    <row r="2" customFormat="false" ht="15" hidden="false" customHeight="false" outlineLevel="0" collapsed="false">
      <c r="A2" s="20" t="s">
        <v>224</v>
      </c>
    </row>
    <row r="4" customFormat="false" ht="15" hidden="false" customHeight="false" outlineLevel="0" collapsed="false">
      <c r="A4" s="11" t="s">
        <v>225</v>
      </c>
      <c r="B4" s="10" t="s">
        <v>226</v>
      </c>
      <c r="C4" s="10" t="s">
        <v>31</v>
      </c>
      <c r="D4" s="10" t="s">
        <v>227</v>
      </c>
      <c r="E4" s="10" t="s">
        <v>36</v>
      </c>
      <c r="F4" s="10" t="s">
        <v>228</v>
      </c>
      <c r="G4" s="10" t="s">
        <v>229</v>
      </c>
      <c r="H4" s="10" t="s">
        <v>230</v>
      </c>
      <c r="I4" s="11" t="s">
        <v>231</v>
      </c>
      <c r="J4" s="10" t="s">
        <v>232</v>
      </c>
      <c r="K4" s="10" t="s">
        <v>233</v>
      </c>
    </row>
    <row r="5" customFormat="false" ht="15" hidden="false" customHeight="false" outlineLevel="0" collapsed="false">
      <c r="A5" s="29" t="s">
        <v>234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customFormat="false" ht="29.85" hidden="false" customHeight="false" outlineLevel="0" collapsed="false">
      <c r="A6" s="4" t="s">
        <v>235</v>
      </c>
      <c r="B6" s="4" t="s">
        <v>236</v>
      </c>
      <c r="C6" s="4" t="s">
        <v>237</v>
      </c>
      <c r="D6" s="53" t="n">
        <v>13.07</v>
      </c>
      <c r="E6" s="4" t="s">
        <v>42</v>
      </c>
      <c r="F6" s="4" t="s">
        <v>238</v>
      </c>
      <c r="G6" s="4" t="s">
        <v>239</v>
      </c>
      <c r="H6" s="4" t="s">
        <v>239</v>
      </c>
      <c r="I6" s="4" t="s">
        <v>240</v>
      </c>
      <c r="J6" s="4" t="s">
        <v>241</v>
      </c>
      <c r="K6" s="5" t="s">
        <v>55</v>
      </c>
    </row>
    <row r="7" customFormat="false" ht="29.85" hidden="false" customHeight="false" outlineLevel="0" collapsed="false">
      <c r="A7" s="4" t="s">
        <v>242</v>
      </c>
      <c r="B7" s="4" t="s">
        <v>236</v>
      </c>
      <c r="C7" s="4" t="s">
        <v>243</v>
      </c>
      <c r="D7" s="53" t="n">
        <v>5.7</v>
      </c>
      <c r="E7" s="4" t="s">
        <v>42</v>
      </c>
      <c r="F7" s="4" t="s">
        <v>244</v>
      </c>
      <c r="G7" s="4" t="s">
        <v>239</v>
      </c>
      <c r="H7" s="4" t="s">
        <v>239</v>
      </c>
      <c r="I7" s="4" t="s">
        <v>245</v>
      </c>
      <c r="J7" s="4" t="s">
        <v>246</v>
      </c>
      <c r="K7" s="5" t="s">
        <v>247</v>
      </c>
    </row>
    <row r="8" customFormat="false" ht="29.85" hidden="false" customHeight="false" outlineLevel="0" collapsed="false">
      <c r="A8" s="4" t="s">
        <v>248</v>
      </c>
      <c r="B8" s="4" t="s">
        <v>236</v>
      </c>
      <c r="C8" s="4" t="s">
        <v>249</v>
      </c>
      <c r="D8" s="53" t="n">
        <v>6.7</v>
      </c>
      <c r="E8" s="4" t="s">
        <v>42</v>
      </c>
      <c r="F8" s="4" t="s">
        <v>250</v>
      </c>
      <c r="G8" s="4" t="s">
        <v>239</v>
      </c>
      <c r="H8" s="4" t="s">
        <v>239</v>
      </c>
      <c r="I8" s="4" t="s">
        <v>251</v>
      </c>
      <c r="J8" s="4" t="s">
        <v>252</v>
      </c>
      <c r="K8" s="5" t="s">
        <v>247</v>
      </c>
    </row>
    <row r="9" customFormat="false" ht="29.85" hidden="false" customHeight="false" outlineLevel="0" collapsed="false">
      <c r="A9" s="4" t="s">
        <v>253</v>
      </c>
      <c r="B9" s="4" t="s">
        <v>236</v>
      </c>
      <c r="C9" s="4" t="s">
        <v>254</v>
      </c>
      <c r="D9" s="53" t="n">
        <v>36</v>
      </c>
      <c r="E9" s="4" t="s">
        <v>42</v>
      </c>
      <c r="F9" s="4" t="s">
        <v>255</v>
      </c>
      <c r="G9" s="4" t="s">
        <v>239</v>
      </c>
      <c r="H9" s="4" t="s">
        <v>239</v>
      </c>
      <c r="I9" s="4" t="s">
        <v>256</v>
      </c>
      <c r="J9" s="5" t="s">
        <v>257</v>
      </c>
      <c r="K9" s="5" t="s">
        <v>247</v>
      </c>
    </row>
    <row r="10" customFormat="false" ht="29.85" hidden="false" customHeight="false" outlineLevel="0" collapsed="false">
      <c r="A10" s="4" t="s">
        <v>258</v>
      </c>
      <c r="B10" s="4" t="s">
        <v>236</v>
      </c>
      <c r="C10" s="4" t="s">
        <v>259</v>
      </c>
      <c r="D10" s="53" t="n">
        <v>0</v>
      </c>
      <c r="E10" s="4" t="s">
        <v>42</v>
      </c>
      <c r="F10" s="4" t="s">
        <v>260</v>
      </c>
      <c r="G10" s="53" t="n">
        <v>0</v>
      </c>
      <c r="H10" s="53" t="n">
        <v>0.2</v>
      </c>
      <c r="I10" s="4" t="s">
        <v>261</v>
      </c>
      <c r="J10" s="4" t="s">
        <v>262</v>
      </c>
      <c r="K10" s="5" t="s">
        <v>55</v>
      </c>
    </row>
    <row r="11" customFormat="false" ht="15" hidden="false" customHeight="false" outlineLevel="0" collapsed="false">
      <c r="A11" s="4" t="s">
        <v>263</v>
      </c>
      <c r="B11" s="4" t="s">
        <v>236</v>
      </c>
      <c r="C11" s="4" t="s">
        <v>264</v>
      </c>
      <c r="D11" s="53" t="n">
        <v>0.5</v>
      </c>
      <c r="E11" s="4" t="s">
        <v>42</v>
      </c>
      <c r="F11" s="4" t="s">
        <v>265</v>
      </c>
      <c r="G11" s="53" t="n">
        <v>0.3</v>
      </c>
      <c r="H11" s="53" t="n">
        <v>0.8</v>
      </c>
      <c r="I11" s="4" t="s">
        <v>266</v>
      </c>
      <c r="J11" s="5" t="s">
        <v>267</v>
      </c>
      <c r="K11" s="5" t="s">
        <v>55</v>
      </c>
    </row>
    <row r="12" customFormat="false" ht="15" hidden="false" customHeight="false" outlineLevel="0" collapsed="false">
      <c r="A12" s="4" t="s">
        <v>268</v>
      </c>
      <c r="B12" s="4" t="s">
        <v>236</v>
      </c>
      <c r="C12" s="4" t="s">
        <v>269</v>
      </c>
      <c r="D12" s="53" t="n">
        <v>1</v>
      </c>
      <c r="E12" s="4" t="s">
        <v>42</v>
      </c>
      <c r="F12" s="4" t="s">
        <v>270</v>
      </c>
      <c r="G12" s="53" t="n">
        <v>0.5</v>
      </c>
      <c r="H12" s="53" t="n">
        <v>1.5</v>
      </c>
      <c r="I12" s="4" t="s">
        <v>271</v>
      </c>
      <c r="J12" s="4" t="s">
        <v>272</v>
      </c>
      <c r="K12" s="5" t="s">
        <v>55</v>
      </c>
    </row>
    <row r="13" customFormat="false" ht="15" hidden="false" customHeight="false" outlineLevel="0" collapsed="false">
      <c r="A13" s="29" t="s">
        <v>273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customFormat="false" ht="29.85" hidden="false" customHeight="false" outlineLevel="0" collapsed="false">
      <c r="A14" s="4" t="s">
        <v>274</v>
      </c>
      <c r="B14" s="4" t="s">
        <v>275</v>
      </c>
      <c r="C14" s="4" t="s">
        <v>276</v>
      </c>
      <c r="D14" s="53" t="n">
        <v>0.7</v>
      </c>
      <c r="E14" s="4" t="s">
        <v>126</v>
      </c>
      <c r="F14" s="4" t="s">
        <v>277</v>
      </c>
      <c r="G14" s="53" t="n">
        <v>0.612088752869166</v>
      </c>
      <c r="H14" s="53" t="n">
        <v>0.82</v>
      </c>
      <c r="I14" s="4" t="s">
        <v>278</v>
      </c>
      <c r="J14" s="5" t="s">
        <v>279</v>
      </c>
      <c r="K14" s="5" t="s">
        <v>247</v>
      </c>
    </row>
    <row r="15" customFormat="false" ht="29.85" hidden="false" customHeight="false" outlineLevel="0" collapsed="false">
      <c r="A15" s="4" t="s">
        <v>280</v>
      </c>
      <c r="B15" s="4" t="s">
        <v>275</v>
      </c>
      <c r="C15" s="4" t="s">
        <v>281</v>
      </c>
      <c r="D15" s="53" t="n">
        <v>0.1</v>
      </c>
      <c r="E15" s="4" t="s">
        <v>126</v>
      </c>
      <c r="F15" s="4" t="s">
        <v>282</v>
      </c>
      <c r="G15" s="53" t="n">
        <v>0.05</v>
      </c>
      <c r="H15" s="53" t="n">
        <v>0.15</v>
      </c>
      <c r="I15" s="4" t="s">
        <v>283</v>
      </c>
      <c r="J15" s="5" t="s">
        <v>284</v>
      </c>
      <c r="K15" s="5" t="s">
        <v>247</v>
      </c>
    </row>
    <row r="16" customFormat="false" ht="29.85" hidden="false" customHeight="false" outlineLevel="0" collapsed="false">
      <c r="A16" s="4" t="s">
        <v>285</v>
      </c>
      <c r="B16" s="4" t="s">
        <v>275</v>
      </c>
      <c r="C16" s="4" t="s">
        <v>286</v>
      </c>
      <c r="D16" s="54" t="n">
        <v>0.6</v>
      </c>
      <c r="E16" s="4" t="s">
        <v>126</v>
      </c>
      <c r="F16" s="4" t="s">
        <v>287</v>
      </c>
      <c r="G16" s="4" t="s">
        <v>239</v>
      </c>
      <c r="H16" s="4" t="s">
        <v>239</v>
      </c>
      <c r="I16" s="4" t="s">
        <v>288</v>
      </c>
      <c r="J16" s="4" t="s">
        <v>289</v>
      </c>
      <c r="K16" s="5" t="s">
        <v>57</v>
      </c>
    </row>
    <row r="17" customFormat="false" ht="29.85" hidden="false" customHeight="false" outlineLevel="0" collapsed="false">
      <c r="A17" s="4" t="s">
        <v>290</v>
      </c>
      <c r="B17" s="4" t="s">
        <v>275</v>
      </c>
      <c r="C17" s="4" t="s">
        <v>291</v>
      </c>
      <c r="D17" s="54" t="n">
        <v>0.55</v>
      </c>
      <c r="E17" s="4" t="s">
        <v>126</v>
      </c>
      <c r="F17" s="4" t="s">
        <v>287</v>
      </c>
      <c r="G17" s="4" t="s">
        <v>239</v>
      </c>
      <c r="H17" s="4" t="s">
        <v>239</v>
      </c>
      <c r="I17" s="4" t="s">
        <v>292</v>
      </c>
      <c r="J17" s="4" t="s">
        <v>293</v>
      </c>
      <c r="K17" s="5" t="s">
        <v>57</v>
      </c>
    </row>
    <row r="18" customFormat="false" ht="29.85" hidden="false" customHeight="false" outlineLevel="0" collapsed="false">
      <c r="A18" s="4" t="s">
        <v>294</v>
      </c>
      <c r="B18" s="4" t="s">
        <v>275</v>
      </c>
      <c r="C18" s="4" t="s">
        <v>295</v>
      </c>
      <c r="D18" s="54" t="n">
        <v>0.45</v>
      </c>
      <c r="E18" s="4" t="s">
        <v>126</v>
      </c>
      <c r="F18" s="4" t="s">
        <v>287</v>
      </c>
      <c r="G18" s="4" t="s">
        <v>239</v>
      </c>
      <c r="H18" s="4" t="s">
        <v>239</v>
      </c>
      <c r="I18" s="4" t="s">
        <v>296</v>
      </c>
      <c r="J18" s="5" t="s">
        <v>297</v>
      </c>
      <c r="K18" s="5" t="s">
        <v>57</v>
      </c>
    </row>
    <row r="19" customFormat="false" ht="29.85" hidden="false" customHeight="false" outlineLevel="0" collapsed="false">
      <c r="A19" s="4" t="s">
        <v>298</v>
      </c>
      <c r="B19" s="4" t="s">
        <v>275</v>
      </c>
      <c r="C19" s="4" t="s">
        <v>299</v>
      </c>
      <c r="D19" s="54" t="n">
        <v>0.2</v>
      </c>
      <c r="E19" s="4" t="s">
        <v>126</v>
      </c>
      <c r="F19" s="4" t="s">
        <v>300</v>
      </c>
      <c r="G19" s="4" t="s">
        <v>239</v>
      </c>
      <c r="H19" s="4" t="s">
        <v>239</v>
      </c>
      <c r="I19" s="4" t="s">
        <v>301</v>
      </c>
      <c r="J19" s="5" t="s">
        <v>302</v>
      </c>
      <c r="K19" s="5" t="s">
        <v>57</v>
      </c>
    </row>
    <row r="20" customFormat="false" ht="29.85" hidden="false" customHeight="false" outlineLevel="0" collapsed="false">
      <c r="A20" s="4" t="s">
        <v>303</v>
      </c>
      <c r="B20" s="4" t="s">
        <v>275</v>
      </c>
      <c r="C20" s="4" t="s">
        <v>304</v>
      </c>
      <c r="D20" s="54" t="n">
        <v>0.25</v>
      </c>
      <c r="E20" s="4" t="s">
        <v>126</v>
      </c>
      <c r="F20" s="4" t="s">
        <v>300</v>
      </c>
      <c r="G20" s="4" t="s">
        <v>239</v>
      </c>
      <c r="H20" s="4" t="s">
        <v>239</v>
      </c>
      <c r="I20" s="4" t="s">
        <v>305</v>
      </c>
      <c r="J20" s="4" t="s">
        <v>293</v>
      </c>
      <c r="K20" s="5" t="s">
        <v>57</v>
      </c>
    </row>
    <row r="21" customFormat="false" ht="29.85" hidden="false" customHeight="false" outlineLevel="0" collapsed="false">
      <c r="A21" s="4" t="s">
        <v>306</v>
      </c>
      <c r="B21" s="4" t="s">
        <v>275</v>
      </c>
      <c r="C21" s="4" t="s">
        <v>307</v>
      </c>
      <c r="D21" s="54" t="n">
        <v>0.35</v>
      </c>
      <c r="E21" s="4" t="s">
        <v>126</v>
      </c>
      <c r="F21" s="4" t="s">
        <v>300</v>
      </c>
      <c r="G21" s="4" t="s">
        <v>239</v>
      </c>
      <c r="H21" s="4" t="s">
        <v>239</v>
      </c>
      <c r="I21" s="4" t="s">
        <v>308</v>
      </c>
      <c r="J21" s="4" t="s">
        <v>293</v>
      </c>
      <c r="K21" s="5" t="s">
        <v>57</v>
      </c>
    </row>
    <row r="22" customFormat="false" ht="15" hidden="false" customHeight="false" outlineLevel="0" collapsed="false">
      <c r="A22" s="29" t="s">
        <v>309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customFormat="false" ht="29.85" hidden="false" customHeight="false" outlineLevel="0" collapsed="false">
      <c r="A23" s="4" t="s">
        <v>310</v>
      </c>
      <c r="B23" s="4" t="s">
        <v>311</v>
      </c>
      <c r="C23" s="4" t="s">
        <v>312</v>
      </c>
      <c r="D23" s="53" t="n">
        <v>6</v>
      </c>
      <c r="E23" s="5" t="s">
        <v>313</v>
      </c>
      <c r="F23" s="4" t="s">
        <v>314</v>
      </c>
      <c r="G23" s="4" t="s">
        <v>239</v>
      </c>
      <c r="H23" s="4" t="s">
        <v>239</v>
      </c>
      <c r="I23" s="4" t="s">
        <v>315</v>
      </c>
      <c r="J23" s="4" t="s">
        <v>316</v>
      </c>
      <c r="K23" s="5" t="s">
        <v>55</v>
      </c>
    </row>
    <row r="24" customFormat="false" ht="15" hidden="false" customHeight="false" outlineLevel="0" collapsed="false">
      <c r="A24" s="4" t="s">
        <v>317</v>
      </c>
      <c r="B24" s="4" t="s">
        <v>311</v>
      </c>
      <c r="C24" s="4" t="s">
        <v>318</v>
      </c>
      <c r="D24" s="53" t="n">
        <v>0.75</v>
      </c>
      <c r="E24" s="4" t="s">
        <v>319</v>
      </c>
      <c r="F24" s="4" t="s">
        <v>320</v>
      </c>
      <c r="G24" s="53" t="n">
        <v>0.6</v>
      </c>
      <c r="H24" s="53" t="n">
        <v>0.9</v>
      </c>
      <c r="I24" s="4" t="s">
        <v>321</v>
      </c>
      <c r="J24" s="5" t="s">
        <v>322</v>
      </c>
      <c r="K24" s="5" t="s">
        <v>247</v>
      </c>
    </row>
    <row r="25" customFormat="false" ht="29.85" hidden="false" customHeight="false" outlineLevel="0" collapsed="false">
      <c r="A25" s="4" t="s">
        <v>323</v>
      </c>
      <c r="B25" s="4" t="s">
        <v>311</v>
      </c>
      <c r="C25" s="4" t="s">
        <v>324</v>
      </c>
      <c r="D25" s="53" t="n">
        <v>15</v>
      </c>
      <c r="E25" s="5" t="s">
        <v>313</v>
      </c>
      <c r="F25" s="4" t="s">
        <v>325</v>
      </c>
      <c r="G25" s="4" t="s">
        <v>239</v>
      </c>
      <c r="H25" s="4" t="s">
        <v>239</v>
      </c>
      <c r="I25" s="4" t="s">
        <v>326</v>
      </c>
      <c r="J25" s="4" t="s">
        <v>327</v>
      </c>
      <c r="K25" s="5" t="s">
        <v>247</v>
      </c>
    </row>
    <row r="26" customFormat="false" ht="29.85" hidden="false" customHeight="false" outlineLevel="0" collapsed="false">
      <c r="A26" s="4" t="s">
        <v>328</v>
      </c>
      <c r="B26" s="4" t="s">
        <v>311</v>
      </c>
      <c r="C26" s="4" t="s">
        <v>329</v>
      </c>
      <c r="D26" s="53" t="n">
        <v>1.3</v>
      </c>
      <c r="E26" s="4" t="s">
        <v>319</v>
      </c>
      <c r="F26" s="4" t="s">
        <v>330</v>
      </c>
      <c r="G26" s="4" t="s">
        <v>239</v>
      </c>
      <c r="H26" s="4" t="s">
        <v>239</v>
      </c>
      <c r="I26" s="4" t="s">
        <v>331</v>
      </c>
      <c r="J26" s="4" t="s">
        <v>332</v>
      </c>
      <c r="K26" s="5" t="s">
        <v>247</v>
      </c>
    </row>
    <row r="27" customFormat="false" ht="29.85" hidden="false" customHeight="false" outlineLevel="0" collapsed="false">
      <c r="A27" s="4" t="s">
        <v>333</v>
      </c>
      <c r="B27" s="4" t="s">
        <v>311</v>
      </c>
      <c r="C27" s="4" t="s">
        <v>334</v>
      </c>
      <c r="D27" s="53" t="n">
        <v>2.5</v>
      </c>
      <c r="E27" s="4" t="s">
        <v>335</v>
      </c>
      <c r="F27" s="4" t="s">
        <v>336</v>
      </c>
      <c r="G27" s="4" t="s">
        <v>239</v>
      </c>
      <c r="H27" s="4" t="s">
        <v>239</v>
      </c>
      <c r="I27" s="4" t="s">
        <v>337</v>
      </c>
      <c r="J27" s="4" t="s">
        <v>338</v>
      </c>
      <c r="K27" s="5" t="s">
        <v>55</v>
      </c>
    </row>
    <row r="28" customFormat="false" ht="29.85" hidden="false" customHeight="false" outlineLevel="0" collapsed="false">
      <c r="A28" s="4" t="s">
        <v>339</v>
      </c>
      <c r="B28" s="4" t="s">
        <v>311</v>
      </c>
      <c r="C28" s="4" t="s">
        <v>340</v>
      </c>
      <c r="D28" s="54" t="n">
        <v>3.2</v>
      </c>
      <c r="E28" s="4" t="s">
        <v>335</v>
      </c>
      <c r="F28" s="4" t="s">
        <v>341</v>
      </c>
      <c r="G28" s="4" t="s">
        <v>239</v>
      </c>
      <c r="H28" s="4" t="s">
        <v>239</v>
      </c>
      <c r="I28" s="4" t="s">
        <v>342</v>
      </c>
      <c r="J28" s="5" t="s">
        <v>343</v>
      </c>
      <c r="K28" s="5" t="s">
        <v>57</v>
      </c>
    </row>
    <row r="29" customFormat="false" ht="29.85" hidden="false" customHeight="false" outlineLevel="0" collapsed="false">
      <c r="A29" s="4" t="s">
        <v>344</v>
      </c>
      <c r="B29" s="4" t="s">
        <v>311</v>
      </c>
      <c r="C29" s="4" t="s">
        <v>345</v>
      </c>
      <c r="D29" s="54" t="n">
        <v>3.6</v>
      </c>
      <c r="E29" s="4" t="s">
        <v>335</v>
      </c>
      <c r="F29" s="4" t="s">
        <v>341</v>
      </c>
      <c r="G29" s="4" t="s">
        <v>239</v>
      </c>
      <c r="H29" s="4" t="s">
        <v>239</v>
      </c>
      <c r="I29" s="4" t="s">
        <v>346</v>
      </c>
      <c r="J29" s="4" t="s">
        <v>347</v>
      </c>
      <c r="K29" s="5" t="s">
        <v>57</v>
      </c>
    </row>
    <row r="30" customFormat="false" ht="29.85" hidden="false" customHeight="false" outlineLevel="0" collapsed="false">
      <c r="A30" s="4" t="s">
        <v>348</v>
      </c>
      <c r="B30" s="4" t="s">
        <v>311</v>
      </c>
      <c r="C30" s="4" t="s">
        <v>349</v>
      </c>
      <c r="D30" s="54" t="n">
        <v>3.8</v>
      </c>
      <c r="E30" s="4" t="s">
        <v>335</v>
      </c>
      <c r="F30" s="4" t="s">
        <v>341</v>
      </c>
      <c r="G30" s="4" t="s">
        <v>239</v>
      </c>
      <c r="H30" s="4" t="s">
        <v>239</v>
      </c>
      <c r="I30" s="4" t="s">
        <v>350</v>
      </c>
      <c r="J30" s="4" t="s">
        <v>293</v>
      </c>
      <c r="K30" s="5" t="s">
        <v>57</v>
      </c>
    </row>
    <row r="31" customFormat="false" ht="15" hidden="false" customHeight="false" outlineLevel="0" collapsed="false">
      <c r="A31" s="4" t="s">
        <v>351</v>
      </c>
      <c r="B31" s="4" t="s">
        <v>311</v>
      </c>
      <c r="C31" s="5" t="s">
        <v>167</v>
      </c>
      <c r="D31" s="54" t="n">
        <v>4000</v>
      </c>
      <c r="E31" s="4" t="s">
        <v>352</v>
      </c>
      <c r="F31" s="4" t="s">
        <v>353</v>
      </c>
      <c r="G31" s="53" t="n">
        <v>2000</v>
      </c>
      <c r="H31" s="53" t="n">
        <v>11000</v>
      </c>
      <c r="I31" s="4" t="s">
        <v>354</v>
      </c>
      <c r="J31" s="5" t="s">
        <v>355</v>
      </c>
      <c r="K31" s="5" t="s">
        <v>57</v>
      </c>
    </row>
    <row r="32" customFormat="false" ht="15" hidden="false" customHeight="false" outlineLevel="0" collapsed="false">
      <c r="A32" s="4" t="s">
        <v>356</v>
      </c>
      <c r="B32" s="4" t="s">
        <v>311</v>
      </c>
      <c r="C32" s="4" t="s">
        <v>357</v>
      </c>
      <c r="D32" s="54" t="n">
        <v>0.6</v>
      </c>
      <c r="E32" s="4" t="s">
        <v>126</v>
      </c>
      <c r="F32" s="4" t="s">
        <v>358</v>
      </c>
      <c r="G32" s="53" t="n">
        <v>0.4</v>
      </c>
      <c r="H32" s="53" t="n">
        <v>0.8</v>
      </c>
      <c r="I32" s="4" t="s">
        <v>359</v>
      </c>
      <c r="J32" s="4" t="s">
        <v>360</v>
      </c>
      <c r="K32" s="5" t="s">
        <v>57</v>
      </c>
    </row>
    <row r="33" customFormat="false" ht="15" hidden="false" customHeight="false" outlineLevel="0" collapsed="false">
      <c r="A33" s="4" t="s">
        <v>361</v>
      </c>
      <c r="B33" s="4" t="s">
        <v>311</v>
      </c>
      <c r="C33" s="4" t="s">
        <v>362</v>
      </c>
      <c r="D33" s="54" t="n">
        <v>0.75</v>
      </c>
      <c r="E33" s="4" t="s">
        <v>126</v>
      </c>
      <c r="F33" s="4" t="s">
        <v>363</v>
      </c>
      <c r="G33" s="53" t="n">
        <v>0.6</v>
      </c>
      <c r="H33" s="53" t="n">
        <v>0.9</v>
      </c>
      <c r="I33" s="4" t="s">
        <v>364</v>
      </c>
      <c r="J33" s="5" t="s">
        <v>365</v>
      </c>
      <c r="K33" s="5" t="s">
        <v>57</v>
      </c>
    </row>
    <row r="34" customFormat="false" ht="29.85" hidden="false" customHeight="false" outlineLevel="0" collapsed="false">
      <c r="A34" s="4" t="s">
        <v>366</v>
      </c>
      <c r="B34" s="4" t="s">
        <v>311</v>
      </c>
      <c r="C34" s="4" t="s">
        <v>367</v>
      </c>
      <c r="D34" s="54" t="n">
        <v>0.65</v>
      </c>
      <c r="E34" s="4" t="s">
        <v>126</v>
      </c>
      <c r="F34" s="4" t="s">
        <v>368</v>
      </c>
      <c r="G34" s="53" t="n">
        <v>0.5</v>
      </c>
      <c r="H34" s="53" t="n">
        <v>0.8</v>
      </c>
      <c r="I34" s="4" t="s">
        <v>369</v>
      </c>
      <c r="J34" s="4" t="s">
        <v>370</v>
      </c>
      <c r="K34" s="5" t="s">
        <v>57</v>
      </c>
    </row>
    <row r="35" customFormat="false" ht="15" hidden="false" customHeight="false" outlineLevel="0" collapsed="false">
      <c r="A35" s="29" t="s">
        <v>371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customFormat="false" ht="15" hidden="false" customHeight="false" outlineLevel="0" collapsed="false">
      <c r="A36" s="4" t="s">
        <v>372</v>
      </c>
      <c r="B36" s="4" t="s">
        <v>373</v>
      </c>
      <c r="C36" s="4" t="s">
        <v>374</v>
      </c>
      <c r="D36" s="53" t="n">
        <v>0.1</v>
      </c>
      <c r="E36" s="4" t="s">
        <v>375</v>
      </c>
      <c r="F36" s="4" t="s">
        <v>376</v>
      </c>
      <c r="G36" s="4" t="s">
        <v>239</v>
      </c>
      <c r="H36" s="4" t="s">
        <v>239</v>
      </c>
      <c r="I36" s="4" t="s">
        <v>377</v>
      </c>
      <c r="J36" s="4" t="s">
        <v>378</v>
      </c>
      <c r="K36" s="5" t="s">
        <v>55</v>
      </c>
    </row>
    <row r="37" customFormat="false" ht="15" hidden="false" customHeight="false" outlineLevel="0" collapsed="false">
      <c r="A37" s="4" t="s">
        <v>379</v>
      </c>
      <c r="B37" s="4" t="s">
        <v>373</v>
      </c>
      <c r="C37" s="4" t="s">
        <v>380</v>
      </c>
      <c r="D37" s="53" t="n">
        <v>2</v>
      </c>
      <c r="E37" s="4" t="s">
        <v>375</v>
      </c>
      <c r="F37" s="4" t="s">
        <v>381</v>
      </c>
      <c r="G37" s="4" t="s">
        <v>239</v>
      </c>
      <c r="H37" s="4" t="s">
        <v>239</v>
      </c>
      <c r="I37" s="4" t="s">
        <v>382</v>
      </c>
      <c r="J37" s="4" t="s">
        <v>383</v>
      </c>
      <c r="K37" s="5" t="s">
        <v>55</v>
      </c>
    </row>
    <row r="38" customFormat="false" ht="15" hidden="false" customHeight="false" outlineLevel="0" collapsed="false">
      <c r="A38" s="4" t="s">
        <v>384</v>
      </c>
      <c r="B38" s="4" t="s">
        <v>373</v>
      </c>
      <c r="C38" s="4" t="s">
        <v>385</v>
      </c>
      <c r="D38" s="53" t="n">
        <v>10</v>
      </c>
      <c r="E38" s="4" t="s">
        <v>375</v>
      </c>
      <c r="F38" s="4" t="s">
        <v>386</v>
      </c>
      <c r="G38" s="4" t="s">
        <v>239</v>
      </c>
      <c r="H38" s="4" t="s">
        <v>239</v>
      </c>
      <c r="I38" s="4" t="s">
        <v>387</v>
      </c>
      <c r="J38" s="4" t="s">
        <v>388</v>
      </c>
      <c r="K38" s="5" t="s">
        <v>55</v>
      </c>
    </row>
    <row r="39" customFormat="false" ht="15" hidden="false" customHeight="false" outlineLevel="0" collapsed="false">
      <c r="A39" s="4" t="s">
        <v>389</v>
      </c>
      <c r="B39" s="4" t="s">
        <v>373</v>
      </c>
      <c r="C39" s="4" t="s">
        <v>390</v>
      </c>
      <c r="D39" s="53" t="n">
        <v>0.01</v>
      </c>
      <c r="E39" s="4" t="s">
        <v>375</v>
      </c>
      <c r="F39" s="4" t="s">
        <v>391</v>
      </c>
      <c r="G39" s="4" t="s">
        <v>239</v>
      </c>
      <c r="H39" s="4" t="s">
        <v>239</v>
      </c>
      <c r="I39" s="4" t="s">
        <v>392</v>
      </c>
      <c r="J39" s="5" t="s">
        <v>393</v>
      </c>
      <c r="K39" s="5" t="s">
        <v>55</v>
      </c>
    </row>
    <row r="40" customFormat="false" ht="15" hidden="false" customHeight="false" outlineLevel="0" collapsed="false">
      <c r="A40" s="4" t="s">
        <v>394</v>
      </c>
      <c r="B40" s="4" t="s">
        <v>373</v>
      </c>
      <c r="C40" s="4" t="s">
        <v>395</v>
      </c>
      <c r="D40" s="53" t="n">
        <v>0.2</v>
      </c>
      <c r="E40" s="4" t="s">
        <v>375</v>
      </c>
      <c r="F40" s="4" t="s">
        <v>396</v>
      </c>
      <c r="G40" s="4" t="s">
        <v>239</v>
      </c>
      <c r="H40" s="4" t="s">
        <v>239</v>
      </c>
      <c r="I40" s="4" t="s">
        <v>397</v>
      </c>
      <c r="J40" s="4"/>
      <c r="K40" s="5" t="s">
        <v>55</v>
      </c>
    </row>
    <row r="41" customFormat="false" ht="15" hidden="false" customHeight="false" outlineLevel="0" collapsed="false">
      <c r="A41" s="4" t="s">
        <v>398</v>
      </c>
      <c r="B41" s="4" t="s">
        <v>373</v>
      </c>
      <c r="C41" s="4" t="s">
        <v>399</v>
      </c>
      <c r="D41" s="53" t="n">
        <v>1</v>
      </c>
      <c r="E41" s="4" t="s">
        <v>375</v>
      </c>
      <c r="F41" s="4" t="s">
        <v>400</v>
      </c>
      <c r="G41" s="4" t="s">
        <v>239</v>
      </c>
      <c r="H41" s="4" t="s">
        <v>239</v>
      </c>
      <c r="I41" s="4" t="s">
        <v>401</v>
      </c>
      <c r="J41" s="4"/>
      <c r="K41" s="5" t="s">
        <v>55</v>
      </c>
    </row>
    <row r="42" customFormat="false" ht="15" hidden="false" customHeight="false" outlineLevel="0" collapsed="false">
      <c r="A42" s="4" t="s">
        <v>402</v>
      </c>
      <c r="B42" s="4" t="s">
        <v>373</v>
      </c>
      <c r="C42" s="4" t="s">
        <v>403</v>
      </c>
      <c r="D42" s="53" t="n">
        <v>0.5</v>
      </c>
      <c r="E42" s="4" t="s">
        <v>375</v>
      </c>
      <c r="F42" s="4" t="s">
        <v>404</v>
      </c>
      <c r="G42" s="4" t="s">
        <v>239</v>
      </c>
      <c r="H42" s="4" t="s">
        <v>239</v>
      </c>
      <c r="I42" s="4" t="s">
        <v>405</v>
      </c>
      <c r="J42" s="5" t="s">
        <v>406</v>
      </c>
      <c r="K42" s="5" t="s">
        <v>55</v>
      </c>
    </row>
    <row r="43" customFormat="false" ht="15" hidden="false" customHeight="false" outlineLevel="0" collapsed="false">
      <c r="A43" s="4" t="s">
        <v>407</v>
      </c>
      <c r="B43" s="4" t="s">
        <v>373</v>
      </c>
      <c r="C43" s="4" t="s">
        <v>408</v>
      </c>
      <c r="D43" s="53" t="n">
        <v>10</v>
      </c>
      <c r="E43" s="4" t="s">
        <v>375</v>
      </c>
      <c r="F43" s="4" t="s">
        <v>409</v>
      </c>
      <c r="G43" s="4" t="s">
        <v>239</v>
      </c>
      <c r="H43" s="4" t="s">
        <v>239</v>
      </c>
      <c r="I43" s="4" t="s">
        <v>410</v>
      </c>
      <c r="J43" s="4"/>
      <c r="K43" s="5" t="s">
        <v>55</v>
      </c>
    </row>
    <row r="44" customFormat="false" ht="15" hidden="false" customHeight="false" outlineLevel="0" collapsed="false">
      <c r="A44" s="4" t="s">
        <v>411</v>
      </c>
      <c r="B44" s="4" t="s">
        <v>373</v>
      </c>
      <c r="C44" s="4" t="s">
        <v>412</v>
      </c>
      <c r="D44" s="53" t="n">
        <v>50</v>
      </c>
      <c r="E44" s="4" t="s">
        <v>375</v>
      </c>
      <c r="F44" s="4" t="s">
        <v>413</v>
      </c>
      <c r="G44" s="4" t="s">
        <v>239</v>
      </c>
      <c r="H44" s="4" t="s">
        <v>239</v>
      </c>
      <c r="I44" s="4" t="s">
        <v>414</v>
      </c>
      <c r="J44" s="4"/>
      <c r="K44" s="5" t="s">
        <v>55</v>
      </c>
    </row>
    <row r="45" customFormat="false" ht="15" hidden="false" customHeight="false" outlineLevel="0" collapsed="false">
      <c r="A45" s="4" t="s">
        <v>415</v>
      </c>
      <c r="B45" s="4" t="s">
        <v>373</v>
      </c>
      <c r="C45" s="4" t="s">
        <v>416</v>
      </c>
      <c r="D45" s="53" t="n">
        <v>8192</v>
      </c>
      <c r="E45" s="4" t="s">
        <v>417</v>
      </c>
      <c r="F45" s="4" t="s">
        <v>418</v>
      </c>
      <c r="G45" s="53" t="n">
        <v>4096</v>
      </c>
      <c r="H45" s="53" t="n">
        <v>16384</v>
      </c>
      <c r="I45" s="4" t="s">
        <v>419</v>
      </c>
      <c r="J45" s="5" t="s">
        <v>420</v>
      </c>
      <c r="K45" s="5" t="s">
        <v>247</v>
      </c>
    </row>
    <row r="46" customFormat="false" ht="15" hidden="false" customHeight="false" outlineLevel="0" collapsed="false">
      <c r="A46" s="4" t="s">
        <v>421</v>
      </c>
      <c r="B46" s="4" t="s">
        <v>373</v>
      </c>
      <c r="C46" s="4" t="s">
        <v>422</v>
      </c>
      <c r="D46" s="54" t="n">
        <v>16384</v>
      </c>
      <c r="E46" s="4" t="s">
        <v>417</v>
      </c>
      <c r="F46" s="4" t="s">
        <v>423</v>
      </c>
      <c r="G46" s="53" t="n">
        <v>8192</v>
      </c>
      <c r="H46" s="53" t="n">
        <v>68000</v>
      </c>
      <c r="I46" s="4" t="s">
        <v>424</v>
      </c>
      <c r="J46" s="4"/>
      <c r="K46" s="5" t="s">
        <v>57</v>
      </c>
    </row>
    <row r="47" customFormat="false" ht="15" hidden="false" customHeight="false" outlineLevel="0" collapsed="false">
      <c r="A47" s="4" t="s">
        <v>425</v>
      </c>
      <c r="B47" s="4" t="s">
        <v>373</v>
      </c>
      <c r="C47" s="4" t="s">
        <v>426</v>
      </c>
      <c r="D47" s="54" t="n">
        <v>32768</v>
      </c>
      <c r="E47" s="4" t="s">
        <v>417</v>
      </c>
      <c r="F47" s="4" t="s">
        <v>427</v>
      </c>
      <c r="G47" s="53" t="n">
        <v>16384</v>
      </c>
      <c r="H47" s="53" t="n">
        <v>68000</v>
      </c>
      <c r="I47" s="4" t="s">
        <v>428</v>
      </c>
      <c r="J47" s="4"/>
      <c r="K47" s="5" t="s">
        <v>57</v>
      </c>
    </row>
    <row r="48" customFormat="false" ht="15" hidden="false" customHeight="false" outlineLevel="0" collapsed="false">
      <c r="A48" s="4" t="s">
        <v>429</v>
      </c>
      <c r="B48" s="4" t="s">
        <v>373</v>
      </c>
      <c r="C48" s="4" t="s">
        <v>430</v>
      </c>
      <c r="D48" s="53" t="n">
        <v>1024</v>
      </c>
      <c r="E48" s="4" t="s">
        <v>417</v>
      </c>
      <c r="F48" s="4" t="s">
        <v>431</v>
      </c>
      <c r="G48" s="53" t="n">
        <v>400</v>
      </c>
      <c r="H48" s="53" t="n">
        <v>2048</v>
      </c>
      <c r="I48" s="4" t="s">
        <v>432</v>
      </c>
      <c r="J48" s="4"/>
      <c r="K48" s="5" t="s">
        <v>247</v>
      </c>
    </row>
    <row r="49" customFormat="false" ht="15" hidden="false" customHeight="false" outlineLevel="0" collapsed="false">
      <c r="A49" s="4" t="s">
        <v>433</v>
      </c>
      <c r="B49" s="4" t="s">
        <v>373</v>
      </c>
      <c r="C49" s="4" t="s">
        <v>434</v>
      </c>
      <c r="D49" s="54" t="n">
        <v>2048</v>
      </c>
      <c r="E49" s="4" t="s">
        <v>417</v>
      </c>
      <c r="F49" s="4" t="s">
        <v>435</v>
      </c>
      <c r="G49" s="53" t="n">
        <v>1024</v>
      </c>
      <c r="H49" s="53" t="n">
        <v>4096</v>
      </c>
      <c r="I49" s="4" t="s">
        <v>436</v>
      </c>
      <c r="J49" s="4"/>
      <c r="K49" s="5" t="s">
        <v>57</v>
      </c>
    </row>
    <row r="50" customFormat="false" ht="15" hidden="false" customHeight="false" outlineLevel="0" collapsed="false">
      <c r="A50" s="4" t="s">
        <v>437</v>
      </c>
      <c r="B50" s="4" t="s">
        <v>373</v>
      </c>
      <c r="C50" s="4" t="s">
        <v>438</v>
      </c>
      <c r="D50" s="54" t="n">
        <v>4096</v>
      </c>
      <c r="E50" s="4" t="s">
        <v>417</v>
      </c>
      <c r="F50" s="4" t="s">
        <v>439</v>
      </c>
      <c r="G50" s="53" t="n">
        <v>2048</v>
      </c>
      <c r="H50" s="53" t="n">
        <v>8192</v>
      </c>
      <c r="I50" s="4" t="s">
        <v>440</v>
      </c>
      <c r="J50" s="4"/>
      <c r="K50" s="5" t="s">
        <v>57</v>
      </c>
    </row>
    <row r="51" customFormat="false" ht="15" hidden="false" customHeight="false" outlineLevel="0" collapsed="false">
      <c r="A51" s="4" t="s">
        <v>441</v>
      </c>
      <c r="B51" s="4" t="s">
        <v>373</v>
      </c>
      <c r="C51" s="5" t="s">
        <v>442</v>
      </c>
      <c r="D51" s="54" t="n">
        <v>0.55</v>
      </c>
      <c r="E51" s="4" t="s">
        <v>126</v>
      </c>
      <c r="F51" s="4" t="s">
        <v>443</v>
      </c>
      <c r="G51" s="53" t="n">
        <v>0.3</v>
      </c>
      <c r="H51" s="53" t="n">
        <v>0.75</v>
      </c>
      <c r="I51" s="4" t="s">
        <v>444</v>
      </c>
      <c r="J51" s="4" t="s">
        <v>445</v>
      </c>
      <c r="K51" s="5" t="s">
        <v>57</v>
      </c>
    </row>
    <row r="52" customFormat="false" ht="29.85" hidden="false" customHeight="false" outlineLevel="0" collapsed="false">
      <c r="A52" s="4" t="s">
        <v>446</v>
      </c>
      <c r="B52" s="4" t="s">
        <v>373</v>
      </c>
      <c r="C52" s="4" t="s">
        <v>447</v>
      </c>
      <c r="D52" s="53" t="n">
        <v>1</v>
      </c>
      <c r="E52" s="4" t="s">
        <v>319</v>
      </c>
      <c r="F52" s="4" t="s">
        <v>448</v>
      </c>
      <c r="G52" s="4" t="s">
        <v>239</v>
      </c>
      <c r="H52" s="4" t="s">
        <v>239</v>
      </c>
      <c r="I52" s="4" t="s">
        <v>449</v>
      </c>
      <c r="J52" s="5" t="s">
        <v>450</v>
      </c>
      <c r="K52" s="5" t="s">
        <v>55</v>
      </c>
    </row>
    <row r="53" customFormat="false" ht="29.85" hidden="false" customHeight="false" outlineLevel="0" collapsed="false">
      <c r="A53" s="4" t="s">
        <v>451</v>
      </c>
      <c r="B53" s="4" t="s">
        <v>373</v>
      </c>
      <c r="C53" s="4" t="s">
        <v>452</v>
      </c>
      <c r="D53" s="53" t="n">
        <v>1</v>
      </c>
      <c r="E53" s="4" t="s">
        <v>319</v>
      </c>
      <c r="F53" s="4" t="s">
        <v>448</v>
      </c>
      <c r="G53" s="4" t="s">
        <v>239</v>
      </c>
      <c r="H53" s="4" t="s">
        <v>239</v>
      </c>
      <c r="I53" s="4" t="s">
        <v>453</v>
      </c>
      <c r="J53" s="5" t="s">
        <v>454</v>
      </c>
      <c r="K53" s="5" t="s">
        <v>55</v>
      </c>
    </row>
    <row r="54" customFormat="false" ht="29.85" hidden="false" customHeight="false" outlineLevel="0" collapsed="false">
      <c r="A54" s="4" t="s">
        <v>455</v>
      </c>
      <c r="B54" s="4" t="s">
        <v>373</v>
      </c>
      <c r="C54" s="4" t="s">
        <v>456</v>
      </c>
      <c r="D54" s="53" t="n">
        <v>1</v>
      </c>
      <c r="E54" s="4" t="s">
        <v>319</v>
      </c>
      <c r="F54" s="4" t="s">
        <v>448</v>
      </c>
      <c r="G54" s="4" t="s">
        <v>239</v>
      </c>
      <c r="H54" s="4" t="s">
        <v>239</v>
      </c>
      <c r="I54" s="4" t="s">
        <v>457</v>
      </c>
      <c r="J54" s="5" t="s">
        <v>454</v>
      </c>
      <c r="K54" s="5" t="s">
        <v>55</v>
      </c>
    </row>
    <row r="55" customFormat="false" ht="29.85" hidden="false" customHeight="false" outlineLevel="0" collapsed="false">
      <c r="A55" s="4" t="s">
        <v>458</v>
      </c>
      <c r="B55" s="4" t="s">
        <v>373</v>
      </c>
      <c r="C55" s="5" t="s">
        <v>459</v>
      </c>
      <c r="D55" s="54" t="n">
        <v>0.2</v>
      </c>
      <c r="E55" s="4" t="s">
        <v>126</v>
      </c>
      <c r="F55" s="4" t="s">
        <v>460</v>
      </c>
      <c r="G55" s="53" t="n">
        <v>0.1</v>
      </c>
      <c r="H55" s="53" t="n">
        <v>0.4</v>
      </c>
      <c r="I55" s="4" t="s">
        <v>461</v>
      </c>
      <c r="J55" s="5" t="s">
        <v>462</v>
      </c>
      <c r="K55" s="5" t="s">
        <v>57</v>
      </c>
    </row>
    <row r="56" customFormat="false" ht="15" hidden="false" customHeight="false" outlineLevel="0" collapsed="false">
      <c r="A56" s="4" t="s">
        <v>463</v>
      </c>
      <c r="B56" s="4" t="s">
        <v>373</v>
      </c>
      <c r="C56" s="5" t="s">
        <v>464</v>
      </c>
      <c r="D56" s="54" t="n">
        <v>1</v>
      </c>
      <c r="E56" s="4" t="s">
        <v>319</v>
      </c>
      <c r="F56" s="4" t="s">
        <v>465</v>
      </c>
      <c r="G56" s="53" t="n">
        <v>0.65</v>
      </c>
      <c r="H56" s="53" t="n">
        <v>1.2</v>
      </c>
      <c r="I56" s="4" t="s">
        <v>466</v>
      </c>
      <c r="J56" s="5" t="s">
        <v>467</v>
      </c>
      <c r="K56" s="5" t="s">
        <v>57</v>
      </c>
    </row>
    <row r="57" customFormat="false" ht="29.85" hidden="false" customHeight="false" outlineLevel="0" collapsed="false">
      <c r="A57" s="4" t="s">
        <v>468</v>
      </c>
      <c r="B57" s="4" t="s">
        <v>373</v>
      </c>
      <c r="C57" s="5" t="s">
        <v>469</v>
      </c>
      <c r="D57" s="53" t="n">
        <v>0.4</v>
      </c>
      <c r="E57" s="4" t="s">
        <v>126</v>
      </c>
      <c r="F57" s="4" t="s">
        <v>470</v>
      </c>
      <c r="G57" s="4" t="s">
        <v>239</v>
      </c>
      <c r="H57" s="4" t="s">
        <v>239</v>
      </c>
      <c r="I57" s="4" t="s">
        <v>471</v>
      </c>
      <c r="J57" s="4" t="s">
        <v>472</v>
      </c>
      <c r="K57" s="5" t="s">
        <v>247</v>
      </c>
    </row>
    <row r="58" customFormat="false" ht="29.85" hidden="false" customHeight="false" outlineLevel="0" collapsed="false">
      <c r="A58" s="4" t="s">
        <v>473</v>
      </c>
      <c r="B58" s="4" t="s">
        <v>373</v>
      </c>
      <c r="C58" s="5" t="s">
        <v>474</v>
      </c>
      <c r="D58" s="53" t="n">
        <v>0.45</v>
      </c>
      <c r="E58" s="4" t="s">
        <v>126</v>
      </c>
      <c r="F58" s="4" t="s">
        <v>470</v>
      </c>
      <c r="G58" s="4" t="s">
        <v>239</v>
      </c>
      <c r="H58" s="4" t="s">
        <v>239</v>
      </c>
      <c r="I58" s="4" t="s">
        <v>475</v>
      </c>
      <c r="J58" s="4"/>
      <c r="K58" s="5" t="s">
        <v>247</v>
      </c>
    </row>
    <row r="59" customFormat="false" ht="29.85" hidden="false" customHeight="false" outlineLevel="0" collapsed="false">
      <c r="A59" s="4" t="s">
        <v>476</v>
      </c>
      <c r="B59" s="4" t="s">
        <v>373</v>
      </c>
      <c r="C59" s="5" t="s">
        <v>477</v>
      </c>
      <c r="D59" s="54" t="n">
        <v>0.15</v>
      </c>
      <c r="E59" s="4" t="s">
        <v>126</v>
      </c>
      <c r="F59" s="4" t="s">
        <v>470</v>
      </c>
      <c r="G59" s="53" t="n">
        <v>0.1</v>
      </c>
      <c r="H59" s="53" t="n">
        <v>0.3</v>
      </c>
      <c r="I59" s="4" t="s">
        <v>478</v>
      </c>
      <c r="J59" s="5" t="s">
        <v>479</v>
      </c>
      <c r="K59" s="5" t="s">
        <v>57</v>
      </c>
    </row>
    <row r="60" customFormat="false" ht="15" hidden="false" customHeight="false" outlineLevel="0" collapsed="false">
      <c r="A60" s="4" t="s">
        <v>480</v>
      </c>
      <c r="B60" s="4" t="s">
        <v>373</v>
      </c>
      <c r="C60" s="4" t="s">
        <v>481</v>
      </c>
      <c r="D60" s="53" t="n">
        <v>0.1035</v>
      </c>
      <c r="E60" s="4" t="s">
        <v>375</v>
      </c>
      <c r="F60" s="4" t="s">
        <v>482</v>
      </c>
      <c r="G60" s="53" t="n">
        <v>0.0669</v>
      </c>
      <c r="H60" s="53" t="n">
        <v>0.3026</v>
      </c>
      <c r="I60" s="4" t="s">
        <v>483</v>
      </c>
      <c r="J60" s="5" t="s">
        <v>484</v>
      </c>
      <c r="K60" s="5" t="s">
        <v>55</v>
      </c>
    </row>
    <row r="61" customFormat="false" ht="15" hidden="false" customHeight="false" outlineLevel="0" collapsed="false">
      <c r="A61" s="4" t="s">
        <v>485</v>
      </c>
      <c r="B61" s="4" t="s">
        <v>373</v>
      </c>
      <c r="C61" s="4" t="s">
        <v>486</v>
      </c>
      <c r="D61" s="53" t="n">
        <v>2.184</v>
      </c>
      <c r="E61" s="4" t="s">
        <v>375</v>
      </c>
      <c r="F61" s="4" t="s">
        <v>487</v>
      </c>
      <c r="G61" s="53" t="n">
        <v>1.672</v>
      </c>
      <c r="H61" s="53" t="n">
        <v>2.338</v>
      </c>
      <c r="I61" s="4" t="s">
        <v>488</v>
      </c>
      <c r="J61" s="4"/>
      <c r="K61" s="5" t="s">
        <v>247</v>
      </c>
    </row>
    <row r="62" customFormat="false" ht="15" hidden="false" customHeight="false" outlineLevel="0" collapsed="false">
      <c r="A62" s="4" t="s">
        <v>489</v>
      </c>
      <c r="B62" s="4" t="s">
        <v>373</v>
      </c>
      <c r="C62" s="4" t="s">
        <v>490</v>
      </c>
      <c r="D62" s="54" t="n">
        <v>4.5</v>
      </c>
      <c r="E62" s="4" t="s">
        <v>375</v>
      </c>
      <c r="F62" s="4" t="s">
        <v>491</v>
      </c>
      <c r="G62" s="53" t="n">
        <v>3.3</v>
      </c>
      <c r="H62" s="53" t="n">
        <v>5.9</v>
      </c>
      <c r="I62" s="4" t="s">
        <v>492</v>
      </c>
      <c r="J62" s="5" t="s">
        <v>493</v>
      </c>
      <c r="K62" s="5" t="s">
        <v>57</v>
      </c>
    </row>
    <row r="63" customFormat="false" ht="15" hidden="false" customHeight="false" outlineLevel="0" collapsed="false">
      <c r="A63" s="29" t="s">
        <v>494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customFormat="false" ht="15" hidden="false" customHeight="false" outlineLevel="0" collapsed="false">
      <c r="A64" s="4" t="s">
        <v>495</v>
      </c>
      <c r="B64" s="4" t="s">
        <v>496</v>
      </c>
      <c r="C64" s="5" t="s">
        <v>497</v>
      </c>
      <c r="D64" s="53" t="n">
        <v>0.3</v>
      </c>
      <c r="E64" s="4" t="s">
        <v>126</v>
      </c>
      <c r="F64" s="5" t="s">
        <v>200</v>
      </c>
      <c r="G64" s="4" t="s">
        <v>239</v>
      </c>
      <c r="H64" s="4" t="s">
        <v>239</v>
      </c>
      <c r="I64" s="4" t="s">
        <v>239</v>
      </c>
      <c r="J64" s="5" t="s">
        <v>498</v>
      </c>
      <c r="K64" s="4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13" min="6" style="0" width="13"/>
    <col collapsed="false" customWidth="true" hidden="false" outlineLevel="0" max="17" min="14" style="0" width="11"/>
  </cols>
  <sheetData>
    <row r="1" customFormat="false" ht="20.1" hidden="false" customHeight="false" outlineLevel="0" collapsed="false">
      <c r="A1" s="28" t="s">
        <v>499</v>
      </c>
    </row>
    <row r="2" customFormat="false" ht="15" hidden="false" customHeight="false" outlineLevel="0" collapsed="false">
      <c r="A2" s="7" t="s">
        <v>500</v>
      </c>
    </row>
    <row r="4" customFormat="false" ht="26.85" hidden="false" customHeight="false" outlineLevel="0" collapsed="false">
      <c r="A4" s="10" t="s">
        <v>501</v>
      </c>
      <c r="B4" s="10" t="s">
        <v>31</v>
      </c>
      <c r="C4" s="10" t="s">
        <v>502</v>
      </c>
      <c r="D4" s="10" t="s">
        <v>36</v>
      </c>
      <c r="E4" s="10" t="s">
        <v>503</v>
      </c>
      <c r="F4" s="10" t="s">
        <v>107</v>
      </c>
      <c r="G4" s="10" t="s">
        <v>504</v>
      </c>
      <c r="H4" s="10" t="s">
        <v>108</v>
      </c>
      <c r="I4" s="10" t="s">
        <v>505</v>
      </c>
      <c r="J4" s="11" t="s">
        <v>506</v>
      </c>
      <c r="K4" s="11" t="s">
        <v>507</v>
      </c>
      <c r="L4" s="11" t="s">
        <v>508</v>
      </c>
      <c r="M4" s="11" t="s">
        <v>509</v>
      </c>
      <c r="N4" s="10" t="s">
        <v>113</v>
      </c>
      <c r="O4" s="10" t="s">
        <v>510</v>
      </c>
      <c r="P4" s="10" t="s">
        <v>114</v>
      </c>
      <c r="Q4" s="10" t="s">
        <v>511</v>
      </c>
    </row>
    <row r="5" customFormat="false" ht="15" hidden="false" customHeight="false" outlineLevel="0" collapsed="false">
      <c r="A5" s="50" t="s">
        <v>512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customFormat="false" ht="26.85" hidden="false" customHeight="false" outlineLevel="0" collapsed="false">
      <c r="A6" s="18" t="s">
        <v>513</v>
      </c>
      <c r="B6" s="5" t="s">
        <v>134</v>
      </c>
      <c r="C6" s="18" t="s">
        <v>514</v>
      </c>
      <c r="D6" s="4" t="s">
        <v>42</v>
      </c>
      <c r="E6" s="18" t="s">
        <v>515</v>
      </c>
      <c r="F6" s="34" t="n">
        <f aca="false">IN_Rev</f>
        <v>13.07</v>
      </c>
      <c r="G6" s="34" t="n">
        <f aca="false">IN_RevQ1*4</f>
        <v>22.8</v>
      </c>
      <c r="H6" s="34" t="n">
        <f aca="false">IN_RevQ2*4</f>
        <v>26.8</v>
      </c>
      <c r="I6" s="34" t="n">
        <f aca="false">IN_RevFY</f>
        <v>36</v>
      </c>
      <c r="J6" s="32" t="n">
        <v>13.07</v>
      </c>
      <c r="K6" s="32" t="n">
        <v>22.8</v>
      </c>
      <c r="L6" s="32" t="n">
        <v>26.8</v>
      </c>
      <c r="M6" s="32" t="n">
        <v>36</v>
      </c>
      <c r="N6" s="33" t="n">
        <f aca="false">IF(J6=0,F6-J6,F6/J6-1)</f>
        <v>0</v>
      </c>
      <c r="O6" s="33" t="n">
        <f aca="false">IF(K6=0,G6-K6,G6/K6-1)</f>
        <v>0</v>
      </c>
      <c r="P6" s="33" t="n">
        <f aca="false">IF(L6=0,H6-L6,H6/L6-1)</f>
        <v>0</v>
      </c>
      <c r="Q6" s="33" t="n">
        <f aca="false">IF(M6=0,I6-M6,I6/M6-1)</f>
        <v>0</v>
      </c>
    </row>
    <row r="7" customFormat="false" ht="26.85" hidden="false" customHeight="false" outlineLevel="0" collapsed="false">
      <c r="A7" s="18" t="s">
        <v>516</v>
      </c>
      <c r="B7" s="5" t="s">
        <v>136</v>
      </c>
      <c r="C7" s="18" t="s">
        <v>517</v>
      </c>
      <c r="D7" s="4" t="s">
        <v>42</v>
      </c>
      <c r="E7" s="18" t="s">
        <v>518</v>
      </c>
      <c r="F7" s="34" t="n">
        <v>0</v>
      </c>
      <c r="G7" s="34" t="n">
        <f aca="false">IN_Ad_Q1</f>
        <v>0</v>
      </c>
      <c r="H7" s="34" t="n">
        <f aca="false">IN_Ad_Q2</f>
        <v>0.5</v>
      </c>
      <c r="I7" s="34" t="n">
        <f aca="false">IN_Ad_FY</f>
        <v>1</v>
      </c>
      <c r="J7" s="32" t="n">
        <v>0</v>
      </c>
      <c r="K7" s="32" t="n">
        <v>0</v>
      </c>
      <c r="L7" s="32" t="n">
        <v>0.5</v>
      </c>
      <c r="M7" s="32" t="n">
        <v>1</v>
      </c>
      <c r="N7" s="33" t="n">
        <f aca="false">IF(J7=0,F7-J7,F7/J7-1)</f>
        <v>0</v>
      </c>
      <c r="O7" s="33" t="n">
        <f aca="false">IF(K7=0,G7-K7,G7/K7-1)</f>
        <v>0</v>
      </c>
      <c r="P7" s="33" t="n">
        <f aca="false">IF(L7=0,H7-L7,H7/L7-1)</f>
        <v>0</v>
      </c>
      <c r="Q7" s="33" t="n">
        <f aca="false">IF(M7=0,I7-M7,I7/M7-1)</f>
        <v>0</v>
      </c>
    </row>
    <row r="8" customFormat="false" ht="26.85" hidden="false" customHeight="false" outlineLevel="0" collapsed="false">
      <c r="A8" s="18" t="s">
        <v>519</v>
      </c>
      <c r="B8" s="4" t="s">
        <v>520</v>
      </c>
      <c r="C8" s="2" t="s">
        <v>521</v>
      </c>
      <c r="D8" s="4" t="s">
        <v>42</v>
      </c>
      <c r="E8" s="18" t="s">
        <v>522</v>
      </c>
      <c r="F8" s="34" t="n">
        <f aca="false">F6-F7</f>
        <v>13.07</v>
      </c>
      <c r="G8" s="34" t="n">
        <f aca="false">G6-G7</f>
        <v>22.8</v>
      </c>
      <c r="H8" s="34" t="n">
        <f aca="false">H6-H7</f>
        <v>26.3</v>
      </c>
      <c r="I8" s="34" t="n">
        <f aca="false">I6-I7</f>
        <v>35</v>
      </c>
      <c r="J8" s="32" t="n">
        <v>13.07</v>
      </c>
      <c r="K8" s="32" t="n">
        <v>22.8</v>
      </c>
      <c r="L8" s="32" t="n">
        <v>26.3</v>
      </c>
      <c r="M8" s="32" t="n">
        <v>35</v>
      </c>
      <c r="N8" s="33" t="n">
        <f aca="false">IF(J8=0,F8-J8,F8/J8-1)</f>
        <v>0</v>
      </c>
      <c r="O8" s="33" t="n">
        <f aca="false">IF(K8=0,G8-K8,G8/K8-1)</f>
        <v>0</v>
      </c>
      <c r="P8" s="33" t="n">
        <f aca="false">IF(L8=0,H8-L8,H8/L8-1)</f>
        <v>0</v>
      </c>
      <c r="Q8" s="33" t="n">
        <f aca="false">IF(M8=0,I8-M8,I8/M8-1)</f>
        <v>0</v>
      </c>
    </row>
    <row r="9" customFormat="false" ht="15" hidden="false" customHeight="false" outlineLevel="0" collapsed="false">
      <c r="A9" s="50" t="s">
        <v>523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customFormat="false" ht="26.85" hidden="false" customHeight="false" outlineLevel="0" collapsed="false">
      <c r="A10" s="18" t="s">
        <v>524</v>
      </c>
      <c r="B10" s="4" t="s">
        <v>525</v>
      </c>
      <c r="C10" s="18" t="s">
        <v>526</v>
      </c>
      <c r="D10" s="4" t="s">
        <v>45</v>
      </c>
      <c r="E10" s="18" t="s">
        <v>527</v>
      </c>
      <c r="F10" s="47" t="n">
        <f aca="false">IN_APItpm*1000000000*525600*IN_APIratio/1000000</f>
        <v>2365200000</v>
      </c>
      <c r="G10" s="47" t="n">
        <f aca="false">IN_APItpm26*1000000000*525600/1000000</f>
        <v>7884000000</v>
      </c>
      <c r="H10" s="47" t="n">
        <f aca="false">IN_APItpm26*1000000000*525600/1000000</f>
        <v>7884000000</v>
      </c>
      <c r="I10" s="47" t="n">
        <f aca="false">H10*IN_APImultFY</f>
        <v>10249200000</v>
      </c>
      <c r="J10" s="48" t="n">
        <v>2365200000</v>
      </c>
      <c r="K10" s="48" t="n">
        <v>7884000000</v>
      </c>
      <c r="L10" s="48" t="n">
        <v>7884000000</v>
      </c>
      <c r="M10" s="48" t="n">
        <v>10249200000</v>
      </c>
      <c r="N10" s="33" t="n">
        <f aca="false">IF(J10=0,F10-J10,F10/J10-1)</f>
        <v>0</v>
      </c>
      <c r="O10" s="33" t="n">
        <f aca="false">IF(K10=0,G10-K10,G10/K10-1)</f>
        <v>0</v>
      </c>
      <c r="P10" s="33" t="n">
        <f aca="false">IF(L10=0,H10-L10,H10/L10-1)</f>
        <v>0</v>
      </c>
      <c r="Q10" s="33" t="n">
        <f aca="false">IF(M10=0,I10-M10,I10/M10-1)</f>
        <v>0</v>
      </c>
    </row>
    <row r="11" customFormat="false" ht="26.85" hidden="false" customHeight="false" outlineLevel="0" collapsed="false">
      <c r="A11" s="18" t="s">
        <v>528</v>
      </c>
      <c r="B11" s="4" t="s">
        <v>163</v>
      </c>
      <c r="C11" s="18" t="s">
        <v>529</v>
      </c>
      <c r="D11" s="4" t="s">
        <v>335</v>
      </c>
      <c r="E11" s="18" t="s">
        <v>530</v>
      </c>
      <c r="F11" s="37" t="n">
        <f aca="false">IN_Prompts</f>
        <v>2.5</v>
      </c>
      <c r="G11" s="37" t="n">
        <f aca="false">IN_Prompts_Q1</f>
        <v>3.2</v>
      </c>
      <c r="H11" s="37" t="n">
        <f aca="false">IN_Prompts_Q2</f>
        <v>3.6</v>
      </c>
      <c r="I11" s="37" t="n">
        <f aca="false">IN_Prompts_FY</f>
        <v>3.8</v>
      </c>
      <c r="J11" s="38" t="n">
        <v>2.5</v>
      </c>
      <c r="K11" s="38" t="n">
        <v>3.2</v>
      </c>
      <c r="L11" s="38" t="n">
        <v>3.6</v>
      </c>
      <c r="M11" s="38" t="n">
        <v>3.8</v>
      </c>
      <c r="N11" s="33" t="n">
        <f aca="false">IF(J11=0,F11-J11,F11/J11-1)</f>
        <v>0</v>
      </c>
      <c r="O11" s="33" t="n">
        <f aca="false">IF(K11=0,G11-K11,G11/K11-1)</f>
        <v>0</v>
      </c>
      <c r="P11" s="33" t="n">
        <f aca="false">IF(L11=0,H11-L11,H11/L11-1)</f>
        <v>0</v>
      </c>
      <c r="Q11" s="33" t="n">
        <f aca="false">IF(M11=0,I11-M11,I11/M11-1)</f>
        <v>0</v>
      </c>
    </row>
    <row r="12" customFormat="false" ht="26.85" hidden="false" customHeight="false" outlineLevel="0" collapsed="false">
      <c r="A12" s="18" t="s">
        <v>531</v>
      </c>
      <c r="B12" s="4" t="s">
        <v>532</v>
      </c>
      <c r="C12" s="2" t="s">
        <v>533</v>
      </c>
      <c r="D12" s="4" t="s">
        <v>45</v>
      </c>
      <c r="E12" s="18" t="s">
        <v>534</v>
      </c>
      <c r="F12" s="47" t="n">
        <f aca="false">F11*1000000000*IN_Tau*365/1000000</f>
        <v>3650000000</v>
      </c>
      <c r="G12" s="47" t="n">
        <f aca="false">G11*1000000000*IN_Tau*365/1000000</f>
        <v>4672000000</v>
      </c>
      <c r="H12" s="47" t="n">
        <f aca="false">H11*1000000000*IN_Tau*365/1000000</f>
        <v>5256000000</v>
      </c>
      <c r="I12" s="47" t="n">
        <f aca="false">I11*1000000000*IN_Tau*365/1000000</f>
        <v>5548000000</v>
      </c>
      <c r="J12" s="48" t="n">
        <v>3650000000</v>
      </c>
      <c r="K12" s="48" t="n">
        <v>4672000000</v>
      </c>
      <c r="L12" s="48" t="n">
        <v>5256000000</v>
      </c>
      <c r="M12" s="48" t="n">
        <v>5548000000</v>
      </c>
      <c r="N12" s="33" t="n">
        <f aca="false">IF(J12=0,F12-J12,F12/J12-1)</f>
        <v>0</v>
      </c>
      <c r="O12" s="33" t="n">
        <f aca="false">IF(K12=0,G12-K12,G12/K12-1)</f>
        <v>0</v>
      </c>
      <c r="P12" s="33" t="n">
        <f aca="false">IF(L12=0,H12-L12,H12/L12-1)</f>
        <v>0</v>
      </c>
      <c r="Q12" s="33" t="n">
        <f aca="false">IF(M12=0,I12-M12,I12/M12-1)</f>
        <v>0</v>
      </c>
    </row>
    <row r="13" customFormat="false" ht="26.85" hidden="false" customHeight="false" outlineLevel="0" collapsed="false">
      <c r="A13" s="18" t="s">
        <v>535</v>
      </c>
      <c r="B13" s="4" t="s">
        <v>536</v>
      </c>
      <c r="C13" s="2" t="s">
        <v>537</v>
      </c>
      <c r="D13" s="4" t="s">
        <v>45</v>
      </c>
      <c r="E13" s="18" t="s">
        <v>538</v>
      </c>
      <c r="F13" s="47" t="n">
        <f aca="false">F12*IN_FreeShare</f>
        <v>2190000000</v>
      </c>
      <c r="G13" s="47" t="n">
        <f aca="false">G12*IN_FreeShare</f>
        <v>2803200000</v>
      </c>
      <c r="H13" s="47" t="n">
        <f aca="false">H12*IN_FreeShare</f>
        <v>3153600000</v>
      </c>
      <c r="I13" s="47" t="n">
        <f aca="false">I12*IN_FreeShare</f>
        <v>3328800000</v>
      </c>
      <c r="J13" s="48" t="n">
        <v>2190000000</v>
      </c>
      <c r="K13" s="48" t="n">
        <v>2803200000</v>
      </c>
      <c r="L13" s="48" t="n">
        <v>3153600000</v>
      </c>
      <c r="M13" s="48" t="n">
        <v>3328800000</v>
      </c>
      <c r="N13" s="33" t="n">
        <f aca="false">IF(J13=0,F13-J13,F13/J13-1)</f>
        <v>0</v>
      </c>
      <c r="O13" s="33" t="n">
        <f aca="false">IF(K13=0,G13-K13,G13/K13-1)</f>
        <v>0</v>
      </c>
      <c r="P13" s="33" t="n">
        <f aca="false">IF(L13=0,H13-L13,H13/L13-1)</f>
        <v>0</v>
      </c>
      <c r="Q13" s="33" t="n">
        <f aca="false">IF(M13=0,I13-M13,I13/M13-1)</f>
        <v>0</v>
      </c>
    </row>
    <row r="14" customFormat="false" ht="15" hidden="false" customHeight="false" outlineLevel="0" collapsed="false">
      <c r="A14" s="18" t="s">
        <v>539</v>
      </c>
      <c r="B14" s="4" t="s">
        <v>540</v>
      </c>
      <c r="C14" s="2" t="s">
        <v>541</v>
      </c>
      <c r="D14" s="4" t="s">
        <v>45</v>
      </c>
      <c r="E14" s="18" t="s">
        <v>542</v>
      </c>
      <c r="F14" s="47" t="n">
        <f aca="false">F12-F13</f>
        <v>1460000000</v>
      </c>
      <c r="G14" s="47" t="n">
        <f aca="false">G12-G13</f>
        <v>1868800000</v>
      </c>
      <c r="H14" s="47" t="n">
        <f aca="false">H12-H13</f>
        <v>2102400000</v>
      </c>
      <c r="I14" s="47" t="n">
        <f aca="false">I12-I13</f>
        <v>2219200000</v>
      </c>
      <c r="J14" s="48" t="n">
        <v>1460000000</v>
      </c>
      <c r="K14" s="48" t="n">
        <v>1868800000</v>
      </c>
      <c r="L14" s="48" t="n">
        <v>2102400000</v>
      </c>
      <c r="M14" s="48" t="n">
        <v>2219200000</v>
      </c>
      <c r="N14" s="33" t="n">
        <f aca="false">IF(J14=0,F14-J14,F14/J14-1)</f>
        <v>0</v>
      </c>
      <c r="O14" s="33" t="n">
        <f aca="false">IF(K14=0,G14-K14,G14/K14-1)</f>
        <v>0</v>
      </c>
      <c r="P14" s="33" t="n">
        <f aca="false">IF(L14=0,H14-L14,H14/L14-1)</f>
        <v>0</v>
      </c>
      <c r="Q14" s="33" t="n">
        <f aca="false">IF(M14=0,I14-M14,I14/M14-1)</f>
        <v>0</v>
      </c>
    </row>
    <row r="15" customFormat="false" ht="26.85" hidden="false" customHeight="false" outlineLevel="0" collapsed="false">
      <c r="A15" s="18" t="s">
        <v>543</v>
      </c>
      <c r="B15" s="5" t="s">
        <v>183</v>
      </c>
      <c r="C15" s="2" t="s">
        <v>544</v>
      </c>
      <c r="D15" s="4" t="s">
        <v>45</v>
      </c>
      <c r="E15" s="18" t="s">
        <v>545</v>
      </c>
      <c r="F15" s="47" t="n">
        <f aca="false">F10+F14</f>
        <v>3825200000</v>
      </c>
      <c r="G15" s="47" t="n">
        <f aca="false">G10+G14</f>
        <v>9752800000</v>
      </c>
      <c r="H15" s="47" t="n">
        <f aca="false">H10+H14</f>
        <v>9986400000</v>
      </c>
      <c r="I15" s="47" t="n">
        <f aca="false">I10+I14</f>
        <v>12468400000</v>
      </c>
      <c r="J15" s="48" t="n">
        <v>3825200000</v>
      </c>
      <c r="K15" s="48" t="n">
        <v>9752800000</v>
      </c>
      <c r="L15" s="48" t="n">
        <v>9986400000</v>
      </c>
      <c r="M15" s="48" t="n">
        <v>12468400000</v>
      </c>
      <c r="N15" s="33" t="n">
        <f aca="false">IF(J15=0,F15-J15,F15/J15-1)</f>
        <v>0</v>
      </c>
      <c r="O15" s="33" t="n">
        <f aca="false">IF(K15=0,G15-K15,G15/K15-1)</f>
        <v>0</v>
      </c>
      <c r="P15" s="33" t="n">
        <f aca="false">IF(L15=0,H15-L15,H15/L15-1)</f>
        <v>0</v>
      </c>
      <c r="Q15" s="33" t="n">
        <f aca="false">IF(M15=0,I15-M15,I15/M15-1)</f>
        <v>0</v>
      </c>
    </row>
    <row r="16" customFormat="false" ht="15" hidden="false" customHeight="false" outlineLevel="0" collapsed="false">
      <c r="A16" s="50" t="s">
        <v>546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customFormat="false" ht="39.55" hidden="false" customHeight="false" outlineLevel="0" collapsed="false">
      <c r="A17" s="12" t="s">
        <v>547</v>
      </c>
      <c r="B17" s="40" t="s">
        <v>548</v>
      </c>
      <c r="C17" s="15" t="s">
        <v>549</v>
      </c>
      <c r="D17" s="55" t="s">
        <v>48</v>
      </c>
      <c r="E17" s="41" t="s">
        <v>550</v>
      </c>
      <c r="F17" s="39" t="n">
        <f aca="false">(F37*F38+G37*G38+H37*H38)*IN_Kappa</f>
        <v>1.35936</v>
      </c>
      <c r="G17" s="39" t="n">
        <f aca="false">(F37*F36+G37*G36+H37*H36)*IN_Kappa</f>
        <v>1.96067555555556</v>
      </c>
      <c r="H17" s="39" t="n">
        <f aca="false">(F37*F36+G37*G36+H37*H36)*IN_Kappa</f>
        <v>1.96067555555556</v>
      </c>
      <c r="I17" s="39" t="n">
        <f aca="false">(F37*F36+G37*G36+H37*H36)*IN_Kappa</f>
        <v>1.96067555555556</v>
      </c>
      <c r="J17" s="42" t="n">
        <v>1.35936</v>
      </c>
      <c r="K17" s="42" t="n">
        <v>1.96067555555556</v>
      </c>
      <c r="L17" s="42" t="n">
        <v>1.96067555555556</v>
      </c>
      <c r="M17" s="42" t="n">
        <v>1.96067555555556</v>
      </c>
      <c r="N17" s="43" t="n">
        <f aca="false">IF(J17=0,F17-J17,F17/J17-1)</f>
        <v>0</v>
      </c>
      <c r="O17" s="43" t="n">
        <f aca="false">IF(K17=0,G17-K17,G17/K17-1)</f>
        <v>0</v>
      </c>
      <c r="P17" s="43" t="n">
        <f aca="false">IF(L17=0,H17-L17,H17/L17-1)</f>
        <v>0</v>
      </c>
      <c r="Q17" s="43" t="n">
        <f aca="false">IF(M17=0,I17-M17,I17/M17-1)</f>
        <v>0</v>
      </c>
    </row>
    <row r="18" customFormat="false" ht="26.85" hidden="false" customHeight="false" outlineLevel="0" collapsed="false">
      <c r="A18" s="18" t="s">
        <v>551</v>
      </c>
      <c r="B18" s="5" t="s">
        <v>552</v>
      </c>
      <c r="C18" s="2" t="s">
        <v>553</v>
      </c>
      <c r="D18" s="4" t="s">
        <v>48</v>
      </c>
      <c r="E18" s="18" t="s">
        <v>554</v>
      </c>
      <c r="F18" s="44" t="n">
        <f aca="false">F17/(1-IN_Disc)</f>
        <v>1.6992</v>
      </c>
      <c r="G18" s="44" t="n">
        <f aca="false">G17/(1-IN_Disc)</f>
        <v>2.45084444444444</v>
      </c>
      <c r="H18" s="44" t="n">
        <f aca="false">H17/(1-IN_Disc)</f>
        <v>2.45084444444444</v>
      </c>
      <c r="I18" s="44" t="n">
        <f aca="false">I17/(1-IN_Disc)</f>
        <v>2.45084444444444</v>
      </c>
      <c r="K18" s="36" t="n">
        <v>2.45084444444444</v>
      </c>
      <c r="L18" s="36" t="n">
        <v>2.45084444444444</v>
      </c>
      <c r="M18" s="36" t="n">
        <v>2.45084444444444</v>
      </c>
      <c r="O18" s="33" t="n">
        <f aca="false">IF(K18=0,G18-K18,G18/K18-1)</f>
        <v>0</v>
      </c>
      <c r="P18" s="33" t="n">
        <f aca="false">IF(L18=0,H18-L18,H18/L18-1)</f>
        <v>0</v>
      </c>
      <c r="Q18" s="33" t="n">
        <f aca="false">IF(M18=0,I18-M18,I18/M18-1)</f>
        <v>0</v>
      </c>
    </row>
    <row r="19" customFormat="false" ht="15" hidden="false" customHeight="false" outlineLevel="0" collapsed="false">
      <c r="A19" s="50" t="s">
        <v>555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customFormat="false" ht="26.85" hidden="false" customHeight="false" outlineLevel="0" collapsed="false">
      <c r="A20" s="18" t="s">
        <v>556</v>
      </c>
      <c r="B20" s="5" t="s">
        <v>121</v>
      </c>
      <c r="C20" s="2" t="s">
        <v>557</v>
      </c>
      <c r="D20" s="4" t="s">
        <v>48</v>
      </c>
      <c r="E20" s="2" t="s">
        <v>558</v>
      </c>
      <c r="F20" s="44" t="n">
        <f aca="false">F8*1000000000/F15</f>
        <v>3.41681480706891</v>
      </c>
      <c r="G20" s="44" t="n">
        <f aca="false">G8*1000000000/G15</f>
        <v>2.3377901730785</v>
      </c>
      <c r="H20" s="44" t="n">
        <f aca="false">H8*1000000000/H15</f>
        <v>2.63358167107266</v>
      </c>
      <c r="I20" s="44" t="n">
        <f aca="false">I8*1000000000/I15</f>
        <v>2.80709633954637</v>
      </c>
    </row>
    <row r="21" customFormat="false" ht="26.85" hidden="false" customHeight="false" outlineLevel="0" collapsed="false">
      <c r="A21" s="12" t="s">
        <v>559</v>
      </c>
      <c r="B21" s="12" t="s">
        <v>560</v>
      </c>
      <c r="C21" s="15" t="s">
        <v>561</v>
      </c>
      <c r="D21" s="55" t="s">
        <v>319</v>
      </c>
      <c r="E21" s="41" t="s">
        <v>562</v>
      </c>
      <c r="F21" s="39" t="n">
        <f aca="false">F20/F17</f>
        <v>2.51354667422089</v>
      </c>
      <c r="G21" s="39" t="n">
        <f aca="false">G20/G17</f>
        <v>1.19233912334674</v>
      </c>
      <c r="H21" s="39" t="n">
        <f aca="false">H20/H17</f>
        <v>1.34320115513779</v>
      </c>
      <c r="I21" s="39" t="n">
        <f aca="false">I20/I17</f>
        <v>1.4316985447146</v>
      </c>
      <c r="J21" s="42" t="n">
        <v>2.51354667422089</v>
      </c>
      <c r="K21" s="42" t="n">
        <v>1.19233912334674</v>
      </c>
      <c r="L21" s="42" t="n">
        <v>1.34320115513779</v>
      </c>
      <c r="M21" s="42" t="n">
        <v>1.4316985447146</v>
      </c>
      <c r="N21" s="43" t="n">
        <f aca="false">IF(J21=0,F21-J21,F21/J21-1)</f>
        <v>0</v>
      </c>
      <c r="O21" s="43" t="n">
        <f aca="false">IF(K21=0,G21-K21,G21/K21-1)</f>
        <v>0</v>
      </c>
      <c r="P21" s="43" t="n">
        <f aca="false">IF(L21=0,H21-L21,H21/L21-1)</f>
        <v>0</v>
      </c>
      <c r="Q21" s="43" t="n">
        <f aca="false">IF(M21=0,I21-M21,I21/M21-1)</f>
        <v>0</v>
      </c>
    </row>
    <row r="22" customFormat="false" ht="15" hidden="false" customHeight="false" outlineLevel="0" collapsed="false">
      <c r="A22" s="18" t="s">
        <v>563</v>
      </c>
      <c r="B22" s="5" t="s">
        <v>564</v>
      </c>
      <c r="C22" s="2" t="s">
        <v>565</v>
      </c>
      <c r="D22" s="4" t="s">
        <v>319</v>
      </c>
      <c r="E22" s="2"/>
      <c r="F22" s="44" t="n">
        <f aca="false">F8*1000000000/(F15*F17)</f>
        <v>2.51354667422089</v>
      </c>
      <c r="G22" s="44" t="n">
        <f aca="false">G8*1000000000/(G15*G17)</f>
        <v>1.19233912334674</v>
      </c>
      <c r="H22" s="44" t="n">
        <f aca="false">H8*1000000000/(H15*H17)</f>
        <v>1.34320115513779</v>
      </c>
      <c r="I22" s="44" t="n">
        <f aca="false">I8*1000000000/(I15*I17)</f>
        <v>1.4316985447146</v>
      </c>
    </row>
    <row r="23" customFormat="false" ht="29.85" hidden="false" customHeight="false" outlineLevel="0" collapsed="false">
      <c r="A23" s="18" t="s">
        <v>566</v>
      </c>
      <c r="B23" s="5" t="s">
        <v>567</v>
      </c>
      <c r="C23" s="18" t="s">
        <v>568</v>
      </c>
      <c r="D23" s="4" t="s">
        <v>319</v>
      </c>
      <c r="E23" s="18" t="s">
        <v>569</v>
      </c>
      <c r="F23" s="44" t="n">
        <f aca="false">F21</f>
        <v>2.51354667422089</v>
      </c>
      <c r="G23" s="44" t="n">
        <f aca="false">G21</f>
        <v>1.19233912334674</v>
      </c>
      <c r="H23" s="44" t="n">
        <f aca="false">H21</f>
        <v>1.34320115513779</v>
      </c>
      <c r="I23" s="44" t="n">
        <f aca="false">I21</f>
        <v>1.4316985447146</v>
      </c>
      <c r="J23" s="36" t="n">
        <v>2.51354667422089</v>
      </c>
      <c r="K23" s="36" t="n">
        <v>1.19233912334674</v>
      </c>
      <c r="L23" s="36" t="n">
        <v>1.34320115513779</v>
      </c>
      <c r="M23" s="36" t="n">
        <v>1.4316985447146</v>
      </c>
      <c r="N23" s="33" t="n">
        <f aca="false">IF(J23=0,F23-J23,F23/J23-1)</f>
        <v>0</v>
      </c>
      <c r="O23" s="33" t="n">
        <f aca="false">IF(K23=0,G23-K23,G23/K23-1)</f>
        <v>0</v>
      </c>
      <c r="P23" s="33" t="n">
        <f aca="false">IF(L23=0,H23-L23,H23/L23-1)</f>
        <v>0</v>
      </c>
      <c r="Q23" s="33" t="n">
        <f aca="false">IF(M23=0,I23-M23,I23/M23-1)</f>
        <v>0</v>
      </c>
    </row>
    <row r="24" customFormat="false" ht="26.85" hidden="false" customHeight="false" outlineLevel="0" collapsed="false">
      <c r="A24" s="12" t="s">
        <v>570</v>
      </c>
      <c r="B24" s="40" t="s">
        <v>571</v>
      </c>
      <c r="C24" s="41" t="s">
        <v>572</v>
      </c>
      <c r="D24" s="55" t="s">
        <v>319</v>
      </c>
      <c r="E24" s="41" t="s">
        <v>573</v>
      </c>
      <c r="F24" s="56"/>
      <c r="G24" s="56"/>
      <c r="H24" s="39" t="n">
        <f aca="false">H21</f>
        <v>1.34320115513779</v>
      </c>
      <c r="I24" s="56"/>
      <c r="J24" s="56"/>
      <c r="K24" s="56"/>
      <c r="L24" s="42" t="n">
        <v>1.34320115513779</v>
      </c>
      <c r="M24" s="56"/>
      <c r="N24" s="56"/>
      <c r="O24" s="56"/>
      <c r="P24" s="43" t="n">
        <f aca="false">IF(L24=0,H24-L24,H24/L24-1)</f>
        <v>0</v>
      </c>
      <c r="Q24" s="56"/>
    </row>
    <row r="25" customFormat="false" ht="15" hidden="false" customHeight="false" outlineLevel="0" collapsed="false">
      <c r="A25" s="50" t="s">
        <v>574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 customFormat="false" ht="15" hidden="false" customHeight="false" outlineLevel="0" collapsed="false">
      <c r="A26" s="18" t="s">
        <v>575</v>
      </c>
      <c r="B26" s="5" t="s">
        <v>576</v>
      </c>
      <c r="C26" s="2" t="s">
        <v>577</v>
      </c>
      <c r="D26" s="4" t="s">
        <v>375</v>
      </c>
      <c r="E26" s="18" t="s">
        <v>578</v>
      </c>
      <c r="F26" s="44" t="n">
        <f aca="false">IN_PIn_L</f>
        <v>0.1</v>
      </c>
      <c r="G26" s="44" t="n">
        <f aca="false">IN_PIn_S</f>
        <v>2</v>
      </c>
      <c r="H26" s="44" t="n">
        <f aca="false">IN_PIn_A</f>
        <v>10</v>
      </c>
      <c r="J26" s="36" t="n">
        <v>0.1</v>
      </c>
      <c r="K26" s="36" t="n">
        <v>2</v>
      </c>
      <c r="L26" s="36" t="n">
        <v>10</v>
      </c>
      <c r="N26" s="33" t="n">
        <f aca="false">IF(J26=0,F26-J26,F26/J26-1)</f>
        <v>0</v>
      </c>
      <c r="O26" s="33" t="n">
        <f aca="false">IF(K26=0,G26-K26,G26/K26-1)</f>
        <v>0</v>
      </c>
      <c r="P26" s="33" t="n">
        <f aca="false">IF(L26=0,H26-L26,H26/L26-1)</f>
        <v>0</v>
      </c>
    </row>
    <row r="27" customFormat="false" ht="15" hidden="false" customHeight="false" outlineLevel="0" collapsed="false">
      <c r="A27" s="18" t="s">
        <v>579</v>
      </c>
      <c r="B27" s="5" t="s">
        <v>580</v>
      </c>
      <c r="C27" s="2" t="s">
        <v>581</v>
      </c>
      <c r="D27" s="4" t="s">
        <v>375</v>
      </c>
      <c r="E27" s="18" t="s">
        <v>582</v>
      </c>
      <c r="F27" s="44" t="n">
        <f aca="false">IN_PCache_L</f>
        <v>0.01</v>
      </c>
      <c r="G27" s="44" t="n">
        <f aca="false">IN_PCache_S</f>
        <v>0.2</v>
      </c>
      <c r="H27" s="44" t="n">
        <f aca="false">IN_PCache_A</f>
        <v>1</v>
      </c>
      <c r="J27" s="36" t="n">
        <v>0.01</v>
      </c>
      <c r="K27" s="36" t="n">
        <v>0.2</v>
      </c>
      <c r="L27" s="36" t="n">
        <v>1</v>
      </c>
      <c r="N27" s="33" t="n">
        <f aca="false">IF(J27=0,F27-J27,F27/J27-1)</f>
        <v>0</v>
      </c>
      <c r="O27" s="33" t="n">
        <f aca="false">IF(K27=0,G27-K27,G27/K27-1)</f>
        <v>0</v>
      </c>
      <c r="P27" s="33" t="n">
        <f aca="false">IF(L27=0,H27-L27,H27/L27-1)</f>
        <v>0</v>
      </c>
    </row>
    <row r="28" customFormat="false" ht="15" hidden="false" customHeight="false" outlineLevel="0" collapsed="false">
      <c r="A28" s="18" t="s">
        <v>583</v>
      </c>
      <c r="B28" s="5" t="s">
        <v>584</v>
      </c>
      <c r="C28" s="2" t="s">
        <v>585</v>
      </c>
      <c r="D28" s="4" t="s">
        <v>375</v>
      </c>
      <c r="E28" s="18" t="s">
        <v>586</v>
      </c>
      <c r="F28" s="44" t="n">
        <f aca="false">IN_POut_L</f>
        <v>0.5</v>
      </c>
      <c r="G28" s="44" t="n">
        <f aca="false">IN_POut_S</f>
        <v>10</v>
      </c>
      <c r="H28" s="44" t="n">
        <f aca="false">IN_POut_A</f>
        <v>50</v>
      </c>
      <c r="J28" s="36" t="n">
        <v>0.5</v>
      </c>
      <c r="K28" s="36" t="n">
        <v>10</v>
      </c>
      <c r="L28" s="36" t="n">
        <v>50</v>
      </c>
      <c r="N28" s="33" t="n">
        <f aca="false">IF(J28=0,F28-J28,F28/J28-1)</f>
        <v>0</v>
      </c>
      <c r="O28" s="33" t="n">
        <f aca="false">IF(K28=0,G28-K28,G28/K28-1)</f>
        <v>0</v>
      </c>
      <c r="P28" s="33" t="n">
        <f aca="false">IF(L28=0,H28-L28,H28/L28-1)</f>
        <v>0</v>
      </c>
    </row>
    <row r="29" customFormat="false" ht="26.85" hidden="false" customHeight="false" outlineLevel="0" collapsed="false">
      <c r="A29" s="18" t="s">
        <v>587</v>
      </c>
      <c r="B29" s="5" t="s">
        <v>588</v>
      </c>
      <c r="C29" s="2" t="s">
        <v>589</v>
      </c>
      <c r="D29" s="4" t="s">
        <v>319</v>
      </c>
      <c r="E29" s="18" t="s">
        <v>590</v>
      </c>
      <c r="F29" s="44" t="n">
        <f aca="false">IN_CapMult_L</f>
        <v>1</v>
      </c>
      <c r="G29" s="44" t="n">
        <f aca="false">IN_CapMult_S</f>
        <v>1</v>
      </c>
      <c r="H29" s="44" t="n">
        <f aca="false">IN_CapMult_A</f>
        <v>1</v>
      </c>
      <c r="J29" s="36" t="n">
        <v>1</v>
      </c>
      <c r="K29" s="36" t="n">
        <v>1</v>
      </c>
      <c r="L29" s="36" t="n">
        <v>1</v>
      </c>
      <c r="N29" s="33" t="n">
        <f aca="false">IF(J29=0,F29-J29,F29/J29-1)</f>
        <v>0</v>
      </c>
      <c r="O29" s="33" t="n">
        <f aca="false">IF(K29=0,G29-K29,G29/K29-1)</f>
        <v>0</v>
      </c>
      <c r="P29" s="33" t="n">
        <f aca="false">IF(L29=0,H29-L29,H29/L29-1)</f>
        <v>0</v>
      </c>
    </row>
    <row r="30" customFormat="false" ht="15" hidden="false" customHeight="false" outlineLevel="0" collapsed="false">
      <c r="A30" s="18" t="s">
        <v>591</v>
      </c>
      <c r="B30" s="5" t="s">
        <v>592</v>
      </c>
      <c r="C30" s="2" t="s">
        <v>581</v>
      </c>
      <c r="D30" s="4" t="s">
        <v>417</v>
      </c>
      <c r="E30" s="18" t="s">
        <v>593</v>
      </c>
      <c r="F30" s="47" t="n">
        <f aca="false">IN_ISL_L</f>
        <v>8192</v>
      </c>
      <c r="G30" s="47" t="n">
        <f aca="false">IN_ISL_S</f>
        <v>16384</v>
      </c>
      <c r="H30" s="47" t="n">
        <f aca="false">IN_ISL_A</f>
        <v>32768</v>
      </c>
      <c r="J30" s="48" t="n">
        <v>8192</v>
      </c>
      <c r="K30" s="48" t="n">
        <v>16384</v>
      </c>
      <c r="L30" s="48" t="n">
        <v>32768</v>
      </c>
      <c r="N30" s="33" t="n">
        <f aca="false">IF(J30=0,F30-J30,F30/J30-1)</f>
        <v>0</v>
      </c>
      <c r="O30" s="33" t="n">
        <f aca="false">IF(K30=0,G30-K30,G30/K30-1)</f>
        <v>0</v>
      </c>
      <c r="P30" s="33" t="n">
        <f aca="false">IF(L30=0,H30-L30,H30/L30-1)</f>
        <v>0</v>
      </c>
    </row>
    <row r="31" customFormat="false" ht="15" hidden="false" customHeight="false" outlineLevel="0" collapsed="false">
      <c r="A31" s="18" t="s">
        <v>594</v>
      </c>
      <c r="B31" s="5" t="s">
        <v>595</v>
      </c>
      <c r="C31" s="2" t="s">
        <v>581</v>
      </c>
      <c r="D31" s="4" t="s">
        <v>417</v>
      </c>
      <c r="E31" s="18" t="s">
        <v>596</v>
      </c>
      <c r="F31" s="47" t="n">
        <f aca="false">IN_OSL_L</f>
        <v>1024</v>
      </c>
      <c r="G31" s="47" t="n">
        <f aca="false">IN_OSL_S</f>
        <v>2048</v>
      </c>
      <c r="H31" s="47" t="n">
        <f aca="false">IN_OSL_A</f>
        <v>4096</v>
      </c>
      <c r="J31" s="48" t="n">
        <v>1024</v>
      </c>
      <c r="K31" s="48" t="n">
        <v>2048</v>
      </c>
      <c r="L31" s="48" t="n">
        <v>4096</v>
      </c>
      <c r="N31" s="33" t="n">
        <f aca="false">IF(J31=0,F31-J31,F31/J31-1)</f>
        <v>0</v>
      </c>
      <c r="O31" s="33" t="n">
        <f aca="false">IF(K31=0,G31-K31,G31/K31-1)</f>
        <v>0</v>
      </c>
      <c r="P31" s="33" t="n">
        <f aca="false">IF(L31=0,H31-L31,H31/L31-1)</f>
        <v>0</v>
      </c>
    </row>
    <row r="32" customFormat="false" ht="15" hidden="false" customHeight="false" outlineLevel="0" collapsed="false">
      <c r="A32" s="18" t="s">
        <v>597</v>
      </c>
      <c r="B32" s="5" t="s">
        <v>598</v>
      </c>
      <c r="C32" s="2" t="s">
        <v>599</v>
      </c>
      <c r="D32" s="4" t="s">
        <v>126</v>
      </c>
      <c r="E32" s="18" t="s">
        <v>600</v>
      </c>
      <c r="F32" s="37" t="n">
        <f aca="false">IN_Chi</f>
        <v>0.55</v>
      </c>
      <c r="G32" s="37" t="n">
        <f aca="false">IN_Chi</f>
        <v>0.55</v>
      </c>
      <c r="H32" s="37" t="n">
        <f aca="false">IN_Chi</f>
        <v>0.55</v>
      </c>
      <c r="J32" s="38" t="n">
        <v>0.55</v>
      </c>
      <c r="K32" s="38" t="n">
        <v>0.55</v>
      </c>
      <c r="L32" s="38" t="n">
        <v>0.55</v>
      </c>
      <c r="N32" s="33" t="n">
        <f aca="false">IF(J32=0,F32-J32,F32/J32-1)</f>
        <v>0</v>
      </c>
      <c r="O32" s="33" t="n">
        <f aca="false">IF(K32=0,G32-K32,G32/K32-1)</f>
        <v>0</v>
      </c>
      <c r="P32" s="33" t="n">
        <f aca="false">IF(L32=0,H32-L32,H32/L32-1)</f>
        <v>0</v>
      </c>
    </row>
    <row r="33" customFormat="false" ht="15" hidden="false" customHeight="false" outlineLevel="0" collapsed="false">
      <c r="A33" s="18" t="s">
        <v>601</v>
      </c>
      <c r="B33" s="5" t="s">
        <v>602</v>
      </c>
      <c r="C33" s="2" t="s">
        <v>603</v>
      </c>
      <c r="D33" s="4" t="s">
        <v>375</v>
      </c>
      <c r="E33" s="18" t="s">
        <v>604</v>
      </c>
      <c r="F33" s="44" t="n">
        <f aca="false">F26*(1-IN_Disc)*F29</f>
        <v>0.08</v>
      </c>
      <c r="G33" s="44" t="n">
        <f aca="false">G26*(1-IN_Disc)*G29</f>
        <v>1.6</v>
      </c>
      <c r="H33" s="44" t="n">
        <f aca="false">H26*(1-IN_Disc)*H29</f>
        <v>8</v>
      </c>
      <c r="J33" s="36" t="n">
        <v>0.08</v>
      </c>
      <c r="K33" s="36" t="n">
        <v>1.6</v>
      </c>
      <c r="L33" s="36" t="n">
        <v>8</v>
      </c>
      <c r="N33" s="33" t="n">
        <f aca="false">IF(J33=0,F33-J33,F33/J33-1)</f>
        <v>0</v>
      </c>
      <c r="O33" s="33" t="n">
        <f aca="false">IF(K33=0,G33-K33,G33/K33-1)</f>
        <v>0</v>
      </c>
      <c r="P33" s="33" t="n">
        <f aca="false">IF(L33=0,H33-L33,H33/L33-1)</f>
        <v>0</v>
      </c>
    </row>
    <row r="34" customFormat="false" ht="15" hidden="false" customHeight="false" outlineLevel="0" collapsed="false">
      <c r="A34" s="18" t="s">
        <v>605</v>
      </c>
      <c r="B34" s="5" t="s">
        <v>606</v>
      </c>
      <c r="C34" s="2" t="s">
        <v>607</v>
      </c>
      <c r="D34" s="4" t="s">
        <v>375</v>
      </c>
      <c r="E34" s="18" t="s">
        <v>608</v>
      </c>
      <c r="F34" s="44" t="n">
        <f aca="false">F27*(1-IN_Disc)*F29</f>
        <v>0.008</v>
      </c>
      <c r="G34" s="44" t="n">
        <f aca="false">G27*(1-IN_Disc)*G29</f>
        <v>0.16</v>
      </c>
      <c r="H34" s="44" t="n">
        <f aca="false">H27*(1-IN_Disc)*H29</f>
        <v>0.8</v>
      </c>
      <c r="J34" s="36" t="n">
        <v>0.008</v>
      </c>
      <c r="K34" s="36" t="n">
        <v>0.16</v>
      </c>
      <c r="L34" s="36" t="n">
        <v>0.8</v>
      </c>
      <c r="N34" s="33" t="n">
        <f aca="false">IF(J34=0,F34-J34,F34/J34-1)</f>
        <v>0</v>
      </c>
      <c r="O34" s="33" t="n">
        <f aca="false">IF(K34=0,G34-K34,G34/K34-1)</f>
        <v>0</v>
      </c>
      <c r="P34" s="33" t="n">
        <f aca="false">IF(L34=0,H34-L34,H34/L34-1)</f>
        <v>0</v>
      </c>
    </row>
    <row r="35" customFormat="false" ht="15" hidden="false" customHeight="false" outlineLevel="0" collapsed="false">
      <c r="A35" s="18" t="s">
        <v>609</v>
      </c>
      <c r="B35" s="5" t="s">
        <v>610</v>
      </c>
      <c r="C35" s="2" t="s">
        <v>611</v>
      </c>
      <c r="D35" s="4" t="s">
        <v>375</v>
      </c>
      <c r="E35" s="18" t="s">
        <v>612</v>
      </c>
      <c r="F35" s="44" t="n">
        <f aca="false">F28*(1-IN_Disc)*F29</f>
        <v>0.4</v>
      </c>
      <c r="G35" s="44" t="n">
        <f aca="false">G28*(1-IN_Disc)*G29</f>
        <v>8</v>
      </c>
      <c r="H35" s="44" t="n">
        <f aca="false">H28*(1-IN_Disc)*H29</f>
        <v>40</v>
      </c>
      <c r="J35" s="36" t="n">
        <v>0.4</v>
      </c>
      <c r="K35" s="36" t="n">
        <v>8</v>
      </c>
      <c r="L35" s="36" t="n">
        <v>40</v>
      </c>
      <c r="N35" s="33" t="n">
        <f aca="false">IF(J35=0,F35-J35,F35/J35-1)</f>
        <v>0</v>
      </c>
      <c r="O35" s="33" t="n">
        <f aca="false">IF(K35=0,G35-K35,G35/K35-1)</f>
        <v>0</v>
      </c>
      <c r="P35" s="33" t="n">
        <f aca="false">IF(L35=0,H35-L35,H35/L35-1)</f>
        <v>0</v>
      </c>
    </row>
    <row r="36" customFormat="false" ht="26.85" hidden="false" customHeight="false" outlineLevel="0" collapsed="false">
      <c r="A36" s="12" t="s">
        <v>613</v>
      </c>
      <c r="B36" s="40" t="s">
        <v>614</v>
      </c>
      <c r="C36" s="15" t="s">
        <v>615</v>
      </c>
      <c r="D36" s="55" t="s">
        <v>375</v>
      </c>
      <c r="E36" s="41" t="s">
        <v>616</v>
      </c>
      <c r="F36" s="39" t="n">
        <f aca="false">(F30*((1-F32)*F33+F32*F34)+F31*F35)/(F30+F31)</f>
        <v>0.0803555555555556</v>
      </c>
      <c r="G36" s="39" t="n">
        <f aca="false">(G30*((1-G32)*G33+G32*G34)+G31*G35)/(G30+G31)</f>
        <v>1.60711111111111</v>
      </c>
      <c r="H36" s="39" t="n">
        <f aca="false">(H30*((1-H32)*H33+H32*H34)+H31*H35)/(H30+H31)</f>
        <v>8.03555555555555</v>
      </c>
      <c r="I36" s="56"/>
      <c r="J36" s="42" t="n">
        <v>0.0803555555555556</v>
      </c>
      <c r="K36" s="42" t="n">
        <v>1.60711111111111</v>
      </c>
      <c r="L36" s="42" t="n">
        <v>8.03555555555555</v>
      </c>
      <c r="M36" s="56"/>
      <c r="N36" s="43" t="n">
        <f aca="false">IF(J36=0,F36-J36,F36/J36-1)</f>
        <v>0</v>
      </c>
      <c r="O36" s="43" t="n">
        <f aca="false">IF(K36=0,G36-K36,G36/K36-1)</f>
        <v>0</v>
      </c>
      <c r="P36" s="43" t="n">
        <f aca="false">IF(L36=0,H36-L36,H36/L36-1)</f>
        <v>0</v>
      </c>
      <c r="Q36" s="56"/>
    </row>
    <row r="37" customFormat="false" ht="26.85" hidden="false" customHeight="false" outlineLevel="0" collapsed="false">
      <c r="A37" s="18" t="s">
        <v>617</v>
      </c>
      <c r="B37" s="5" t="s">
        <v>618</v>
      </c>
      <c r="C37" s="2" t="s">
        <v>619</v>
      </c>
      <c r="D37" s="4" t="s">
        <v>126</v>
      </c>
      <c r="E37" s="18" t="s">
        <v>620</v>
      </c>
      <c r="F37" s="37" t="n">
        <f aca="false">IN_MixP_L</f>
        <v>0.4</v>
      </c>
      <c r="G37" s="37" t="n">
        <f aca="false">IN_MixP_S</f>
        <v>0.45</v>
      </c>
      <c r="H37" s="37" t="n">
        <f aca="false">IN_MixP_A</f>
        <v>0.15</v>
      </c>
      <c r="J37" s="38" t="n">
        <v>0.4</v>
      </c>
      <c r="K37" s="38" t="n">
        <v>0.45</v>
      </c>
      <c r="L37" s="38" t="n">
        <v>0.15</v>
      </c>
      <c r="N37" s="33" t="n">
        <f aca="false">IF(J37=0,F37-J37,F37/J37-1)</f>
        <v>0</v>
      </c>
      <c r="O37" s="33" t="n">
        <f aca="false">IF(K37=0,G37-K37,G37/K37-1)</f>
        <v>0</v>
      </c>
      <c r="P37" s="33" t="n">
        <f aca="false">IF(L37=0,H37-L37,H37/L37-1)</f>
        <v>0</v>
      </c>
    </row>
    <row r="38" customFormat="false" ht="26.85" hidden="false" customHeight="false" outlineLevel="0" collapsed="false">
      <c r="A38" s="18" t="s">
        <v>621</v>
      </c>
      <c r="B38" s="4" t="s">
        <v>622</v>
      </c>
      <c r="C38" s="2" t="s">
        <v>623</v>
      </c>
      <c r="D38" s="4" t="s">
        <v>375</v>
      </c>
      <c r="E38" s="18" t="s">
        <v>624</v>
      </c>
      <c r="F38" s="44" t="n">
        <f aca="false">IN_Px_L*(1-IN_Disc)</f>
        <v>0.0828</v>
      </c>
      <c r="G38" s="44" t="n">
        <f aca="false">IN_Px_S*(1-IN_Disc)</f>
        <v>1.7472</v>
      </c>
      <c r="H38" s="44" t="n">
        <f aca="false">IN_Px_A*(1-IN_Disc)</f>
        <v>3.6</v>
      </c>
    </row>
    <row r="39" customFormat="false" ht="29.85" hidden="false" customHeight="false" outlineLevel="0" collapsed="false">
      <c r="A39" s="18" t="s">
        <v>625</v>
      </c>
      <c r="B39" s="5" t="s">
        <v>626</v>
      </c>
      <c r="C39" s="2" t="s">
        <v>627</v>
      </c>
      <c r="D39" s="4" t="s">
        <v>375</v>
      </c>
      <c r="E39" s="18" t="s">
        <v>628</v>
      </c>
      <c r="F39" s="44" t="n">
        <f aca="false">IN_Px_L</f>
        <v>0.1035</v>
      </c>
      <c r="G39" s="44" t="n">
        <f aca="false">IN_Px_S</f>
        <v>2.184</v>
      </c>
      <c r="H39" s="44" t="n">
        <f aca="false">IN_Px_A</f>
        <v>4.5</v>
      </c>
      <c r="J39" s="36" t="n">
        <v>0.1035</v>
      </c>
      <c r="K39" s="36" t="n">
        <v>2.184</v>
      </c>
      <c r="L39" s="36" t="n">
        <v>4.5</v>
      </c>
      <c r="N39" s="33" t="n">
        <f aca="false">IF(J39=0,F39-J39,F39/J39-1)</f>
        <v>0</v>
      </c>
      <c r="O39" s="33" t="n">
        <f aca="false">IF(K39=0,G39-K39,G39/K39-1)</f>
        <v>0</v>
      </c>
      <c r="P39" s="33" t="n">
        <f aca="false">IF(L39=0,H39-L39,H39/L39-1)</f>
        <v>0</v>
      </c>
    </row>
    <row r="41" customFormat="false" ht="29.85" hidden="false" customHeight="false" outlineLevel="0" collapsed="false">
      <c r="A41" s="10" t="s">
        <v>501</v>
      </c>
      <c r="B41" s="10" t="s">
        <v>31</v>
      </c>
      <c r="C41" s="10" t="s">
        <v>502</v>
      </c>
      <c r="D41" s="10" t="s">
        <v>36</v>
      </c>
      <c r="E41" s="10" t="s">
        <v>503</v>
      </c>
      <c r="F41" s="10" t="s">
        <v>629</v>
      </c>
      <c r="G41" s="10" t="s">
        <v>630</v>
      </c>
      <c r="H41" s="10" t="s">
        <v>631</v>
      </c>
      <c r="I41" s="10" t="s">
        <v>632</v>
      </c>
      <c r="J41" s="11" t="s">
        <v>633</v>
      </c>
      <c r="K41" s="11" t="s">
        <v>634</v>
      </c>
      <c r="L41" s="11" t="s">
        <v>635</v>
      </c>
      <c r="M41" s="11" t="s">
        <v>636</v>
      </c>
      <c r="N41" s="10" t="s">
        <v>637</v>
      </c>
      <c r="O41" s="11" t="s">
        <v>634</v>
      </c>
      <c r="P41" s="11" t="s">
        <v>635</v>
      </c>
      <c r="Q41" s="11" t="s">
        <v>636</v>
      </c>
    </row>
    <row r="42" customFormat="false" ht="15" hidden="false" customHeight="false" outlineLevel="0" collapsed="false">
      <c r="A42" s="50" t="s">
        <v>638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customFormat="false" ht="15" hidden="false" customHeight="false" outlineLevel="0" collapsed="false">
      <c r="A43" s="18" t="s">
        <v>639</v>
      </c>
      <c r="B43" s="5" t="s">
        <v>640</v>
      </c>
      <c r="C43" s="2" t="s">
        <v>641</v>
      </c>
      <c r="D43" s="4" t="s">
        <v>417</v>
      </c>
      <c r="E43" s="18" t="s">
        <v>642</v>
      </c>
      <c r="F43" s="47" t="n">
        <f aca="false">IN_Tau_Hi</f>
        <v>11000</v>
      </c>
      <c r="G43" s="47" t="n">
        <f aca="false">IN_Tau_Lo</f>
        <v>2000</v>
      </c>
      <c r="H43" s="47" t="n">
        <f aca="false">IN_Tau_Hi</f>
        <v>11000</v>
      </c>
      <c r="I43" s="47" t="n">
        <f aca="false">IN_Tau_Lo</f>
        <v>2000</v>
      </c>
      <c r="J43" s="48" t="n">
        <v>11000</v>
      </c>
      <c r="K43" s="48" t="n">
        <v>2000</v>
      </c>
      <c r="L43" s="48" t="n">
        <v>11000</v>
      </c>
      <c r="M43" s="48" t="n">
        <v>2000</v>
      </c>
      <c r="N43" s="33" t="n">
        <f aca="false">IF(J43=0,F43-J43,F43/J43-1)</f>
        <v>0</v>
      </c>
      <c r="O43" s="33" t="n">
        <f aca="false">IF(K43=0,G43-K43,G43/K43-1)</f>
        <v>0</v>
      </c>
      <c r="P43" s="33" t="n">
        <f aca="false">IF(L43=0,H43-L43,H43/L43-1)</f>
        <v>0</v>
      </c>
      <c r="Q43" s="33" t="n">
        <f aca="false">IF(M43=0,I43-M43,I43/M43-1)</f>
        <v>0</v>
      </c>
    </row>
    <row r="44" customFormat="false" ht="15" hidden="false" customHeight="false" outlineLevel="0" collapsed="false">
      <c r="A44" s="18" t="s">
        <v>643</v>
      </c>
      <c r="B44" s="4" t="s">
        <v>644</v>
      </c>
      <c r="C44" s="2" t="s">
        <v>645</v>
      </c>
      <c r="D44" s="4" t="s">
        <v>126</v>
      </c>
      <c r="E44" s="18" t="s">
        <v>646</v>
      </c>
      <c r="F44" s="37" t="n">
        <f aca="false">IN_FreeShare_Lo</f>
        <v>0.4</v>
      </c>
      <c r="G44" s="37" t="n">
        <f aca="false">IN_FreeShare_Hi</f>
        <v>0.8</v>
      </c>
      <c r="H44" s="37" t="n">
        <f aca="false">IN_FreeShare_Lo</f>
        <v>0.4</v>
      </c>
      <c r="I44" s="37" t="n">
        <f aca="false">IN_FreeShare_Hi</f>
        <v>0.8</v>
      </c>
      <c r="J44" s="38" t="n">
        <v>0.4</v>
      </c>
      <c r="K44" s="38" t="n">
        <v>0.8</v>
      </c>
      <c r="L44" s="38" t="n">
        <v>0.4</v>
      </c>
      <c r="M44" s="38" t="n">
        <v>0.8</v>
      </c>
      <c r="N44" s="33" t="n">
        <f aca="false">IF(J44=0,F44-J44,F44/J44-1)</f>
        <v>0</v>
      </c>
      <c r="O44" s="33" t="n">
        <f aca="false">IF(K44=0,G44-K44,G44/K44-1)</f>
        <v>0</v>
      </c>
      <c r="P44" s="33" t="n">
        <f aca="false">IF(L44=0,H44-L44,H44/L44-1)</f>
        <v>0</v>
      </c>
      <c r="Q44" s="33" t="n">
        <f aca="false">IF(M44=0,I44-M44,I44/M44-1)</f>
        <v>0</v>
      </c>
    </row>
    <row r="45" customFormat="false" ht="15" hidden="false" customHeight="false" outlineLevel="0" collapsed="false">
      <c r="A45" s="18" t="s">
        <v>647</v>
      </c>
      <c r="B45" s="4" t="s">
        <v>648</v>
      </c>
      <c r="C45" s="2" t="s">
        <v>649</v>
      </c>
      <c r="D45" s="4" t="s">
        <v>319</v>
      </c>
      <c r="E45" s="18" t="s">
        <v>650</v>
      </c>
      <c r="F45" s="37" t="n">
        <f aca="false">IN_APIratio_Hi</f>
        <v>0.9</v>
      </c>
      <c r="G45" s="37" t="n">
        <f aca="false">IN_APIratio_Lo</f>
        <v>0.6</v>
      </c>
      <c r="J45" s="38" t="n">
        <v>0.9</v>
      </c>
      <c r="K45" s="38" t="n">
        <v>0.6</v>
      </c>
      <c r="N45" s="33" t="n">
        <f aca="false">IF(J45=0,F45-J45,F45/J45-1)</f>
        <v>0</v>
      </c>
      <c r="O45" s="33" t="n">
        <f aca="false">IF(K45=0,G45-K45,G45/K45-1)</f>
        <v>0</v>
      </c>
    </row>
    <row r="46" customFormat="false" ht="15" hidden="false" customHeight="false" outlineLevel="0" collapsed="false">
      <c r="A46" s="18" t="s">
        <v>651</v>
      </c>
      <c r="B46" s="4" t="s">
        <v>652</v>
      </c>
      <c r="C46" s="18" t="s">
        <v>653</v>
      </c>
      <c r="D46" s="4" t="s">
        <v>45</v>
      </c>
      <c r="E46" s="18" t="s">
        <v>654</v>
      </c>
      <c r="F46" s="47" t="n">
        <f aca="false">IN_APItpm*1000000000*525600*F45/1000000</f>
        <v>2838240000</v>
      </c>
      <c r="G46" s="47" t="n">
        <f aca="false">IN_APItpm*1000000000*525600*G45/1000000</f>
        <v>1892160000</v>
      </c>
      <c r="H46" s="47" t="n">
        <f aca="false">$H$10</f>
        <v>7884000000</v>
      </c>
      <c r="I46" s="47" t="n">
        <f aca="false">$H$10</f>
        <v>7884000000</v>
      </c>
      <c r="J46" s="48" t="n">
        <v>2838240000</v>
      </c>
      <c r="K46" s="48" t="n">
        <v>1892160000</v>
      </c>
      <c r="N46" s="33" t="n">
        <f aca="false">IF(J46=0,F46-J46,F46/J46-1)</f>
        <v>0</v>
      </c>
      <c r="O46" s="33" t="n">
        <f aca="false">IF(K46=0,G46-K46,G46/K46-1)</f>
        <v>0</v>
      </c>
    </row>
    <row r="47" customFormat="false" ht="15" hidden="false" customHeight="false" outlineLevel="0" collapsed="false">
      <c r="A47" s="18" t="s">
        <v>655</v>
      </c>
      <c r="B47" s="4" t="s">
        <v>540</v>
      </c>
      <c r="C47" s="2" t="s">
        <v>656</v>
      </c>
      <c r="D47" s="4" t="s">
        <v>45</v>
      </c>
      <c r="E47" s="18" t="s">
        <v>657</v>
      </c>
      <c r="F47" s="47" t="n">
        <f aca="false">IN_Prompts*1000000000*F43*365/1000000*(1-F44)</f>
        <v>6022500000</v>
      </c>
      <c r="G47" s="47" t="n">
        <f aca="false">IN_Prompts*1000000000*G43*365/1000000*(1-G44)</f>
        <v>365000000</v>
      </c>
      <c r="H47" s="47" t="n">
        <f aca="false">IN_Prompts_Q2*1000000000*H43*365/1000000*(1-H44)</f>
        <v>8672400000</v>
      </c>
      <c r="I47" s="47" t="n">
        <f aca="false">IN_Prompts_Q2*1000000000*I43*365/1000000*(1-I44)</f>
        <v>525600000</v>
      </c>
      <c r="J47" s="48" t="n">
        <v>6022500000</v>
      </c>
      <c r="K47" s="48" t="n">
        <v>365000000</v>
      </c>
      <c r="N47" s="33" t="n">
        <f aca="false">IF(J47=0,F47-J47,F47/J47-1)</f>
        <v>0</v>
      </c>
      <c r="O47" s="33" t="n">
        <f aca="false">IF(K47=0,G47-K47,G47/K47-1)</f>
        <v>0</v>
      </c>
    </row>
    <row r="48" customFormat="false" ht="15" hidden="false" customHeight="false" outlineLevel="0" collapsed="false">
      <c r="A48" s="18" t="s">
        <v>658</v>
      </c>
      <c r="B48" s="5" t="s">
        <v>183</v>
      </c>
      <c r="C48" s="2" t="s">
        <v>659</v>
      </c>
      <c r="D48" s="4" t="s">
        <v>45</v>
      </c>
      <c r="E48" s="18" t="s">
        <v>660</v>
      </c>
      <c r="F48" s="47" t="n">
        <f aca="false">F46+F47</f>
        <v>8860740000</v>
      </c>
      <c r="G48" s="47" t="n">
        <f aca="false">G46+G47</f>
        <v>2257160000</v>
      </c>
      <c r="H48" s="47" t="n">
        <f aca="false">H46+H47</f>
        <v>16556400000</v>
      </c>
      <c r="I48" s="47" t="n">
        <f aca="false">I46+I47</f>
        <v>8409600000</v>
      </c>
      <c r="J48" s="48" t="n">
        <v>8860740000</v>
      </c>
      <c r="K48" s="48" t="n">
        <v>2257160000</v>
      </c>
      <c r="N48" s="33" t="n">
        <f aca="false">IF(J48=0,F48-J48,F48/J48-1)</f>
        <v>0</v>
      </c>
      <c r="O48" s="33" t="n">
        <f aca="false">IF(K48=0,G48-K48,G48/K48-1)</f>
        <v>0</v>
      </c>
    </row>
    <row r="49" customFormat="false" ht="15" hidden="false" customHeight="false" outlineLevel="0" collapsed="false">
      <c r="A49" s="18" t="s">
        <v>661</v>
      </c>
      <c r="B49" s="4" t="s">
        <v>662</v>
      </c>
      <c r="C49" s="2" t="s">
        <v>663</v>
      </c>
      <c r="D49" s="4" t="s">
        <v>42</v>
      </c>
      <c r="E49" s="2"/>
      <c r="F49" s="34" t="n">
        <f aca="false">$F$8</f>
        <v>13.07</v>
      </c>
      <c r="G49" s="34" t="n">
        <f aca="false">$F$8</f>
        <v>13.07</v>
      </c>
      <c r="H49" s="34" t="n">
        <f aca="false">$H$8</f>
        <v>26.3</v>
      </c>
      <c r="I49" s="34" t="n">
        <f aca="false">$H$8</f>
        <v>26.3</v>
      </c>
    </row>
    <row r="50" customFormat="false" ht="15" hidden="false" customHeight="false" outlineLevel="0" collapsed="false">
      <c r="A50" s="18" t="s">
        <v>664</v>
      </c>
      <c r="B50" s="5" t="s">
        <v>665</v>
      </c>
      <c r="C50" s="2" t="s">
        <v>666</v>
      </c>
      <c r="D50" s="4" t="s">
        <v>48</v>
      </c>
      <c r="E50" s="2"/>
      <c r="F50" s="44" t="n">
        <f aca="false">$F$17</f>
        <v>1.35936</v>
      </c>
      <c r="G50" s="44" t="n">
        <f aca="false">$F$17</f>
        <v>1.35936</v>
      </c>
      <c r="H50" s="44" t="n">
        <f aca="false">$H$17</f>
        <v>1.96067555555556</v>
      </c>
      <c r="I50" s="44" t="n">
        <f aca="false">$H$17</f>
        <v>1.96067555555556</v>
      </c>
    </row>
    <row r="51" customFormat="false" ht="39.55" hidden="false" customHeight="false" outlineLevel="0" collapsed="false">
      <c r="A51" s="12" t="s">
        <v>667</v>
      </c>
      <c r="B51" s="12" t="s">
        <v>668</v>
      </c>
      <c r="C51" s="15" t="s">
        <v>669</v>
      </c>
      <c r="D51" s="55" t="s">
        <v>319</v>
      </c>
      <c r="E51" s="41" t="s">
        <v>670</v>
      </c>
      <c r="F51" s="39" t="n">
        <f aca="false">F49*1000000000/(F48*F50)</f>
        <v>1.08510335911332</v>
      </c>
      <c r="G51" s="39" t="n">
        <f aca="false">G49*1000000000/(G48*G50)</f>
        <v>4.25969746860203</v>
      </c>
      <c r="H51" s="39" t="n">
        <f aca="false">H49*1000000000/(H48*H50)</f>
        <v>0.810184823733908</v>
      </c>
      <c r="I51" s="39" t="n">
        <f aca="false">I49*1000000000/(I48*I50)</f>
        <v>1.59505137172613</v>
      </c>
      <c r="J51" s="42" t="n">
        <v>1.08510335911332</v>
      </c>
      <c r="K51" s="42" t="n">
        <v>4.25969746860203</v>
      </c>
      <c r="L51" s="42" t="n">
        <v>0.810184823733908</v>
      </c>
      <c r="M51" s="42" t="n">
        <v>1.59505137172613</v>
      </c>
      <c r="N51" s="43" t="n">
        <f aca="false">IF(J51=0,F51-J51,F51/J51-1)</f>
        <v>0</v>
      </c>
      <c r="O51" s="43" t="n">
        <f aca="false">IF(K51=0,G51-K51,G51/K51-1)</f>
        <v>0</v>
      </c>
      <c r="P51" s="43" t="n">
        <f aca="false">IF(L51=0,H51-L51,H51/L51-1)</f>
        <v>0</v>
      </c>
      <c r="Q51" s="43" t="n">
        <f aca="false">IF(M51=0,I51-M51,I51/M51-1)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13" min="6" style="0" width="13"/>
    <col collapsed="false" customWidth="true" hidden="false" outlineLevel="0" max="17" min="14" style="0" width="11"/>
  </cols>
  <sheetData>
    <row r="1" customFormat="false" ht="20.1" hidden="false" customHeight="false" outlineLevel="0" collapsed="false">
      <c r="A1" s="28" t="s">
        <v>671</v>
      </c>
    </row>
    <row r="2" customFormat="false" ht="15" hidden="false" customHeight="false" outlineLevel="0" collapsed="false">
      <c r="A2" s="20" t="s">
        <v>672</v>
      </c>
    </row>
    <row r="4" customFormat="false" ht="26.85" hidden="false" customHeight="false" outlineLevel="0" collapsed="false">
      <c r="A4" s="10" t="s">
        <v>501</v>
      </c>
      <c r="B4" s="10" t="s">
        <v>31</v>
      </c>
      <c r="C4" s="10" t="s">
        <v>502</v>
      </c>
      <c r="D4" s="10" t="s">
        <v>36</v>
      </c>
      <c r="E4" s="10" t="s">
        <v>503</v>
      </c>
      <c r="F4" s="10" t="s">
        <v>107</v>
      </c>
      <c r="G4" s="10" t="s">
        <v>504</v>
      </c>
      <c r="H4" s="10" t="s">
        <v>108</v>
      </c>
      <c r="I4" s="10" t="s">
        <v>505</v>
      </c>
      <c r="J4" s="11" t="s">
        <v>506</v>
      </c>
      <c r="K4" s="11" t="s">
        <v>507</v>
      </c>
      <c r="L4" s="11" t="s">
        <v>508</v>
      </c>
      <c r="M4" s="11" t="s">
        <v>509</v>
      </c>
      <c r="N4" s="10" t="s">
        <v>113</v>
      </c>
      <c r="O4" s="10" t="s">
        <v>510</v>
      </c>
      <c r="P4" s="10" t="s">
        <v>114</v>
      </c>
      <c r="Q4" s="10" t="s">
        <v>511</v>
      </c>
    </row>
    <row r="5" customFormat="false" ht="15" hidden="false" customHeight="false" outlineLevel="0" collapsed="false">
      <c r="A5" s="50" t="s">
        <v>673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customFormat="false" ht="15" hidden="false" customHeight="false" outlineLevel="0" collapsed="false">
      <c r="A6" s="18" t="s">
        <v>674</v>
      </c>
      <c r="B6" s="4" t="s">
        <v>520</v>
      </c>
      <c r="C6" s="2" t="s">
        <v>675</v>
      </c>
      <c r="D6" s="4" t="s">
        <v>42</v>
      </c>
      <c r="E6" s="18" t="s">
        <v>676</v>
      </c>
      <c r="F6" s="31" t="n">
        <f aca="false">3_m重算!F8</f>
        <v>13.07</v>
      </c>
      <c r="G6" s="31" t="n">
        <f aca="false">3_m重算!G8</f>
        <v>22.8</v>
      </c>
      <c r="H6" s="31" t="n">
        <f aca="false">3_m重算!H8</f>
        <v>26.3</v>
      </c>
      <c r="I6" s="31" t="n">
        <f aca="false">3_m重算!I8</f>
        <v>35</v>
      </c>
      <c r="J6" s="32" t="n">
        <v>13.07</v>
      </c>
      <c r="K6" s="32" t="n">
        <v>22.8</v>
      </c>
      <c r="L6" s="32" t="n">
        <v>26.3</v>
      </c>
      <c r="M6" s="32" t="n">
        <v>35</v>
      </c>
      <c r="N6" s="33" t="n">
        <f aca="false">IF(J6=0,F6-J6,F6/J6-1)</f>
        <v>0</v>
      </c>
      <c r="O6" s="33" t="n">
        <f aca="false">IF(K6=0,G6-K6,G6/K6-1)</f>
        <v>0</v>
      </c>
      <c r="P6" s="33" t="n">
        <f aca="false">IF(L6=0,H6-L6,H6/L6-1)</f>
        <v>0</v>
      </c>
      <c r="Q6" s="33" t="n">
        <f aca="false">IF(M6=0,I6-M6,I6/M6-1)</f>
        <v>0</v>
      </c>
    </row>
    <row r="7" customFormat="false" ht="15" hidden="false" customHeight="false" outlineLevel="0" collapsed="false">
      <c r="A7" s="18" t="s">
        <v>677</v>
      </c>
      <c r="B7" s="5" t="s">
        <v>678</v>
      </c>
      <c r="C7" s="2" t="s">
        <v>679</v>
      </c>
      <c r="D7" s="4" t="s">
        <v>126</v>
      </c>
      <c r="E7" s="18" t="s">
        <v>680</v>
      </c>
      <c r="F7" s="22" t="n">
        <f aca="false">IN_SubShare</f>
        <v>0.7</v>
      </c>
      <c r="G7" s="22" t="n">
        <f aca="false">IN_SubShare_Q1</f>
        <v>0.6</v>
      </c>
      <c r="H7" s="22" t="n">
        <f aca="false">IN_SubShare_Q2</f>
        <v>0.55</v>
      </c>
      <c r="I7" s="22" t="n">
        <f aca="false">IN_SubShare_FY</f>
        <v>0.45</v>
      </c>
      <c r="J7" s="23" t="n">
        <v>0.7</v>
      </c>
      <c r="K7" s="23" t="n">
        <v>0.6</v>
      </c>
      <c r="L7" s="23" t="n">
        <v>0.55</v>
      </c>
      <c r="M7" s="23" t="n">
        <v>0.45</v>
      </c>
      <c r="N7" s="33" t="n">
        <f aca="false">IF(J7=0,F7-J7,F7/J7-1)</f>
        <v>0</v>
      </c>
      <c r="O7" s="33" t="n">
        <f aca="false">IF(K7=0,G7-K7,G7/K7-1)</f>
        <v>0</v>
      </c>
      <c r="P7" s="33" t="n">
        <f aca="false">IF(L7=0,H7-L7,H7/L7-1)</f>
        <v>0</v>
      </c>
      <c r="Q7" s="33" t="n">
        <f aca="false">IF(M7=0,I7-M7,I7/M7-1)</f>
        <v>0</v>
      </c>
    </row>
    <row r="8" customFormat="false" ht="15" hidden="false" customHeight="false" outlineLevel="0" collapsed="false">
      <c r="A8" s="18" t="s">
        <v>681</v>
      </c>
      <c r="B8" s="5" t="s">
        <v>682</v>
      </c>
      <c r="C8" s="2" t="s">
        <v>683</v>
      </c>
      <c r="D8" s="4" t="s">
        <v>126</v>
      </c>
      <c r="E8" s="18" t="s">
        <v>684</v>
      </c>
      <c r="F8" s="22" t="n">
        <f aca="false">IN_SeatShare</f>
        <v>0.1</v>
      </c>
      <c r="G8" s="22" t="n">
        <f aca="false">IN_SeatShare_Q1</f>
        <v>0.2</v>
      </c>
      <c r="H8" s="22" t="n">
        <f aca="false">IN_SeatShare_Q2</f>
        <v>0.25</v>
      </c>
      <c r="I8" s="22" t="n">
        <f aca="false">IN_SeatShare_FY</f>
        <v>0.35</v>
      </c>
      <c r="J8" s="23" t="n">
        <v>0.1</v>
      </c>
      <c r="K8" s="23" t="n">
        <v>0.2</v>
      </c>
      <c r="L8" s="23" t="n">
        <v>0.25</v>
      </c>
      <c r="M8" s="23" t="n">
        <v>0.35</v>
      </c>
      <c r="N8" s="33" t="n">
        <f aca="false">IF(J8=0,F8-J8,F8/J8-1)</f>
        <v>0</v>
      </c>
      <c r="O8" s="33" t="n">
        <f aca="false">IF(K8=0,G8-K8,G8/K8-1)</f>
        <v>0</v>
      </c>
      <c r="P8" s="33" t="n">
        <f aca="false">IF(L8=0,H8-L8,H8/L8-1)</f>
        <v>0</v>
      </c>
      <c r="Q8" s="33" t="n">
        <f aca="false">IF(M8=0,I8-M8,I8/M8-1)</f>
        <v>0</v>
      </c>
    </row>
    <row r="9" customFormat="false" ht="24.6" hidden="false" customHeight="false" outlineLevel="0" collapsed="false">
      <c r="A9" s="18" t="s">
        <v>685</v>
      </c>
      <c r="B9" s="5" t="s">
        <v>686</v>
      </c>
      <c r="C9" s="2" t="s">
        <v>687</v>
      </c>
      <c r="D9" s="4" t="s">
        <v>126</v>
      </c>
      <c r="E9" s="18" t="s">
        <v>688</v>
      </c>
      <c r="F9" s="22" t="n">
        <f aca="false">1-F7-F8</f>
        <v>0.2</v>
      </c>
      <c r="G9" s="22" t="n">
        <f aca="false">1-G7-G8</f>
        <v>0.2</v>
      </c>
      <c r="H9" s="22" t="n">
        <f aca="false">1-H7-H8</f>
        <v>0.2</v>
      </c>
      <c r="I9" s="22" t="n">
        <f aca="false">1-I7-I8</f>
        <v>0.2</v>
      </c>
      <c r="J9" s="23" t="n">
        <v>0.2</v>
      </c>
      <c r="K9" s="23" t="n">
        <v>0.2</v>
      </c>
      <c r="L9" s="23" t="n">
        <v>0.2</v>
      </c>
      <c r="M9" s="23" t="n">
        <v>0.2</v>
      </c>
      <c r="N9" s="33" t="n">
        <f aca="false">IF(J9=0,F9-J9,F9/J9-1)</f>
        <v>0</v>
      </c>
      <c r="O9" s="33" t="n">
        <f aca="false">IF(K9=0,G9-K9,G9/K9-1)</f>
        <v>0</v>
      </c>
      <c r="P9" s="33" t="n">
        <f aca="false">IF(L9=0,H9-L9,H9/L9-1)</f>
        <v>0</v>
      </c>
      <c r="Q9" s="33" t="n">
        <f aca="false">IF(M9=0,I9-M9,I9/M9-1)</f>
        <v>0</v>
      </c>
    </row>
    <row r="10" customFormat="false" ht="24.6" hidden="false" customHeight="false" outlineLevel="0" collapsed="false">
      <c r="A10" s="18" t="s">
        <v>689</v>
      </c>
      <c r="B10" s="5" t="s">
        <v>147</v>
      </c>
      <c r="C10" s="2" t="s">
        <v>690</v>
      </c>
      <c r="D10" s="4" t="s">
        <v>42</v>
      </c>
      <c r="E10" s="18" t="s">
        <v>691</v>
      </c>
      <c r="F10" s="34" t="n">
        <f aca="false">F6*F7</f>
        <v>9.149</v>
      </c>
      <c r="G10" s="34" t="n">
        <f aca="false">G6*G7</f>
        <v>13.68</v>
      </c>
      <c r="H10" s="34" t="n">
        <f aca="false">H6*H7</f>
        <v>14.465</v>
      </c>
      <c r="I10" s="34" t="n">
        <f aca="false">I6*I7</f>
        <v>15.75</v>
      </c>
      <c r="J10" s="32" t="n">
        <v>9.149</v>
      </c>
      <c r="K10" s="32" t="n">
        <v>13.68</v>
      </c>
      <c r="L10" s="32" t="n">
        <v>14.465</v>
      </c>
      <c r="M10" s="32" t="n">
        <v>15.75</v>
      </c>
      <c r="N10" s="33" t="n">
        <f aca="false">IF(J10=0,F10-J10,F10/J10-1)</f>
        <v>0</v>
      </c>
      <c r="O10" s="33" t="n">
        <f aca="false">IF(K10=0,G10-K10,G10/K10-1)</f>
        <v>0</v>
      </c>
      <c r="P10" s="33" t="n">
        <f aca="false">IF(L10=0,H10-L10,H10/L10-1)</f>
        <v>0</v>
      </c>
      <c r="Q10" s="33" t="n">
        <f aca="false">IF(M10=0,I10-M10,I10/M10-1)</f>
        <v>0</v>
      </c>
    </row>
    <row r="11" customFormat="false" ht="24.6" hidden="false" customHeight="false" outlineLevel="0" collapsed="false">
      <c r="A11" s="18" t="s">
        <v>692</v>
      </c>
      <c r="B11" s="5" t="s">
        <v>150</v>
      </c>
      <c r="C11" s="2" t="s">
        <v>693</v>
      </c>
      <c r="D11" s="4" t="s">
        <v>42</v>
      </c>
      <c r="E11" s="18" t="s">
        <v>694</v>
      </c>
      <c r="F11" s="34" t="n">
        <f aca="false">F6*F8</f>
        <v>1.307</v>
      </c>
      <c r="G11" s="34" t="n">
        <f aca="false">G6*G8</f>
        <v>4.56</v>
      </c>
      <c r="H11" s="34" t="n">
        <f aca="false">H6*H8</f>
        <v>6.575</v>
      </c>
      <c r="I11" s="34" t="n">
        <f aca="false">I6*I8</f>
        <v>12.25</v>
      </c>
      <c r="J11" s="32" t="n">
        <v>1.307</v>
      </c>
      <c r="K11" s="32" t="n">
        <v>4.56</v>
      </c>
      <c r="L11" s="32" t="n">
        <v>6.575</v>
      </c>
      <c r="M11" s="32" t="n">
        <v>12.25</v>
      </c>
      <c r="N11" s="33" t="n">
        <f aca="false">IF(J11=0,F11-J11,F11/J11-1)</f>
        <v>0</v>
      </c>
      <c r="O11" s="33" t="n">
        <f aca="false">IF(K11=0,G11-K11,G11/K11-1)</f>
        <v>0</v>
      </c>
      <c r="P11" s="33" t="n">
        <f aca="false">IF(L11=0,H11-L11,H11/L11-1)</f>
        <v>0</v>
      </c>
      <c r="Q11" s="33" t="n">
        <f aca="false">IF(M11=0,I11-M11,I11/M11-1)</f>
        <v>0</v>
      </c>
    </row>
    <row r="12" customFormat="false" ht="24.6" hidden="false" customHeight="false" outlineLevel="0" collapsed="false">
      <c r="A12" s="18" t="s">
        <v>695</v>
      </c>
      <c r="B12" s="4" t="s">
        <v>145</v>
      </c>
      <c r="C12" s="2" t="s">
        <v>696</v>
      </c>
      <c r="D12" s="4" t="s">
        <v>42</v>
      </c>
      <c r="E12" s="18" t="s">
        <v>697</v>
      </c>
      <c r="F12" s="34" t="n">
        <f aca="false">F6*F9</f>
        <v>2.614</v>
      </c>
      <c r="G12" s="34" t="n">
        <f aca="false">G6*G9</f>
        <v>4.56</v>
      </c>
      <c r="H12" s="34" t="n">
        <f aca="false">H6*H9</f>
        <v>5.26</v>
      </c>
      <c r="I12" s="34" t="n">
        <f aca="false">I6*I9</f>
        <v>7</v>
      </c>
      <c r="J12" s="32" t="n">
        <v>2.614</v>
      </c>
      <c r="K12" s="32" t="n">
        <v>4.56</v>
      </c>
      <c r="L12" s="32" t="n">
        <v>5.26</v>
      </c>
      <c r="M12" s="32" t="n">
        <v>7</v>
      </c>
      <c r="N12" s="33" t="n">
        <f aca="false">IF(J12=0,F12-J12,F12/J12-1)</f>
        <v>0</v>
      </c>
      <c r="O12" s="33" t="n">
        <f aca="false">IF(K12=0,G12-K12,G12/K12-1)</f>
        <v>0</v>
      </c>
      <c r="P12" s="33" t="n">
        <f aca="false">IF(L12=0,H12-L12,H12/L12-1)</f>
        <v>0</v>
      </c>
      <c r="Q12" s="33" t="n">
        <f aca="false">IF(M12=0,I12-M12,I12/M12-1)</f>
        <v>0</v>
      </c>
    </row>
    <row r="13" customFormat="false" ht="15" hidden="false" customHeight="false" outlineLevel="0" collapsed="false">
      <c r="A13" s="50" t="s">
        <v>698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customFormat="false" ht="24.6" hidden="false" customHeight="false" outlineLevel="0" collapsed="false">
      <c r="A14" s="18" t="s">
        <v>699</v>
      </c>
      <c r="B14" s="4" t="s">
        <v>652</v>
      </c>
      <c r="C14" s="2" t="s">
        <v>700</v>
      </c>
      <c r="D14" s="4" t="s">
        <v>45</v>
      </c>
      <c r="E14" s="18" t="s">
        <v>701</v>
      </c>
      <c r="F14" s="17" t="n">
        <f aca="false">3_m重算!F10</f>
        <v>2365200000</v>
      </c>
      <c r="G14" s="17" t="n">
        <f aca="false">3_m重算!G10</f>
        <v>7884000000</v>
      </c>
      <c r="H14" s="17" t="n">
        <f aca="false">3_m重算!H10</f>
        <v>7884000000</v>
      </c>
      <c r="I14" s="17" t="n">
        <f aca="false">3_m重算!I10</f>
        <v>10249200000</v>
      </c>
      <c r="J14" s="48" t="n">
        <v>2365200000</v>
      </c>
      <c r="K14" s="48" t="n">
        <v>7884000000</v>
      </c>
      <c r="L14" s="48" t="n">
        <v>7884000000</v>
      </c>
      <c r="M14" s="48" t="n">
        <v>10249200000</v>
      </c>
      <c r="N14" s="33" t="n">
        <f aca="false">IF(J14=0,F14-J14,F14/J14-1)</f>
        <v>0</v>
      </c>
      <c r="O14" s="33" t="n">
        <f aca="false">IF(K14=0,G14-K14,G14/K14-1)</f>
        <v>0</v>
      </c>
      <c r="P14" s="33" t="n">
        <f aca="false">IF(L14=0,H14-L14,H14/L14-1)</f>
        <v>0</v>
      </c>
      <c r="Q14" s="33" t="n">
        <f aca="false">IF(M14=0,I14-M14,I14/M14-1)</f>
        <v>0</v>
      </c>
    </row>
    <row r="15" customFormat="false" ht="15" hidden="false" customHeight="false" outlineLevel="0" collapsed="false">
      <c r="A15" s="18" t="s">
        <v>702</v>
      </c>
      <c r="B15" s="4" t="s">
        <v>540</v>
      </c>
      <c r="C15" s="2" t="s">
        <v>703</v>
      </c>
      <c r="D15" s="4" t="s">
        <v>45</v>
      </c>
      <c r="E15" s="18" t="s">
        <v>704</v>
      </c>
      <c r="F15" s="17" t="n">
        <f aca="false">3_m重算!F14</f>
        <v>1460000000</v>
      </c>
      <c r="G15" s="17" t="n">
        <f aca="false">3_m重算!G14</f>
        <v>1868800000</v>
      </c>
      <c r="H15" s="17" t="n">
        <f aca="false">3_m重算!H14</f>
        <v>2102400000</v>
      </c>
      <c r="I15" s="17" t="n">
        <f aca="false">3_m重算!I14</f>
        <v>2219200000</v>
      </c>
      <c r="J15" s="48" t="n">
        <v>1460000000</v>
      </c>
      <c r="K15" s="48" t="n">
        <v>1868800000</v>
      </c>
      <c r="L15" s="48" t="n">
        <v>2102400000</v>
      </c>
      <c r="M15" s="48" t="n">
        <v>2219200000</v>
      </c>
      <c r="N15" s="33" t="n">
        <f aca="false">IF(J15=0,F15-J15,F15/J15-1)</f>
        <v>0</v>
      </c>
      <c r="O15" s="33" t="n">
        <f aca="false">IF(K15=0,G15-K15,G15/K15-1)</f>
        <v>0</v>
      </c>
      <c r="P15" s="33" t="n">
        <f aca="false">IF(L15=0,H15-L15,H15/L15-1)</f>
        <v>0</v>
      </c>
      <c r="Q15" s="33" t="n">
        <f aca="false">IF(M15=0,I15-M15,I15/M15-1)</f>
        <v>0</v>
      </c>
    </row>
    <row r="16" customFormat="false" ht="15" hidden="false" customHeight="false" outlineLevel="0" collapsed="false">
      <c r="A16" s="18" t="s">
        <v>705</v>
      </c>
      <c r="B16" s="5" t="s">
        <v>706</v>
      </c>
      <c r="C16" s="2" t="s">
        <v>707</v>
      </c>
      <c r="D16" s="4" t="s">
        <v>126</v>
      </c>
      <c r="E16" s="18" t="s">
        <v>708</v>
      </c>
      <c r="F16" s="37" t="n">
        <f aca="false">IN_SubTokShare</f>
        <v>0.75</v>
      </c>
      <c r="G16" s="37" t="n">
        <f aca="false">IN_SubTokShare26</f>
        <v>0.65</v>
      </c>
      <c r="H16" s="37" t="n">
        <f aca="false">IN_SubTokShare26</f>
        <v>0.65</v>
      </c>
      <c r="I16" s="37" t="n">
        <f aca="false">IN_SubTokShare26</f>
        <v>0.65</v>
      </c>
      <c r="J16" s="38" t="n">
        <v>0.75</v>
      </c>
      <c r="K16" s="38" t="n">
        <v>0.65</v>
      </c>
      <c r="L16" s="38" t="n">
        <v>0.65</v>
      </c>
      <c r="M16" s="38" t="n">
        <v>0.65</v>
      </c>
      <c r="N16" s="33" t="n">
        <f aca="false">IF(J16=0,F16-J16,F16/J16-1)</f>
        <v>0</v>
      </c>
      <c r="O16" s="33" t="n">
        <f aca="false">IF(K16=0,G16-K16,G16/K16-1)</f>
        <v>0</v>
      </c>
      <c r="P16" s="33" t="n">
        <f aca="false">IF(L16=0,H16-L16,H16/L16-1)</f>
        <v>0</v>
      </c>
      <c r="Q16" s="33" t="n">
        <f aca="false">IF(M16=0,I16-M16,I16/M16-1)</f>
        <v>0</v>
      </c>
    </row>
    <row r="17" customFormat="false" ht="24.6" hidden="false" customHeight="false" outlineLevel="0" collapsed="false">
      <c r="A17" s="18" t="s">
        <v>709</v>
      </c>
      <c r="B17" s="5" t="s">
        <v>710</v>
      </c>
      <c r="C17" s="2" t="s">
        <v>711</v>
      </c>
      <c r="D17" s="4" t="s">
        <v>45</v>
      </c>
      <c r="E17" s="18" t="s">
        <v>712</v>
      </c>
      <c r="F17" s="47" t="n">
        <f aca="false">F15*F16</f>
        <v>1095000000</v>
      </c>
      <c r="G17" s="47" t="n">
        <f aca="false">G15*G16</f>
        <v>1214720000</v>
      </c>
      <c r="H17" s="47" t="n">
        <f aca="false">H15*H16</f>
        <v>1366560000</v>
      </c>
      <c r="I17" s="47" t="n">
        <f aca="false">I15*I16</f>
        <v>1442480000</v>
      </c>
      <c r="J17" s="48" t="n">
        <v>1095000000</v>
      </c>
      <c r="K17" s="48" t="n">
        <v>1214720000</v>
      </c>
      <c r="L17" s="48" t="n">
        <v>1366560000</v>
      </c>
      <c r="M17" s="48" t="n">
        <v>1442480000</v>
      </c>
      <c r="N17" s="33" t="n">
        <f aca="false">IF(J17=0,F17-J17,F17/J17-1)</f>
        <v>0</v>
      </c>
      <c r="O17" s="33" t="n">
        <f aca="false">IF(K17=0,G17-K17,G17/K17-1)</f>
        <v>0</v>
      </c>
      <c r="P17" s="33" t="n">
        <f aca="false">IF(L17=0,H17-L17,H17/L17-1)</f>
        <v>0</v>
      </c>
      <c r="Q17" s="33" t="n">
        <f aca="false">IF(M17=0,I17-M17,I17/M17-1)</f>
        <v>0</v>
      </c>
    </row>
    <row r="18" customFormat="false" ht="24.6" hidden="false" customHeight="false" outlineLevel="0" collapsed="false">
      <c r="A18" s="18" t="s">
        <v>713</v>
      </c>
      <c r="B18" s="5" t="s">
        <v>714</v>
      </c>
      <c r="C18" s="2" t="s">
        <v>715</v>
      </c>
      <c r="D18" s="4" t="s">
        <v>45</v>
      </c>
      <c r="E18" s="18" t="s">
        <v>716</v>
      </c>
      <c r="F18" s="47" t="n">
        <f aca="false">F15*(1-F16)</f>
        <v>365000000</v>
      </c>
      <c r="G18" s="47" t="n">
        <f aca="false">G15*(1-G16)</f>
        <v>654080000</v>
      </c>
      <c r="H18" s="47" t="n">
        <f aca="false">H15*(1-H16)</f>
        <v>735840000</v>
      </c>
      <c r="I18" s="47" t="n">
        <f aca="false">I15*(1-I16)</f>
        <v>776720000</v>
      </c>
      <c r="J18" s="48" t="n">
        <v>365000000</v>
      </c>
      <c r="K18" s="48" t="n">
        <v>654080000</v>
      </c>
      <c r="L18" s="48" t="n">
        <v>735840000</v>
      </c>
      <c r="M18" s="48" t="n">
        <v>776720000</v>
      </c>
      <c r="N18" s="33" t="n">
        <f aca="false">IF(J18=0,F18-J18,F18/J18-1)</f>
        <v>0</v>
      </c>
      <c r="O18" s="33" t="n">
        <f aca="false">IF(K18=0,G18-K18,G18/K18-1)</f>
        <v>0</v>
      </c>
      <c r="P18" s="33" t="n">
        <f aca="false">IF(L18=0,H18-L18,H18/L18-1)</f>
        <v>0</v>
      </c>
      <c r="Q18" s="33" t="n">
        <f aca="false">IF(M18=0,I18-M18,I18/M18-1)</f>
        <v>0</v>
      </c>
    </row>
    <row r="19" customFormat="false" ht="15" hidden="false" customHeight="false" outlineLevel="0" collapsed="false">
      <c r="A19" s="50" t="s">
        <v>717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customFormat="false" ht="26.85" hidden="false" customHeight="false" outlineLevel="0" collapsed="false">
      <c r="A20" s="18" t="s">
        <v>718</v>
      </c>
      <c r="B20" s="5" t="s">
        <v>719</v>
      </c>
      <c r="C20" s="2" t="s">
        <v>720</v>
      </c>
      <c r="D20" s="4" t="s">
        <v>48</v>
      </c>
      <c r="E20" s="18" t="s">
        <v>721</v>
      </c>
      <c r="F20" s="35" t="n">
        <f aca="false">3_m重算!F17</f>
        <v>1.35936</v>
      </c>
      <c r="G20" s="35" t="n">
        <f aca="false">3_m重算!G17</f>
        <v>1.96067555555556</v>
      </c>
      <c r="H20" s="35" t="n">
        <f aca="false">3_m重算!H17</f>
        <v>1.96067555555556</v>
      </c>
      <c r="I20" s="35" t="n">
        <f aca="false">3_m重算!I17</f>
        <v>1.96067555555556</v>
      </c>
      <c r="J20" s="36" t="n">
        <v>1.35936</v>
      </c>
      <c r="K20" s="36" t="n">
        <v>1.96067555555556</v>
      </c>
      <c r="L20" s="36" t="n">
        <v>1.96067555555556</v>
      </c>
      <c r="M20" s="36" t="n">
        <v>1.96067555555556</v>
      </c>
      <c r="N20" s="33" t="n">
        <f aca="false">IF(J20=0,F20-J20,F20/J20-1)</f>
        <v>0</v>
      </c>
      <c r="O20" s="33" t="n">
        <f aca="false">IF(K20=0,G20-K20,G20/K20-1)</f>
        <v>0</v>
      </c>
      <c r="P20" s="33" t="n">
        <f aca="false">IF(L20=0,H20-L20,H20/L20-1)</f>
        <v>0</v>
      </c>
      <c r="Q20" s="33" t="n">
        <f aca="false">IF(M20=0,I20-M20,I20/M20-1)</f>
        <v>0</v>
      </c>
    </row>
    <row r="21" customFormat="false" ht="26.85" hidden="false" customHeight="false" outlineLevel="0" collapsed="false">
      <c r="A21" s="12" t="s">
        <v>722</v>
      </c>
      <c r="B21" s="12" t="s">
        <v>70</v>
      </c>
      <c r="C21" s="15" t="s">
        <v>723</v>
      </c>
      <c r="D21" s="55" t="s">
        <v>319</v>
      </c>
      <c r="E21" s="41" t="s">
        <v>724</v>
      </c>
      <c r="F21" s="39" t="n">
        <f aca="false">F12*1000000000/(F14*F20)</f>
        <v>0.81302373906898</v>
      </c>
      <c r="G21" s="39" t="n">
        <f aca="false">G12*1000000000/(G14*G20)</f>
        <v>0.294993531257639</v>
      </c>
      <c r="H21" s="39" t="n">
        <f aca="false">H12*1000000000/(H14*H20)</f>
        <v>0.340277625968241</v>
      </c>
      <c r="I21" s="39" t="n">
        <f aca="false">I12*1000000000/(I14*I20)</f>
        <v>0.348339190081557</v>
      </c>
      <c r="J21" s="42" t="n">
        <v>0.81302373906898</v>
      </c>
      <c r="K21" s="42" t="n">
        <v>0.294993531257639</v>
      </c>
      <c r="L21" s="42" t="n">
        <v>0.340277625968241</v>
      </c>
      <c r="M21" s="42" t="n">
        <v>0.348339190081557</v>
      </c>
      <c r="N21" s="43" t="n">
        <f aca="false">IF(J21=0,F21-J21,F21/J21-1)</f>
        <v>0</v>
      </c>
      <c r="O21" s="43" t="n">
        <f aca="false">IF(K21=0,G21-K21,G21/K21-1)</f>
        <v>0</v>
      </c>
      <c r="P21" s="43" t="n">
        <f aca="false">IF(L21=0,H21-L21,H21/L21-1)</f>
        <v>0</v>
      </c>
      <c r="Q21" s="43" t="n">
        <f aca="false">IF(M21=0,I21-M21,I21/M21-1)</f>
        <v>0</v>
      </c>
    </row>
    <row r="22" customFormat="false" ht="26.85" hidden="false" customHeight="false" outlineLevel="0" collapsed="false">
      <c r="A22" s="12" t="s">
        <v>725</v>
      </c>
      <c r="B22" s="12" t="s">
        <v>726</v>
      </c>
      <c r="C22" s="15" t="s">
        <v>727</v>
      </c>
      <c r="D22" s="55" t="s">
        <v>319</v>
      </c>
      <c r="E22" s="41" t="s">
        <v>728</v>
      </c>
      <c r="F22" s="39" t="n">
        <f aca="false">F10*1000000000/(F17*F20)</f>
        <v>6.14645946736149</v>
      </c>
      <c r="G22" s="39" t="n">
        <f aca="false">G10*1000000000/(G17*G20)</f>
        <v>5.74386443073768</v>
      </c>
      <c r="H22" s="39" t="n">
        <f aca="false">H10*1000000000/(H17*H20)</f>
        <v>5.39863541199614</v>
      </c>
      <c r="I22" s="39" t="n">
        <f aca="false">I10*1000000000/(I17*I20)</f>
        <v>5.56884363090911</v>
      </c>
      <c r="J22" s="42" t="n">
        <v>6.14645946736149</v>
      </c>
      <c r="K22" s="42" t="n">
        <v>5.74386443073768</v>
      </c>
      <c r="L22" s="42" t="n">
        <v>5.39863541199614</v>
      </c>
      <c r="M22" s="42" t="n">
        <v>5.56884363090911</v>
      </c>
      <c r="N22" s="43" t="n">
        <f aca="false">IF(J22=0,F22-J22,F22/J22-1)</f>
        <v>0</v>
      </c>
      <c r="O22" s="43" t="n">
        <f aca="false">IF(K22=0,G22-K22,G22/K22-1)</f>
        <v>0</v>
      </c>
      <c r="P22" s="43" t="n">
        <f aca="false">IF(L22=0,H22-L22,H22/L22-1)</f>
        <v>0</v>
      </c>
      <c r="Q22" s="43" t="n">
        <f aca="false">IF(M22=0,I22-M22,I22/M22-1)</f>
        <v>0</v>
      </c>
    </row>
    <row r="23" customFormat="false" ht="26.85" hidden="false" customHeight="false" outlineLevel="0" collapsed="false">
      <c r="A23" s="12" t="s">
        <v>729</v>
      </c>
      <c r="B23" s="12" t="s">
        <v>730</v>
      </c>
      <c r="C23" s="15" t="s">
        <v>731</v>
      </c>
      <c r="D23" s="55" t="s">
        <v>319</v>
      </c>
      <c r="E23" s="41" t="s">
        <v>732</v>
      </c>
      <c r="F23" s="39" t="n">
        <f aca="false">F11*1000000000/(F18*F20)</f>
        <v>2.6341969145835</v>
      </c>
      <c r="G23" s="39" t="n">
        <f aca="false">G11*1000000000/(G18*G20)</f>
        <v>3.55572559998047</v>
      </c>
      <c r="H23" s="39" t="n">
        <f aca="false">H11*1000000000/(H18*H20)</f>
        <v>4.55728963350323</v>
      </c>
      <c r="I23" s="39" t="n">
        <f aca="false">I11*1000000000/(I18*I20)</f>
        <v>8.04388524464649</v>
      </c>
      <c r="J23" s="42" t="n">
        <v>2.6341969145835</v>
      </c>
      <c r="K23" s="42" t="n">
        <v>3.55572559998047</v>
      </c>
      <c r="L23" s="42" t="n">
        <v>4.55728963350323</v>
      </c>
      <c r="M23" s="42" t="n">
        <v>8.04388524464649</v>
      </c>
      <c r="N23" s="43" t="n">
        <f aca="false">IF(J23=0,F23-J23,F23/J23-1)</f>
        <v>0</v>
      </c>
      <c r="O23" s="43" t="n">
        <f aca="false">IF(K23=0,G23-K23,G23/K23-1)</f>
        <v>0</v>
      </c>
      <c r="P23" s="43" t="n">
        <f aca="false">IF(L23=0,H23-L23,H23/L23-1)</f>
        <v>0</v>
      </c>
      <c r="Q23" s="43" t="n">
        <f aca="false">IF(M23=0,I23-M23,I23/M23-1)</f>
        <v>0</v>
      </c>
    </row>
    <row r="24" customFormat="false" ht="26.85" hidden="false" customHeight="false" outlineLevel="0" collapsed="false">
      <c r="A24" s="18" t="s">
        <v>733</v>
      </c>
      <c r="B24" s="5" t="s">
        <v>734</v>
      </c>
      <c r="C24" s="2" t="s">
        <v>735</v>
      </c>
      <c r="D24" s="4" t="s">
        <v>319</v>
      </c>
      <c r="E24" s="18" t="s">
        <v>736</v>
      </c>
      <c r="F24" s="44" t="n">
        <f aca="false">(F10+F11+F12)*1000000000/((F14+F17+F18)*F20)</f>
        <v>2.51354667422089</v>
      </c>
      <c r="G24" s="44" t="n">
        <f aca="false">(G10+G11+G12)*1000000000/((G14+G17+G18)*G20)</f>
        <v>1.19233912334674</v>
      </c>
      <c r="H24" s="44" t="n">
        <f aca="false">(H10+H11+H12)*1000000000/((H14+H17+H18)*H20)</f>
        <v>1.34320115513779</v>
      </c>
      <c r="I24" s="44" t="n">
        <f aca="false">(I10+I11+I12)*1000000000/((I14+I17+I18)*I20)</f>
        <v>1.4316985447146</v>
      </c>
      <c r="J24" s="36" t="n">
        <v>2.51354667422089</v>
      </c>
      <c r="K24" s="36" t="n">
        <v>1.19233912334674</v>
      </c>
      <c r="L24" s="36" t="n">
        <v>1.34320115513779</v>
      </c>
      <c r="M24" s="36" t="n">
        <v>1.4316985447146</v>
      </c>
      <c r="N24" s="33" t="n">
        <f aca="false">IF(J24=0,F24-J24,F24/J24-1)</f>
        <v>0</v>
      </c>
      <c r="O24" s="33" t="n">
        <f aca="false">IF(K24=0,G24-K24,G24/K24-1)</f>
        <v>0</v>
      </c>
      <c r="P24" s="33" t="n">
        <f aca="false">IF(L24=0,H24-L24,H24/L24-1)</f>
        <v>0</v>
      </c>
      <c r="Q24" s="33" t="n">
        <f aca="false">IF(M24=0,I24-M24,I24/M24-1)</f>
        <v>0</v>
      </c>
    </row>
    <row r="25" customFormat="false" ht="15" hidden="false" customHeight="false" outlineLevel="0" collapsed="false">
      <c r="A25" s="18" t="s">
        <v>737</v>
      </c>
      <c r="B25" s="5" t="s">
        <v>738</v>
      </c>
      <c r="C25" s="2" t="s">
        <v>739</v>
      </c>
      <c r="D25" s="4" t="s">
        <v>319</v>
      </c>
      <c r="E25" s="2"/>
      <c r="F25" s="25" t="n">
        <f aca="false">F24-3_m重算!F21</f>
        <v>0</v>
      </c>
      <c r="G25" s="25" t="n">
        <f aca="false">G24-3_m重算!G21</f>
        <v>0</v>
      </c>
      <c r="H25" s="25" t="n">
        <f aca="false">H24-3_m重算!H21</f>
        <v>0</v>
      </c>
      <c r="I25" s="25" t="n">
        <f aca="false">I24-3_m重算!I21</f>
        <v>0</v>
      </c>
    </row>
    <row r="26" customFormat="false" ht="15" hidden="false" customHeight="false" outlineLevel="0" collapsed="false">
      <c r="A26" s="18" t="s">
        <v>740</v>
      </c>
      <c r="B26" s="5" t="s">
        <v>741</v>
      </c>
      <c r="C26" s="2" t="s">
        <v>742</v>
      </c>
      <c r="D26" s="4" t="s">
        <v>48</v>
      </c>
      <c r="E26" s="2" t="s">
        <v>558</v>
      </c>
      <c r="F26" s="44" t="n">
        <f aca="false">F12*1000000000/F14</f>
        <v>1.10519194994081</v>
      </c>
      <c r="G26" s="44" t="n">
        <f aca="false">G12*1000000000/G14</f>
        <v>0.578386605783866</v>
      </c>
      <c r="H26" s="44" t="n">
        <f aca="false">H12*1000000000/H14</f>
        <v>0.667174023338407</v>
      </c>
      <c r="I26" s="44" t="n">
        <f aca="false">I12*1000000000/I14</f>
        <v>0.68298013503493</v>
      </c>
    </row>
    <row r="27" customFormat="false" ht="15" hidden="false" customHeight="false" outlineLevel="0" collapsed="false">
      <c r="A27" s="18" t="s">
        <v>743</v>
      </c>
      <c r="B27" s="5" t="s">
        <v>744</v>
      </c>
      <c r="C27" s="2" t="s">
        <v>745</v>
      </c>
      <c r="D27" s="4" t="s">
        <v>48</v>
      </c>
      <c r="E27" s="2" t="s">
        <v>558</v>
      </c>
      <c r="F27" s="44" t="n">
        <f aca="false">F10*1000000000/F17</f>
        <v>8.35525114155251</v>
      </c>
      <c r="G27" s="44" t="n">
        <f aca="false">G10*1000000000/G17</f>
        <v>11.2618545837724</v>
      </c>
      <c r="H27" s="44" t="n">
        <f aca="false">H10*1000000000/H17</f>
        <v>10.5849724856574</v>
      </c>
      <c r="I27" s="44" t="n">
        <f aca="false">I10*1000000000/I17</f>
        <v>10.9186955798347</v>
      </c>
    </row>
    <row r="28" customFormat="false" ht="15" hidden="false" customHeight="false" outlineLevel="0" collapsed="false">
      <c r="A28" s="18" t="s">
        <v>746</v>
      </c>
      <c r="B28" s="5" t="s">
        <v>747</v>
      </c>
      <c r="C28" s="2" t="s">
        <v>748</v>
      </c>
      <c r="D28" s="4" t="s">
        <v>48</v>
      </c>
      <c r="E28" s="2" t="s">
        <v>558</v>
      </c>
      <c r="F28" s="44" t="n">
        <f aca="false">F11*1000000000/F18</f>
        <v>3.58082191780822</v>
      </c>
      <c r="G28" s="44" t="n">
        <f aca="false">G11*1000000000/G18</f>
        <v>6.97162426614482</v>
      </c>
      <c r="H28" s="44" t="n">
        <f aca="false">H11*1000000000/H18</f>
        <v>8.93536638399652</v>
      </c>
      <c r="I28" s="44" t="n">
        <f aca="false">I11*1000000000/I18</f>
        <v>15.7714491708724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44"/>
  </cols>
  <sheetData>
    <row r="1" customFormat="false" ht="20.1" hidden="false" customHeight="false" outlineLevel="0" collapsed="false">
      <c r="A1" s="28" t="s">
        <v>749</v>
      </c>
    </row>
    <row r="2" customFormat="false" ht="15" hidden="false" customHeight="false" outlineLevel="0" collapsed="false">
      <c r="A2" s="20" t="s">
        <v>750</v>
      </c>
    </row>
    <row r="4" customFormat="false" ht="29.85" hidden="false" customHeight="false" outlineLevel="0" collapsed="false">
      <c r="A4" s="11" t="s">
        <v>751</v>
      </c>
      <c r="B4" s="10" t="s">
        <v>100</v>
      </c>
      <c r="C4" s="10" t="s">
        <v>752</v>
      </c>
      <c r="D4" s="11" t="s">
        <v>231</v>
      </c>
      <c r="E4" s="10" t="s">
        <v>753</v>
      </c>
      <c r="F4" s="10" t="s">
        <v>754</v>
      </c>
      <c r="G4" s="11" t="s">
        <v>755</v>
      </c>
      <c r="H4" s="11" t="s">
        <v>756</v>
      </c>
      <c r="I4" s="10" t="s">
        <v>757</v>
      </c>
      <c r="J4" s="10" t="s">
        <v>758</v>
      </c>
      <c r="K4" s="10" t="s">
        <v>102</v>
      </c>
      <c r="L4" s="10" t="s">
        <v>101</v>
      </c>
      <c r="M4" s="10" t="s">
        <v>759</v>
      </c>
      <c r="N4" s="10" t="s">
        <v>58</v>
      </c>
    </row>
    <row r="5" customFormat="false" ht="15" hidden="false" customHeight="false" outlineLevel="0" collapsed="false">
      <c r="B5" s="12" t="s">
        <v>760</v>
      </c>
      <c r="G5" s="57" t="n">
        <f aca="false">3_m重算!H21</f>
        <v>1.34320115513779</v>
      </c>
    </row>
    <row r="6" customFormat="false" ht="15" hidden="false" customHeight="false" outlineLevel="0" collapsed="false">
      <c r="B6" s="2" t="s">
        <v>761</v>
      </c>
      <c r="G6" s="25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-G5</f>
        <v>0</v>
      </c>
    </row>
    <row r="7" customFormat="false" ht="15" hidden="false" customHeight="false" outlineLevel="0" collapsed="false">
      <c r="A7" s="4" t="n">
        <v>1</v>
      </c>
      <c r="B7" s="5" t="s">
        <v>640</v>
      </c>
      <c r="C7" s="18" t="s">
        <v>762</v>
      </c>
      <c r="D7" s="18" t="s">
        <v>763</v>
      </c>
      <c r="E7" s="58" t="n">
        <f aca="false">IN_Tau_Lo</f>
        <v>2000</v>
      </c>
      <c r="F7" s="58" t="n">
        <f aca="false">IN_Tau_Hi</f>
        <v>11000</v>
      </c>
      <c r="G7" s="44" t="n">
        <f aca="false">(IN_RevQ2*4-IN_Ad_Q2)*1000000000/((IN_APItpm26*1000000000*525600/1000000+IN_Prompts_Q2*1000000000*IN_Tau_Lo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1.50122482044812</v>
      </c>
      <c r="H7" s="44" t="n">
        <f aca="false">(IN_RevQ2*4-IN_Ad_Q2)*1000000000/((IN_APItpm26*1000000000*525600/1000000+IN_Prompts_Q2*1000000000*IN_Tau_Hi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0.981570074908388</v>
      </c>
      <c r="I7" s="59" t="n">
        <f aca="false">G7/$G$5-1</f>
        <v>0.117647058823529</v>
      </c>
      <c r="J7" s="59" t="n">
        <f aca="false">H7/$G$5-1</f>
        <v>-0.269230769230769</v>
      </c>
      <c r="K7" s="37" t="n">
        <f aca="false">IF(OR(E7&lt;=0,F7&lt;=0,G7&lt;=0,H7&lt;=0),"—",LN(H7/G7)/LN(F7/E7))</f>
        <v>-0.249235177853974</v>
      </c>
      <c r="L7" s="59" t="n">
        <f aca="false">ABS(H7-G7)/$G$5</f>
        <v>0.386877828054299</v>
      </c>
      <c r="M7" s="52" t="n">
        <f aca="false">RANK(L7,$L$7:$L$19)</f>
        <v>4</v>
      </c>
      <c r="N7" s="18" t="s">
        <v>764</v>
      </c>
    </row>
    <row r="8" customFormat="false" ht="24.6" hidden="false" customHeight="false" outlineLevel="0" collapsed="false">
      <c r="A8" s="4" t="n">
        <v>2</v>
      </c>
      <c r="B8" s="4" t="s">
        <v>644</v>
      </c>
      <c r="C8" s="18" t="s">
        <v>765</v>
      </c>
      <c r="D8" s="18" t="s">
        <v>766</v>
      </c>
      <c r="E8" s="58" t="n">
        <f aca="false">IN_FreeShare_Lo</f>
        <v>0.4</v>
      </c>
      <c r="F8" s="58" t="n">
        <f aca="false">IN_FreeShare_Hi</f>
        <v>0.8</v>
      </c>
      <c r="G8" s="44" t="n">
        <f aca="false">(IN_RevQ2*4-IN_Ad_Q2)*1000000000/((IN_APItpm26*1000000000*525600/1000000+IN_Prompts_Q2*1000000000*IN_Tau*365/1000000*(1-IN_FreeShare_Lo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1.21527723560086</v>
      </c>
      <c r="H8" s="44" t="n">
        <f aca="false">(IN_RevQ2*4-IN_Ad_Q2)*1000000000/((IN_APItpm26*1000000000*525600/1000000+IN_Prompts_Q2*1000000000*IN_Tau*365/1000000*(1-IN_FreeShare_Hi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1.50122482044812</v>
      </c>
      <c r="I8" s="59" t="n">
        <f aca="false">G8/$G$5-1</f>
        <v>-0.0952380952380952</v>
      </c>
      <c r="J8" s="59" t="n">
        <f aca="false">H8/$G$5-1</f>
        <v>0.117647058823529</v>
      </c>
      <c r="K8" s="37" t="n">
        <f aca="false">IF(OR(E8&lt;=0,F8&lt;=0,G8&lt;=0,H8&lt;=0),"—",LN(H8/G8)/LN(F8/E8))</f>
        <v>0.304854581528421</v>
      </c>
      <c r="L8" s="59" t="n">
        <f aca="false">ABS(H8-G8)/$G$5</f>
        <v>0.212885154061625</v>
      </c>
      <c r="M8" s="52" t="n">
        <f aca="false">RANK(L8,$L$7:$L$19)</f>
        <v>10</v>
      </c>
      <c r="N8" s="2" t="s">
        <v>767</v>
      </c>
    </row>
    <row r="9" customFormat="false" ht="15" hidden="false" customHeight="false" outlineLevel="0" collapsed="false">
      <c r="A9" s="4" t="n">
        <v>3</v>
      </c>
      <c r="B9" s="5" t="s">
        <v>768</v>
      </c>
      <c r="C9" s="18" t="s">
        <v>769</v>
      </c>
      <c r="D9" s="18" t="s">
        <v>770</v>
      </c>
      <c r="E9" s="58" t="n">
        <f aca="false">IN_Disc_Lo</f>
        <v>0.1</v>
      </c>
      <c r="F9" s="58" t="n">
        <f aca="false">IN_Disc_Hi</f>
        <v>0.4</v>
      </c>
      <c r="G9" s="44" t="n">
        <f aca="false">(IN_RevQ2*4-IN_Ad_Q2)*1000000000/((IN_APItpm26*1000000000*525600/1000000+IN_Prompts_Q2*1000000000*IN_Tau*365/1000000*(1-IN_FreeShare))*(IN_Kappa*(1-IN_Disc_Lo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1.19395658234471</v>
      </c>
      <c r="H9" s="44" t="n">
        <f aca="false">(IN_RevQ2*4-IN_Ad_Q2)*1000000000/((IN_APItpm26*1000000000*525600/1000000+IN_Prompts_Q2*1000000000*IN_Tau*365/1000000*(1-IN_FreeShare))*(IN_Kappa*(1-IN_Disc_Hi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1.79093487351706</v>
      </c>
      <c r="I9" s="59" t="n">
        <f aca="false">G9/$G$5-1</f>
        <v>-0.111111111111111</v>
      </c>
      <c r="J9" s="59" t="n">
        <f aca="false">H9/$G$5-1</f>
        <v>0.333333333333334</v>
      </c>
      <c r="K9" s="37" t="n">
        <f aca="false">IF(OR(E9&lt;=0,F9&lt;=0,G9&lt;=0,H9&lt;=0),"—",LN(H9/G9)/LN(F9/E9))</f>
        <v>0.292481250360578</v>
      </c>
      <c r="L9" s="59" t="n">
        <f aca="false">ABS(H9-G9)/$G$5</f>
        <v>0.444444444444445</v>
      </c>
      <c r="M9" s="52" t="n">
        <f aca="false">RANK(L9,$L$7:$L$19)</f>
        <v>3</v>
      </c>
      <c r="N9" s="18" t="s">
        <v>771</v>
      </c>
    </row>
    <row r="10" customFormat="false" ht="15" hidden="false" customHeight="false" outlineLevel="0" collapsed="false">
      <c r="A10" s="4" t="n">
        <v>4</v>
      </c>
      <c r="B10" s="5" t="s">
        <v>772</v>
      </c>
      <c r="C10" s="18" t="s">
        <v>773</v>
      </c>
      <c r="D10" s="18" t="s">
        <v>774</v>
      </c>
      <c r="E10" s="58" t="n">
        <f aca="false">IN_Kappa_Lo</f>
        <v>0.65</v>
      </c>
      <c r="F10" s="58" t="n">
        <f aca="false">IN_Kappa_Hi</f>
        <v>1.2</v>
      </c>
      <c r="G10" s="44" t="n">
        <f aca="false">(IN_RevQ2*4-IN_Ad_Q2)*1000000000/((IN_APItpm26*1000000000*525600/1000000+IN_Prompts_Q2*1000000000*IN_Tau*365/1000000*(1-IN_FreeShare))*(IN_Kappa_Lo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2.06646331559661</v>
      </c>
      <c r="H10" s="44" t="n">
        <f aca="false">(IN_RevQ2*4-IN_Ad_Q2)*1000000000/((IN_APItpm26*1000000000*525600/1000000+IN_Prompts_Q2*1000000000*IN_Tau*365/1000000*(1-IN_FreeShare))*(IN_Kappa_Hi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1.11933429594816</v>
      </c>
      <c r="I10" s="59" t="n">
        <f aca="false">G10/$G$5-1</f>
        <v>0.538461538461539</v>
      </c>
      <c r="J10" s="59" t="n">
        <f aca="false">H10/$G$5-1</f>
        <v>-0.166666666666667</v>
      </c>
      <c r="K10" s="37" t="n">
        <f aca="false">IF(OR(E10&lt;=0,F10&lt;=0,G10&lt;=0,H10&lt;=0),"—",LN(H10/G10)/LN(F10/E10))</f>
        <v>-1</v>
      </c>
      <c r="L10" s="59" t="n">
        <f aca="false">ABS(H10-G10)/$G$5</f>
        <v>0.705128205128205</v>
      </c>
      <c r="M10" s="52" t="n">
        <f aca="false">RANK(L10,$L$7:$L$19)</f>
        <v>1</v>
      </c>
      <c r="N10" s="18" t="s">
        <v>775</v>
      </c>
    </row>
    <row r="11" customFormat="false" ht="15" hidden="false" customHeight="false" outlineLevel="0" collapsed="false">
      <c r="A11" s="4" t="n">
        <v>5</v>
      </c>
      <c r="B11" s="5" t="s">
        <v>776</v>
      </c>
      <c r="C11" s="18" t="s">
        <v>777</v>
      </c>
      <c r="D11" s="18" t="s">
        <v>600</v>
      </c>
      <c r="E11" s="58" t="n">
        <f aca="false">IN_Chi_Lo</f>
        <v>0.3</v>
      </c>
      <c r="F11" s="58" t="n">
        <f aca="false">IN_Chi_Hi</f>
        <v>0.75</v>
      </c>
      <c r="G11" s="44" t="n">
        <f aca="false">(IN_RevQ2*4-IN_Ad_Q2)*1000000000/((IN_APItpm26*1000000000*525600/1000000+IN_Prompts_Q2*1000000000*IN_Tau*365/1000000*(1-IN_FreeShare))*(IN_Kappa*(1-IN_Disc)*((IN_MixP_L)*IN_CapMult_L*(IN_ISL_L*((1-IN_Chi_Lo)*IN_PIn_L+IN_Chi_Lo*IN_PCache_L)+IN_OSL_L*IN_POut_L)/(IN_ISL_L+IN_OSL_L)+(IN_MixP_S)*IN_CapMult_S*(IN_ISL_S*((1-IN_Chi_Lo)*IN_PIn_S+IN_Chi_Lo*IN_PCache_S)+IN_OSL_S*IN_POut_S)/(IN_ISL_S+IN_OSL_S)+(IN_MixP_A)*IN_CapMult_A*(IN_ISL_A*((1-IN_Chi_Lo)*IN_PIn_A+IN_Chi_Lo*IN_PCache_A)+IN_OSL_A*IN_POut_A)/(IN_ISL_A+IN_OSL_A))))</f>
        <v>1.12016037291934</v>
      </c>
      <c r="H11" s="44" t="n">
        <f aca="false">(IN_RevQ2*4-IN_Ad_Q2)*1000000000/((IN_APItpm26*1000000000*525600/1000000+IN_Prompts_Q2*1000000000*IN_Tau*365/1000000*(1-IN_FreeShare))*(IN_Kappa*(1-IN_Disc)*((IN_MixP_L)*IN_CapMult_L*(IN_ISL_L*((1-IN_Chi_Hi)*IN_PIn_L+IN_Chi_Hi*IN_PCache_L)+IN_OSL_L*IN_POut_L)/(IN_ISL_L+IN_OSL_L)+(IN_MixP_S)*IN_CapMult_S*(IN_ISL_S*((1-IN_Chi_Hi)*IN_PIn_S+IN_Chi_Hi*IN_PCache_S)+IN_OSL_S*IN_POut_S)/(IN_ISL_S+IN_OSL_S)+(IN_MixP_A)*IN_CapMult_A*(IN_ISL_A*((1-IN_Chi_Hi)*IN_PIn_A+IN_Chi_Hi*IN_PCache_A)+IN_OSL_A*IN_POut_A)/(IN_ISL_A+IN_OSL_A))))</f>
        <v>1.59770242663759</v>
      </c>
      <c r="I11" s="59" t="n">
        <f aca="false">G11/$G$5-1</f>
        <v>-0.166051660516605</v>
      </c>
      <c r="J11" s="59" t="n">
        <f aca="false">H11/$G$5-1</f>
        <v>0.189473684210526</v>
      </c>
      <c r="K11" s="37" t="n">
        <f aca="false">IF(OR(E11&lt;=0,F11&lt;=0,G11&lt;=0,H11&lt;=0),"—",LN(H11/G11)/LN(F11/E11))</f>
        <v>0.387535021764232</v>
      </c>
      <c r="L11" s="59" t="n">
        <f aca="false">ABS(H11-G11)/$G$5</f>
        <v>0.355525344727132</v>
      </c>
      <c r="M11" s="52" t="n">
        <f aca="false">RANK(L11,$L$7:$L$19)</f>
        <v>7</v>
      </c>
      <c r="N11" s="18" t="s">
        <v>778</v>
      </c>
    </row>
    <row r="12" customFormat="false" ht="15" hidden="false" customHeight="false" outlineLevel="0" collapsed="false">
      <c r="A12" s="4" t="n">
        <v>6</v>
      </c>
      <c r="B12" s="4" t="s">
        <v>779</v>
      </c>
      <c r="C12" s="18" t="s">
        <v>780</v>
      </c>
      <c r="D12" s="18" t="s">
        <v>781</v>
      </c>
      <c r="E12" s="58" t="n">
        <f aca="false">IN_Ad_Q2_Lo</f>
        <v>0.3</v>
      </c>
      <c r="F12" s="58" t="n">
        <f aca="false">IN_Ad_Q2_Hi</f>
        <v>0.8</v>
      </c>
      <c r="G12" s="44" t="n">
        <f aca="false">(IN_RevQ2*4-IN_Ad_Q2_Lo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1.35341561259131</v>
      </c>
      <c r="H12" s="44" t="n">
        <f aca="false">(IN_RevQ2*4-IN_Ad_Q2_Hi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1.32787946895752</v>
      </c>
      <c r="I12" s="59" t="n">
        <f aca="false">G12/$G$5-1</f>
        <v>0.00760456273764265</v>
      </c>
      <c r="J12" s="59" t="n">
        <f aca="false">H12/$G$5-1</f>
        <v>-0.0114068441064639</v>
      </c>
      <c r="K12" s="37" t="n">
        <f aca="false">IF(OR(E12&lt;=0,F12&lt;=0,G12&lt;=0,H12&lt;=0),"—",LN(H12/G12)/LN(F12/E12))</f>
        <v>-0.0194205004716216</v>
      </c>
      <c r="L12" s="59" t="n">
        <f aca="false">ABS(H12-G12)/$G$5</f>
        <v>0.0190114068441065</v>
      </c>
      <c r="M12" s="52" t="n">
        <f aca="false">RANK(L12,$L$7:$L$19)</f>
        <v>11</v>
      </c>
      <c r="N12" s="2" t="s">
        <v>782</v>
      </c>
    </row>
    <row r="13" customFormat="false" ht="26.85" hidden="false" customHeight="false" outlineLevel="0" collapsed="false">
      <c r="A13" s="4" t="n">
        <v>7</v>
      </c>
      <c r="B13" s="4" t="s">
        <v>783</v>
      </c>
      <c r="C13" s="18" t="s">
        <v>784</v>
      </c>
      <c r="D13" s="18" t="s">
        <v>785</v>
      </c>
      <c r="E13" s="58" t="n">
        <f aca="false">IN_MixP_A_Lo</f>
        <v>0.1</v>
      </c>
      <c r="F13" s="58" t="n">
        <f aca="false">IN_MixP_A_Hi</f>
        <v>0.3</v>
      </c>
      <c r="G13" s="44" t="n">
        <f aca="false">(IN_RevQ2*4-IN_Ad_Q2)*1000000000/((IN_APItpm26*1000000000*525600/1000000+IN_Prompts_Q2*1000000000*IN_Tau*365/1000000*(1-IN_FreeShare))*(IN_Kappa*(1-IN_Disc)*(((1-IN_MixP_A_Lo)*IN_MixP_L/(IN_MixP_L+IN_MixP_S))*IN_CapMult_L*(IN_ISL_L*((1-IN_Chi)*IN_PIn_L+IN_Chi*IN_PCache_L)+IN_OSL_L*IN_POut_L)/(IN_ISL_L+IN_OSL_L)+((1-IN_MixP_A_Lo)*IN_MixP_S/(IN_MixP_L+IN_MixP_S))*IN_CapMult_S*(IN_ISL_S*((1-IN_Chi)*IN_PIn_S+IN_Chi*IN_PCache_S)+IN_OSL_S*IN_POut_S)/(IN_ISL_S+IN_OSL_S)+(IN_MixP_A_Lo)*IN_CapMult_A*(IN_ISL_A*((1-IN_Chi)*IN_PIn_A+IN_Chi*IN_PCache_A)+IN_OSL_A*IN_POut_A)/(IN_ISL_A+IN_OSL_A))))</f>
        <v>1.64257028051638</v>
      </c>
      <c r="H13" s="44" t="n">
        <f aca="false">(IN_RevQ2*4-IN_Ad_Q2)*1000000000/((IN_APItpm26*1000000000*525600/1000000+IN_Prompts_Q2*1000000000*IN_Tau*365/1000000*(1-IN_FreeShare))*(IN_Kappa*(1-IN_Disc)*(((1-IN_MixP_A_Hi)*IN_MixP_L/(IN_MixP_L+IN_MixP_S))*IN_CapMult_L*(IN_ISL_L*((1-IN_Chi)*IN_PIn_L+IN_Chi*IN_PCache_L)+IN_OSL_L*IN_POut_L)/(IN_ISL_L+IN_OSL_L)+((1-IN_MixP_A_Hi)*IN_MixP_S/(IN_MixP_L+IN_MixP_S))*IN_CapMult_S*(IN_ISL_S*((1-IN_Chi)*IN_PIn_S+IN_Chi*IN_PCache_S)+IN_OSL_S*IN_POut_S)/(IN_ISL_S+IN_OSL_S)+(IN_MixP_A_Hi)*IN_CapMult_A*(IN_ISL_A*((1-IN_Chi)*IN_PIn_A+IN_Chi*IN_PCache_A)+IN_OSL_A*IN_POut_A)/(IN_ISL_A+IN_OSL_A))))</f>
        <v>0.868391270497439</v>
      </c>
      <c r="I13" s="59" t="n">
        <f aca="false">G13/$G$5-1</f>
        <v>0.222877358490566</v>
      </c>
      <c r="J13" s="59" t="n">
        <f aca="false">H13/$G$5-1</f>
        <v>-0.353491271820449</v>
      </c>
      <c r="K13" s="37" t="n">
        <f aca="false">IF(OR(E13&lt;=0,F13&lt;=0,G13&lt;=0,H13&lt;=0),"—",LN(H13/G13)/LN(F13/E13))</f>
        <v>-0.580163866005242</v>
      </c>
      <c r="L13" s="59" t="n">
        <f aca="false">ABS(H13-G13)/$G$5</f>
        <v>0.576368630311015</v>
      </c>
      <c r="M13" s="52" t="n">
        <f aca="false">RANK(L13,$L$7:$L$19)</f>
        <v>2</v>
      </c>
      <c r="N13" s="18" t="s">
        <v>786</v>
      </c>
    </row>
    <row r="14" customFormat="false" ht="15" hidden="false" customHeight="false" outlineLevel="0" collapsed="false">
      <c r="A14" s="4" t="n">
        <v>8</v>
      </c>
      <c r="B14" s="4" t="s">
        <v>787</v>
      </c>
      <c r="C14" s="18" t="s">
        <v>788</v>
      </c>
      <c r="D14" s="18" t="s">
        <v>789</v>
      </c>
      <c r="E14" s="58" t="n">
        <f aca="false">IN_ISL_L_Lo</f>
        <v>4096</v>
      </c>
      <c r="F14" s="58" t="n">
        <f aca="false">IN_ISL_L_Hi</f>
        <v>16384</v>
      </c>
      <c r="G14" s="44" t="n">
        <f aca="false">(IN_RevQ2*4-IN_Ad_Q2)*1000000000/((IN_APItpm26*1000000000*525600/1000000+IN_Prompts_Q2*1000000000*IN_Tau*365/1000000*(1-IN_FreeShare))*(IN_Kappa*(1-IN_Disc)*((IN_MixP_L)*IN_CapMult_L*(IN_ISL_L_Lo*((1-IN_Chi)*IN_PIn_L+IN_Chi*IN_PCache_L)+IN_OSL_L*IN_POut_L)/(IN_ISL_L_Lo+IN_OSL_L)+(IN_MixP_S)*IN_CapMult_S*(IN_ISL_S*((1-IN_Chi)*IN_PIn_S+IN_Chi*IN_PCache_S)+IN_OSL_S*IN_POut_S)/(IN_ISL_S+IN_OSL_S)+(IN_MixP_A)*IN_CapMult_A*(IN_ISL_A*((1-IN_Chi)*IN_PIn_A+IN_Chi*IN_PCache_A)+IN_OSL_A*IN_POut_A)/(IN_ISL_A+IN_OSL_A))))</f>
        <v>1.33449874420611</v>
      </c>
      <c r="H14" s="44" t="n">
        <f aca="false">(IN_RevQ2*4-IN_Ad_Q2)*1000000000/((IN_APItpm26*1000000000*525600/1000000+IN_Prompts_Q2*1000000000*IN_Tau*365/1000000*(1-IN_FreeShare))*(IN_Kappa*(1-IN_Disc)*((IN_MixP_L)*IN_CapMult_L*(IN_ISL_L_Hi*((1-IN_Chi)*IN_PIn_L+IN_Chi*IN_PCache_L)+IN_OSL_L*IN_POut_L)/(IN_ISL_L_Hi+IN_OSL_L)+(IN_MixP_S)*IN_CapMult_S*(IN_ISL_S*((1-IN_Chi)*IN_PIn_S+IN_Chi*IN_PCache_S)+IN_OSL_S*IN_POut_S)/(IN_ISL_S+IN_OSL_S)+(IN_MixP_A)*IN_CapMult_A*(IN_ISL_A*((1-IN_Chi)*IN_PIn_A+IN_Chi*IN_PCache_A)+IN_OSL_A*IN_POut_A)/(IN_ISL_A+IN_OSL_A))))</f>
        <v>1.34837344298841</v>
      </c>
      <c r="I14" s="59" t="n">
        <f aca="false">G14/$G$5-1</f>
        <v>-0.00647885902896417</v>
      </c>
      <c r="J14" s="59" t="n">
        <f aca="false">H14/$G$5-1</f>
        <v>0.00385071724427433</v>
      </c>
      <c r="K14" s="37" t="n">
        <f aca="false">IF(OR(E14&lt;=0,F14&lt;=0,G14&lt;=0,H14&lt;=0),"—",LN(H14/G14)/LN(F14/E14))</f>
        <v>0.00746108505597805</v>
      </c>
      <c r="L14" s="59" t="n">
        <f aca="false">ABS(H14-G14)/$G$5</f>
        <v>0.0103295762732384</v>
      </c>
      <c r="M14" s="52" t="n">
        <f aca="false">RANK(L14,$L$7:$L$19)</f>
        <v>13</v>
      </c>
      <c r="N14" s="2"/>
    </row>
    <row r="15" customFormat="false" ht="15" hidden="false" customHeight="false" outlineLevel="0" collapsed="false">
      <c r="A15" s="4" t="n">
        <v>9</v>
      </c>
      <c r="B15" s="4" t="s">
        <v>790</v>
      </c>
      <c r="C15" s="18" t="s">
        <v>791</v>
      </c>
      <c r="D15" s="18" t="s">
        <v>792</v>
      </c>
      <c r="E15" s="58" t="n">
        <f aca="false">IN_ISL_S_Lo</f>
        <v>8192</v>
      </c>
      <c r="F15" s="58" t="n">
        <f aca="false">IN_ISL_S_Hi</f>
        <v>68000</v>
      </c>
      <c r="G15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_Lo*((1-IN_Chi)*IN_PIn_S+IN_Chi*IN_PCache_S)+IN_OSL_S*IN_POut_S)/(IN_ISL_S_Lo+IN_OSL_S)+(IN_MixP_A)*IN_CapMult_A*(IN_ISL_A*((1-IN_Chi)*IN_PIn_A+IN_Chi*IN_PCache_A)+IN_OSL_A*IN_POut_A)/(IN_ISL_A+IN_OSL_A))))</f>
        <v>1.17133683085188</v>
      </c>
      <c r="H15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_Hi*((1-IN_Chi)*IN_PIn_S+IN_Chi*IN_PCache_S)+IN_OSL_S*IN_POut_S)/(IN_ISL_S_Hi+IN_OSL_S)+(IN_MixP_A)*IN_CapMult_A*(IN_ISL_A*((1-IN_Chi)*IN_PIn_A+IN_Chi*IN_PCache_A)+IN_OSL_A*IN_POut_A)/(IN_ISL_A+IN_OSL_A))))</f>
        <v>1.55309548783942</v>
      </c>
      <c r="I15" s="59" t="n">
        <f aca="false">G15/$G$5-1</f>
        <v>-0.127951292796711</v>
      </c>
      <c r="J15" s="59" t="n">
        <f aca="false">H15/$G$5-1</f>
        <v>0.156264258632278</v>
      </c>
      <c r="K15" s="37" t="n">
        <f aca="false">IF(OR(E15&lt;=0,F15&lt;=0,G15&lt;=0,H15&lt;=0),"—",LN(H15/G15)/LN(F15/E15))</f>
        <v>0.133297606591677</v>
      </c>
      <c r="L15" s="59" t="n">
        <f aca="false">ABS(H15-G15)/$G$5</f>
        <v>0.284215551428989</v>
      </c>
      <c r="M15" s="52" t="n">
        <f aca="false">RANK(L15,$L$7:$L$19)</f>
        <v>8</v>
      </c>
      <c r="N15" s="18" t="s">
        <v>793</v>
      </c>
    </row>
    <row r="16" customFormat="false" ht="15" hidden="false" customHeight="false" outlineLevel="0" collapsed="false">
      <c r="A16" s="4" t="n">
        <v>10</v>
      </c>
      <c r="B16" s="4" t="s">
        <v>794</v>
      </c>
      <c r="C16" s="18" t="s">
        <v>795</v>
      </c>
      <c r="D16" s="18" t="s">
        <v>796</v>
      </c>
      <c r="E16" s="58" t="n">
        <f aca="false">IN_ISL_A_Lo</f>
        <v>16384</v>
      </c>
      <c r="F16" s="58" t="n">
        <f aca="false">IN_ISL_A_Hi</f>
        <v>68000</v>
      </c>
      <c r="G16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_Lo*((1-IN_Chi)*IN_PIn_A+IN_Chi*IN_PCache_A)+IN_OSL_A*IN_POut_A)/(IN_ISL_A_Lo+IN_OSL_A))))</f>
        <v>1.07927384194609</v>
      </c>
      <c r="H16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_Hi*((1-IN_Chi)*IN_PIn_A+IN_Chi*IN_PCache_A)+IN_OSL_A*IN_POut_A)/(IN_ISL_A_Hi+IN_OSL_A))))</f>
        <v>1.57908253249412</v>
      </c>
      <c r="I16" s="59" t="n">
        <f aca="false">G16/$G$5-1</f>
        <v>-0.196491279196841</v>
      </c>
      <c r="J16" s="59" t="n">
        <f aca="false">H16/$G$5-1</f>
        <v>0.175611356835179</v>
      </c>
      <c r="K16" s="37" t="n">
        <f aca="false">IF(OR(E16&lt;=0,F16&lt;=0,G16&lt;=0,H16&lt;=0),"—",LN(H16/G16)/LN(F16/E16))</f>
        <v>0.267393830462145</v>
      </c>
      <c r="L16" s="59" t="n">
        <f aca="false">ABS(H16-G16)/$G$5</f>
        <v>0.37210263603202</v>
      </c>
      <c r="M16" s="52" t="n">
        <f aca="false">RANK(L16,$L$7:$L$19)</f>
        <v>5</v>
      </c>
      <c r="N16" s="2"/>
    </row>
    <row r="17" customFormat="false" ht="15" hidden="false" customHeight="false" outlineLevel="0" collapsed="false">
      <c r="A17" s="4" t="n">
        <v>11</v>
      </c>
      <c r="B17" s="4" t="s">
        <v>797</v>
      </c>
      <c r="C17" s="18" t="s">
        <v>798</v>
      </c>
      <c r="D17" s="18" t="s">
        <v>799</v>
      </c>
      <c r="E17" s="58" t="n">
        <f aca="false">IN_OSL_L_Lo</f>
        <v>400</v>
      </c>
      <c r="F17" s="58" t="n">
        <f aca="false">IN_OSL_L_Hi</f>
        <v>2048</v>
      </c>
      <c r="G17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_Lo*IN_POut_L)/(IN_ISL_L+IN_OSL_L_Lo)+(IN_MixP_S)*IN_CapMult_S*(IN_ISL_S*((1-IN_Chi)*IN_PIn_S+IN_Chi*IN_PCache_S)+IN_OSL_S*IN_POut_S)/(IN_ISL_S+IN_OSL_S)+(IN_MixP_A)*IN_CapMult_A*(IN_ISL_A*((1-IN_Chi)*IN_PIn_A+IN_Chi*IN_PCache_A)+IN_OSL_A*IN_POut_A)/(IN_ISL_A+IN_OSL_A))))</f>
        <v>1.34959282743356</v>
      </c>
      <c r="H17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_Hi*IN_POut_L)/(IN_ISL_L+IN_OSL_L_Hi)+(IN_MixP_S)*IN_CapMult_S*(IN_ISL_S*((1-IN_Chi)*IN_PIn_S+IN_Chi*IN_PCache_S)+IN_OSL_S*IN_POut_S)/(IN_ISL_S+IN_OSL_S)+(IN_MixP_A)*IN_CapMult_A*(IN_ISL_A*((1-IN_Chi)*IN_PIn_A+IN_Chi*IN_PCache_A)+IN_OSL_A*IN_POut_A)/(IN_ISL_A+IN_OSL_A))))</f>
        <v>1.33449874420611</v>
      </c>
      <c r="I17" s="59" t="n">
        <f aca="false">G17/$G$5-1</f>
        <v>0.00475853692599415</v>
      </c>
      <c r="J17" s="59" t="n">
        <f aca="false">H17/$G$5-1</f>
        <v>-0.00647885902896417</v>
      </c>
      <c r="K17" s="37" t="n">
        <f aca="false">IF(OR(E17&lt;=0,F17&lt;=0,G17&lt;=0,H17&lt;=0),"—",LN(H17/G17)/LN(F17/E17))</f>
        <v>-0.00688678825450139</v>
      </c>
      <c r="L17" s="59" t="n">
        <f aca="false">ABS(H17-G17)/$G$5</f>
        <v>0.0112373959549582</v>
      </c>
      <c r="M17" s="52" t="n">
        <f aca="false">RANK(L17,$L$7:$L$19)</f>
        <v>12</v>
      </c>
      <c r="N17" s="2"/>
    </row>
    <row r="18" customFormat="false" ht="15" hidden="false" customHeight="false" outlineLevel="0" collapsed="false">
      <c r="A18" s="4" t="n">
        <v>12</v>
      </c>
      <c r="B18" s="4" t="s">
        <v>800</v>
      </c>
      <c r="C18" s="18" t="s">
        <v>801</v>
      </c>
      <c r="D18" s="18" t="s">
        <v>802</v>
      </c>
      <c r="E18" s="58" t="n">
        <f aca="false">IN_OSL_S_Lo</f>
        <v>1024</v>
      </c>
      <c r="F18" s="58" t="n">
        <f aca="false">IN_OSL_S_Hi</f>
        <v>4096</v>
      </c>
      <c r="G18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_Lo*IN_POut_S)/(IN_ISL_S+IN_OSL_S_Lo)+(IN_MixP_A)*IN_CapMult_A*(IN_ISL_A*((1-IN_Chi)*IN_PIn_A+IN_Chi*IN_PCache_A)+IN_OSL_A*IN_POut_A)/(IN_ISL_A+IN_OSL_A))))</f>
        <v>1.47008216387553</v>
      </c>
      <c r="H18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_Hi*IN_POut_S)/(IN_ISL_S+IN_OSL_S_Hi)+(IN_MixP_A)*IN_CapMult_A*(IN_ISL_A*((1-IN_Chi)*IN_PIn_A+IN_Chi*IN_PCache_A)+IN_OSL_A*IN_POut_A)/(IN_ISL_A+IN_OSL_A))))</f>
        <v>1.17133683085188</v>
      </c>
      <c r="I18" s="59" t="n">
        <f aca="false">G18/$G$5-1</f>
        <v>0.0944616584436417</v>
      </c>
      <c r="J18" s="59" t="n">
        <f aca="false">H18/$G$5-1</f>
        <v>-0.127951292796711</v>
      </c>
      <c r="K18" s="37" t="n">
        <f aca="false">IF(OR(E18&lt;=0,F18&lt;=0,G18&lt;=0,H18&lt;=0),"—",LN(H18/G18)/LN(F18/E18))</f>
        <v>-0.16387039605091</v>
      </c>
      <c r="L18" s="59" t="n">
        <f aca="false">ABS(H18-G18)/$G$5</f>
        <v>0.222412951240352</v>
      </c>
      <c r="M18" s="52" t="n">
        <f aca="false">RANK(L18,$L$7:$L$19)</f>
        <v>9</v>
      </c>
      <c r="N18" s="18" t="s">
        <v>803</v>
      </c>
    </row>
    <row r="19" customFormat="false" ht="15" hidden="false" customHeight="false" outlineLevel="0" collapsed="false">
      <c r="A19" s="4" t="n">
        <v>13</v>
      </c>
      <c r="B19" s="4" t="s">
        <v>804</v>
      </c>
      <c r="C19" s="18" t="s">
        <v>805</v>
      </c>
      <c r="D19" s="18" t="s">
        <v>806</v>
      </c>
      <c r="E19" s="58" t="n">
        <f aca="false">IN_OSL_A_Lo</f>
        <v>2048</v>
      </c>
      <c r="F19" s="58" t="n">
        <f aca="false">IN_OSL_A_Hi</f>
        <v>8192</v>
      </c>
      <c r="G19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_Lo*IN_POut_A)/(IN_ISL_A+IN_OSL_A_Lo))))</f>
        <v>1.56888160259758</v>
      </c>
      <c r="H19" s="44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_Hi*IN_POut_A)/(IN_ISL_A+IN_OSL_A_Hi))))</f>
        <v>1.07927384194609</v>
      </c>
      <c r="I19" s="59" t="n">
        <f aca="false">G19/$G$5-1</f>
        <v>0.168016865230165</v>
      </c>
      <c r="J19" s="59" t="n">
        <f aca="false">H19/$G$5-1</f>
        <v>-0.196491279196841</v>
      </c>
      <c r="K19" s="37" t="n">
        <f aca="false">IF(OR(E19&lt;=0,F19&lt;=0,G19&lt;=0,H19&lt;=0),"—",LN(H19/G19)/LN(F19/E19))</f>
        <v>-0.269837759242313</v>
      </c>
      <c r="L19" s="59" t="n">
        <f aca="false">ABS(H19-G19)/$G$5</f>
        <v>0.364508144427006</v>
      </c>
      <c r="M19" s="52" t="n">
        <f aca="false">RANK(L19,$L$7:$L$19)</f>
        <v>6</v>
      </c>
      <c r="N19" s="2"/>
    </row>
    <row r="21" customFormat="false" ht="44" hidden="false" customHeight="false" outlineLevel="0" collapsed="false">
      <c r="B21" s="3" t="s">
        <v>807</v>
      </c>
      <c r="G21" s="35" t="n">
        <f aca="false">3_m重算!H51</f>
        <v>0.810184823733908</v>
      </c>
      <c r="H21" s="35" t="n">
        <f aca="false">3_m重算!I51</f>
        <v>1.59505137172613</v>
      </c>
      <c r="N21" s="2" t="s">
        <v>808</v>
      </c>
    </row>
    <row r="23" customFormat="false" ht="15" hidden="false" customHeight="false" outlineLevel="0" collapsed="false">
      <c r="A23" s="21" t="s">
        <v>809</v>
      </c>
    </row>
    <row r="24" customFormat="false" ht="26.85" hidden="false" customHeight="false" outlineLevel="0" collapsed="false">
      <c r="B24" s="4" t="s">
        <v>249</v>
      </c>
      <c r="E24" s="58" t="n">
        <f aca="false">IN_RevQ2</f>
        <v>6.7</v>
      </c>
      <c r="F24" s="60" t="s">
        <v>810</v>
      </c>
      <c r="N24" s="18" t="s">
        <v>811</v>
      </c>
    </row>
    <row r="25" customFormat="false" ht="15" hidden="false" customHeight="false" outlineLevel="0" collapsed="false">
      <c r="B25" s="4" t="s">
        <v>812</v>
      </c>
      <c r="E25" s="58" t="n">
        <f aca="false">IN_APItpm26</f>
        <v>15</v>
      </c>
      <c r="F25" s="60" t="s">
        <v>810</v>
      </c>
      <c r="N25" s="18" t="s">
        <v>813</v>
      </c>
    </row>
    <row r="26" customFormat="false" ht="15" hidden="false" customHeight="false" outlineLevel="0" collapsed="false">
      <c r="B26" s="4" t="s">
        <v>345</v>
      </c>
      <c r="E26" s="58" t="n">
        <f aca="false">IN_Prompts_Q2</f>
        <v>3.6</v>
      </c>
      <c r="F26" s="60" t="s">
        <v>810</v>
      </c>
      <c r="N26" s="18" t="s">
        <v>814</v>
      </c>
    </row>
    <row r="27" customFormat="false" ht="29.85" hidden="false" customHeight="false" outlineLevel="0" collapsed="false">
      <c r="B27" s="4" t="s">
        <v>815</v>
      </c>
      <c r="E27" s="58" t="n">
        <f aca="false">IN_SubShare_Q2</f>
        <v>0.55</v>
      </c>
      <c r="F27" s="60" t="s">
        <v>810</v>
      </c>
      <c r="N27" s="2" t="s">
        <v>816</v>
      </c>
    </row>
    <row r="28" customFormat="false" ht="26.85" hidden="false" customHeight="false" outlineLevel="0" collapsed="false">
      <c r="B28" s="5" t="s">
        <v>817</v>
      </c>
      <c r="E28" s="58" t="n">
        <f aca="false">IN_CapMult_S</f>
        <v>1</v>
      </c>
      <c r="F28" s="52" t="s">
        <v>818</v>
      </c>
      <c r="N28" s="18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38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20.1" hidden="false" customHeight="false" outlineLevel="0" collapsed="false">
      <c r="A1" s="61" t="s">
        <v>820</v>
      </c>
    </row>
    <row r="2" customFormat="false" ht="15" hidden="false" customHeight="false" outlineLevel="0" collapsed="false">
      <c r="A2" s="20" t="s">
        <v>821</v>
      </c>
    </row>
    <row r="4" customFormat="false" ht="15" hidden="false" customHeight="false" outlineLevel="0" collapsed="false">
      <c r="A4" s="10" t="s">
        <v>822</v>
      </c>
      <c r="B4" s="10" t="s">
        <v>100</v>
      </c>
      <c r="C4" s="10" t="s">
        <v>823</v>
      </c>
      <c r="D4" s="10" t="s">
        <v>101</v>
      </c>
      <c r="E4" s="10" t="s">
        <v>102</v>
      </c>
      <c r="F4" s="10" t="s">
        <v>824</v>
      </c>
      <c r="G4" s="10" t="s">
        <v>825</v>
      </c>
      <c r="H4" s="10" t="s">
        <v>826</v>
      </c>
      <c r="I4" s="10" t="s">
        <v>827</v>
      </c>
      <c r="J4" s="10" t="s">
        <v>828</v>
      </c>
      <c r="K4" s="10" t="s">
        <v>829</v>
      </c>
    </row>
    <row r="5" customFormat="false" ht="15" hidden="false" customHeight="false" outlineLevel="0" collapsed="false">
      <c r="A5" s="50" t="s">
        <v>830</v>
      </c>
      <c r="B5" s="62"/>
      <c r="C5" s="62"/>
      <c r="D5" s="62"/>
      <c r="E5" s="62"/>
      <c r="F5" s="62"/>
      <c r="G5" s="62"/>
      <c r="H5" s="62"/>
      <c r="I5" s="62"/>
      <c r="J5" s="62"/>
      <c r="K5" s="62"/>
    </row>
    <row r="6" customFormat="false" ht="58.2" hidden="false" customHeight="false" outlineLevel="0" collapsed="false">
      <c r="A6" s="63" t="n">
        <v>1</v>
      </c>
      <c r="B6" s="64" t="s">
        <v>831</v>
      </c>
      <c r="C6" s="63" t="s">
        <v>832</v>
      </c>
      <c r="D6" s="65" t="s">
        <v>833</v>
      </c>
      <c r="E6" s="65" t="s">
        <v>239</v>
      </c>
      <c r="F6" s="64" t="s">
        <v>834</v>
      </c>
      <c r="G6" s="63" t="s">
        <v>835</v>
      </c>
      <c r="H6" s="63" t="s">
        <v>836</v>
      </c>
      <c r="I6" s="63" t="s">
        <v>837</v>
      </c>
      <c r="J6" s="63" t="s">
        <v>838</v>
      </c>
      <c r="K6" s="63" t="s">
        <v>311</v>
      </c>
    </row>
    <row r="7" customFormat="false" ht="58.2" hidden="false" customHeight="false" outlineLevel="0" collapsed="false">
      <c r="A7" s="63" t="n">
        <v>2</v>
      </c>
      <c r="B7" s="63" t="s">
        <v>839</v>
      </c>
      <c r="C7" s="63" t="s">
        <v>840</v>
      </c>
      <c r="D7" s="66" t="n">
        <f aca="false">5_敏感度!L8</f>
        <v>0.212885154061625</v>
      </c>
      <c r="E7" s="67" t="n">
        <f aca="false">5_敏感度!K8</f>
        <v>0.304854581528421</v>
      </c>
      <c r="F7" s="63" t="s">
        <v>841</v>
      </c>
      <c r="G7" s="64" t="s">
        <v>842</v>
      </c>
      <c r="H7" s="63" t="s">
        <v>843</v>
      </c>
      <c r="I7" s="64" t="s">
        <v>844</v>
      </c>
      <c r="J7" s="63" t="s">
        <v>845</v>
      </c>
      <c r="K7" s="63" t="s">
        <v>846</v>
      </c>
    </row>
    <row r="8" customFormat="false" ht="29.85" hidden="false" customHeight="false" outlineLevel="0" collapsed="false">
      <c r="A8" s="63" t="n">
        <v>3</v>
      </c>
      <c r="B8" s="63" t="s">
        <v>847</v>
      </c>
      <c r="C8" s="63" t="s">
        <v>848</v>
      </c>
      <c r="D8" s="65" t="s">
        <v>833</v>
      </c>
      <c r="E8" s="65" t="s">
        <v>239</v>
      </c>
      <c r="F8" s="63" t="s">
        <v>849</v>
      </c>
      <c r="G8" s="63" t="s">
        <v>850</v>
      </c>
      <c r="H8" s="63" t="s">
        <v>851</v>
      </c>
      <c r="I8" s="64" t="s">
        <v>852</v>
      </c>
      <c r="J8" s="63" t="s">
        <v>853</v>
      </c>
      <c r="K8" s="63" t="s">
        <v>311</v>
      </c>
    </row>
    <row r="9" customFormat="false" ht="58.2" hidden="false" customHeight="false" outlineLevel="0" collapsed="false">
      <c r="A9" s="63" t="n">
        <v>4</v>
      </c>
      <c r="B9" s="63" t="s">
        <v>854</v>
      </c>
      <c r="C9" s="63" t="s">
        <v>855</v>
      </c>
      <c r="D9" s="65" t="s">
        <v>833</v>
      </c>
      <c r="E9" s="65" t="s">
        <v>239</v>
      </c>
      <c r="F9" s="63" t="s">
        <v>856</v>
      </c>
      <c r="G9" s="63" t="s">
        <v>857</v>
      </c>
      <c r="H9" s="63" t="s">
        <v>858</v>
      </c>
      <c r="I9" s="63" t="s">
        <v>859</v>
      </c>
      <c r="J9" s="63" t="s">
        <v>860</v>
      </c>
      <c r="K9" s="63" t="s">
        <v>311</v>
      </c>
    </row>
    <row r="10" customFormat="false" ht="29.85" hidden="false" customHeight="false" outlineLevel="0" collapsed="false">
      <c r="A10" s="63" t="n">
        <v>5</v>
      </c>
      <c r="B10" s="64" t="s">
        <v>861</v>
      </c>
      <c r="C10" s="63" t="s">
        <v>862</v>
      </c>
      <c r="D10" s="66" t="n">
        <f aca="false">5_敏感度!L13</f>
        <v>0.576368630311015</v>
      </c>
      <c r="E10" s="67" t="n">
        <f aca="false">5_敏感度!K13</f>
        <v>-0.580163866005242</v>
      </c>
      <c r="F10" s="64" t="s">
        <v>863</v>
      </c>
      <c r="G10" s="64" t="s">
        <v>864</v>
      </c>
      <c r="H10" s="63" t="s">
        <v>865</v>
      </c>
      <c r="I10" s="63" t="s">
        <v>866</v>
      </c>
      <c r="J10" s="63" t="s">
        <v>867</v>
      </c>
      <c r="K10" s="63" t="s">
        <v>846</v>
      </c>
    </row>
    <row r="11" customFormat="false" ht="44" hidden="false" customHeight="false" outlineLevel="0" collapsed="false">
      <c r="A11" s="63" t="n">
        <v>6</v>
      </c>
      <c r="B11" s="64" t="s">
        <v>868</v>
      </c>
      <c r="C11" s="63" t="s">
        <v>869</v>
      </c>
      <c r="D11" s="66" t="n">
        <f aca="false">5_敏感度!L11</f>
        <v>0.355525344727132</v>
      </c>
      <c r="E11" s="67" t="n">
        <f aca="false">5_敏感度!K11</f>
        <v>0.387535021764232</v>
      </c>
      <c r="F11" s="64" t="s">
        <v>870</v>
      </c>
      <c r="G11" s="64" t="s">
        <v>871</v>
      </c>
      <c r="H11" s="63" t="s">
        <v>872</v>
      </c>
      <c r="I11" s="63" t="s">
        <v>873</v>
      </c>
      <c r="J11" s="63" t="s">
        <v>874</v>
      </c>
      <c r="K11" s="63" t="s">
        <v>311</v>
      </c>
    </row>
    <row r="12" customFormat="false" ht="29.85" hidden="false" customHeight="false" outlineLevel="0" collapsed="false">
      <c r="A12" s="63" t="n">
        <v>7</v>
      </c>
      <c r="B12" s="64" t="s">
        <v>875</v>
      </c>
      <c r="C12" s="63" t="s">
        <v>876</v>
      </c>
      <c r="D12" s="66" t="n">
        <f aca="false">5_敏感度!L12</f>
        <v>0.0190114068441065</v>
      </c>
      <c r="E12" s="67" t="n">
        <f aca="false">5_敏感度!K12</f>
        <v>-0.0194205004716216</v>
      </c>
      <c r="F12" s="64" t="s">
        <v>877</v>
      </c>
      <c r="G12" s="64" t="s">
        <v>878</v>
      </c>
      <c r="H12" s="63" t="s">
        <v>879</v>
      </c>
      <c r="I12" s="64" t="s">
        <v>880</v>
      </c>
      <c r="J12" s="63" t="s">
        <v>881</v>
      </c>
      <c r="K12" s="63" t="s">
        <v>311</v>
      </c>
    </row>
    <row r="13" customFormat="false" ht="15" hidden="false" customHeight="false" outlineLevel="0" collapsed="false">
      <c r="A13" s="50" t="s">
        <v>882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</row>
    <row r="14" customFormat="false" ht="58.2" hidden="false" customHeight="false" outlineLevel="0" collapsed="false">
      <c r="A14" s="63" t="n">
        <v>8</v>
      </c>
      <c r="B14" s="64" t="s">
        <v>883</v>
      </c>
      <c r="C14" s="63" t="s">
        <v>884</v>
      </c>
      <c r="D14" s="66" t="n">
        <f aca="false">5_敏感度!L9</f>
        <v>0.444444444444445</v>
      </c>
      <c r="E14" s="67" t="n">
        <f aca="false">5_敏感度!K9</f>
        <v>0.292481250360578</v>
      </c>
      <c r="F14" s="63" t="s">
        <v>885</v>
      </c>
      <c r="G14" s="64" t="s">
        <v>886</v>
      </c>
      <c r="H14" s="63" t="s">
        <v>887</v>
      </c>
      <c r="I14" s="63" t="s">
        <v>888</v>
      </c>
      <c r="J14" s="63" t="s">
        <v>889</v>
      </c>
      <c r="K14" s="63" t="s">
        <v>890</v>
      </c>
    </row>
    <row r="15" customFormat="false" ht="58.2" hidden="false" customHeight="false" outlineLevel="0" collapsed="false">
      <c r="A15" s="63" t="n">
        <v>9</v>
      </c>
      <c r="B15" s="64" t="s">
        <v>891</v>
      </c>
      <c r="C15" s="64" t="s">
        <v>892</v>
      </c>
      <c r="D15" s="65" t="s">
        <v>833</v>
      </c>
      <c r="E15" s="65" t="s">
        <v>239</v>
      </c>
      <c r="F15" s="63" t="s">
        <v>893</v>
      </c>
      <c r="G15" s="64" t="s">
        <v>894</v>
      </c>
      <c r="H15" s="64" t="s">
        <v>895</v>
      </c>
      <c r="I15" s="64" t="s">
        <v>896</v>
      </c>
      <c r="J15" s="63" t="s">
        <v>897</v>
      </c>
      <c r="K15" s="63" t="s">
        <v>890</v>
      </c>
    </row>
    <row r="16" customFormat="false" ht="44" hidden="false" customHeight="false" outlineLevel="0" collapsed="false">
      <c r="A16" s="63" t="n">
        <v>10</v>
      </c>
      <c r="B16" s="64" t="s">
        <v>898</v>
      </c>
      <c r="C16" s="64" t="s">
        <v>899</v>
      </c>
      <c r="D16" s="65" t="s">
        <v>833</v>
      </c>
      <c r="E16" s="65" t="s">
        <v>239</v>
      </c>
      <c r="F16" s="64" t="s">
        <v>900</v>
      </c>
      <c r="G16" s="64" t="s">
        <v>901</v>
      </c>
      <c r="H16" s="64" t="s">
        <v>902</v>
      </c>
      <c r="I16" s="64" t="s">
        <v>903</v>
      </c>
      <c r="J16" s="63" t="s">
        <v>904</v>
      </c>
      <c r="K16" s="63" t="s">
        <v>890</v>
      </c>
    </row>
    <row r="17" customFormat="false" ht="58.2" hidden="false" customHeight="false" outlineLevel="0" collapsed="false">
      <c r="A17" s="63" t="n">
        <v>11</v>
      </c>
      <c r="B17" s="64" t="s">
        <v>905</v>
      </c>
      <c r="C17" s="63" t="s">
        <v>906</v>
      </c>
      <c r="D17" s="65" t="s">
        <v>833</v>
      </c>
      <c r="E17" s="65" t="s">
        <v>239</v>
      </c>
      <c r="F17" s="64" t="s">
        <v>907</v>
      </c>
      <c r="G17" s="64" t="s">
        <v>908</v>
      </c>
      <c r="H17" s="64" t="s">
        <v>909</v>
      </c>
      <c r="I17" s="64" t="s">
        <v>910</v>
      </c>
      <c r="J17" s="63" t="s">
        <v>239</v>
      </c>
      <c r="K17" s="63" t="s"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0"/>
  </cols>
  <sheetData>
    <row r="1" customFormat="false" ht="20.1" hidden="false" customHeight="false" outlineLevel="0" collapsed="false">
      <c r="A1" s="61" t="s">
        <v>911</v>
      </c>
    </row>
    <row r="2" customFormat="false" ht="15" hidden="false" customHeight="false" outlineLevel="0" collapsed="false">
      <c r="A2" s="20" t="s">
        <v>912</v>
      </c>
    </row>
    <row r="4" customFormat="false" ht="29.85" hidden="false" customHeight="false" outlineLevel="0" collapsed="false">
      <c r="A4" s="10" t="s">
        <v>913</v>
      </c>
      <c r="B4" s="10" t="s">
        <v>914</v>
      </c>
      <c r="C4" s="11" t="s">
        <v>915</v>
      </c>
      <c r="D4" s="10" t="s">
        <v>916</v>
      </c>
    </row>
    <row r="5" customFormat="false" ht="15" hidden="false" customHeight="false" outlineLevel="0" collapsed="false">
      <c r="A5" s="60" t="s">
        <v>917</v>
      </c>
      <c r="B5" s="60" t="s">
        <v>918</v>
      </c>
      <c r="C5" s="60" t="s">
        <v>919</v>
      </c>
      <c r="D5" s="52" t="s">
        <v>100</v>
      </c>
    </row>
    <row r="6" customFormat="false" ht="15" hidden="false" customHeight="false" outlineLevel="0" collapsed="false">
      <c r="A6" s="60" t="s">
        <v>917</v>
      </c>
      <c r="B6" s="60" t="s">
        <v>920</v>
      </c>
      <c r="C6" s="60" t="s">
        <v>921</v>
      </c>
      <c r="D6" s="52" t="s">
        <v>100</v>
      </c>
    </row>
    <row r="7" customFormat="false" ht="15" hidden="false" customHeight="false" outlineLevel="0" collapsed="false">
      <c r="A7" s="60" t="s">
        <v>917</v>
      </c>
      <c r="B7" s="60" t="s">
        <v>922</v>
      </c>
      <c r="C7" s="60" t="s">
        <v>923</v>
      </c>
      <c r="D7" s="52" t="s">
        <v>100</v>
      </c>
    </row>
    <row r="8" customFormat="false" ht="15" hidden="false" customHeight="false" outlineLevel="0" collapsed="false">
      <c r="A8" s="60" t="s">
        <v>917</v>
      </c>
      <c r="B8" s="60" t="s">
        <v>924</v>
      </c>
      <c r="C8" s="60" t="s">
        <v>256</v>
      </c>
      <c r="D8" s="52" t="s">
        <v>100</v>
      </c>
    </row>
    <row r="9" customFormat="false" ht="15" hidden="false" customHeight="false" outlineLevel="0" collapsed="false">
      <c r="A9" s="60" t="s">
        <v>917</v>
      </c>
      <c r="B9" s="60" t="s">
        <v>925</v>
      </c>
      <c r="C9" s="60" t="s">
        <v>261</v>
      </c>
      <c r="D9" s="52" t="s">
        <v>100</v>
      </c>
    </row>
    <row r="10" customFormat="false" ht="15" hidden="false" customHeight="false" outlineLevel="0" collapsed="false">
      <c r="A10" s="60" t="s">
        <v>917</v>
      </c>
      <c r="B10" s="60" t="s">
        <v>926</v>
      </c>
      <c r="C10" s="60" t="s">
        <v>927</v>
      </c>
      <c r="D10" s="52" t="s">
        <v>229</v>
      </c>
    </row>
    <row r="11" customFormat="false" ht="15" hidden="false" customHeight="false" outlineLevel="0" collapsed="false">
      <c r="A11" s="60" t="s">
        <v>917</v>
      </c>
      <c r="B11" s="60" t="s">
        <v>928</v>
      </c>
      <c r="C11" s="60" t="s">
        <v>929</v>
      </c>
      <c r="D11" s="52" t="s">
        <v>230</v>
      </c>
    </row>
    <row r="12" customFormat="false" ht="15" hidden="false" customHeight="false" outlineLevel="0" collapsed="false">
      <c r="A12" s="60" t="s">
        <v>917</v>
      </c>
      <c r="B12" s="60" t="s">
        <v>930</v>
      </c>
      <c r="C12" s="60" t="s">
        <v>266</v>
      </c>
      <c r="D12" s="52" t="s">
        <v>100</v>
      </c>
    </row>
    <row r="13" customFormat="false" ht="15" hidden="false" customHeight="false" outlineLevel="0" collapsed="false">
      <c r="A13" s="60" t="s">
        <v>917</v>
      </c>
      <c r="B13" s="60" t="s">
        <v>931</v>
      </c>
      <c r="C13" s="60" t="s">
        <v>932</v>
      </c>
      <c r="D13" s="52" t="s">
        <v>229</v>
      </c>
    </row>
    <row r="14" customFormat="false" ht="15" hidden="false" customHeight="false" outlineLevel="0" collapsed="false">
      <c r="A14" s="60" t="s">
        <v>917</v>
      </c>
      <c r="B14" s="60" t="s">
        <v>933</v>
      </c>
      <c r="C14" s="60" t="s">
        <v>934</v>
      </c>
      <c r="D14" s="52" t="s">
        <v>230</v>
      </c>
    </row>
    <row r="15" customFormat="false" ht="15" hidden="false" customHeight="false" outlineLevel="0" collapsed="false">
      <c r="A15" s="60" t="s">
        <v>917</v>
      </c>
      <c r="B15" s="60" t="s">
        <v>935</v>
      </c>
      <c r="C15" s="60" t="s">
        <v>271</v>
      </c>
      <c r="D15" s="52" t="s">
        <v>100</v>
      </c>
    </row>
    <row r="16" customFormat="false" ht="15" hidden="false" customHeight="false" outlineLevel="0" collapsed="false">
      <c r="A16" s="60" t="s">
        <v>917</v>
      </c>
      <c r="B16" s="60" t="s">
        <v>936</v>
      </c>
      <c r="C16" s="60" t="s">
        <v>937</v>
      </c>
      <c r="D16" s="52" t="s">
        <v>229</v>
      </c>
    </row>
    <row r="17" customFormat="false" ht="15" hidden="false" customHeight="false" outlineLevel="0" collapsed="false">
      <c r="A17" s="60" t="s">
        <v>917</v>
      </c>
      <c r="B17" s="60" t="s">
        <v>938</v>
      </c>
      <c r="C17" s="60" t="s">
        <v>939</v>
      </c>
      <c r="D17" s="52" t="s">
        <v>230</v>
      </c>
    </row>
    <row r="18" customFormat="false" ht="15" hidden="false" customHeight="false" outlineLevel="0" collapsed="false">
      <c r="A18" s="60" t="s">
        <v>917</v>
      </c>
      <c r="B18" s="60" t="s">
        <v>940</v>
      </c>
      <c r="C18" s="60" t="s">
        <v>278</v>
      </c>
      <c r="D18" s="52" t="s">
        <v>100</v>
      </c>
    </row>
    <row r="19" customFormat="false" ht="15" hidden="false" customHeight="false" outlineLevel="0" collapsed="false">
      <c r="A19" s="60" t="s">
        <v>917</v>
      </c>
      <c r="B19" s="60" t="s">
        <v>941</v>
      </c>
      <c r="C19" s="60" t="s">
        <v>942</v>
      </c>
      <c r="D19" s="52" t="s">
        <v>229</v>
      </c>
    </row>
    <row r="20" customFormat="false" ht="15" hidden="false" customHeight="false" outlineLevel="0" collapsed="false">
      <c r="A20" s="60" t="s">
        <v>917</v>
      </c>
      <c r="B20" s="60" t="s">
        <v>943</v>
      </c>
      <c r="C20" s="60" t="s">
        <v>944</v>
      </c>
      <c r="D20" s="52" t="s">
        <v>230</v>
      </c>
    </row>
    <row r="21" customFormat="false" ht="15" hidden="false" customHeight="false" outlineLevel="0" collapsed="false">
      <c r="A21" s="60" t="s">
        <v>917</v>
      </c>
      <c r="B21" s="60" t="s">
        <v>945</v>
      </c>
      <c r="C21" s="60" t="s">
        <v>283</v>
      </c>
      <c r="D21" s="52" t="s">
        <v>100</v>
      </c>
    </row>
    <row r="22" customFormat="false" ht="15" hidden="false" customHeight="false" outlineLevel="0" collapsed="false">
      <c r="A22" s="60" t="s">
        <v>917</v>
      </c>
      <c r="B22" s="60" t="s">
        <v>946</v>
      </c>
      <c r="C22" s="60" t="s">
        <v>947</v>
      </c>
      <c r="D22" s="52" t="s">
        <v>229</v>
      </c>
    </row>
    <row r="23" customFormat="false" ht="15" hidden="false" customHeight="false" outlineLevel="0" collapsed="false">
      <c r="A23" s="60" t="s">
        <v>917</v>
      </c>
      <c r="B23" s="60" t="s">
        <v>948</v>
      </c>
      <c r="C23" s="60" t="s">
        <v>949</v>
      </c>
      <c r="D23" s="52" t="s">
        <v>230</v>
      </c>
    </row>
    <row r="24" customFormat="false" ht="15" hidden="false" customHeight="false" outlineLevel="0" collapsed="false">
      <c r="A24" s="60" t="s">
        <v>917</v>
      </c>
      <c r="B24" s="60" t="s">
        <v>950</v>
      </c>
      <c r="C24" s="60" t="s">
        <v>288</v>
      </c>
      <c r="D24" s="52" t="s">
        <v>100</v>
      </c>
    </row>
    <row r="25" customFormat="false" ht="15" hidden="false" customHeight="false" outlineLevel="0" collapsed="false">
      <c r="A25" s="60" t="s">
        <v>917</v>
      </c>
      <c r="B25" s="60" t="s">
        <v>951</v>
      </c>
      <c r="C25" s="60" t="s">
        <v>292</v>
      </c>
      <c r="D25" s="52" t="s">
        <v>100</v>
      </c>
    </row>
    <row r="26" customFormat="false" ht="15" hidden="false" customHeight="false" outlineLevel="0" collapsed="false">
      <c r="A26" s="60" t="s">
        <v>917</v>
      </c>
      <c r="B26" s="60" t="s">
        <v>952</v>
      </c>
      <c r="C26" s="60" t="s">
        <v>296</v>
      </c>
      <c r="D26" s="52" t="s">
        <v>100</v>
      </c>
    </row>
    <row r="27" customFormat="false" ht="15" hidden="false" customHeight="false" outlineLevel="0" collapsed="false">
      <c r="A27" s="60" t="s">
        <v>917</v>
      </c>
      <c r="B27" s="60" t="s">
        <v>953</v>
      </c>
      <c r="C27" s="60" t="s">
        <v>301</v>
      </c>
      <c r="D27" s="52" t="s">
        <v>100</v>
      </c>
    </row>
    <row r="28" customFormat="false" ht="15" hidden="false" customHeight="false" outlineLevel="0" collapsed="false">
      <c r="A28" s="60" t="s">
        <v>917</v>
      </c>
      <c r="B28" s="60" t="s">
        <v>954</v>
      </c>
      <c r="C28" s="60" t="s">
        <v>305</v>
      </c>
      <c r="D28" s="52" t="s">
        <v>100</v>
      </c>
    </row>
    <row r="29" customFormat="false" ht="15" hidden="false" customHeight="false" outlineLevel="0" collapsed="false">
      <c r="A29" s="60" t="s">
        <v>917</v>
      </c>
      <c r="B29" s="60" t="s">
        <v>955</v>
      </c>
      <c r="C29" s="60" t="s">
        <v>308</v>
      </c>
      <c r="D29" s="52" t="s">
        <v>100</v>
      </c>
    </row>
    <row r="30" customFormat="false" ht="15" hidden="false" customHeight="false" outlineLevel="0" collapsed="false">
      <c r="A30" s="60" t="s">
        <v>917</v>
      </c>
      <c r="B30" s="60" t="s">
        <v>956</v>
      </c>
      <c r="C30" s="60" t="s">
        <v>957</v>
      </c>
      <c r="D30" s="52" t="s">
        <v>100</v>
      </c>
    </row>
    <row r="31" customFormat="false" ht="15" hidden="false" customHeight="false" outlineLevel="0" collapsed="false">
      <c r="A31" s="60" t="s">
        <v>917</v>
      </c>
      <c r="B31" s="60" t="s">
        <v>958</v>
      </c>
      <c r="C31" s="60" t="s">
        <v>321</v>
      </c>
      <c r="D31" s="52" t="s">
        <v>100</v>
      </c>
    </row>
    <row r="32" customFormat="false" ht="15" hidden="false" customHeight="false" outlineLevel="0" collapsed="false">
      <c r="A32" s="60" t="s">
        <v>917</v>
      </c>
      <c r="B32" s="60" t="s">
        <v>959</v>
      </c>
      <c r="C32" s="60" t="s">
        <v>960</v>
      </c>
      <c r="D32" s="52" t="s">
        <v>229</v>
      </c>
    </row>
    <row r="33" customFormat="false" ht="15" hidden="false" customHeight="false" outlineLevel="0" collapsed="false">
      <c r="A33" s="60" t="s">
        <v>917</v>
      </c>
      <c r="B33" s="60" t="s">
        <v>961</v>
      </c>
      <c r="C33" s="60" t="s">
        <v>962</v>
      </c>
      <c r="D33" s="52" t="s">
        <v>230</v>
      </c>
    </row>
    <row r="34" customFormat="false" ht="15" hidden="false" customHeight="false" outlineLevel="0" collapsed="false">
      <c r="A34" s="60" t="s">
        <v>917</v>
      </c>
      <c r="B34" s="60" t="s">
        <v>963</v>
      </c>
      <c r="C34" s="60" t="s">
        <v>964</v>
      </c>
      <c r="D34" s="52" t="s">
        <v>100</v>
      </c>
    </row>
    <row r="35" customFormat="false" ht="15" hidden="false" customHeight="false" outlineLevel="0" collapsed="false">
      <c r="A35" s="60" t="s">
        <v>917</v>
      </c>
      <c r="B35" s="60" t="s">
        <v>965</v>
      </c>
      <c r="C35" s="60" t="s">
        <v>331</v>
      </c>
      <c r="D35" s="52" t="s">
        <v>100</v>
      </c>
    </row>
    <row r="36" customFormat="false" ht="15" hidden="false" customHeight="false" outlineLevel="0" collapsed="false">
      <c r="A36" s="60" t="s">
        <v>917</v>
      </c>
      <c r="B36" s="60" t="s">
        <v>966</v>
      </c>
      <c r="C36" s="60" t="s">
        <v>967</v>
      </c>
      <c r="D36" s="52" t="s">
        <v>100</v>
      </c>
    </row>
    <row r="37" customFormat="false" ht="15" hidden="false" customHeight="false" outlineLevel="0" collapsed="false">
      <c r="A37" s="60" t="s">
        <v>917</v>
      </c>
      <c r="B37" s="60" t="s">
        <v>968</v>
      </c>
      <c r="C37" s="60" t="s">
        <v>342</v>
      </c>
      <c r="D37" s="52" t="s">
        <v>100</v>
      </c>
    </row>
    <row r="38" customFormat="false" ht="15" hidden="false" customHeight="false" outlineLevel="0" collapsed="false">
      <c r="A38" s="60" t="s">
        <v>917</v>
      </c>
      <c r="B38" s="60" t="s">
        <v>969</v>
      </c>
      <c r="C38" s="60" t="s">
        <v>346</v>
      </c>
      <c r="D38" s="52" t="s">
        <v>100</v>
      </c>
    </row>
    <row r="39" customFormat="false" ht="15" hidden="false" customHeight="false" outlineLevel="0" collapsed="false">
      <c r="A39" s="60" t="s">
        <v>917</v>
      </c>
      <c r="B39" s="60" t="s">
        <v>970</v>
      </c>
      <c r="C39" s="60" t="s">
        <v>350</v>
      </c>
      <c r="D39" s="52" t="s">
        <v>100</v>
      </c>
    </row>
    <row r="40" customFormat="false" ht="15" hidden="false" customHeight="false" outlineLevel="0" collapsed="false">
      <c r="A40" s="60" t="s">
        <v>917</v>
      </c>
      <c r="B40" s="60" t="s">
        <v>971</v>
      </c>
      <c r="C40" s="60" t="s">
        <v>354</v>
      </c>
      <c r="D40" s="52" t="s">
        <v>100</v>
      </c>
    </row>
    <row r="41" customFormat="false" ht="15" hidden="false" customHeight="false" outlineLevel="0" collapsed="false">
      <c r="A41" s="60" t="s">
        <v>917</v>
      </c>
      <c r="B41" s="60" t="s">
        <v>972</v>
      </c>
      <c r="C41" s="60" t="s">
        <v>973</v>
      </c>
      <c r="D41" s="52" t="s">
        <v>229</v>
      </c>
    </row>
    <row r="42" customFormat="false" ht="15" hidden="false" customHeight="false" outlineLevel="0" collapsed="false">
      <c r="A42" s="60" t="s">
        <v>917</v>
      </c>
      <c r="B42" s="60" t="s">
        <v>974</v>
      </c>
      <c r="C42" s="60" t="s">
        <v>975</v>
      </c>
      <c r="D42" s="52" t="s">
        <v>230</v>
      </c>
    </row>
    <row r="43" customFormat="false" ht="15" hidden="false" customHeight="false" outlineLevel="0" collapsed="false">
      <c r="A43" s="60" t="s">
        <v>917</v>
      </c>
      <c r="B43" s="60" t="s">
        <v>976</v>
      </c>
      <c r="C43" s="60" t="s">
        <v>359</v>
      </c>
      <c r="D43" s="52" t="s">
        <v>100</v>
      </c>
    </row>
    <row r="44" customFormat="false" ht="15" hidden="false" customHeight="false" outlineLevel="0" collapsed="false">
      <c r="A44" s="60" t="s">
        <v>917</v>
      </c>
      <c r="B44" s="60" t="s">
        <v>977</v>
      </c>
      <c r="C44" s="60" t="s">
        <v>978</v>
      </c>
      <c r="D44" s="52" t="s">
        <v>229</v>
      </c>
    </row>
    <row r="45" customFormat="false" ht="15" hidden="false" customHeight="false" outlineLevel="0" collapsed="false">
      <c r="A45" s="60" t="s">
        <v>917</v>
      </c>
      <c r="B45" s="60" t="s">
        <v>979</v>
      </c>
      <c r="C45" s="60" t="s">
        <v>980</v>
      </c>
      <c r="D45" s="52" t="s">
        <v>230</v>
      </c>
    </row>
    <row r="46" customFormat="false" ht="15" hidden="false" customHeight="false" outlineLevel="0" collapsed="false">
      <c r="A46" s="60" t="s">
        <v>917</v>
      </c>
      <c r="B46" s="60" t="s">
        <v>981</v>
      </c>
      <c r="C46" s="60" t="s">
        <v>364</v>
      </c>
      <c r="D46" s="52" t="s">
        <v>100</v>
      </c>
    </row>
    <row r="47" customFormat="false" ht="15" hidden="false" customHeight="false" outlineLevel="0" collapsed="false">
      <c r="A47" s="60" t="s">
        <v>917</v>
      </c>
      <c r="B47" s="60" t="s">
        <v>982</v>
      </c>
      <c r="C47" s="60" t="s">
        <v>983</v>
      </c>
      <c r="D47" s="52" t="s">
        <v>229</v>
      </c>
    </row>
    <row r="48" customFormat="false" ht="15" hidden="false" customHeight="false" outlineLevel="0" collapsed="false">
      <c r="A48" s="60" t="s">
        <v>917</v>
      </c>
      <c r="B48" s="60" t="s">
        <v>984</v>
      </c>
      <c r="C48" s="60" t="s">
        <v>985</v>
      </c>
      <c r="D48" s="52" t="s">
        <v>230</v>
      </c>
    </row>
    <row r="49" customFormat="false" ht="15" hidden="false" customHeight="false" outlineLevel="0" collapsed="false">
      <c r="A49" s="60" t="s">
        <v>917</v>
      </c>
      <c r="B49" s="60" t="s">
        <v>986</v>
      </c>
      <c r="C49" s="60" t="s">
        <v>369</v>
      </c>
      <c r="D49" s="52" t="s">
        <v>100</v>
      </c>
    </row>
    <row r="50" customFormat="false" ht="15" hidden="false" customHeight="false" outlineLevel="0" collapsed="false">
      <c r="A50" s="60" t="s">
        <v>917</v>
      </c>
      <c r="B50" s="60" t="s">
        <v>987</v>
      </c>
      <c r="C50" s="60" t="s">
        <v>988</v>
      </c>
      <c r="D50" s="52" t="s">
        <v>229</v>
      </c>
    </row>
    <row r="51" customFormat="false" ht="15" hidden="false" customHeight="false" outlineLevel="0" collapsed="false">
      <c r="A51" s="60" t="s">
        <v>917</v>
      </c>
      <c r="B51" s="60" t="s">
        <v>989</v>
      </c>
      <c r="C51" s="60" t="s">
        <v>990</v>
      </c>
      <c r="D51" s="52" t="s">
        <v>230</v>
      </c>
    </row>
    <row r="52" customFormat="false" ht="15" hidden="false" customHeight="false" outlineLevel="0" collapsed="false">
      <c r="A52" s="60" t="s">
        <v>917</v>
      </c>
      <c r="B52" s="60" t="s">
        <v>991</v>
      </c>
      <c r="C52" s="60" t="s">
        <v>377</v>
      </c>
      <c r="D52" s="52" t="s">
        <v>100</v>
      </c>
    </row>
    <row r="53" customFormat="false" ht="15" hidden="false" customHeight="false" outlineLevel="0" collapsed="false">
      <c r="A53" s="60" t="s">
        <v>917</v>
      </c>
      <c r="B53" s="60" t="s">
        <v>992</v>
      </c>
      <c r="C53" s="60" t="s">
        <v>382</v>
      </c>
      <c r="D53" s="52" t="s">
        <v>100</v>
      </c>
    </row>
    <row r="54" customFormat="false" ht="15" hidden="false" customHeight="false" outlineLevel="0" collapsed="false">
      <c r="A54" s="60" t="s">
        <v>917</v>
      </c>
      <c r="B54" s="60" t="s">
        <v>993</v>
      </c>
      <c r="C54" s="60" t="s">
        <v>387</v>
      </c>
      <c r="D54" s="52" t="s">
        <v>100</v>
      </c>
    </row>
    <row r="55" customFormat="false" ht="15" hidden="false" customHeight="false" outlineLevel="0" collapsed="false">
      <c r="A55" s="60" t="s">
        <v>917</v>
      </c>
      <c r="B55" s="60" t="s">
        <v>994</v>
      </c>
      <c r="C55" s="60" t="s">
        <v>392</v>
      </c>
      <c r="D55" s="52" t="s">
        <v>100</v>
      </c>
    </row>
    <row r="56" customFormat="false" ht="15" hidden="false" customHeight="false" outlineLevel="0" collapsed="false">
      <c r="A56" s="60" t="s">
        <v>917</v>
      </c>
      <c r="B56" s="60" t="s">
        <v>995</v>
      </c>
      <c r="C56" s="60" t="s">
        <v>397</v>
      </c>
      <c r="D56" s="52" t="s">
        <v>100</v>
      </c>
    </row>
    <row r="57" customFormat="false" ht="15" hidden="false" customHeight="false" outlineLevel="0" collapsed="false">
      <c r="A57" s="60" t="s">
        <v>917</v>
      </c>
      <c r="B57" s="60" t="s">
        <v>996</v>
      </c>
      <c r="C57" s="60" t="s">
        <v>401</v>
      </c>
      <c r="D57" s="52" t="s">
        <v>100</v>
      </c>
    </row>
    <row r="58" customFormat="false" ht="15" hidden="false" customHeight="false" outlineLevel="0" collapsed="false">
      <c r="A58" s="60" t="s">
        <v>917</v>
      </c>
      <c r="B58" s="60" t="s">
        <v>997</v>
      </c>
      <c r="C58" s="60" t="s">
        <v>405</v>
      </c>
      <c r="D58" s="52" t="s">
        <v>100</v>
      </c>
    </row>
    <row r="59" customFormat="false" ht="15" hidden="false" customHeight="false" outlineLevel="0" collapsed="false">
      <c r="A59" s="60" t="s">
        <v>917</v>
      </c>
      <c r="B59" s="60" t="s">
        <v>998</v>
      </c>
      <c r="C59" s="60" t="s">
        <v>410</v>
      </c>
      <c r="D59" s="52" t="s">
        <v>100</v>
      </c>
    </row>
    <row r="60" customFormat="false" ht="15" hidden="false" customHeight="false" outlineLevel="0" collapsed="false">
      <c r="A60" s="60" t="s">
        <v>917</v>
      </c>
      <c r="B60" s="60" t="s">
        <v>999</v>
      </c>
      <c r="C60" s="60" t="s">
        <v>414</v>
      </c>
      <c r="D60" s="52" t="s">
        <v>100</v>
      </c>
    </row>
    <row r="61" customFormat="false" ht="15" hidden="false" customHeight="false" outlineLevel="0" collapsed="false">
      <c r="A61" s="60" t="s">
        <v>917</v>
      </c>
      <c r="B61" s="60" t="s">
        <v>1000</v>
      </c>
      <c r="C61" s="60" t="s">
        <v>419</v>
      </c>
      <c r="D61" s="52" t="s">
        <v>100</v>
      </c>
    </row>
    <row r="62" customFormat="false" ht="15" hidden="false" customHeight="false" outlineLevel="0" collapsed="false">
      <c r="A62" s="60" t="s">
        <v>917</v>
      </c>
      <c r="B62" s="60" t="s">
        <v>1001</v>
      </c>
      <c r="C62" s="60" t="s">
        <v>1002</v>
      </c>
      <c r="D62" s="52" t="s">
        <v>229</v>
      </c>
    </row>
    <row r="63" customFormat="false" ht="15" hidden="false" customHeight="false" outlineLevel="0" collapsed="false">
      <c r="A63" s="60" t="s">
        <v>917</v>
      </c>
      <c r="B63" s="60" t="s">
        <v>1003</v>
      </c>
      <c r="C63" s="60" t="s">
        <v>1004</v>
      </c>
      <c r="D63" s="52" t="s">
        <v>230</v>
      </c>
    </row>
    <row r="64" customFormat="false" ht="15" hidden="false" customHeight="false" outlineLevel="0" collapsed="false">
      <c r="A64" s="60" t="s">
        <v>917</v>
      </c>
      <c r="B64" s="60" t="s">
        <v>1005</v>
      </c>
      <c r="C64" s="60" t="s">
        <v>424</v>
      </c>
      <c r="D64" s="52" t="s">
        <v>100</v>
      </c>
    </row>
    <row r="65" customFormat="false" ht="15" hidden="false" customHeight="false" outlineLevel="0" collapsed="false">
      <c r="A65" s="60" t="s">
        <v>917</v>
      </c>
      <c r="B65" s="60" t="s">
        <v>1006</v>
      </c>
      <c r="C65" s="60" t="s">
        <v>1007</v>
      </c>
      <c r="D65" s="52" t="s">
        <v>229</v>
      </c>
    </row>
    <row r="66" customFormat="false" ht="15" hidden="false" customHeight="false" outlineLevel="0" collapsed="false">
      <c r="A66" s="60" t="s">
        <v>917</v>
      </c>
      <c r="B66" s="60" t="s">
        <v>1008</v>
      </c>
      <c r="C66" s="60" t="s">
        <v>1009</v>
      </c>
      <c r="D66" s="52" t="s">
        <v>230</v>
      </c>
    </row>
    <row r="67" customFormat="false" ht="15" hidden="false" customHeight="false" outlineLevel="0" collapsed="false">
      <c r="A67" s="60" t="s">
        <v>917</v>
      </c>
      <c r="B67" s="60" t="s">
        <v>1010</v>
      </c>
      <c r="C67" s="60" t="s">
        <v>428</v>
      </c>
      <c r="D67" s="52" t="s">
        <v>100</v>
      </c>
    </row>
    <row r="68" customFormat="false" ht="15" hidden="false" customHeight="false" outlineLevel="0" collapsed="false">
      <c r="A68" s="60" t="s">
        <v>917</v>
      </c>
      <c r="B68" s="60" t="s">
        <v>1011</v>
      </c>
      <c r="C68" s="60" t="s">
        <v>1012</v>
      </c>
      <c r="D68" s="52" t="s">
        <v>229</v>
      </c>
    </row>
    <row r="69" customFormat="false" ht="15" hidden="false" customHeight="false" outlineLevel="0" collapsed="false">
      <c r="A69" s="60" t="s">
        <v>917</v>
      </c>
      <c r="B69" s="60" t="s">
        <v>1013</v>
      </c>
      <c r="C69" s="60" t="s">
        <v>1014</v>
      </c>
      <c r="D69" s="52" t="s">
        <v>230</v>
      </c>
    </row>
    <row r="70" customFormat="false" ht="15" hidden="false" customHeight="false" outlineLevel="0" collapsed="false">
      <c r="A70" s="60" t="s">
        <v>917</v>
      </c>
      <c r="B70" s="60" t="s">
        <v>1015</v>
      </c>
      <c r="C70" s="60" t="s">
        <v>432</v>
      </c>
      <c r="D70" s="52" t="s">
        <v>100</v>
      </c>
    </row>
    <row r="71" customFormat="false" ht="15" hidden="false" customHeight="false" outlineLevel="0" collapsed="false">
      <c r="A71" s="60" t="s">
        <v>917</v>
      </c>
      <c r="B71" s="60" t="s">
        <v>1016</v>
      </c>
      <c r="C71" s="60" t="s">
        <v>1017</v>
      </c>
      <c r="D71" s="52" t="s">
        <v>229</v>
      </c>
    </row>
    <row r="72" customFormat="false" ht="15" hidden="false" customHeight="false" outlineLevel="0" collapsed="false">
      <c r="A72" s="60" t="s">
        <v>917</v>
      </c>
      <c r="B72" s="60" t="s">
        <v>1018</v>
      </c>
      <c r="C72" s="60" t="s">
        <v>1019</v>
      </c>
      <c r="D72" s="52" t="s">
        <v>230</v>
      </c>
    </row>
    <row r="73" customFormat="false" ht="15" hidden="false" customHeight="false" outlineLevel="0" collapsed="false">
      <c r="A73" s="60" t="s">
        <v>917</v>
      </c>
      <c r="B73" s="60" t="s">
        <v>1020</v>
      </c>
      <c r="C73" s="60" t="s">
        <v>436</v>
      </c>
      <c r="D73" s="52" t="s">
        <v>100</v>
      </c>
    </row>
    <row r="74" customFormat="false" ht="15" hidden="false" customHeight="false" outlineLevel="0" collapsed="false">
      <c r="A74" s="60" t="s">
        <v>917</v>
      </c>
      <c r="B74" s="60" t="s">
        <v>1021</v>
      </c>
      <c r="C74" s="60" t="s">
        <v>1022</v>
      </c>
      <c r="D74" s="52" t="s">
        <v>229</v>
      </c>
    </row>
    <row r="75" customFormat="false" ht="15" hidden="false" customHeight="false" outlineLevel="0" collapsed="false">
      <c r="A75" s="60" t="s">
        <v>917</v>
      </c>
      <c r="B75" s="60" t="s">
        <v>1023</v>
      </c>
      <c r="C75" s="60" t="s">
        <v>1024</v>
      </c>
      <c r="D75" s="52" t="s">
        <v>230</v>
      </c>
    </row>
    <row r="76" customFormat="false" ht="15" hidden="false" customHeight="false" outlineLevel="0" collapsed="false">
      <c r="A76" s="60" t="s">
        <v>917</v>
      </c>
      <c r="B76" s="60" t="s">
        <v>1025</v>
      </c>
      <c r="C76" s="60" t="s">
        <v>440</v>
      </c>
      <c r="D76" s="52" t="s">
        <v>100</v>
      </c>
    </row>
    <row r="77" customFormat="false" ht="15" hidden="false" customHeight="false" outlineLevel="0" collapsed="false">
      <c r="A77" s="60" t="s">
        <v>917</v>
      </c>
      <c r="B77" s="60" t="s">
        <v>1026</v>
      </c>
      <c r="C77" s="60" t="s">
        <v>1027</v>
      </c>
      <c r="D77" s="52" t="s">
        <v>229</v>
      </c>
    </row>
    <row r="78" customFormat="false" ht="15" hidden="false" customHeight="false" outlineLevel="0" collapsed="false">
      <c r="A78" s="60" t="s">
        <v>917</v>
      </c>
      <c r="B78" s="60" t="s">
        <v>1028</v>
      </c>
      <c r="C78" s="60" t="s">
        <v>1029</v>
      </c>
      <c r="D78" s="52" t="s">
        <v>230</v>
      </c>
    </row>
    <row r="79" customFormat="false" ht="15" hidden="false" customHeight="false" outlineLevel="0" collapsed="false">
      <c r="A79" s="60" t="s">
        <v>917</v>
      </c>
      <c r="B79" s="60" t="s">
        <v>1030</v>
      </c>
      <c r="C79" s="60" t="s">
        <v>444</v>
      </c>
      <c r="D79" s="52" t="s">
        <v>100</v>
      </c>
    </row>
    <row r="80" customFormat="false" ht="15" hidden="false" customHeight="false" outlineLevel="0" collapsed="false">
      <c r="A80" s="60" t="s">
        <v>917</v>
      </c>
      <c r="B80" s="60" t="s">
        <v>1031</v>
      </c>
      <c r="C80" s="60" t="s">
        <v>1032</v>
      </c>
      <c r="D80" s="52" t="s">
        <v>229</v>
      </c>
    </row>
    <row r="81" customFormat="false" ht="15" hidden="false" customHeight="false" outlineLevel="0" collapsed="false">
      <c r="A81" s="60" t="s">
        <v>917</v>
      </c>
      <c r="B81" s="60" t="s">
        <v>1033</v>
      </c>
      <c r="C81" s="60" t="s">
        <v>1034</v>
      </c>
      <c r="D81" s="52" t="s">
        <v>230</v>
      </c>
    </row>
    <row r="82" customFormat="false" ht="15" hidden="false" customHeight="false" outlineLevel="0" collapsed="false">
      <c r="A82" s="60" t="s">
        <v>917</v>
      </c>
      <c r="B82" s="60" t="s">
        <v>1035</v>
      </c>
      <c r="C82" s="60" t="s">
        <v>449</v>
      </c>
      <c r="D82" s="52" t="s">
        <v>100</v>
      </c>
    </row>
    <row r="83" customFormat="false" ht="15" hidden="false" customHeight="false" outlineLevel="0" collapsed="false">
      <c r="A83" s="60" t="s">
        <v>917</v>
      </c>
      <c r="B83" s="60" t="s">
        <v>1036</v>
      </c>
      <c r="C83" s="60" t="s">
        <v>453</v>
      </c>
      <c r="D83" s="52" t="s">
        <v>100</v>
      </c>
    </row>
    <row r="84" customFormat="false" ht="15" hidden="false" customHeight="false" outlineLevel="0" collapsed="false">
      <c r="A84" s="60" t="s">
        <v>917</v>
      </c>
      <c r="B84" s="60" t="s">
        <v>1037</v>
      </c>
      <c r="C84" s="60" t="s">
        <v>457</v>
      </c>
      <c r="D84" s="52" t="s">
        <v>100</v>
      </c>
    </row>
    <row r="85" customFormat="false" ht="15" hidden="false" customHeight="false" outlineLevel="0" collapsed="false">
      <c r="A85" s="60" t="s">
        <v>917</v>
      </c>
      <c r="B85" s="60" t="s">
        <v>1038</v>
      </c>
      <c r="C85" s="60" t="s">
        <v>461</v>
      </c>
      <c r="D85" s="52" t="s">
        <v>100</v>
      </c>
    </row>
    <row r="86" customFormat="false" ht="15" hidden="false" customHeight="false" outlineLevel="0" collapsed="false">
      <c r="A86" s="60" t="s">
        <v>917</v>
      </c>
      <c r="B86" s="60" t="s">
        <v>1039</v>
      </c>
      <c r="C86" s="60" t="s">
        <v>1040</v>
      </c>
      <c r="D86" s="52" t="s">
        <v>229</v>
      </c>
    </row>
    <row r="87" customFormat="false" ht="15" hidden="false" customHeight="false" outlineLevel="0" collapsed="false">
      <c r="A87" s="60" t="s">
        <v>917</v>
      </c>
      <c r="B87" s="60" t="s">
        <v>1041</v>
      </c>
      <c r="C87" s="60" t="s">
        <v>1042</v>
      </c>
      <c r="D87" s="52" t="s">
        <v>230</v>
      </c>
    </row>
    <row r="88" customFormat="false" ht="15" hidden="false" customHeight="false" outlineLevel="0" collapsed="false">
      <c r="A88" s="60" t="s">
        <v>917</v>
      </c>
      <c r="B88" s="60" t="s">
        <v>1043</v>
      </c>
      <c r="C88" s="60" t="s">
        <v>466</v>
      </c>
      <c r="D88" s="52" t="s">
        <v>100</v>
      </c>
    </row>
    <row r="89" customFormat="false" ht="15" hidden="false" customHeight="false" outlineLevel="0" collapsed="false">
      <c r="A89" s="60" t="s">
        <v>917</v>
      </c>
      <c r="B89" s="60" t="s">
        <v>1044</v>
      </c>
      <c r="C89" s="60" t="s">
        <v>1045</v>
      </c>
      <c r="D89" s="52" t="s">
        <v>229</v>
      </c>
    </row>
    <row r="90" customFormat="false" ht="15" hidden="false" customHeight="false" outlineLevel="0" collapsed="false">
      <c r="A90" s="60" t="s">
        <v>917</v>
      </c>
      <c r="B90" s="60" t="s">
        <v>1046</v>
      </c>
      <c r="C90" s="60" t="s">
        <v>1047</v>
      </c>
      <c r="D90" s="52" t="s">
        <v>230</v>
      </c>
    </row>
    <row r="91" customFormat="false" ht="15" hidden="false" customHeight="false" outlineLevel="0" collapsed="false">
      <c r="A91" s="60" t="s">
        <v>917</v>
      </c>
      <c r="B91" s="60" t="s">
        <v>1048</v>
      </c>
      <c r="C91" s="60" t="s">
        <v>471</v>
      </c>
      <c r="D91" s="52" t="s">
        <v>100</v>
      </c>
    </row>
    <row r="92" customFormat="false" ht="15" hidden="false" customHeight="false" outlineLevel="0" collapsed="false">
      <c r="A92" s="60" t="s">
        <v>917</v>
      </c>
      <c r="B92" s="60" t="s">
        <v>1049</v>
      </c>
      <c r="C92" s="60" t="s">
        <v>475</v>
      </c>
      <c r="D92" s="52" t="s">
        <v>100</v>
      </c>
    </row>
    <row r="93" customFormat="false" ht="15" hidden="false" customHeight="false" outlineLevel="0" collapsed="false">
      <c r="A93" s="60" t="s">
        <v>917</v>
      </c>
      <c r="B93" s="60" t="s">
        <v>1050</v>
      </c>
      <c r="C93" s="60" t="s">
        <v>478</v>
      </c>
      <c r="D93" s="52" t="s">
        <v>100</v>
      </c>
    </row>
    <row r="94" customFormat="false" ht="15" hidden="false" customHeight="false" outlineLevel="0" collapsed="false">
      <c r="A94" s="60" t="s">
        <v>917</v>
      </c>
      <c r="B94" s="60" t="s">
        <v>1051</v>
      </c>
      <c r="C94" s="60" t="s">
        <v>483</v>
      </c>
      <c r="D94" s="52" t="s">
        <v>100</v>
      </c>
    </row>
    <row r="95" customFormat="false" ht="15" hidden="false" customHeight="false" outlineLevel="0" collapsed="false">
      <c r="A95" s="60" t="s">
        <v>917</v>
      </c>
      <c r="B95" s="60" t="s">
        <v>1052</v>
      </c>
      <c r="C95" s="60" t="s">
        <v>1053</v>
      </c>
      <c r="D95" s="52" t="s">
        <v>229</v>
      </c>
    </row>
    <row r="96" customFormat="false" ht="15" hidden="false" customHeight="false" outlineLevel="0" collapsed="false">
      <c r="A96" s="60" t="s">
        <v>917</v>
      </c>
      <c r="B96" s="60" t="s">
        <v>1054</v>
      </c>
      <c r="C96" s="60" t="s">
        <v>1055</v>
      </c>
      <c r="D96" s="52" t="s">
        <v>230</v>
      </c>
    </row>
    <row r="97" customFormat="false" ht="15" hidden="false" customHeight="false" outlineLevel="0" collapsed="false">
      <c r="A97" s="60" t="s">
        <v>917</v>
      </c>
      <c r="B97" s="60" t="s">
        <v>1056</v>
      </c>
      <c r="C97" s="60" t="s">
        <v>488</v>
      </c>
      <c r="D97" s="52" t="s">
        <v>100</v>
      </c>
    </row>
    <row r="98" customFormat="false" ht="15" hidden="false" customHeight="false" outlineLevel="0" collapsed="false">
      <c r="A98" s="60" t="s">
        <v>917</v>
      </c>
      <c r="B98" s="60" t="s">
        <v>1057</v>
      </c>
      <c r="C98" s="60" t="s">
        <v>1058</v>
      </c>
      <c r="D98" s="52" t="s">
        <v>229</v>
      </c>
    </row>
    <row r="99" customFormat="false" ht="15" hidden="false" customHeight="false" outlineLevel="0" collapsed="false">
      <c r="A99" s="60" t="s">
        <v>917</v>
      </c>
      <c r="B99" s="60" t="s">
        <v>1059</v>
      </c>
      <c r="C99" s="60" t="s">
        <v>1060</v>
      </c>
      <c r="D99" s="52" t="s">
        <v>230</v>
      </c>
    </row>
    <row r="100" customFormat="false" ht="15" hidden="false" customHeight="false" outlineLevel="0" collapsed="false">
      <c r="A100" s="60" t="s">
        <v>917</v>
      </c>
      <c r="B100" s="60" t="s">
        <v>1061</v>
      </c>
      <c r="C100" s="60" t="s">
        <v>492</v>
      </c>
      <c r="D100" s="52" t="s">
        <v>100</v>
      </c>
    </row>
    <row r="101" customFormat="false" ht="15" hidden="false" customHeight="false" outlineLevel="0" collapsed="false">
      <c r="A101" s="60" t="s">
        <v>917</v>
      </c>
      <c r="B101" s="60" t="s">
        <v>1062</v>
      </c>
      <c r="C101" s="60" t="s">
        <v>1063</v>
      </c>
      <c r="D101" s="52" t="s">
        <v>229</v>
      </c>
    </row>
    <row r="102" customFormat="false" ht="15" hidden="false" customHeight="false" outlineLevel="0" collapsed="false">
      <c r="A102" s="60" t="s">
        <v>917</v>
      </c>
      <c r="B102" s="60" t="s">
        <v>1064</v>
      </c>
      <c r="C102" s="60" t="s">
        <v>1065</v>
      </c>
      <c r="D102" s="52" t="s">
        <v>230</v>
      </c>
    </row>
    <row r="103" customFormat="false" ht="15" hidden="false" customHeight="false" outlineLevel="0" collapsed="false">
      <c r="A103" s="60" t="s">
        <v>1066</v>
      </c>
      <c r="B103" s="60" t="s">
        <v>1067</v>
      </c>
      <c r="C103" s="60" t="s">
        <v>1068</v>
      </c>
      <c r="D103" s="52" t="s">
        <v>1069</v>
      </c>
    </row>
    <row r="104" customFormat="false" ht="15" hidden="false" customHeight="false" outlineLevel="0" collapsed="false">
      <c r="A104" s="60" t="s">
        <v>1066</v>
      </c>
      <c r="B104" s="60" t="s">
        <v>1070</v>
      </c>
      <c r="C104" s="60"/>
      <c r="D104" s="52" t="s">
        <v>1071</v>
      </c>
    </row>
    <row r="105" customFormat="false" ht="15" hidden="false" customHeight="false" outlineLevel="0" collapsed="false">
      <c r="A105" s="60" t="s">
        <v>1066</v>
      </c>
      <c r="B105" s="60" t="s">
        <v>1072</v>
      </c>
      <c r="C105" s="60" t="s">
        <v>1073</v>
      </c>
      <c r="D105" s="52" t="s">
        <v>1069</v>
      </c>
    </row>
    <row r="106" customFormat="false" ht="15" hidden="false" customHeight="false" outlineLevel="0" collapsed="false">
      <c r="A106" s="60" t="s">
        <v>1066</v>
      </c>
      <c r="B106" s="60" t="s">
        <v>1074</v>
      </c>
      <c r="C106" s="60"/>
      <c r="D106" s="52" t="s">
        <v>1071</v>
      </c>
    </row>
    <row r="107" customFormat="false" ht="15" hidden="false" customHeight="false" outlineLevel="0" collapsed="false">
      <c r="A107" s="60" t="s">
        <v>1066</v>
      </c>
      <c r="B107" s="60" t="s">
        <v>1075</v>
      </c>
      <c r="C107" s="60" t="s">
        <v>1076</v>
      </c>
      <c r="D107" s="52" t="s">
        <v>1069</v>
      </c>
    </row>
    <row r="108" customFormat="false" ht="15" hidden="false" customHeight="false" outlineLevel="0" collapsed="false">
      <c r="A108" s="60" t="s">
        <v>1066</v>
      </c>
      <c r="B108" s="60" t="s">
        <v>1077</v>
      </c>
      <c r="C108" s="60"/>
      <c r="D108" s="52" t="s">
        <v>1071</v>
      </c>
    </row>
    <row r="109" customFormat="false" ht="15" hidden="false" customHeight="false" outlineLevel="0" collapsed="false">
      <c r="A109" s="60" t="s">
        <v>1066</v>
      </c>
      <c r="B109" s="60" t="s">
        <v>1078</v>
      </c>
      <c r="C109" s="60" t="s">
        <v>256</v>
      </c>
      <c r="D109" s="52" t="s">
        <v>1069</v>
      </c>
    </row>
    <row r="110" customFormat="false" ht="15" hidden="false" customHeight="false" outlineLevel="0" collapsed="false">
      <c r="A110" s="60" t="s">
        <v>1066</v>
      </c>
      <c r="B110" s="60" t="s">
        <v>1079</v>
      </c>
      <c r="C110" s="60"/>
      <c r="D110" s="52" t="s">
        <v>1071</v>
      </c>
    </row>
    <row r="111" customFormat="false" ht="15" hidden="false" customHeight="false" outlineLevel="0" collapsed="false">
      <c r="A111" s="60" t="s">
        <v>1066</v>
      </c>
      <c r="B111" s="60" t="s">
        <v>1080</v>
      </c>
      <c r="C111" s="60" t="s">
        <v>1081</v>
      </c>
      <c r="D111" s="52" t="s">
        <v>1069</v>
      </c>
    </row>
    <row r="112" customFormat="false" ht="15" hidden="false" customHeight="false" outlineLevel="0" collapsed="false">
      <c r="A112" s="60" t="s">
        <v>1066</v>
      </c>
      <c r="B112" s="60" t="s">
        <v>1082</v>
      </c>
      <c r="C112" s="60"/>
      <c r="D112" s="52" t="s">
        <v>1071</v>
      </c>
    </row>
    <row r="113" customFormat="false" ht="15" hidden="false" customHeight="false" outlineLevel="0" collapsed="false">
      <c r="A113" s="60" t="s">
        <v>1066</v>
      </c>
      <c r="B113" s="60" t="s">
        <v>1083</v>
      </c>
      <c r="C113" s="60" t="s">
        <v>261</v>
      </c>
      <c r="D113" s="52" t="s">
        <v>1069</v>
      </c>
    </row>
    <row r="114" customFormat="false" ht="15" hidden="false" customHeight="false" outlineLevel="0" collapsed="false">
      <c r="A114" s="60" t="s">
        <v>1066</v>
      </c>
      <c r="B114" s="60" t="s">
        <v>1084</v>
      </c>
      <c r="C114" s="60"/>
      <c r="D114" s="52" t="s">
        <v>1071</v>
      </c>
    </row>
    <row r="115" customFormat="false" ht="15" hidden="false" customHeight="false" outlineLevel="0" collapsed="false">
      <c r="A115" s="60" t="s">
        <v>1066</v>
      </c>
      <c r="B115" s="60" t="s">
        <v>1085</v>
      </c>
      <c r="C115" s="60" t="s">
        <v>266</v>
      </c>
      <c r="D115" s="52" t="s">
        <v>1069</v>
      </c>
    </row>
    <row r="116" customFormat="false" ht="15" hidden="false" customHeight="false" outlineLevel="0" collapsed="false">
      <c r="A116" s="60" t="s">
        <v>1066</v>
      </c>
      <c r="B116" s="60" t="s">
        <v>1086</v>
      </c>
      <c r="C116" s="60"/>
      <c r="D116" s="52" t="s">
        <v>1071</v>
      </c>
    </row>
    <row r="117" customFormat="false" ht="15" hidden="false" customHeight="false" outlineLevel="0" collapsed="false">
      <c r="A117" s="60" t="s">
        <v>1066</v>
      </c>
      <c r="B117" s="60" t="s">
        <v>1087</v>
      </c>
      <c r="C117" s="60" t="s">
        <v>271</v>
      </c>
      <c r="D117" s="52" t="s">
        <v>1069</v>
      </c>
    </row>
    <row r="118" customFormat="false" ht="15" hidden="false" customHeight="false" outlineLevel="0" collapsed="false">
      <c r="A118" s="60" t="s">
        <v>1066</v>
      </c>
      <c r="B118" s="60" t="s">
        <v>1088</v>
      </c>
      <c r="C118" s="60"/>
      <c r="D118" s="52" t="s">
        <v>1071</v>
      </c>
    </row>
    <row r="119" customFormat="false" ht="15" hidden="false" customHeight="false" outlineLevel="0" collapsed="false">
      <c r="A119" s="60" t="s">
        <v>1066</v>
      </c>
      <c r="B119" s="60" t="s">
        <v>1089</v>
      </c>
      <c r="C119" s="60" t="s">
        <v>1068</v>
      </c>
      <c r="D119" s="52" t="s">
        <v>1069</v>
      </c>
    </row>
    <row r="120" customFormat="false" ht="15" hidden="false" customHeight="false" outlineLevel="0" collapsed="false">
      <c r="A120" s="60" t="s">
        <v>1066</v>
      </c>
      <c r="B120" s="60" t="s">
        <v>1090</v>
      </c>
      <c r="C120" s="60"/>
      <c r="D120" s="52" t="s">
        <v>1071</v>
      </c>
    </row>
    <row r="121" customFormat="false" ht="15" hidden="false" customHeight="false" outlineLevel="0" collapsed="false">
      <c r="A121" s="60" t="s">
        <v>1066</v>
      </c>
      <c r="B121" s="60" t="s">
        <v>1091</v>
      </c>
      <c r="C121" s="60" t="s">
        <v>1092</v>
      </c>
      <c r="D121" s="52" t="s">
        <v>1069</v>
      </c>
    </row>
    <row r="122" customFormat="false" ht="15" hidden="false" customHeight="false" outlineLevel="0" collapsed="false">
      <c r="A122" s="60" t="s">
        <v>1066</v>
      </c>
      <c r="B122" s="60" t="s">
        <v>1093</v>
      </c>
      <c r="C122" s="60"/>
      <c r="D122" s="52" t="s">
        <v>1071</v>
      </c>
    </row>
    <row r="123" customFormat="false" ht="15" hidden="false" customHeight="false" outlineLevel="0" collapsed="false">
      <c r="A123" s="60" t="s">
        <v>1066</v>
      </c>
      <c r="B123" s="60" t="s">
        <v>1094</v>
      </c>
      <c r="C123" s="60" t="s">
        <v>1095</v>
      </c>
      <c r="D123" s="52" t="s">
        <v>1069</v>
      </c>
    </row>
    <row r="124" customFormat="false" ht="15" hidden="false" customHeight="false" outlineLevel="0" collapsed="false">
      <c r="A124" s="60" t="s">
        <v>1066</v>
      </c>
      <c r="B124" s="60" t="s">
        <v>1096</v>
      </c>
      <c r="C124" s="60"/>
      <c r="D124" s="52" t="s">
        <v>1071</v>
      </c>
    </row>
    <row r="125" customFormat="false" ht="15" hidden="false" customHeight="false" outlineLevel="0" collapsed="false">
      <c r="A125" s="60" t="s">
        <v>1066</v>
      </c>
      <c r="B125" s="60" t="s">
        <v>1097</v>
      </c>
      <c r="C125" s="60" t="s">
        <v>1098</v>
      </c>
      <c r="D125" s="52" t="s">
        <v>1069</v>
      </c>
    </row>
    <row r="126" customFormat="false" ht="15" hidden="false" customHeight="false" outlineLevel="0" collapsed="false">
      <c r="A126" s="60" t="s">
        <v>1066</v>
      </c>
      <c r="B126" s="60" t="s">
        <v>1099</v>
      </c>
      <c r="C126" s="60"/>
      <c r="D126" s="52" t="s">
        <v>1071</v>
      </c>
    </row>
    <row r="127" customFormat="false" ht="15" hidden="false" customHeight="false" outlineLevel="0" collapsed="false">
      <c r="A127" s="60" t="s">
        <v>1066</v>
      </c>
      <c r="B127" s="60" t="s">
        <v>1100</v>
      </c>
      <c r="C127" s="60" t="s">
        <v>1101</v>
      </c>
      <c r="D127" s="52" t="s">
        <v>1069</v>
      </c>
    </row>
    <row r="128" customFormat="false" ht="15" hidden="false" customHeight="false" outlineLevel="0" collapsed="false">
      <c r="A128" s="60" t="s">
        <v>1066</v>
      </c>
      <c r="B128" s="60" t="s">
        <v>1102</v>
      </c>
      <c r="C128" s="60"/>
      <c r="D128" s="52" t="s">
        <v>1071</v>
      </c>
    </row>
    <row r="129" customFormat="false" ht="15" hidden="false" customHeight="false" outlineLevel="0" collapsed="false">
      <c r="A129" s="60" t="s">
        <v>1066</v>
      </c>
      <c r="B129" s="60" t="s">
        <v>1103</v>
      </c>
      <c r="C129" s="60" t="s">
        <v>1104</v>
      </c>
      <c r="D129" s="52" t="s">
        <v>1069</v>
      </c>
    </row>
    <row r="130" customFormat="false" ht="15" hidden="false" customHeight="false" outlineLevel="0" collapsed="false">
      <c r="A130" s="60" t="s">
        <v>1066</v>
      </c>
      <c r="B130" s="60" t="s">
        <v>1105</v>
      </c>
      <c r="C130" s="60"/>
      <c r="D130" s="52" t="s">
        <v>1071</v>
      </c>
    </row>
    <row r="131" customFormat="false" ht="15" hidden="false" customHeight="false" outlineLevel="0" collapsed="false">
      <c r="A131" s="60" t="s">
        <v>1066</v>
      </c>
      <c r="B131" s="60" t="s">
        <v>1106</v>
      </c>
      <c r="C131" s="60" t="s">
        <v>1107</v>
      </c>
      <c r="D131" s="52" t="s">
        <v>1069</v>
      </c>
    </row>
    <row r="132" customFormat="false" ht="15" hidden="false" customHeight="false" outlineLevel="0" collapsed="false">
      <c r="A132" s="60" t="s">
        <v>1066</v>
      </c>
      <c r="B132" s="60" t="s">
        <v>1108</v>
      </c>
      <c r="C132" s="60"/>
      <c r="D132" s="52" t="s">
        <v>1071</v>
      </c>
    </row>
    <row r="133" customFormat="false" ht="15" hidden="false" customHeight="false" outlineLevel="0" collapsed="false">
      <c r="A133" s="60" t="s">
        <v>1066</v>
      </c>
      <c r="B133" s="60" t="s">
        <v>1109</v>
      </c>
      <c r="C133" s="60" t="s">
        <v>1110</v>
      </c>
      <c r="D133" s="52" t="s">
        <v>1069</v>
      </c>
    </row>
    <row r="134" customFormat="false" ht="15" hidden="false" customHeight="false" outlineLevel="0" collapsed="false">
      <c r="A134" s="60" t="s">
        <v>1066</v>
      </c>
      <c r="B134" s="60" t="s">
        <v>1111</v>
      </c>
      <c r="C134" s="60"/>
      <c r="D134" s="52" t="s">
        <v>1071</v>
      </c>
    </row>
    <row r="135" customFormat="false" ht="15" hidden="false" customHeight="false" outlineLevel="0" collapsed="false">
      <c r="A135" s="60" t="s">
        <v>1066</v>
      </c>
      <c r="B135" s="60" t="s">
        <v>1112</v>
      </c>
      <c r="C135" s="60" t="s">
        <v>967</v>
      </c>
      <c r="D135" s="52" t="s">
        <v>1069</v>
      </c>
    </row>
    <row r="136" customFormat="false" ht="15" hidden="false" customHeight="false" outlineLevel="0" collapsed="false">
      <c r="A136" s="60" t="s">
        <v>1066</v>
      </c>
      <c r="B136" s="60" t="s">
        <v>1113</v>
      </c>
      <c r="C136" s="60"/>
      <c r="D136" s="52" t="s">
        <v>1071</v>
      </c>
    </row>
    <row r="137" customFormat="false" ht="15" hidden="false" customHeight="false" outlineLevel="0" collapsed="false">
      <c r="A137" s="60" t="s">
        <v>1066</v>
      </c>
      <c r="B137" s="60" t="s">
        <v>1114</v>
      </c>
      <c r="C137" s="60" t="s">
        <v>342</v>
      </c>
      <c r="D137" s="52" t="s">
        <v>1069</v>
      </c>
    </row>
    <row r="138" customFormat="false" ht="15" hidden="false" customHeight="false" outlineLevel="0" collapsed="false">
      <c r="A138" s="60" t="s">
        <v>1066</v>
      </c>
      <c r="B138" s="60" t="s">
        <v>1115</v>
      </c>
      <c r="C138" s="60"/>
      <c r="D138" s="52" t="s">
        <v>1071</v>
      </c>
    </row>
    <row r="139" customFormat="false" ht="15" hidden="false" customHeight="false" outlineLevel="0" collapsed="false">
      <c r="A139" s="60" t="s">
        <v>1066</v>
      </c>
      <c r="B139" s="60" t="s">
        <v>1116</v>
      </c>
      <c r="C139" s="60" t="s">
        <v>346</v>
      </c>
      <c r="D139" s="52" t="s">
        <v>1069</v>
      </c>
    </row>
    <row r="140" customFormat="false" ht="15" hidden="false" customHeight="false" outlineLevel="0" collapsed="false">
      <c r="A140" s="60" t="s">
        <v>1066</v>
      </c>
      <c r="B140" s="60" t="s">
        <v>1117</v>
      </c>
      <c r="C140" s="60"/>
      <c r="D140" s="52" t="s">
        <v>1071</v>
      </c>
    </row>
    <row r="141" customFormat="false" ht="15" hidden="false" customHeight="false" outlineLevel="0" collapsed="false">
      <c r="A141" s="60" t="s">
        <v>1066</v>
      </c>
      <c r="B141" s="60" t="s">
        <v>1118</v>
      </c>
      <c r="C141" s="60" t="s">
        <v>350</v>
      </c>
      <c r="D141" s="52" t="s">
        <v>1069</v>
      </c>
    </row>
    <row r="142" customFormat="false" ht="15" hidden="false" customHeight="false" outlineLevel="0" collapsed="false">
      <c r="A142" s="60" t="s">
        <v>1066</v>
      </c>
      <c r="B142" s="60" t="s">
        <v>1119</v>
      </c>
      <c r="C142" s="60"/>
      <c r="D142" s="52" t="s">
        <v>1071</v>
      </c>
    </row>
    <row r="143" customFormat="false" ht="15" hidden="false" customHeight="false" outlineLevel="0" collapsed="false">
      <c r="A143" s="60" t="s">
        <v>1066</v>
      </c>
      <c r="B143" s="60" t="s">
        <v>1120</v>
      </c>
      <c r="C143" s="60" t="s">
        <v>1121</v>
      </c>
      <c r="D143" s="52" t="s">
        <v>1069</v>
      </c>
    </row>
    <row r="144" customFormat="false" ht="15" hidden="false" customHeight="false" outlineLevel="0" collapsed="false">
      <c r="A144" s="60" t="s">
        <v>1066</v>
      </c>
      <c r="B144" s="60" t="s">
        <v>1122</v>
      </c>
      <c r="C144" s="60"/>
      <c r="D144" s="52" t="s">
        <v>1071</v>
      </c>
    </row>
    <row r="145" customFormat="false" ht="15" hidden="false" customHeight="false" outlineLevel="0" collapsed="false">
      <c r="A145" s="60" t="s">
        <v>1066</v>
      </c>
      <c r="B145" s="60" t="s">
        <v>1123</v>
      </c>
      <c r="C145" s="60" t="s">
        <v>1124</v>
      </c>
      <c r="D145" s="52" t="s">
        <v>1069</v>
      </c>
    </row>
    <row r="146" customFormat="false" ht="15" hidden="false" customHeight="false" outlineLevel="0" collapsed="false">
      <c r="A146" s="60" t="s">
        <v>1066</v>
      </c>
      <c r="B146" s="60" t="s">
        <v>1125</v>
      </c>
      <c r="C146" s="60"/>
      <c r="D146" s="52" t="s">
        <v>1071</v>
      </c>
    </row>
    <row r="147" customFormat="false" ht="15" hidden="false" customHeight="false" outlineLevel="0" collapsed="false">
      <c r="A147" s="60" t="s">
        <v>1066</v>
      </c>
      <c r="B147" s="60" t="s">
        <v>1126</v>
      </c>
      <c r="C147" s="60" t="s">
        <v>1127</v>
      </c>
      <c r="D147" s="52" t="s">
        <v>1069</v>
      </c>
    </row>
    <row r="148" customFormat="false" ht="15" hidden="false" customHeight="false" outlineLevel="0" collapsed="false">
      <c r="A148" s="60" t="s">
        <v>1066</v>
      </c>
      <c r="B148" s="60" t="s">
        <v>1128</v>
      </c>
      <c r="C148" s="60"/>
      <c r="D148" s="52" t="s">
        <v>1071</v>
      </c>
    </row>
    <row r="149" customFormat="false" ht="15" hidden="false" customHeight="false" outlineLevel="0" collapsed="false">
      <c r="A149" s="60" t="s">
        <v>1066</v>
      </c>
      <c r="B149" s="60" t="s">
        <v>1129</v>
      </c>
      <c r="C149" s="60" t="s">
        <v>1130</v>
      </c>
      <c r="D149" s="52" t="s">
        <v>1069</v>
      </c>
    </row>
    <row r="150" customFormat="false" ht="15" hidden="false" customHeight="false" outlineLevel="0" collapsed="false">
      <c r="A150" s="60" t="s">
        <v>1066</v>
      </c>
      <c r="B150" s="60" t="s">
        <v>1131</v>
      </c>
      <c r="C150" s="60"/>
      <c r="D150" s="52" t="s">
        <v>1071</v>
      </c>
    </row>
    <row r="151" customFormat="false" ht="15" hidden="false" customHeight="false" outlineLevel="0" collapsed="false">
      <c r="A151" s="60" t="s">
        <v>1066</v>
      </c>
      <c r="B151" s="60" t="s">
        <v>1132</v>
      </c>
      <c r="C151" s="60" t="s">
        <v>1133</v>
      </c>
      <c r="D151" s="52" t="s">
        <v>1069</v>
      </c>
    </row>
    <row r="152" customFormat="false" ht="15" hidden="false" customHeight="false" outlineLevel="0" collapsed="false">
      <c r="A152" s="60" t="s">
        <v>1066</v>
      </c>
      <c r="B152" s="60" t="s">
        <v>1134</v>
      </c>
      <c r="C152" s="60"/>
      <c r="D152" s="52" t="s">
        <v>1071</v>
      </c>
    </row>
    <row r="153" customFormat="false" ht="15" hidden="false" customHeight="false" outlineLevel="0" collapsed="false">
      <c r="A153" s="60" t="s">
        <v>1066</v>
      </c>
      <c r="B153" s="60" t="s">
        <v>1135</v>
      </c>
      <c r="C153" s="60" t="s">
        <v>1136</v>
      </c>
      <c r="D153" s="52" t="s">
        <v>1069</v>
      </c>
    </row>
    <row r="154" customFormat="false" ht="15" hidden="false" customHeight="false" outlineLevel="0" collapsed="false">
      <c r="A154" s="60" t="s">
        <v>1066</v>
      </c>
      <c r="B154" s="60" t="s">
        <v>1137</v>
      </c>
      <c r="C154" s="60"/>
      <c r="D154" s="52" t="s">
        <v>1071</v>
      </c>
    </row>
    <row r="155" customFormat="false" ht="15" hidden="false" customHeight="false" outlineLevel="0" collapsed="false">
      <c r="A155" s="60" t="s">
        <v>1066</v>
      </c>
      <c r="B155" s="60" t="s">
        <v>1138</v>
      </c>
      <c r="C155" s="60" t="s">
        <v>1139</v>
      </c>
      <c r="D155" s="52" t="s">
        <v>1069</v>
      </c>
    </row>
    <row r="156" customFormat="false" ht="15" hidden="false" customHeight="false" outlineLevel="0" collapsed="false">
      <c r="A156" s="60" t="s">
        <v>1066</v>
      </c>
      <c r="B156" s="60" t="s">
        <v>1140</v>
      </c>
      <c r="C156" s="60"/>
      <c r="D156" s="52" t="s">
        <v>1071</v>
      </c>
    </row>
    <row r="157" customFormat="false" ht="15" hidden="false" customHeight="false" outlineLevel="0" collapsed="false">
      <c r="A157" s="60" t="s">
        <v>1066</v>
      </c>
      <c r="B157" s="60" t="s">
        <v>1141</v>
      </c>
      <c r="C157" s="60" t="s">
        <v>1142</v>
      </c>
      <c r="D157" s="52" t="s">
        <v>1069</v>
      </c>
    </row>
    <row r="158" customFormat="false" ht="15" hidden="false" customHeight="false" outlineLevel="0" collapsed="false">
      <c r="A158" s="60" t="s">
        <v>1066</v>
      </c>
      <c r="B158" s="60" t="s">
        <v>1143</v>
      </c>
      <c r="C158" s="60"/>
      <c r="D158" s="52" t="s">
        <v>1071</v>
      </c>
    </row>
    <row r="159" customFormat="false" ht="15" hidden="false" customHeight="false" outlineLevel="0" collapsed="false">
      <c r="A159" s="60" t="s">
        <v>1066</v>
      </c>
      <c r="B159" s="60" t="s">
        <v>1144</v>
      </c>
      <c r="C159" s="60" t="s">
        <v>1145</v>
      </c>
      <c r="D159" s="52" t="s">
        <v>1069</v>
      </c>
    </row>
    <row r="160" customFormat="false" ht="15" hidden="false" customHeight="false" outlineLevel="0" collapsed="false">
      <c r="A160" s="60" t="s">
        <v>1066</v>
      </c>
      <c r="B160" s="60" t="s">
        <v>1146</v>
      </c>
      <c r="C160" s="60"/>
      <c r="D160" s="52" t="s">
        <v>1071</v>
      </c>
    </row>
    <row r="161" customFormat="false" ht="15" hidden="false" customHeight="false" outlineLevel="0" collapsed="false">
      <c r="A161" s="60" t="s">
        <v>1066</v>
      </c>
      <c r="B161" s="60" t="s">
        <v>1147</v>
      </c>
      <c r="C161" s="60" t="s">
        <v>1148</v>
      </c>
      <c r="D161" s="52" t="s">
        <v>1069</v>
      </c>
    </row>
    <row r="162" customFormat="false" ht="15" hidden="false" customHeight="false" outlineLevel="0" collapsed="false">
      <c r="A162" s="60" t="s">
        <v>1066</v>
      </c>
      <c r="B162" s="60" t="s">
        <v>1149</v>
      </c>
      <c r="C162" s="60"/>
      <c r="D162" s="52" t="s">
        <v>1071</v>
      </c>
    </row>
    <row r="163" customFormat="false" ht="15" hidden="false" customHeight="false" outlineLevel="0" collapsed="false">
      <c r="A163" s="60" t="s">
        <v>1066</v>
      </c>
      <c r="B163" s="60" t="s">
        <v>1150</v>
      </c>
      <c r="C163" s="60" t="s">
        <v>1151</v>
      </c>
      <c r="D163" s="52" t="s">
        <v>1069</v>
      </c>
    </row>
    <row r="164" customFormat="false" ht="15" hidden="false" customHeight="false" outlineLevel="0" collapsed="false">
      <c r="A164" s="60" t="s">
        <v>1066</v>
      </c>
      <c r="B164" s="60" t="s">
        <v>1152</v>
      </c>
      <c r="C164" s="60"/>
      <c r="D164" s="52" t="s">
        <v>1071</v>
      </c>
    </row>
    <row r="165" customFormat="false" ht="15" hidden="false" customHeight="false" outlineLevel="0" collapsed="false">
      <c r="A165" s="60" t="s">
        <v>1066</v>
      </c>
      <c r="B165" s="60" t="s">
        <v>1153</v>
      </c>
      <c r="C165" s="60" t="s">
        <v>1154</v>
      </c>
      <c r="D165" s="52" t="s">
        <v>1069</v>
      </c>
    </row>
    <row r="166" customFormat="false" ht="15" hidden="false" customHeight="false" outlineLevel="0" collapsed="false">
      <c r="A166" s="60" t="s">
        <v>1066</v>
      </c>
      <c r="B166" s="60" t="s">
        <v>1155</v>
      </c>
      <c r="C166" s="60"/>
      <c r="D166" s="52" t="s">
        <v>1071</v>
      </c>
    </row>
    <row r="167" customFormat="false" ht="15" hidden="false" customHeight="false" outlineLevel="0" collapsed="false">
      <c r="A167" s="60" t="s">
        <v>1066</v>
      </c>
      <c r="B167" s="60" t="s">
        <v>1156</v>
      </c>
      <c r="C167" s="60" t="s">
        <v>1157</v>
      </c>
      <c r="D167" s="52" t="s">
        <v>1069</v>
      </c>
    </row>
    <row r="168" customFormat="false" ht="15" hidden="false" customHeight="false" outlineLevel="0" collapsed="false">
      <c r="A168" s="60" t="s">
        <v>1066</v>
      </c>
      <c r="B168" s="60" t="s">
        <v>1158</v>
      </c>
      <c r="C168" s="60"/>
      <c r="D168" s="52" t="s">
        <v>1071</v>
      </c>
    </row>
    <row r="169" customFormat="false" ht="15" hidden="false" customHeight="false" outlineLevel="0" collapsed="false">
      <c r="A169" s="60" t="s">
        <v>1066</v>
      </c>
      <c r="B169" s="60" t="s">
        <v>1159</v>
      </c>
      <c r="C169" s="60" t="s">
        <v>1160</v>
      </c>
      <c r="D169" s="52" t="s">
        <v>1069</v>
      </c>
    </row>
    <row r="170" customFormat="false" ht="15" hidden="false" customHeight="false" outlineLevel="0" collapsed="false">
      <c r="A170" s="60" t="s">
        <v>1066</v>
      </c>
      <c r="B170" s="60" t="s">
        <v>1161</v>
      </c>
      <c r="C170" s="60"/>
      <c r="D170" s="52" t="s">
        <v>1071</v>
      </c>
    </row>
    <row r="171" customFormat="false" ht="15" hidden="false" customHeight="false" outlineLevel="0" collapsed="false">
      <c r="A171" s="60" t="s">
        <v>1066</v>
      </c>
      <c r="B171" s="60" t="s">
        <v>1162</v>
      </c>
      <c r="C171" s="60" t="s">
        <v>1163</v>
      </c>
      <c r="D171" s="52" t="s">
        <v>1069</v>
      </c>
    </row>
    <row r="172" customFormat="false" ht="15" hidden="false" customHeight="false" outlineLevel="0" collapsed="false">
      <c r="A172" s="60" t="s">
        <v>1066</v>
      </c>
      <c r="B172" s="60" t="s">
        <v>1164</v>
      </c>
      <c r="C172" s="60"/>
      <c r="D172" s="52" t="s">
        <v>1071</v>
      </c>
    </row>
    <row r="173" customFormat="false" ht="15" hidden="false" customHeight="false" outlineLevel="0" collapsed="false">
      <c r="A173" s="60" t="s">
        <v>1066</v>
      </c>
      <c r="B173" s="60" t="s">
        <v>1165</v>
      </c>
      <c r="C173" s="60" t="s">
        <v>1166</v>
      </c>
      <c r="D173" s="52" t="s">
        <v>1069</v>
      </c>
    </row>
    <row r="174" customFormat="false" ht="15" hidden="false" customHeight="false" outlineLevel="0" collapsed="false">
      <c r="A174" s="60" t="s">
        <v>1066</v>
      </c>
      <c r="B174" s="60" t="s">
        <v>1167</v>
      </c>
      <c r="C174" s="60"/>
      <c r="D174" s="52" t="s">
        <v>1071</v>
      </c>
    </row>
    <row r="175" customFormat="false" ht="15" hidden="false" customHeight="false" outlineLevel="0" collapsed="false">
      <c r="A175" s="60" t="s">
        <v>1066</v>
      </c>
      <c r="B175" s="60" t="s">
        <v>1168</v>
      </c>
      <c r="C175" s="60" t="s">
        <v>1169</v>
      </c>
      <c r="D175" s="52" t="s">
        <v>1069</v>
      </c>
    </row>
    <row r="176" customFormat="false" ht="15" hidden="false" customHeight="false" outlineLevel="0" collapsed="false">
      <c r="A176" s="60" t="s">
        <v>1066</v>
      </c>
      <c r="B176" s="60" t="s">
        <v>1170</v>
      </c>
      <c r="C176" s="60"/>
      <c r="D176" s="52" t="s">
        <v>1071</v>
      </c>
    </row>
    <row r="177" customFormat="false" ht="15" hidden="false" customHeight="false" outlineLevel="0" collapsed="false">
      <c r="A177" s="60" t="s">
        <v>1066</v>
      </c>
      <c r="B177" s="60" t="s">
        <v>1171</v>
      </c>
      <c r="C177" s="60" t="s">
        <v>1172</v>
      </c>
      <c r="D177" s="52" t="s">
        <v>1069</v>
      </c>
    </row>
    <row r="178" customFormat="false" ht="15" hidden="false" customHeight="false" outlineLevel="0" collapsed="false">
      <c r="A178" s="60" t="s">
        <v>1066</v>
      </c>
      <c r="B178" s="60" t="s">
        <v>1173</v>
      </c>
      <c r="C178" s="60"/>
      <c r="D178" s="52" t="s">
        <v>1071</v>
      </c>
    </row>
    <row r="179" customFormat="false" ht="15" hidden="false" customHeight="false" outlineLevel="0" collapsed="false">
      <c r="A179" s="60" t="s">
        <v>1066</v>
      </c>
      <c r="B179" s="60" t="s">
        <v>1174</v>
      </c>
      <c r="C179" s="60" t="s">
        <v>1175</v>
      </c>
      <c r="D179" s="52" t="s">
        <v>1069</v>
      </c>
    </row>
    <row r="180" customFormat="false" ht="15" hidden="false" customHeight="false" outlineLevel="0" collapsed="false">
      <c r="A180" s="60" t="s">
        <v>1066</v>
      </c>
      <c r="B180" s="60" t="s">
        <v>1176</v>
      </c>
      <c r="C180" s="60"/>
      <c r="D180" s="52" t="s">
        <v>1071</v>
      </c>
    </row>
    <row r="181" customFormat="false" ht="15" hidden="false" customHeight="false" outlineLevel="0" collapsed="false">
      <c r="A181" s="60" t="s">
        <v>1066</v>
      </c>
      <c r="B181" s="60" t="s">
        <v>1177</v>
      </c>
      <c r="C181" s="60" t="s">
        <v>1178</v>
      </c>
      <c r="D181" s="52" t="s">
        <v>1069</v>
      </c>
    </row>
    <row r="182" customFormat="false" ht="15" hidden="false" customHeight="false" outlineLevel="0" collapsed="false">
      <c r="A182" s="60" t="s">
        <v>1066</v>
      </c>
      <c r="B182" s="60" t="s">
        <v>1179</v>
      </c>
      <c r="C182" s="60"/>
      <c r="D182" s="52" t="s">
        <v>1071</v>
      </c>
    </row>
    <row r="183" customFormat="false" ht="15" hidden="false" customHeight="false" outlineLevel="0" collapsed="false">
      <c r="A183" s="60" t="s">
        <v>1066</v>
      </c>
      <c r="B183" s="60" t="s">
        <v>1180</v>
      </c>
      <c r="C183" s="60" t="s">
        <v>1181</v>
      </c>
      <c r="D183" s="52" t="s">
        <v>1069</v>
      </c>
    </row>
    <row r="184" customFormat="false" ht="15" hidden="false" customHeight="false" outlineLevel="0" collapsed="false">
      <c r="A184" s="60" t="s">
        <v>1066</v>
      </c>
      <c r="B184" s="60" t="s">
        <v>1182</v>
      </c>
      <c r="C184" s="60"/>
      <c r="D184" s="52" t="s">
        <v>1071</v>
      </c>
    </row>
    <row r="185" customFormat="false" ht="15" hidden="false" customHeight="false" outlineLevel="0" collapsed="false">
      <c r="A185" s="60" t="s">
        <v>1066</v>
      </c>
      <c r="B185" s="60" t="s">
        <v>1183</v>
      </c>
      <c r="C185" s="60" t="s">
        <v>1181</v>
      </c>
      <c r="D185" s="52" t="s">
        <v>1069</v>
      </c>
    </row>
    <row r="186" customFormat="false" ht="15" hidden="false" customHeight="false" outlineLevel="0" collapsed="false">
      <c r="A186" s="60" t="s">
        <v>1066</v>
      </c>
      <c r="B186" s="60" t="s">
        <v>1184</v>
      </c>
      <c r="C186" s="60"/>
      <c r="D186" s="52" t="s">
        <v>1071</v>
      </c>
    </row>
    <row r="187" customFormat="false" ht="15" hidden="false" customHeight="false" outlineLevel="0" collapsed="false">
      <c r="A187" s="60" t="s">
        <v>1066</v>
      </c>
      <c r="B187" s="60" t="s">
        <v>1185</v>
      </c>
      <c r="C187" s="60" t="s">
        <v>1181</v>
      </c>
      <c r="D187" s="52" t="s">
        <v>1069</v>
      </c>
    </row>
    <row r="188" customFormat="false" ht="15" hidden="false" customHeight="false" outlineLevel="0" collapsed="false">
      <c r="A188" s="60" t="s">
        <v>1066</v>
      </c>
      <c r="B188" s="60" t="s">
        <v>1186</v>
      </c>
      <c r="C188" s="60"/>
      <c r="D188" s="52" t="s">
        <v>1071</v>
      </c>
    </row>
    <row r="189" customFormat="false" ht="15" hidden="false" customHeight="false" outlineLevel="0" collapsed="false">
      <c r="A189" s="60" t="s">
        <v>1066</v>
      </c>
      <c r="B189" s="60" t="s">
        <v>1187</v>
      </c>
      <c r="C189" s="60" t="s">
        <v>1188</v>
      </c>
      <c r="D189" s="52" t="s">
        <v>1069</v>
      </c>
    </row>
    <row r="190" customFormat="false" ht="15" hidden="false" customHeight="false" outlineLevel="0" collapsed="false">
      <c r="A190" s="60" t="s">
        <v>1066</v>
      </c>
      <c r="B190" s="60" t="s">
        <v>1189</v>
      </c>
      <c r="C190" s="60"/>
      <c r="D190" s="52" t="s">
        <v>1071</v>
      </c>
    </row>
    <row r="191" customFormat="false" ht="15" hidden="false" customHeight="false" outlineLevel="0" collapsed="false">
      <c r="A191" s="60" t="s">
        <v>1066</v>
      </c>
      <c r="B191" s="60" t="s">
        <v>1190</v>
      </c>
      <c r="C191" s="60" t="s">
        <v>1191</v>
      </c>
      <c r="D191" s="52" t="s">
        <v>1069</v>
      </c>
    </row>
    <row r="192" customFormat="false" ht="15" hidden="false" customHeight="false" outlineLevel="0" collapsed="false">
      <c r="A192" s="60" t="s">
        <v>1066</v>
      </c>
      <c r="B192" s="60" t="s">
        <v>1192</v>
      </c>
      <c r="C192" s="60"/>
      <c r="D192" s="52" t="s">
        <v>1071</v>
      </c>
    </row>
    <row r="193" customFormat="false" ht="15" hidden="false" customHeight="false" outlineLevel="0" collapsed="false">
      <c r="A193" s="60" t="s">
        <v>1066</v>
      </c>
      <c r="B193" s="60" t="s">
        <v>1193</v>
      </c>
      <c r="C193" s="60" t="s">
        <v>1194</v>
      </c>
      <c r="D193" s="52" t="s">
        <v>1069</v>
      </c>
    </row>
    <row r="194" customFormat="false" ht="15" hidden="false" customHeight="false" outlineLevel="0" collapsed="false">
      <c r="A194" s="60" t="s">
        <v>1066</v>
      </c>
      <c r="B194" s="60" t="s">
        <v>1195</v>
      </c>
      <c r="C194" s="60"/>
      <c r="D194" s="52" t="s">
        <v>1071</v>
      </c>
    </row>
    <row r="195" customFormat="false" ht="15" hidden="false" customHeight="false" outlineLevel="0" collapsed="false">
      <c r="A195" s="60" t="s">
        <v>1066</v>
      </c>
      <c r="B195" s="60" t="s">
        <v>1196</v>
      </c>
      <c r="C195" s="60" t="s">
        <v>1197</v>
      </c>
      <c r="D195" s="52" t="s">
        <v>1069</v>
      </c>
    </row>
    <row r="196" customFormat="false" ht="15" hidden="false" customHeight="false" outlineLevel="0" collapsed="false">
      <c r="A196" s="60" t="s">
        <v>1066</v>
      </c>
      <c r="B196" s="60" t="s">
        <v>1198</v>
      </c>
      <c r="C196" s="60"/>
      <c r="D196" s="52" t="s">
        <v>1071</v>
      </c>
    </row>
    <row r="197" customFormat="false" ht="15" hidden="false" customHeight="false" outlineLevel="0" collapsed="false">
      <c r="A197" s="60" t="s">
        <v>1066</v>
      </c>
      <c r="B197" s="60" t="s">
        <v>1199</v>
      </c>
      <c r="C197" s="60" t="s">
        <v>1200</v>
      </c>
      <c r="D197" s="52" t="s">
        <v>1069</v>
      </c>
    </row>
    <row r="198" customFormat="false" ht="15" hidden="false" customHeight="false" outlineLevel="0" collapsed="false">
      <c r="A198" s="60" t="s">
        <v>1066</v>
      </c>
      <c r="B198" s="60" t="s">
        <v>1201</v>
      </c>
      <c r="C198" s="60"/>
      <c r="D198" s="52" t="s">
        <v>1071</v>
      </c>
    </row>
    <row r="199" customFormat="false" ht="15" hidden="false" customHeight="false" outlineLevel="0" collapsed="false">
      <c r="A199" s="60" t="s">
        <v>1066</v>
      </c>
      <c r="B199" s="60" t="s">
        <v>1202</v>
      </c>
      <c r="C199" s="60" t="s">
        <v>1203</v>
      </c>
      <c r="D199" s="52" t="s">
        <v>1069</v>
      </c>
    </row>
    <row r="200" customFormat="false" ht="15" hidden="false" customHeight="false" outlineLevel="0" collapsed="false">
      <c r="A200" s="60" t="s">
        <v>1066</v>
      </c>
      <c r="B200" s="60" t="s">
        <v>1204</v>
      </c>
      <c r="C200" s="60"/>
      <c r="D200" s="52" t="s">
        <v>1071</v>
      </c>
    </row>
    <row r="201" customFormat="false" ht="15" hidden="false" customHeight="false" outlineLevel="0" collapsed="false">
      <c r="A201" s="60" t="s">
        <v>1066</v>
      </c>
      <c r="B201" s="60" t="s">
        <v>1205</v>
      </c>
      <c r="C201" s="60" t="s">
        <v>1206</v>
      </c>
      <c r="D201" s="52" t="s">
        <v>1069</v>
      </c>
    </row>
    <row r="202" customFormat="false" ht="15" hidden="false" customHeight="false" outlineLevel="0" collapsed="false">
      <c r="A202" s="60" t="s">
        <v>1066</v>
      </c>
      <c r="B202" s="60" t="s">
        <v>1207</v>
      </c>
      <c r="C202" s="60"/>
      <c r="D202" s="52" t="s">
        <v>1071</v>
      </c>
    </row>
    <row r="203" customFormat="false" ht="15" hidden="false" customHeight="false" outlineLevel="0" collapsed="false">
      <c r="A203" s="60" t="s">
        <v>1066</v>
      </c>
      <c r="B203" s="60" t="s">
        <v>1208</v>
      </c>
      <c r="C203" s="60" t="s">
        <v>1209</v>
      </c>
      <c r="D203" s="52" t="s">
        <v>1069</v>
      </c>
    </row>
    <row r="204" customFormat="false" ht="15" hidden="false" customHeight="false" outlineLevel="0" collapsed="false">
      <c r="A204" s="60" t="s">
        <v>1066</v>
      </c>
      <c r="B204" s="60" t="s">
        <v>1210</v>
      </c>
      <c r="C204" s="60"/>
      <c r="D204" s="52" t="s">
        <v>1071</v>
      </c>
    </row>
    <row r="205" customFormat="false" ht="15" hidden="false" customHeight="false" outlineLevel="0" collapsed="false">
      <c r="A205" s="60" t="s">
        <v>1066</v>
      </c>
      <c r="B205" s="60" t="s">
        <v>1211</v>
      </c>
      <c r="C205" s="60" t="s">
        <v>1212</v>
      </c>
      <c r="D205" s="52" t="s">
        <v>1069</v>
      </c>
    </row>
    <row r="206" customFormat="false" ht="15" hidden="false" customHeight="false" outlineLevel="0" collapsed="false">
      <c r="A206" s="60" t="s">
        <v>1066</v>
      </c>
      <c r="B206" s="60" t="s">
        <v>1213</v>
      </c>
      <c r="C206" s="60"/>
      <c r="D206" s="52" t="s">
        <v>1071</v>
      </c>
    </row>
    <row r="207" customFormat="false" ht="15" hidden="false" customHeight="false" outlineLevel="0" collapsed="false">
      <c r="A207" s="60" t="s">
        <v>1066</v>
      </c>
      <c r="B207" s="60" t="s">
        <v>1214</v>
      </c>
      <c r="C207" s="60" t="s">
        <v>377</v>
      </c>
      <c r="D207" s="52" t="s">
        <v>1069</v>
      </c>
    </row>
    <row r="208" customFormat="false" ht="15" hidden="false" customHeight="false" outlineLevel="0" collapsed="false">
      <c r="A208" s="60" t="s">
        <v>1066</v>
      </c>
      <c r="B208" s="60" t="s">
        <v>1215</v>
      </c>
      <c r="C208" s="60"/>
      <c r="D208" s="52" t="s">
        <v>1071</v>
      </c>
    </row>
    <row r="209" customFormat="false" ht="15" hidden="false" customHeight="false" outlineLevel="0" collapsed="false">
      <c r="A209" s="60" t="s">
        <v>1066</v>
      </c>
      <c r="B209" s="60" t="s">
        <v>1216</v>
      </c>
      <c r="C209" s="60" t="s">
        <v>382</v>
      </c>
      <c r="D209" s="52" t="s">
        <v>1069</v>
      </c>
    </row>
    <row r="210" customFormat="false" ht="15" hidden="false" customHeight="false" outlineLevel="0" collapsed="false">
      <c r="A210" s="60" t="s">
        <v>1066</v>
      </c>
      <c r="B210" s="60" t="s">
        <v>1217</v>
      </c>
      <c r="C210" s="60"/>
      <c r="D210" s="52" t="s">
        <v>1071</v>
      </c>
    </row>
    <row r="211" customFormat="false" ht="15" hidden="false" customHeight="false" outlineLevel="0" collapsed="false">
      <c r="A211" s="60" t="s">
        <v>1066</v>
      </c>
      <c r="B211" s="60" t="s">
        <v>1218</v>
      </c>
      <c r="C211" s="60" t="s">
        <v>387</v>
      </c>
      <c r="D211" s="52" t="s">
        <v>1069</v>
      </c>
    </row>
    <row r="212" customFormat="false" ht="15" hidden="false" customHeight="false" outlineLevel="0" collapsed="false">
      <c r="A212" s="60" t="s">
        <v>1066</v>
      </c>
      <c r="B212" s="60" t="s">
        <v>1219</v>
      </c>
      <c r="C212" s="60"/>
      <c r="D212" s="52" t="s">
        <v>1071</v>
      </c>
    </row>
    <row r="213" customFormat="false" ht="15" hidden="false" customHeight="false" outlineLevel="0" collapsed="false">
      <c r="A213" s="60" t="s">
        <v>1066</v>
      </c>
      <c r="B213" s="60" t="s">
        <v>1220</v>
      </c>
      <c r="C213" s="60" t="s">
        <v>392</v>
      </c>
      <c r="D213" s="52" t="s">
        <v>1069</v>
      </c>
    </row>
    <row r="214" customFormat="false" ht="15" hidden="false" customHeight="false" outlineLevel="0" collapsed="false">
      <c r="A214" s="60" t="s">
        <v>1066</v>
      </c>
      <c r="B214" s="60" t="s">
        <v>1221</v>
      </c>
      <c r="C214" s="60"/>
      <c r="D214" s="52" t="s">
        <v>1071</v>
      </c>
    </row>
    <row r="215" customFormat="false" ht="15" hidden="false" customHeight="false" outlineLevel="0" collapsed="false">
      <c r="A215" s="60" t="s">
        <v>1066</v>
      </c>
      <c r="B215" s="60" t="s">
        <v>1222</v>
      </c>
      <c r="C215" s="60" t="s">
        <v>397</v>
      </c>
      <c r="D215" s="52" t="s">
        <v>1069</v>
      </c>
    </row>
    <row r="216" customFormat="false" ht="15" hidden="false" customHeight="false" outlineLevel="0" collapsed="false">
      <c r="A216" s="60" t="s">
        <v>1066</v>
      </c>
      <c r="B216" s="60" t="s">
        <v>1223</v>
      </c>
      <c r="C216" s="60"/>
      <c r="D216" s="52" t="s">
        <v>1071</v>
      </c>
    </row>
    <row r="217" customFormat="false" ht="15" hidden="false" customHeight="false" outlineLevel="0" collapsed="false">
      <c r="A217" s="60" t="s">
        <v>1066</v>
      </c>
      <c r="B217" s="60" t="s">
        <v>1224</v>
      </c>
      <c r="C217" s="60" t="s">
        <v>401</v>
      </c>
      <c r="D217" s="52" t="s">
        <v>1069</v>
      </c>
    </row>
    <row r="218" customFormat="false" ht="15" hidden="false" customHeight="false" outlineLevel="0" collapsed="false">
      <c r="A218" s="60" t="s">
        <v>1066</v>
      </c>
      <c r="B218" s="60" t="s">
        <v>1225</v>
      </c>
      <c r="C218" s="60"/>
      <c r="D218" s="52" t="s">
        <v>1071</v>
      </c>
    </row>
    <row r="219" customFormat="false" ht="15" hidden="false" customHeight="false" outlineLevel="0" collapsed="false">
      <c r="A219" s="60" t="s">
        <v>1066</v>
      </c>
      <c r="B219" s="60" t="s">
        <v>1226</v>
      </c>
      <c r="C219" s="60" t="s">
        <v>405</v>
      </c>
      <c r="D219" s="52" t="s">
        <v>1069</v>
      </c>
    </row>
    <row r="220" customFormat="false" ht="15" hidden="false" customHeight="false" outlineLevel="0" collapsed="false">
      <c r="A220" s="60" t="s">
        <v>1066</v>
      </c>
      <c r="B220" s="60" t="s">
        <v>1227</v>
      </c>
      <c r="C220" s="60"/>
      <c r="D220" s="52" t="s">
        <v>1071</v>
      </c>
    </row>
    <row r="221" customFormat="false" ht="15" hidden="false" customHeight="false" outlineLevel="0" collapsed="false">
      <c r="A221" s="60" t="s">
        <v>1066</v>
      </c>
      <c r="B221" s="60" t="s">
        <v>1228</v>
      </c>
      <c r="C221" s="60" t="s">
        <v>410</v>
      </c>
      <c r="D221" s="52" t="s">
        <v>1069</v>
      </c>
    </row>
    <row r="222" customFormat="false" ht="15" hidden="false" customHeight="false" outlineLevel="0" collapsed="false">
      <c r="A222" s="60" t="s">
        <v>1066</v>
      </c>
      <c r="B222" s="60" t="s">
        <v>1229</v>
      </c>
      <c r="C222" s="60"/>
      <c r="D222" s="52" t="s">
        <v>1071</v>
      </c>
    </row>
    <row r="223" customFormat="false" ht="15" hidden="false" customHeight="false" outlineLevel="0" collapsed="false">
      <c r="A223" s="60" t="s">
        <v>1066</v>
      </c>
      <c r="B223" s="60" t="s">
        <v>1230</v>
      </c>
      <c r="C223" s="60" t="s">
        <v>414</v>
      </c>
      <c r="D223" s="52" t="s">
        <v>1069</v>
      </c>
    </row>
    <row r="224" customFormat="false" ht="15" hidden="false" customHeight="false" outlineLevel="0" collapsed="false">
      <c r="A224" s="60" t="s">
        <v>1066</v>
      </c>
      <c r="B224" s="60" t="s">
        <v>1231</v>
      </c>
      <c r="C224" s="60"/>
      <c r="D224" s="52" t="s">
        <v>1071</v>
      </c>
    </row>
    <row r="225" customFormat="false" ht="15" hidden="false" customHeight="false" outlineLevel="0" collapsed="false">
      <c r="A225" s="60" t="s">
        <v>1066</v>
      </c>
      <c r="B225" s="60" t="s">
        <v>1232</v>
      </c>
      <c r="C225" s="60" t="s">
        <v>449</v>
      </c>
      <c r="D225" s="52" t="s">
        <v>1069</v>
      </c>
    </row>
    <row r="226" customFormat="false" ht="15" hidden="false" customHeight="false" outlineLevel="0" collapsed="false">
      <c r="A226" s="60" t="s">
        <v>1066</v>
      </c>
      <c r="B226" s="60" t="s">
        <v>1233</v>
      </c>
      <c r="C226" s="60"/>
      <c r="D226" s="52" t="s">
        <v>1071</v>
      </c>
    </row>
    <row r="227" customFormat="false" ht="15" hidden="false" customHeight="false" outlineLevel="0" collapsed="false">
      <c r="A227" s="60" t="s">
        <v>1066</v>
      </c>
      <c r="B227" s="60" t="s">
        <v>1234</v>
      </c>
      <c r="C227" s="60" t="s">
        <v>453</v>
      </c>
      <c r="D227" s="52" t="s">
        <v>1069</v>
      </c>
    </row>
    <row r="228" customFormat="false" ht="15" hidden="false" customHeight="false" outlineLevel="0" collapsed="false">
      <c r="A228" s="60" t="s">
        <v>1066</v>
      </c>
      <c r="B228" s="60" t="s">
        <v>1235</v>
      </c>
      <c r="C228" s="60"/>
      <c r="D228" s="52" t="s">
        <v>1071</v>
      </c>
    </row>
    <row r="229" customFormat="false" ht="15" hidden="false" customHeight="false" outlineLevel="0" collapsed="false">
      <c r="A229" s="60" t="s">
        <v>1066</v>
      </c>
      <c r="B229" s="60" t="s">
        <v>1236</v>
      </c>
      <c r="C229" s="60" t="s">
        <v>457</v>
      </c>
      <c r="D229" s="52" t="s">
        <v>1069</v>
      </c>
    </row>
    <row r="230" customFormat="false" ht="15" hidden="false" customHeight="false" outlineLevel="0" collapsed="false">
      <c r="A230" s="60" t="s">
        <v>1066</v>
      </c>
      <c r="B230" s="60" t="s">
        <v>1237</v>
      </c>
      <c r="C230" s="60"/>
      <c r="D230" s="52" t="s">
        <v>1071</v>
      </c>
    </row>
    <row r="231" customFormat="false" ht="15" hidden="false" customHeight="false" outlineLevel="0" collapsed="false">
      <c r="A231" s="60" t="s">
        <v>1066</v>
      </c>
      <c r="B231" s="60" t="s">
        <v>1238</v>
      </c>
      <c r="C231" s="60" t="s">
        <v>419</v>
      </c>
      <c r="D231" s="52" t="s">
        <v>1069</v>
      </c>
    </row>
    <row r="232" customFormat="false" ht="15" hidden="false" customHeight="false" outlineLevel="0" collapsed="false">
      <c r="A232" s="60" t="s">
        <v>1066</v>
      </c>
      <c r="B232" s="60" t="s">
        <v>1239</v>
      </c>
      <c r="C232" s="60"/>
      <c r="D232" s="52" t="s">
        <v>1071</v>
      </c>
    </row>
    <row r="233" customFormat="false" ht="15" hidden="false" customHeight="false" outlineLevel="0" collapsed="false">
      <c r="A233" s="60" t="s">
        <v>1066</v>
      </c>
      <c r="B233" s="60" t="s">
        <v>1240</v>
      </c>
      <c r="C233" s="60" t="s">
        <v>424</v>
      </c>
      <c r="D233" s="52" t="s">
        <v>1069</v>
      </c>
    </row>
    <row r="234" customFormat="false" ht="15" hidden="false" customHeight="false" outlineLevel="0" collapsed="false">
      <c r="A234" s="60" t="s">
        <v>1066</v>
      </c>
      <c r="B234" s="60" t="s">
        <v>1241</v>
      </c>
      <c r="C234" s="60"/>
      <c r="D234" s="52" t="s">
        <v>1071</v>
      </c>
    </row>
    <row r="235" customFormat="false" ht="15" hidden="false" customHeight="false" outlineLevel="0" collapsed="false">
      <c r="A235" s="60" t="s">
        <v>1066</v>
      </c>
      <c r="B235" s="60" t="s">
        <v>1242</v>
      </c>
      <c r="C235" s="60" t="s">
        <v>428</v>
      </c>
      <c r="D235" s="52" t="s">
        <v>1069</v>
      </c>
    </row>
    <row r="236" customFormat="false" ht="15" hidden="false" customHeight="false" outlineLevel="0" collapsed="false">
      <c r="A236" s="60" t="s">
        <v>1066</v>
      </c>
      <c r="B236" s="60" t="s">
        <v>1243</v>
      </c>
      <c r="C236" s="60"/>
      <c r="D236" s="52" t="s">
        <v>1071</v>
      </c>
    </row>
    <row r="237" customFormat="false" ht="15" hidden="false" customHeight="false" outlineLevel="0" collapsed="false">
      <c r="A237" s="60" t="s">
        <v>1066</v>
      </c>
      <c r="B237" s="60" t="s">
        <v>1244</v>
      </c>
      <c r="C237" s="60" t="s">
        <v>432</v>
      </c>
      <c r="D237" s="52" t="s">
        <v>1069</v>
      </c>
    </row>
    <row r="238" customFormat="false" ht="15" hidden="false" customHeight="false" outlineLevel="0" collapsed="false">
      <c r="A238" s="60" t="s">
        <v>1066</v>
      </c>
      <c r="B238" s="60" t="s">
        <v>1245</v>
      </c>
      <c r="C238" s="60"/>
      <c r="D238" s="52" t="s">
        <v>1071</v>
      </c>
    </row>
    <row r="239" customFormat="false" ht="15" hidden="false" customHeight="false" outlineLevel="0" collapsed="false">
      <c r="A239" s="60" t="s">
        <v>1066</v>
      </c>
      <c r="B239" s="60" t="s">
        <v>1246</v>
      </c>
      <c r="C239" s="60" t="s">
        <v>436</v>
      </c>
      <c r="D239" s="52" t="s">
        <v>1069</v>
      </c>
    </row>
    <row r="240" customFormat="false" ht="15" hidden="false" customHeight="false" outlineLevel="0" collapsed="false">
      <c r="A240" s="60" t="s">
        <v>1066</v>
      </c>
      <c r="B240" s="60" t="s">
        <v>1247</v>
      </c>
      <c r="C240" s="60"/>
      <c r="D240" s="52" t="s">
        <v>1071</v>
      </c>
    </row>
    <row r="241" customFormat="false" ht="15" hidden="false" customHeight="false" outlineLevel="0" collapsed="false">
      <c r="A241" s="60" t="s">
        <v>1066</v>
      </c>
      <c r="B241" s="60" t="s">
        <v>1248</v>
      </c>
      <c r="C241" s="60" t="s">
        <v>440</v>
      </c>
      <c r="D241" s="52" t="s">
        <v>1069</v>
      </c>
    </row>
    <row r="242" customFormat="false" ht="15" hidden="false" customHeight="false" outlineLevel="0" collapsed="false">
      <c r="A242" s="60" t="s">
        <v>1066</v>
      </c>
      <c r="B242" s="60" t="s">
        <v>1249</v>
      </c>
      <c r="C242" s="60"/>
      <c r="D242" s="52" t="s">
        <v>1071</v>
      </c>
    </row>
    <row r="243" customFormat="false" ht="15" hidden="false" customHeight="false" outlineLevel="0" collapsed="false">
      <c r="A243" s="60" t="s">
        <v>1066</v>
      </c>
      <c r="B243" s="60" t="s">
        <v>1250</v>
      </c>
      <c r="C243" s="60" t="s">
        <v>444</v>
      </c>
      <c r="D243" s="52" t="s">
        <v>1069</v>
      </c>
    </row>
    <row r="244" customFormat="false" ht="15" hidden="false" customHeight="false" outlineLevel="0" collapsed="false">
      <c r="A244" s="60" t="s">
        <v>1066</v>
      </c>
      <c r="B244" s="60" t="s">
        <v>1251</v>
      </c>
      <c r="C244" s="60"/>
      <c r="D244" s="52" t="s">
        <v>1071</v>
      </c>
    </row>
    <row r="245" customFormat="false" ht="15" hidden="false" customHeight="false" outlineLevel="0" collapsed="false">
      <c r="A245" s="60" t="s">
        <v>1066</v>
      </c>
      <c r="B245" s="60" t="s">
        <v>1252</v>
      </c>
      <c r="C245" s="60" t="s">
        <v>444</v>
      </c>
      <c r="D245" s="52" t="s">
        <v>1069</v>
      </c>
    </row>
    <row r="246" customFormat="false" ht="15" hidden="false" customHeight="false" outlineLevel="0" collapsed="false">
      <c r="A246" s="60" t="s">
        <v>1066</v>
      </c>
      <c r="B246" s="60" t="s">
        <v>1253</v>
      </c>
      <c r="C246" s="60"/>
      <c r="D246" s="52" t="s">
        <v>1071</v>
      </c>
    </row>
    <row r="247" customFormat="false" ht="15" hidden="false" customHeight="false" outlineLevel="0" collapsed="false">
      <c r="A247" s="60" t="s">
        <v>1066</v>
      </c>
      <c r="B247" s="60" t="s">
        <v>1254</v>
      </c>
      <c r="C247" s="60" t="s">
        <v>444</v>
      </c>
      <c r="D247" s="52" t="s">
        <v>1069</v>
      </c>
    </row>
    <row r="248" customFormat="false" ht="15" hidden="false" customHeight="false" outlineLevel="0" collapsed="false">
      <c r="A248" s="60" t="s">
        <v>1066</v>
      </c>
      <c r="B248" s="60" t="s">
        <v>1255</v>
      </c>
      <c r="C248" s="60"/>
      <c r="D248" s="52" t="s">
        <v>1071</v>
      </c>
    </row>
    <row r="249" customFormat="false" ht="15" hidden="false" customHeight="false" outlineLevel="0" collapsed="false">
      <c r="A249" s="60" t="s">
        <v>1066</v>
      </c>
      <c r="B249" s="60" t="s">
        <v>1256</v>
      </c>
      <c r="C249" s="60" t="s">
        <v>1257</v>
      </c>
      <c r="D249" s="52" t="s">
        <v>1069</v>
      </c>
    </row>
    <row r="250" customFormat="false" ht="15" hidden="false" customHeight="false" outlineLevel="0" collapsed="false">
      <c r="A250" s="60" t="s">
        <v>1066</v>
      </c>
      <c r="B250" s="60" t="s">
        <v>1258</v>
      </c>
      <c r="C250" s="60"/>
      <c r="D250" s="52" t="s">
        <v>1071</v>
      </c>
    </row>
    <row r="251" customFormat="false" ht="15" hidden="false" customHeight="false" outlineLevel="0" collapsed="false">
      <c r="A251" s="60" t="s">
        <v>1066</v>
      </c>
      <c r="B251" s="60" t="s">
        <v>1259</v>
      </c>
      <c r="C251" s="60" t="s">
        <v>1260</v>
      </c>
      <c r="D251" s="52" t="s">
        <v>1069</v>
      </c>
    </row>
    <row r="252" customFormat="false" ht="15" hidden="false" customHeight="false" outlineLevel="0" collapsed="false">
      <c r="A252" s="60" t="s">
        <v>1066</v>
      </c>
      <c r="B252" s="60" t="s">
        <v>1261</v>
      </c>
      <c r="C252" s="60"/>
      <c r="D252" s="52" t="s">
        <v>1071</v>
      </c>
    </row>
    <row r="253" customFormat="false" ht="15" hidden="false" customHeight="false" outlineLevel="0" collapsed="false">
      <c r="A253" s="60" t="s">
        <v>1066</v>
      </c>
      <c r="B253" s="60" t="s">
        <v>1262</v>
      </c>
      <c r="C253" s="60" t="s">
        <v>1263</v>
      </c>
      <c r="D253" s="52" t="s">
        <v>1069</v>
      </c>
    </row>
    <row r="254" customFormat="false" ht="15" hidden="false" customHeight="false" outlineLevel="0" collapsed="false">
      <c r="A254" s="60" t="s">
        <v>1066</v>
      </c>
      <c r="B254" s="60" t="s">
        <v>1264</v>
      </c>
      <c r="C254" s="60"/>
      <c r="D254" s="52" t="s">
        <v>1071</v>
      </c>
    </row>
    <row r="255" customFormat="false" ht="15" hidden="false" customHeight="false" outlineLevel="0" collapsed="false">
      <c r="A255" s="60" t="s">
        <v>1066</v>
      </c>
      <c r="B255" s="60" t="s">
        <v>1265</v>
      </c>
      <c r="C255" s="60" t="s">
        <v>1266</v>
      </c>
      <c r="D255" s="52" t="s">
        <v>1069</v>
      </c>
    </row>
    <row r="256" customFormat="false" ht="15" hidden="false" customHeight="false" outlineLevel="0" collapsed="false">
      <c r="A256" s="60" t="s">
        <v>1066</v>
      </c>
      <c r="B256" s="60" t="s">
        <v>1267</v>
      </c>
      <c r="C256" s="60"/>
      <c r="D256" s="52" t="s">
        <v>1071</v>
      </c>
    </row>
    <row r="257" customFormat="false" ht="15" hidden="false" customHeight="false" outlineLevel="0" collapsed="false">
      <c r="A257" s="60" t="s">
        <v>1066</v>
      </c>
      <c r="B257" s="60" t="s">
        <v>1268</v>
      </c>
      <c r="C257" s="60" t="s">
        <v>1269</v>
      </c>
      <c r="D257" s="52" t="s">
        <v>1069</v>
      </c>
    </row>
    <row r="258" customFormat="false" ht="15" hidden="false" customHeight="false" outlineLevel="0" collapsed="false">
      <c r="A258" s="60" t="s">
        <v>1066</v>
      </c>
      <c r="B258" s="60" t="s">
        <v>1270</v>
      </c>
      <c r="C258" s="60"/>
      <c r="D258" s="52" t="s">
        <v>1071</v>
      </c>
    </row>
    <row r="259" customFormat="false" ht="15" hidden="false" customHeight="false" outlineLevel="0" collapsed="false">
      <c r="A259" s="60" t="s">
        <v>1066</v>
      </c>
      <c r="B259" s="60" t="s">
        <v>1271</v>
      </c>
      <c r="C259" s="60" t="s">
        <v>1272</v>
      </c>
      <c r="D259" s="52" t="s">
        <v>1069</v>
      </c>
    </row>
    <row r="260" customFormat="false" ht="15" hidden="false" customHeight="false" outlineLevel="0" collapsed="false">
      <c r="A260" s="60" t="s">
        <v>1066</v>
      </c>
      <c r="B260" s="60" t="s">
        <v>1273</v>
      </c>
      <c r="C260" s="60"/>
      <c r="D260" s="52" t="s">
        <v>1071</v>
      </c>
    </row>
    <row r="261" customFormat="false" ht="15" hidden="false" customHeight="false" outlineLevel="0" collapsed="false">
      <c r="A261" s="60" t="s">
        <v>1066</v>
      </c>
      <c r="B261" s="60" t="s">
        <v>1274</v>
      </c>
      <c r="C261" s="60" t="s">
        <v>1275</v>
      </c>
      <c r="D261" s="52" t="s">
        <v>1069</v>
      </c>
    </row>
    <row r="262" customFormat="false" ht="15" hidden="false" customHeight="false" outlineLevel="0" collapsed="false">
      <c r="A262" s="60" t="s">
        <v>1066</v>
      </c>
      <c r="B262" s="60" t="s">
        <v>1276</v>
      </c>
      <c r="C262" s="60"/>
      <c r="D262" s="52" t="s">
        <v>1071</v>
      </c>
    </row>
    <row r="263" customFormat="false" ht="15" hidden="false" customHeight="false" outlineLevel="0" collapsed="false">
      <c r="A263" s="60" t="s">
        <v>1066</v>
      </c>
      <c r="B263" s="60" t="s">
        <v>1277</v>
      </c>
      <c r="C263" s="60" t="s">
        <v>1278</v>
      </c>
      <c r="D263" s="52" t="s">
        <v>1069</v>
      </c>
    </row>
    <row r="264" customFormat="false" ht="15" hidden="false" customHeight="false" outlineLevel="0" collapsed="false">
      <c r="A264" s="60" t="s">
        <v>1066</v>
      </c>
      <c r="B264" s="60" t="s">
        <v>1279</v>
      </c>
      <c r="C264" s="60"/>
      <c r="D264" s="52" t="s">
        <v>1071</v>
      </c>
    </row>
    <row r="265" customFormat="false" ht="15" hidden="false" customHeight="false" outlineLevel="0" collapsed="false">
      <c r="A265" s="60" t="s">
        <v>1066</v>
      </c>
      <c r="B265" s="60" t="s">
        <v>1280</v>
      </c>
      <c r="C265" s="60" t="s">
        <v>1281</v>
      </c>
      <c r="D265" s="52" t="s">
        <v>1069</v>
      </c>
    </row>
    <row r="266" customFormat="false" ht="15" hidden="false" customHeight="false" outlineLevel="0" collapsed="false">
      <c r="A266" s="60" t="s">
        <v>1066</v>
      </c>
      <c r="B266" s="60" t="s">
        <v>1282</v>
      </c>
      <c r="C266" s="60"/>
      <c r="D266" s="52" t="s">
        <v>1071</v>
      </c>
    </row>
    <row r="267" customFormat="false" ht="15" hidden="false" customHeight="false" outlineLevel="0" collapsed="false">
      <c r="A267" s="60" t="s">
        <v>1066</v>
      </c>
      <c r="B267" s="60" t="s">
        <v>1283</v>
      </c>
      <c r="C267" s="60" t="s">
        <v>1284</v>
      </c>
      <c r="D267" s="52" t="s">
        <v>1069</v>
      </c>
    </row>
    <row r="268" customFormat="false" ht="15" hidden="false" customHeight="false" outlineLevel="0" collapsed="false">
      <c r="A268" s="60" t="s">
        <v>1066</v>
      </c>
      <c r="B268" s="60" t="s">
        <v>1285</v>
      </c>
      <c r="C268" s="60"/>
      <c r="D268" s="52" t="s">
        <v>1071</v>
      </c>
    </row>
    <row r="269" customFormat="false" ht="15" hidden="false" customHeight="false" outlineLevel="0" collapsed="false">
      <c r="A269" s="60" t="s">
        <v>1066</v>
      </c>
      <c r="B269" s="60" t="s">
        <v>1286</v>
      </c>
      <c r="C269" s="60" t="s">
        <v>1287</v>
      </c>
      <c r="D269" s="52" t="s">
        <v>1069</v>
      </c>
    </row>
    <row r="270" customFormat="false" ht="15" hidden="false" customHeight="false" outlineLevel="0" collapsed="false">
      <c r="A270" s="60" t="s">
        <v>1066</v>
      </c>
      <c r="B270" s="60" t="s">
        <v>1288</v>
      </c>
      <c r="C270" s="60"/>
      <c r="D270" s="52" t="s">
        <v>1071</v>
      </c>
    </row>
    <row r="271" customFormat="false" ht="15" hidden="false" customHeight="false" outlineLevel="0" collapsed="false">
      <c r="A271" s="60" t="s">
        <v>1066</v>
      </c>
      <c r="B271" s="60" t="s">
        <v>1289</v>
      </c>
      <c r="C271" s="60" t="s">
        <v>1290</v>
      </c>
      <c r="D271" s="52" t="s">
        <v>1069</v>
      </c>
    </row>
    <row r="272" customFormat="false" ht="15" hidden="false" customHeight="false" outlineLevel="0" collapsed="false">
      <c r="A272" s="60" t="s">
        <v>1066</v>
      </c>
      <c r="B272" s="60" t="s">
        <v>1291</v>
      </c>
      <c r="C272" s="60"/>
      <c r="D272" s="52" t="s">
        <v>1071</v>
      </c>
    </row>
    <row r="273" customFormat="false" ht="15" hidden="false" customHeight="false" outlineLevel="0" collapsed="false">
      <c r="A273" s="60" t="s">
        <v>1066</v>
      </c>
      <c r="B273" s="60" t="s">
        <v>1292</v>
      </c>
      <c r="C273" s="60" t="s">
        <v>471</v>
      </c>
      <c r="D273" s="52" t="s">
        <v>1069</v>
      </c>
    </row>
    <row r="274" customFormat="false" ht="15" hidden="false" customHeight="false" outlineLevel="0" collapsed="false">
      <c r="A274" s="60" t="s">
        <v>1066</v>
      </c>
      <c r="B274" s="60" t="s">
        <v>1293</v>
      </c>
      <c r="C274" s="60"/>
      <c r="D274" s="52" t="s">
        <v>1071</v>
      </c>
    </row>
    <row r="275" customFormat="false" ht="15" hidden="false" customHeight="false" outlineLevel="0" collapsed="false">
      <c r="A275" s="60" t="s">
        <v>1066</v>
      </c>
      <c r="B275" s="60" t="s">
        <v>1294</v>
      </c>
      <c r="C275" s="60" t="s">
        <v>475</v>
      </c>
      <c r="D275" s="52" t="s">
        <v>1069</v>
      </c>
    </row>
    <row r="276" customFormat="false" ht="15" hidden="false" customHeight="false" outlineLevel="0" collapsed="false">
      <c r="A276" s="60" t="s">
        <v>1066</v>
      </c>
      <c r="B276" s="60" t="s">
        <v>1295</v>
      </c>
      <c r="C276" s="60"/>
      <c r="D276" s="52" t="s">
        <v>1071</v>
      </c>
    </row>
    <row r="277" customFormat="false" ht="15" hidden="false" customHeight="false" outlineLevel="0" collapsed="false">
      <c r="A277" s="60" t="s">
        <v>1066</v>
      </c>
      <c r="B277" s="60" t="s">
        <v>1296</v>
      </c>
      <c r="C277" s="60" t="s">
        <v>478</v>
      </c>
      <c r="D277" s="52" t="s">
        <v>1069</v>
      </c>
    </row>
    <row r="278" customFormat="false" ht="15" hidden="false" customHeight="false" outlineLevel="0" collapsed="false">
      <c r="A278" s="60" t="s">
        <v>1066</v>
      </c>
      <c r="B278" s="60" t="s">
        <v>1297</v>
      </c>
      <c r="C278" s="60"/>
      <c r="D278" s="52" t="s">
        <v>1071</v>
      </c>
    </row>
    <row r="279" customFormat="false" ht="15" hidden="false" customHeight="false" outlineLevel="0" collapsed="false">
      <c r="A279" s="60" t="s">
        <v>1066</v>
      </c>
      <c r="B279" s="60" t="s">
        <v>1298</v>
      </c>
      <c r="C279" s="60" t="s">
        <v>483</v>
      </c>
      <c r="D279" s="52" t="s">
        <v>1069</v>
      </c>
    </row>
    <row r="280" customFormat="false" ht="15" hidden="false" customHeight="false" outlineLevel="0" collapsed="false">
      <c r="A280" s="60" t="s">
        <v>1066</v>
      </c>
      <c r="B280" s="60" t="s">
        <v>1299</v>
      </c>
      <c r="C280" s="60"/>
      <c r="D280" s="52" t="s">
        <v>1071</v>
      </c>
    </row>
    <row r="281" customFormat="false" ht="15" hidden="false" customHeight="false" outlineLevel="0" collapsed="false">
      <c r="A281" s="60" t="s">
        <v>1066</v>
      </c>
      <c r="B281" s="60" t="s">
        <v>1300</v>
      </c>
      <c r="C281" s="60" t="s">
        <v>488</v>
      </c>
      <c r="D281" s="52" t="s">
        <v>1069</v>
      </c>
    </row>
    <row r="282" customFormat="false" ht="15" hidden="false" customHeight="false" outlineLevel="0" collapsed="false">
      <c r="A282" s="60" t="s">
        <v>1066</v>
      </c>
      <c r="B282" s="60" t="s">
        <v>1301</v>
      </c>
      <c r="C282" s="60"/>
      <c r="D282" s="52" t="s">
        <v>1071</v>
      </c>
    </row>
    <row r="283" customFormat="false" ht="15" hidden="false" customHeight="false" outlineLevel="0" collapsed="false">
      <c r="A283" s="60" t="s">
        <v>1066</v>
      </c>
      <c r="B283" s="60" t="s">
        <v>1302</v>
      </c>
      <c r="C283" s="60" t="s">
        <v>492</v>
      </c>
      <c r="D283" s="52" t="s">
        <v>1069</v>
      </c>
    </row>
    <row r="284" customFormat="false" ht="15" hidden="false" customHeight="false" outlineLevel="0" collapsed="false">
      <c r="A284" s="60" t="s">
        <v>1066</v>
      </c>
      <c r="B284" s="60" t="s">
        <v>1303</v>
      </c>
      <c r="C284" s="60"/>
      <c r="D284" s="52" t="s">
        <v>1071</v>
      </c>
    </row>
    <row r="285" customFormat="false" ht="15" hidden="false" customHeight="false" outlineLevel="0" collapsed="false">
      <c r="A285" s="60" t="s">
        <v>1066</v>
      </c>
      <c r="B285" s="60" t="s">
        <v>1304</v>
      </c>
      <c r="C285" s="60" t="s">
        <v>1305</v>
      </c>
      <c r="D285" s="52" t="s">
        <v>1069</v>
      </c>
    </row>
    <row r="286" customFormat="false" ht="15" hidden="false" customHeight="false" outlineLevel="0" collapsed="false">
      <c r="A286" s="60" t="s">
        <v>1066</v>
      </c>
      <c r="B286" s="60" t="s">
        <v>1306</v>
      </c>
      <c r="C286" s="60"/>
      <c r="D286" s="52" t="s">
        <v>1071</v>
      </c>
    </row>
    <row r="287" customFormat="false" ht="15" hidden="false" customHeight="false" outlineLevel="0" collapsed="false">
      <c r="A287" s="60" t="s">
        <v>1066</v>
      </c>
      <c r="B287" s="60" t="s">
        <v>1307</v>
      </c>
      <c r="C287" s="60" t="s">
        <v>1308</v>
      </c>
      <c r="D287" s="52" t="s">
        <v>1069</v>
      </c>
    </row>
    <row r="288" customFormat="false" ht="15" hidden="false" customHeight="false" outlineLevel="0" collapsed="false">
      <c r="A288" s="60" t="s">
        <v>1066</v>
      </c>
      <c r="B288" s="60" t="s">
        <v>1309</v>
      </c>
      <c r="C288" s="60"/>
      <c r="D288" s="52" t="s">
        <v>1071</v>
      </c>
    </row>
    <row r="289" customFormat="false" ht="15" hidden="false" customHeight="false" outlineLevel="0" collapsed="false">
      <c r="A289" s="60" t="s">
        <v>1066</v>
      </c>
      <c r="B289" s="60" t="s">
        <v>1310</v>
      </c>
      <c r="C289" s="60" t="s">
        <v>1305</v>
      </c>
      <c r="D289" s="52" t="s">
        <v>1069</v>
      </c>
    </row>
    <row r="290" customFormat="false" ht="15" hidden="false" customHeight="false" outlineLevel="0" collapsed="false">
      <c r="A290" s="60" t="s">
        <v>1066</v>
      </c>
      <c r="B290" s="60" t="s">
        <v>1311</v>
      </c>
      <c r="C290" s="60"/>
      <c r="D290" s="52" t="s">
        <v>1071</v>
      </c>
    </row>
    <row r="291" customFormat="false" ht="15" hidden="false" customHeight="false" outlineLevel="0" collapsed="false">
      <c r="A291" s="60" t="s">
        <v>1066</v>
      </c>
      <c r="B291" s="60" t="s">
        <v>1312</v>
      </c>
      <c r="C291" s="60" t="s">
        <v>1308</v>
      </c>
      <c r="D291" s="52" t="s">
        <v>1069</v>
      </c>
    </row>
    <row r="292" customFormat="false" ht="15" hidden="false" customHeight="false" outlineLevel="0" collapsed="false">
      <c r="A292" s="60" t="s">
        <v>1066</v>
      </c>
      <c r="B292" s="60" t="s">
        <v>1313</v>
      </c>
      <c r="C292" s="60"/>
      <c r="D292" s="52" t="s">
        <v>1071</v>
      </c>
    </row>
    <row r="293" customFormat="false" ht="15" hidden="false" customHeight="false" outlineLevel="0" collapsed="false">
      <c r="A293" s="60" t="s">
        <v>1066</v>
      </c>
      <c r="B293" s="60" t="s">
        <v>1314</v>
      </c>
      <c r="C293" s="60" t="s">
        <v>1315</v>
      </c>
      <c r="D293" s="52" t="s">
        <v>1069</v>
      </c>
    </row>
    <row r="294" customFormat="false" ht="15" hidden="false" customHeight="false" outlineLevel="0" collapsed="false">
      <c r="A294" s="60" t="s">
        <v>1066</v>
      </c>
      <c r="B294" s="60" t="s">
        <v>1316</v>
      </c>
      <c r="C294" s="60"/>
      <c r="D294" s="52" t="s">
        <v>1071</v>
      </c>
    </row>
    <row r="295" customFormat="false" ht="15" hidden="false" customHeight="false" outlineLevel="0" collapsed="false">
      <c r="A295" s="60" t="s">
        <v>1066</v>
      </c>
      <c r="B295" s="60" t="s">
        <v>1317</v>
      </c>
      <c r="C295" s="60" t="s">
        <v>1318</v>
      </c>
      <c r="D295" s="52" t="s">
        <v>1069</v>
      </c>
    </row>
    <row r="296" customFormat="false" ht="15" hidden="false" customHeight="false" outlineLevel="0" collapsed="false">
      <c r="A296" s="60" t="s">
        <v>1066</v>
      </c>
      <c r="B296" s="60" t="s">
        <v>1319</v>
      </c>
      <c r="C296" s="60"/>
      <c r="D296" s="52" t="s">
        <v>1071</v>
      </c>
    </row>
    <row r="297" customFormat="false" ht="15" hidden="false" customHeight="false" outlineLevel="0" collapsed="false">
      <c r="A297" s="60" t="s">
        <v>1066</v>
      </c>
      <c r="B297" s="60" t="s">
        <v>1320</v>
      </c>
      <c r="C297" s="60" t="s">
        <v>1315</v>
      </c>
      <c r="D297" s="52" t="s">
        <v>1069</v>
      </c>
    </row>
    <row r="298" customFormat="false" ht="15" hidden="false" customHeight="false" outlineLevel="0" collapsed="false">
      <c r="A298" s="60" t="s">
        <v>1066</v>
      </c>
      <c r="B298" s="60" t="s">
        <v>1321</v>
      </c>
      <c r="C298" s="60"/>
      <c r="D298" s="52" t="s">
        <v>1071</v>
      </c>
    </row>
    <row r="299" customFormat="false" ht="15" hidden="false" customHeight="false" outlineLevel="0" collapsed="false">
      <c r="A299" s="60" t="s">
        <v>1066</v>
      </c>
      <c r="B299" s="60" t="s">
        <v>1322</v>
      </c>
      <c r="C299" s="60" t="s">
        <v>1318</v>
      </c>
      <c r="D299" s="52" t="s">
        <v>1069</v>
      </c>
    </row>
    <row r="300" customFormat="false" ht="15" hidden="false" customHeight="false" outlineLevel="0" collapsed="false">
      <c r="A300" s="60" t="s">
        <v>1066</v>
      </c>
      <c r="B300" s="60" t="s">
        <v>1323</v>
      </c>
      <c r="C300" s="60"/>
      <c r="D300" s="52" t="s">
        <v>1071</v>
      </c>
    </row>
    <row r="301" customFormat="false" ht="15" hidden="false" customHeight="false" outlineLevel="0" collapsed="false">
      <c r="A301" s="60" t="s">
        <v>1066</v>
      </c>
      <c r="B301" s="60" t="s">
        <v>1324</v>
      </c>
      <c r="C301" s="60" t="s">
        <v>1325</v>
      </c>
      <c r="D301" s="52" t="s">
        <v>1069</v>
      </c>
    </row>
    <row r="302" customFormat="false" ht="15" hidden="false" customHeight="false" outlineLevel="0" collapsed="false">
      <c r="A302" s="60" t="s">
        <v>1066</v>
      </c>
      <c r="B302" s="60" t="s">
        <v>1326</v>
      </c>
      <c r="C302" s="60"/>
      <c r="D302" s="52" t="s">
        <v>1071</v>
      </c>
    </row>
    <row r="303" customFormat="false" ht="15" hidden="false" customHeight="false" outlineLevel="0" collapsed="false">
      <c r="A303" s="60" t="s">
        <v>1066</v>
      </c>
      <c r="B303" s="60" t="s">
        <v>1327</v>
      </c>
      <c r="C303" s="60" t="s">
        <v>1328</v>
      </c>
      <c r="D303" s="52" t="s">
        <v>1069</v>
      </c>
    </row>
    <row r="304" customFormat="false" ht="15" hidden="false" customHeight="false" outlineLevel="0" collapsed="false">
      <c r="A304" s="60" t="s">
        <v>1066</v>
      </c>
      <c r="B304" s="60" t="s">
        <v>1329</v>
      </c>
      <c r="C304" s="60"/>
      <c r="D304" s="52" t="s">
        <v>1071</v>
      </c>
    </row>
    <row r="305" customFormat="false" ht="15" hidden="false" customHeight="false" outlineLevel="0" collapsed="false">
      <c r="A305" s="60" t="s">
        <v>1066</v>
      </c>
      <c r="B305" s="60" t="s">
        <v>1330</v>
      </c>
      <c r="C305" s="60" t="s">
        <v>1331</v>
      </c>
      <c r="D305" s="52" t="s">
        <v>1069</v>
      </c>
    </row>
    <row r="306" customFormat="false" ht="15" hidden="false" customHeight="false" outlineLevel="0" collapsed="false">
      <c r="A306" s="60" t="s">
        <v>1066</v>
      </c>
      <c r="B306" s="60" t="s">
        <v>1332</v>
      </c>
      <c r="C306" s="60"/>
      <c r="D306" s="52" t="s">
        <v>1071</v>
      </c>
    </row>
    <row r="307" customFormat="false" ht="15" hidden="false" customHeight="false" outlineLevel="0" collapsed="false">
      <c r="A307" s="60" t="s">
        <v>1066</v>
      </c>
      <c r="B307" s="60" t="s">
        <v>1333</v>
      </c>
      <c r="C307" s="60" t="s">
        <v>1334</v>
      </c>
      <c r="D307" s="52" t="s">
        <v>1069</v>
      </c>
    </row>
    <row r="308" customFormat="false" ht="15" hidden="false" customHeight="false" outlineLevel="0" collapsed="false">
      <c r="A308" s="60" t="s">
        <v>1066</v>
      </c>
      <c r="B308" s="60" t="s">
        <v>1335</v>
      </c>
      <c r="C308" s="60"/>
      <c r="D308" s="52" t="s">
        <v>1071</v>
      </c>
    </row>
    <row r="309" customFormat="false" ht="15" hidden="false" customHeight="false" outlineLevel="0" collapsed="false">
      <c r="A309" s="60" t="s">
        <v>1066</v>
      </c>
      <c r="B309" s="60" t="s">
        <v>1336</v>
      </c>
      <c r="C309" s="60" t="s">
        <v>1337</v>
      </c>
      <c r="D309" s="52" t="s">
        <v>1069</v>
      </c>
    </row>
    <row r="310" customFormat="false" ht="15" hidden="false" customHeight="false" outlineLevel="0" collapsed="false">
      <c r="A310" s="60" t="s">
        <v>1066</v>
      </c>
      <c r="B310" s="60" t="s">
        <v>1338</v>
      </c>
      <c r="C310" s="60"/>
      <c r="D310" s="52" t="s">
        <v>1071</v>
      </c>
    </row>
    <row r="311" customFormat="false" ht="15" hidden="false" customHeight="false" outlineLevel="0" collapsed="false">
      <c r="A311" s="60" t="s">
        <v>1066</v>
      </c>
      <c r="B311" s="60" t="s">
        <v>1339</v>
      </c>
      <c r="C311" s="60" t="s">
        <v>1340</v>
      </c>
      <c r="D311" s="52" t="s">
        <v>1069</v>
      </c>
    </row>
    <row r="312" customFormat="false" ht="15" hidden="false" customHeight="false" outlineLevel="0" collapsed="false">
      <c r="A312" s="60" t="s">
        <v>1066</v>
      </c>
      <c r="B312" s="60" t="s">
        <v>1341</v>
      </c>
      <c r="C312" s="60"/>
      <c r="D312" s="52" t="s">
        <v>1071</v>
      </c>
    </row>
    <row r="313" customFormat="false" ht="15" hidden="false" customHeight="false" outlineLevel="0" collapsed="false">
      <c r="A313" s="60" t="s">
        <v>1066</v>
      </c>
      <c r="B313" s="60" t="s">
        <v>1342</v>
      </c>
      <c r="C313" s="60" t="s">
        <v>1343</v>
      </c>
      <c r="D313" s="52" t="s">
        <v>1069</v>
      </c>
    </row>
    <row r="314" customFormat="false" ht="15" hidden="false" customHeight="false" outlineLevel="0" collapsed="false">
      <c r="A314" s="60" t="s">
        <v>1066</v>
      </c>
      <c r="B314" s="60" t="s">
        <v>1344</v>
      </c>
      <c r="C314" s="60"/>
      <c r="D314" s="52" t="s">
        <v>1071</v>
      </c>
    </row>
    <row r="315" customFormat="false" ht="15" hidden="false" customHeight="false" outlineLevel="0" collapsed="false">
      <c r="A315" s="60" t="s">
        <v>1066</v>
      </c>
      <c r="B315" s="60" t="s">
        <v>1345</v>
      </c>
      <c r="C315" s="60" t="s">
        <v>1346</v>
      </c>
      <c r="D315" s="52" t="s">
        <v>1069</v>
      </c>
    </row>
    <row r="316" customFormat="false" ht="15" hidden="false" customHeight="false" outlineLevel="0" collapsed="false">
      <c r="A316" s="60" t="s">
        <v>1066</v>
      </c>
      <c r="B316" s="60" t="s">
        <v>1347</v>
      </c>
      <c r="C316" s="60"/>
      <c r="D316" s="52" t="s">
        <v>1071</v>
      </c>
    </row>
    <row r="317" customFormat="false" ht="15" hidden="false" customHeight="false" outlineLevel="0" collapsed="false">
      <c r="A317" s="60" t="s">
        <v>1066</v>
      </c>
      <c r="B317" s="60" t="s">
        <v>1348</v>
      </c>
      <c r="C317" s="60" t="s">
        <v>1349</v>
      </c>
      <c r="D317" s="52" t="s">
        <v>1069</v>
      </c>
    </row>
    <row r="318" customFormat="false" ht="15" hidden="false" customHeight="false" outlineLevel="0" collapsed="false">
      <c r="A318" s="60" t="s">
        <v>1066</v>
      </c>
      <c r="B318" s="60" t="s">
        <v>1350</v>
      </c>
      <c r="C318" s="60"/>
      <c r="D318" s="52" t="s">
        <v>1071</v>
      </c>
    </row>
    <row r="319" customFormat="false" ht="15" hidden="false" customHeight="false" outlineLevel="0" collapsed="false">
      <c r="A319" s="60" t="s">
        <v>1066</v>
      </c>
      <c r="B319" s="60" t="s">
        <v>1351</v>
      </c>
      <c r="C319" s="60" t="s">
        <v>1352</v>
      </c>
      <c r="D319" s="52" t="s">
        <v>1069</v>
      </c>
    </row>
    <row r="320" customFormat="false" ht="15" hidden="false" customHeight="false" outlineLevel="0" collapsed="false">
      <c r="A320" s="60" t="s">
        <v>1066</v>
      </c>
      <c r="B320" s="60" t="s">
        <v>1353</v>
      </c>
      <c r="C320" s="60"/>
      <c r="D320" s="52" t="s">
        <v>1071</v>
      </c>
    </row>
    <row r="321" customFormat="false" ht="15" hidden="false" customHeight="false" outlineLevel="0" collapsed="false">
      <c r="A321" s="60" t="s">
        <v>1066</v>
      </c>
      <c r="B321" s="60" t="s">
        <v>1354</v>
      </c>
      <c r="C321" s="60" t="s">
        <v>1355</v>
      </c>
      <c r="D321" s="52" t="s">
        <v>1069</v>
      </c>
    </row>
    <row r="322" customFormat="false" ht="15" hidden="false" customHeight="false" outlineLevel="0" collapsed="false">
      <c r="A322" s="60" t="s">
        <v>1066</v>
      </c>
      <c r="B322" s="60" t="s">
        <v>1356</v>
      </c>
      <c r="C322" s="60"/>
      <c r="D322" s="52" t="s">
        <v>1071</v>
      </c>
    </row>
    <row r="323" customFormat="false" ht="15" hidden="false" customHeight="false" outlineLevel="0" collapsed="false">
      <c r="A323" s="60" t="s">
        <v>1066</v>
      </c>
      <c r="B323" s="60" t="s">
        <v>1357</v>
      </c>
      <c r="C323" s="60" t="s">
        <v>1358</v>
      </c>
      <c r="D323" s="52" t="s">
        <v>1069</v>
      </c>
    </row>
    <row r="324" customFormat="false" ht="15" hidden="false" customHeight="false" outlineLevel="0" collapsed="false">
      <c r="A324" s="60" t="s">
        <v>1066</v>
      </c>
      <c r="B324" s="60" t="s">
        <v>1359</v>
      </c>
      <c r="C324" s="60"/>
      <c r="D324" s="52" t="s">
        <v>1071</v>
      </c>
    </row>
    <row r="325" customFormat="false" ht="15" hidden="false" customHeight="false" outlineLevel="0" collapsed="false">
      <c r="A325" s="60" t="s">
        <v>1360</v>
      </c>
      <c r="B325" s="60" t="s">
        <v>1067</v>
      </c>
      <c r="C325" s="60" t="s">
        <v>1068</v>
      </c>
      <c r="D325" s="52" t="s">
        <v>1069</v>
      </c>
    </row>
    <row r="326" customFormat="false" ht="15" hidden="false" customHeight="false" outlineLevel="0" collapsed="false">
      <c r="A326" s="60" t="s">
        <v>1360</v>
      </c>
      <c r="B326" s="60" t="s">
        <v>1070</v>
      </c>
      <c r="C326" s="60"/>
      <c r="D326" s="52" t="s">
        <v>1071</v>
      </c>
    </row>
    <row r="327" customFormat="false" ht="15" hidden="false" customHeight="false" outlineLevel="0" collapsed="false">
      <c r="A327" s="60" t="s">
        <v>1360</v>
      </c>
      <c r="B327" s="60" t="s">
        <v>1072</v>
      </c>
      <c r="C327" s="60" t="s">
        <v>1092</v>
      </c>
      <c r="D327" s="52" t="s">
        <v>1069</v>
      </c>
    </row>
    <row r="328" customFormat="false" ht="15" hidden="false" customHeight="false" outlineLevel="0" collapsed="false">
      <c r="A328" s="60" t="s">
        <v>1360</v>
      </c>
      <c r="B328" s="60" t="s">
        <v>1074</v>
      </c>
      <c r="C328" s="60"/>
      <c r="D328" s="52" t="s">
        <v>1071</v>
      </c>
    </row>
    <row r="329" customFormat="false" ht="15" hidden="false" customHeight="false" outlineLevel="0" collapsed="false">
      <c r="A329" s="60" t="s">
        <v>1360</v>
      </c>
      <c r="B329" s="60" t="s">
        <v>1075</v>
      </c>
      <c r="C329" s="60" t="s">
        <v>1095</v>
      </c>
      <c r="D329" s="52" t="s">
        <v>1069</v>
      </c>
    </row>
    <row r="330" customFormat="false" ht="15" hidden="false" customHeight="false" outlineLevel="0" collapsed="false">
      <c r="A330" s="60" t="s">
        <v>1360</v>
      </c>
      <c r="B330" s="60" t="s">
        <v>1077</v>
      </c>
      <c r="C330" s="60"/>
      <c r="D330" s="52" t="s">
        <v>1071</v>
      </c>
    </row>
    <row r="331" customFormat="false" ht="15" hidden="false" customHeight="false" outlineLevel="0" collapsed="false">
      <c r="A331" s="60" t="s">
        <v>1360</v>
      </c>
      <c r="B331" s="60" t="s">
        <v>1078</v>
      </c>
      <c r="C331" s="60" t="s">
        <v>1098</v>
      </c>
      <c r="D331" s="52" t="s">
        <v>1069</v>
      </c>
    </row>
    <row r="332" customFormat="false" ht="15" hidden="false" customHeight="false" outlineLevel="0" collapsed="false">
      <c r="A332" s="60" t="s">
        <v>1360</v>
      </c>
      <c r="B332" s="60" t="s">
        <v>1079</v>
      </c>
      <c r="C332" s="60"/>
      <c r="D332" s="52" t="s">
        <v>1071</v>
      </c>
    </row>
    <row r="333" customFormat="false" ht="15" hidden="false" customHeight="false" outlineLevel="0" collapsed="false">
      <c r="A333" s="60" t="s">
        <v>1360</v>
      </c>
      <c r="B333" s="60" t="s">
        <v>1080</v>
      </c>
      <c r="C333" s="60" t="s">
        <v>278</v>
      </c>
      <c r="D333" s="52" t="s">
        <v>1069</v>
      </c>
    </row>
    <row r="334" customFormat="false" ht="15" hidden="false" customHeight="false" outlineLevel="0" collapsed="false">
      <c r="A334" s="60" t="s">
        <v>1360</v>
      </c>
      <c r="B334" s="60" t="s">
        <v>1082</v>
      </c>
      <c r="C334" s="60"/>
      <c r="D334" s="52" t="s">
        <v>1071</v>
      </c>
    </row>
    <row r="335" customFormat="false" ht="15" hidden="false" customHeight="false" outlineLevel="0" collapsed="false">
      <c r="A335" s="60" t="s">
        <v>1360</v>
      </c>
      <c r="B335" s="60" t="s">
        <v>1083</v>
      </c>
      <c r="C335" s="60" t="s">
        <v>288</v>
      </c>
      <c r="D335" s="52" t="s">
        <v>1069</v>
      </c>
    </row>
    <row r="336" customFormat="false" ht="15" hidden="false" customHeight="false" outlineLevel="0" collapsed="false">
      <c r="A336" s="60" t="s">
        <v>1360</v>
      </c>
      <c r="B336" s="60" t="s">
        <v>1084</v>
      </c>
      <c r="C336" s="60"/>
      <c r="D336" s="52" t="s">
        <v>1071</v>
      </c>
    </row>
    <row r="337" customFormat="false" ht="15" hidden="false" customHeight="false" outlineLevel="0" collapsed="false">
      <c r="A337" s="60" t="s">
        <v>1360</v>
      </c>
      <c r="B337" s="60" t="s">
        <v>1085</v>
      </c>
      <c r="C337" s="60" t="s">
        <v>292</v>
      </c>
      <c r="D337" s="52" t="s">
        <v>1069</v>
      </c>
    </row>
    <row r="338" customFormat="false" ht="15" hidden="false" customHeight="false" outlineLevel="0" collapsed="false">
      <c r="A338" s="60" t="s">
        <v>1360</v>
      </c>
      <c r="B338" s="60" t="s">
        <v>1086</v>
      </c>
      <c r="C338" s="60"/>
      <c r="D338" s="52" t="s">
        <v>1071</v>
      </c>
    </row>
    <row r="339" customFormat="false" ht="15" hidden="false" customHeight="false" outlineLevel="0" collapsed="false">
      <c r="A339" s="60" t="s">
        <v>1360</v>
      </c>
      <c r="B339" s="60" t="s">
        <v>1087</v>
      </c>
      <c r="C339" s="60" t="s">
        <v>296</v>
      </c>
      <c r="D339" s="52" t="s">
        <v>1069</v>
      </c>
    </row>
    <row r="340" customFormat="false" ht="15" hidden="false" customHeight="false" outlineLevel="0" collapsed="false">
      <c r="A340" s="60" t="s">
        <v>1360</v>
      </c>
      <c r="B340" s="60" t="s">
        <v>1088</v>
      </c>
      <c r="C340" s="60"/>
      <c r="D340" s="52" t="s">
        <v>1071</v>
      </c>
    </row>
    <row r="341" customFormat="false" ht="15" hidden="false" customHeight="false" outlineLevel="0" collapsed="false">
      <c r="A341" s="60" t="s">
        <v>1360</v>
      </c>
      <c r="B341" s="60" t="s">
        <v>1089</v>
      </c>
      <c r="C341" s="60" t="s">
        <v>283</v>
      </c>
      <c r="D341" s="52" t="s">
        <v>1069</v>
      </c>
    </row>
    <row r="342" customFormat="false" ht="15" hidden="false" customHeight="false" outlineLevel="0" collapsed="false">
      <c r="A342" s="60" t="s">
        <v>1360</v>
      </c>
      <c r="B342" s="60" t="s">
        <v>1090</v>
      </c>
      <c r="C342" s="60"/>
      <c r="D342" s="52" t="s">
        <v>1071</v>
      </c>
    </row>
    <row r="343" customFormat="false" ht="15" hidden="false" customHeight="false" outlineLevel="0" collapsed="false">
      <c r="A343" s="60" t="s">
        <v>1360</v>
      </c>
      <c r="B343" s="60" t="s">
        <v>1091</v>
      </c>
      <c r="C343" s="60" t="s">
        <v>301</v>
      </c>
      <c r="D343" s="52" t="s">
        <v>1069</v>
      </c>
    </row>
    <row r="344" customFormat="false" ht="15" hidden="false" customHeight="false" outlineLevel="0" collapsed="false">
      <c r="A344" s="60" t="s">
        <v>1360</v>
      </c>
      <c r="B344" s="60" t="s">
        <v>1093</v>
      </c>
      <c r="C344" s="60"/>
      <c r="D344" s="52" t="s">
        <v>1071</v>
      </c>
    </row>
    <row r="345" customFormat="false" ht="15" hidden="false" customHeight="false" outlineLevel="0" collapsed="false">
      <c r="A345" s="60" t="s">
        <v>1360</v>
      </c>
      <c r="B345" s="60" t="s">
        <v>1094</v>
      </c>
      <c r="C345" s="60" t="s">
        <v>305</v>
      </c>
      <c r="D345" s="52" t="s">
        <v>1069</v>
      </c>
    </row>
    <row r="346" customFormat="false" ht="15" hidden="false" customHeight="false" outlineLevel="0" collapsed="false">
      <c r="A346" s="60" t="s">
        <v>1360</v>
      </c>
      <c r="B346" s="60" t="s">
        <v>1096</v>
      </c>
      <c r="C346" s="60"/>
      <c r="D346" s="52" t="s">
        <v>1071</v>
      </c>
    </row>
    <row r="347" customFormat="false" ht="15" hidden="false" customHeight="false" outlineLevel="0" collapsed="false">
      <c r="A347" s="60" t="s">
        <v>1360</v>
      </c>
      <c r="B347" s="60" t="s">
        <v>1097</v>
      </c>
      <c r="C347" s="60" t="s">
        <v>308</v>
      </c>
      <c r="D347" s="52" t="s">
        <v>1069</v>
      </c>
    </row>
    <row r="348" customFormat="false" ht="15" hidden="false" customHeight="false" outlineLevel="0" collapsed="false">
      <c r="A348" s="60" t="s">
        <v>1360</v>
      </c>
      <c r="B348" s="60" t="s">
        <v>1099</v>
      </c>
      <c r="C348" s="60"/>
      <c r="D348" s="52" t="s">
        <v>1071</v>
      </c>
    </row>
    <row r="349" customFormat="false" ht="15" hidden="false" customHeight="false" outlineLevel="0" collapsed="false">
      <c r="A349" s="60" t="s">
        <v>1360</v>
      </c>
      <c r="B349" s="60" t="s">
        <v>1361</v>
      </c>
      <c r="C349" s="60" t="s">
        <v>1362</v>
      </c>
      <c r="D349" s="52" t="s">
        <v>1069</v>
      </c>
    </row>
    <row r="350" customFormat="false" ht="15" hidden="false" customHeight="false" outlineLevel="0" collapsed="false">
      <c r="A350" s="60" t="s">
        <v>1360</v>
      </c>
      <c r="B350" s="60" t="s">
        <v>1363</v>
      </c>
      <c r="C350" s="60"/>
      <c r="D350" s="52" t="s">
        <v>1071</v>
      </c>
    </row>
    <row r="351" customFormat="false" ht="15" hidden="false" customHeight="false" outlineLevel="0" collapsed="false">
      <c r="A351" s="60" t="s">
        <v>1360</v>
      </c>
      <c r="B351" s="60" t="s">
        <v>1364</v>
      </c>
      <c r="C351" s="60" t="s">
        <v>1365</v>
      </c>
      <c r="D351" s="52" t="s">
        <v>1069</v>
      </c>
    </row>
    <row r="352" customFormat="false" ht="15" hidden="false" customHeight="false" outlineLevel="0" collapsed="false">
      <c r="A352" s="60" t="s">
        <v>1360</v>
      </c>
      <c r="B352" s="60" t="s">
        <v>1366</v>
      </c>
      <c r="C352" s="60"/>
      <c r="D352" s="52" t="s">
        <v>1071</v>
      </c>
    </row>
    <row r="353" customFormat="false" ht="15" hidden="false" customHeight="false" outlineLevel="0" collapsed="false">
      <c r="A353" s="60" t="s">
        <v>1360</v>
      </c>
      <c r="B353" s="60" t="s">
        <v>1367</v>
      </c>
      <c r="C353" s="60" t="s">
        <v>1368</v>
      </c>
      <c r="D353" s="52" t="s">
        <v>1069</v>
      </c>
    </row>
    <row r="354" customFormat="false" ht="15" hidden="false" customHeight="false" outlineLevel="0" collapsed="false">
      <c r="A354" s="60" t="s">
        <v>1360</v>
      </c>
      <c r="B354" s="60" t="s">
        <v>1369</v>
      </c>
      <c r="C354" s="60"/>
      <c r="D354" s="52" t="s">
        <v>1071</v>
      </c>
    </row>
    <row r="355" customFormat="false" ht="15" hidden="false" customHeight="false" outlineLevel="0" collapsed="false">
      <c r="A355" s="60" t="s">
        <v>1360</v>
      </c>
      <c r="B355" s="60" t="s">
        <v>1370</v>
      </c>
      <c r="C355" s="60" t="s">
        <v>1371</v>
      </c>
      <c r="D355" s="52" t="s">
        <v>1069</v>
      </c>
    </row>
    <row r="356" customFormat="false" ht="15" hidden="false" customHeight="false" outlineLevel="0" collapsed="false">
      <c r="A356" s="60" t="s">
        <v>1360</v>
      </c>
      <c r="B356" s="60" t="s">
        <v>1372</v>
      </c>
      <c r="C356" s="60"/>
      <c r="D356" s="52" t="s">
        <v>1071</v>
      </c>
    </row>
    <row r="357" customFormat="false" ht="15" hidden="false" customHeight="false" outlineLevel="0" collapsed="false">
      <c r="A357" s="60" t="s">
        <v>1360</v>
      </c>
      <c r="B357" s="60" t="s">
        <v>1100</v>
      </c>
      <c r="C357" s="60" t="s">
        <v>1373</v>
      </c>
      <c r="D357" s="52" t="s">
        <v>1069</v>
      </c>
    </row>
    <row r="358" customFormat="false" ht="15" hidden="false" customHeight="false" outlineLevel="0" collapsed="false">
      <c r="A358" s="60" t="s">
        <v>1360</v>
      </c>
      <c r="B358" s="60" t="s">
        <v>1102</v>
      </c>
      <c r="C358" s="60"/>
      <c r="D358" s="52" t="s">
        <v>1071</v>
      </c>
    </row>
    <row r="359" customFormat="false" ht="15" hidden="false" customHeight="false" outlineLevel="0" collapsed="false">
      <c r="A359" s="60" t="s">
        <v>1360</v>
      </c>
      <c r="B359" s="60" t="s">
        <v>1103</v>
      </c>
      <c r="C359" s="60" t="s">
        <v>1374</v>
      </c>
      <c r="D359" s="52" t="s">
        <v>1069</v>
      </c>
    </row>
    <row r="360" customFormat="false" ht="15" hidden="false" customHeight="false" outlineLevel="0" collapsed="false">
      <c r="A360" s="60" t="s">
        <v>1360</v>
      </c>
      <c r="B360" s="60" t="s">
        <v>1105</v>
      </c>
      <c r="C360" s="60"/>
      <c r="D360" s="52" t="s">
        <v>1071</v>
      </c>
    </row>
    <row r="361" customFormat="false" ht="15" hidden="false" customHeight="false" outlineLevel="0" collapsed="false">
      <c r="A361" s="60" t="s">
        <v>1360</v>
      </c>
      <c r="B361" s="60" t="s">
        <v>1106</v>
      </c>
      <c r="C361" s="60" t="s">
        <v>1375</v>
      </c>
      <c r="D361" s="52" t="s">
        <v>1069</v>
      </c>
    </row>
    <row r="362" customFormat="false" ht="15" hidden="false" customHeight="false" outlineLevel="0" collapsed="false">
      <c r="A362" s="60" t="s">
        <v>1360</v>
      </c>
      <c r="B362" s="60" t="s">
        <v>1108</v>
      </c>
      <c r="C362" s="60"/>
      <c r="D362" s="52" t="s">
        <v>1071</v>
      </c>
    </row>
    <row r="363" customFormat="false" ht="15" hidden="false" customHeight="false" outlineLevel="0" collapsed="false">
      <c r="A363" s="60" t="s">
        <v>1360</v>
      </c>
      <c r="B363" s="60" t="s">
        <v>1109</v>
      </c>
      <c r="C363" s="60" t="s">
        <v>1376</v>
      </c>
      <c r="D363" s="52" t="s">
        <v>1069</v>
      </c>
    </row>
    <row r="364" customFormat="false" ht="15" hidden="false" customHeight="false" outlineLevel="0" collapsed="false">
      <c r="A364" s="60" t="s">
        <v>1360</v>
      </c>
      <c r="B364" s="60" t="s">
        <v>1111</v>
      </c>
      <c r="C364" s="60"/>
      <c r="D364" s="52" t="s">
        <v>1071</v>
      </c>
    </row>
    <row r="365" customFormat="false" ht="15" hidden="false" customHeight="false" outlineLevel="0" collapsed="false">
      <c r="A365" s="60" t="s">
        <v>1360</v>
      </c>
      <c r="B365" s="60" t="s">
        <v>1112</v>
      </c>
      <c r="C365" s="60" t="s">
        <v>1377</v>
      </c>
      <c r="D365" s="52" t="s">
        <v>1069</v>
      </c>
    </row>
    <row r="366" customFormat="false" ht="15" hidden="false" customHeight="false" outlineLevel="0" collapsed="false">
      <c r="A366" s="60" t="s">
        <v>1360</v>
      </c>
      <c r="B366" s="60" t="s">
        <v>1113</v>
      </c>
      <c r="C366" s="60"/>
      <c r="D366" s="52" t="s">
        <v>1071</v>
      </c>
    </row>
    <row r="367" customFormat="false" ht="15" hidden="false" customHeight="false" outlineLevel="0" collapsed="false">
      <c r="A367" s="60" t="s">
        <v>1360</v>
      </c>
      <c r="B367" s="60" t="s">
        <v>1114</v>
      </c>
      <c r="C367" s="60" t="s">
        <v>1378</v>
      </c>
      <c r="D367" s="52" t="s">
        <v>1069</v>
      </c>
    </row>
    <row r="368" customFormat="false" ht="15" hidden="false" customHeight="false" outlineLevel="0" collapsed="false">
      <c r="A368" s="60" t="s">
        <v>1360</v>
      </c>
      <c r="B368" s="60" t="s">
        <v>1115</v>
      </c>
      <c r="C368" s="60"/>
      <c r="D368" s="52" t="s">
        <v>1071</v>
      </c>
    </row>
    <row r="369" customFormat="false" ht="15" hidden="false" customHeight="false" outlineLevel="0" collapsed="false">
      <c r="A369" s="60" t="s">
        <v>1360</v>
      </c>
      <c r="B369" s="60" t="s">
        <v>1116</v>
      </c>
      <c r="C369" s="60" t="s">
        <v>1379</v>
      </c>
      <c r="D369" s="52" t="s">
        <v>1069</v>
      </c>
    </row>
    <row r="370" customFormat="false" ht="15" hidden="false" customHeight="false" outlineLevel="0" collapsed="false">
      <c r="A370" s="60" t="s">
        <v>1360</v>
      </c>
      <c r="B370" s="60" t="s">
        <v>1117</v>
      </c>
      <c r="C370" s="60"/>
      <c r="D370" s="52" t="s">
        <v>1071</v>
      </c>
    </row>
    <row r="371" customFormat="false" ht="15" hidden="false" customHeight="false" outlineLevel="0" collapsed="false">
      <c r="A371" s="60" t="s">
        <v>1360</v>
      </c>
      <c r="B371" s="60" t="s">
        <v>1118</v>
      </c>
      <c r="C371" s="60" t="s">
        <v>1380</v>
      </c>
      <c r="D371" s="52" t="s">
        <v>1069</v>
      </c>
    </row>
    <row r="372" customFormat="false" ht="15" hidden="false" customHeight="false" outlineLevel="0" collapsed="false">
      <c r="A372" s="60" t="s">
        <v>1360</v>
      </c>
      <c r="B372" s="60" t="s">
        <v>1119</v>
      </c>
      <c r="C372" s="60"/>
      <c r="D372" s="52" t="s">
        <v>1071</v>
      </c>
    </row>
    <row r="373" customFormat="false" ht="15" hidden="false" customHeight="false" outlineLevel="0" collapsed="false">
      <c r="A373" s="60" t="s">
        <v>1360</v>
      </c>
      <c r="B373" s="60" t="s">
        <v>1120</v>
      </c>
      <c r="C373" s="60" t="s">
        <v>1381</v>
      </c>
      <c r="D373" s="52" t="s">
        <v>1069</v>
      </c>
    </row>
    <row r="374" customFormat="false" ht="15" hidden="false" customHeight="false" outlineLevel="0" collapsed="false">
      <c r="A374" s="60" t="s">
        <v>1360</v>
      </c>
      <c r="B374" s="60" t="s">
        <v>1122</v>
      </c>
      <c r="C374" s="60"/>
      <c r="D374" s="52" t="s">
        <v>1071</v>
      </c>
    </row>
    <row r="375" customFormat="false" ht="15" hidden="false" customHeight="false" outlineLevel="0" collapsed="false">
      <c r="A375" s="60" t="s">
        <v>1360</v>
      </c>
      <c r="B375" s="60" t="s">
        <v>1123</v>
      </c>
      <c r="C375" s="60" t="s">
        <v>1382</v>
      </c>
      <c r="D375" s="52" t="s">
        <v>1069</v>
      </c>
    </row>
    <row r="376" customFormat="false" ht="15" hidden="false" customHeight="false" outlineLevel="0" collapsed="false">
      <c r="A376" s="60" t="s">
        <v>1360</v>
      </c>
      <c r="B376" s="60" t="s">
        <v>1125</v>
      </c>
      <c r="C376" s="60"/>
      <c r="D376" s="52" t="s">
        <v>1071</v>
      </c>
    </row>
    <row r="377" customFormat="false" ht="15" hidden="false" customHeight="false" outlineLevel="0" collapsed="false">
      <c r="A377" s="60" t="s">
        <v>1360</v>
      </c>
      <c r="B377" s="60" t="s">
        <v>1126</v>
      </c>
      <c r="C377" s="60" t="s">
        <v>1383</v>
      </c>
      <c r="D377" s="52" t="s">
        <v>1069</v>
      </c>
    </row>
    <row r="378" customFormat="false" ht="15" hidden="false" customHeight="false" outlineLevel="0" collapsed="false">
      <c r="A378" s="60" t="s">
        <v>1360</v>
      </c>
      <c r="B378" s="60" t="s">
        <v>1128</v>
      </c>
      <c r="C378" s="60"/>
      <c r="D378" s="52" t="s">
        <v>1071</v>
      </c>
    </row>
    <row r="379" customFormat="false" ht="15" hidden="false" customHeight="false" outlineLevel="0" collapsed="false">
      <c r="A379" s="60" t="s">
        <v>1360</v>
      </c>
      <c r="B379" s="60" t="s">
        <v>1129</v>
      </c>
      <c r="C379" s="60" t="s">
        <v>1384</v>
      </c>
      <c r="D379" s="52" t="s">
        <v>1069</v>
      </c>
    </row>
    <row r="380" customFormat="false" ht="15" hidden="false" customHeight="false" outlineLevel="0" collapsed="false">
      <c r="A380" s="60" t="s">
        <v>1360</v>
      </c>
      <c r="B380" s="60" t="s">
        <v>1131</v>
      </c>
      <c r="C380" s="60"/>
      <c r="D380" s="52" t="s">
        <v>1071</v>
      </c>
    </row>
    <row r="381" customFormat="false" ht="15" hidden="false" customHeight="false" outlineLevel="0" collapsed="false">
      <c r="A381" s="60" t="s">
        <v>1360</v>
      </c>
      <c r="B381" s="60" t="s">
        <v>1144</v>
      </c>
      <c r="C381" s="60" t="s">
        <v>1385</v>
      </c>
      <c r="D381" s="52" t="s">
        <v>1069</v>
      </c>
    </row>
    <row r="382" customFormat="false" ht="15" hidden="false" customHeight="false" outlineLevel="0" collapsed="false">
      <c r="A382" s="60" t="s">
        <v>1360</v>
      </c>
      <c r="B382" s="60" t="s">
        <v>1146</v>
      </c>
      <c r="C382" s="60"/>
      <c r="D382" s="52" t="s">
        <v>1071</v>
      </c>
    </row>
    <row r="383" customFormat="false" ht="15" hidden="false" customHeight="false" outlineLevel="0" collapsed="false">
      <c r="A383" s="60" t="s">
        <v>1360</v>
      </c>
      <c r="B383" s="60" t="s">
        <v>1147</v>
      </c>
      <c r="C383" s="60" t="s">
        <v>1104</v>
      </c>
      <c r="D383" s="52" t="s">
        <v>1069</v>
      </c>
    </row>
    <row r="384" customFormat="false" ht="15" hidden="false" customHeight="false" outlineLevel="0" collapsed="false">
      <c r="A384" s="60" t="s">
        <v>1360</v>
      </c>
      <c r="B384" s="60" t="s">
        <v>1149</v>
      </c>
      <c r="C384" s="60"/>
      <c r="D384" s="52" t="s">
        <v>1071</v>
      </c>
    </row>
    <row r="385" customFormat="false" ht="15" hidden="false" customHeight="false" outlineLevel="0" collapsed="false">
      <c r="A385" s="60" t="s">
        <v>1360</v>
      </c>
      <c r="B385" s="60" t="s">
        <v>1150</v>
      </c>
      <c r="C385" s="60" t="s">
        <v>1107</v>
      </c>
      <c r="D385" s="52" t="s">
        <v>1069</v>
      </c>
    </row>
    <row r="386" customFormat="false" ht="15" hidden="false" customHeight="false" outlineLevel="0" collapsed="false">
      <c r="A386" s="60" t="s">
        <v>1360</v>
      </c>
      <c r="B386" s="60" t="s">
        <v>1152</v>
      </c>
      <c r="C386" s="60"/>
      <c r="D386" s="52" t="s">
        <v>1071</v>
      </c>
    </row>
    <row r="387" customFormat="false" ht="15" hidden="false" customHeight="false" outlineLevel="0" collapsed="false">
      <c r="A387" s="60" t="s">
        <v>1360</v>
      </c>
      <c r="B387" s="60" t="s">
        <v>1153</v>
      </c>
      <c r="C387" s="60" t="s">
        <v>1110</v>
      </c>
      <c r="D387" s="52" t="s">
        <v>1069</v>
      </c>
    </row>
    <row r="388" customFormat="false" ht="15" hidden="false" customHeight="false" outlineLevel="0" collapsed="false">
      <c r="A388" s="60" t="s">
        <v>1360</v>
      </c>
      <c r="B388" s="60" t="s">
        <v>1155</v>
      </c>
      <c r="C388" s="60"/>
      <c r="D388" s="52" t="s">
        <v>1071</v>
      </c>
    </row>
    <row r="389" customFormat="false" ht="15" hidden="false" customHeight="false" outlineLevel="0" collapsed="false">
      <c r="A389" s="60" t="s">
        <v>1360</v>
      </c>
      <c r="B389" s="60" t="s">
        <v>1156</v>
      </c>
      <c r="C389" s="60" t="s">
        <v>1386</v>
      </c>
      <c r="D389" s="52" t="s">
        <v>1069</v>
      </c>
    </row>
    <row r="390" customFormat="false" ht="15" hidden="false" customHeight="false" outlineLevel="0" collapsed="false">
      <c r="A390" s="60" t="s">
        <v>1360</v>
      </c>
      <c r="B390" s="60" t="s">
        <v>1158</v>
      </c>
      <c r="C390" s="60"/>
      <c r="D390" s="52" t="s">
        <v>1071</v>
      </c>
    </row>
    <row r="391" customFormat="false" ht="15" hidden="false" customHeight="false" outlineLevel="0" collapsed="false">
      <c r="A391" s="60" t="s">
        <v>1360</v>
      </c>
      <c r="B391" s="60" t="s">
        <v>1159</v>
      </c>
      <c r="C391" s="60" t="s">
        <v>1148</v>
      </c>
      <c r="D391" s="52" t="s">
        <v>1069</v>
      </c>
    </row>
    <row r="392" customFormat="false" ht="15" hidden="false" customHeight="false" outlineLevel="0" collapsed="false">
      <c r="A392" s="60" t="s">
        <v>1360</v>
      </c>
      <c r="B392" s="60" t="s">
        <v>1161</v>
      </c>
      <c r="C392" s="60"/>
      <c r="D392" s="52" t="s">
        <v>1071</v>
      </c>
    </row>
    <row r="393" customFormat="false" ht="15" hidden="false" customHeight="false" outlineLevel="0" collapsed="false">
      <c r="A393" s="60" t="s">
        <v>1360</v>
      </c>
      <c r="B393" s="60" t="s">
        <v>1162</v>
      </c>
      <c r="C393" s="60" t="s">
        <v>1151</v>
      </c>
      <c r="D393" s="52" t="s">
        <v>1069</v>
      </c>
    </row>
    <row r="394" customFormat="false" ht="15" hidden="false" customHeight="false" outlineLevel="0" collapsed="false">
      <c r="A394" s="60" t="s">
        <v>1360</v>
      </c>
      <c r="B394" s="60" t="s">
        <v>1164</v>
      </c>
      <c r="C394" s="60"/>
      <c r="D394" s="52" t="s">
        <v>1071</v>
      </c>
    </row>
    <row r="395" customFormat="false" ht="15" hidden="false" customHeight="false" outlineLevel="0" collapsed="false">
      <c r="A395" s="60" t="s">
        <v>1360</v>
      </c>
      <c r="B395" s="60" t="s">
        <v>1165</v>
      </c>
      <c r="C395" s="60" t="s">
        <v>1154</v>
      </c>
      <c r="D395" s="52" t="s">
        <v>1069</v>
      </c>
    </row>
    <row r="396" customFormat="false" ht="15" hidden="false" customHeight="false" outlineLevel="0" collapsed="false">
      <c r="A396" s="60" t="s">
        <v>1360</v>
      </c>
      <c r="B396" s="60" t="s">
        <v>1167</v>
      </c>
      <c r="C396" s="60"/>
      <c r="D396" s="52" t="s">
        <v>1071</v>
      </c>
    </row>
    <row r="397" customFormat="false" ht="15" hidden="false" customHeight="false" outlineLevel="0" collapsed="false">
      <c r="A397" s="60" t="s">
        <v>1360</v>
      </c>
      <c r="B397" s="60" t="s">
        <v>1387</v>
      </c>
      <c r="C397" s="60" t="s">
        <v>364</v>
      </c>
      <c r="D397" s="52" t="s">
        <v>1069</v>
      </c>
    </row>
    <row r="398" customFormat="false" ht="15" hidden="false" customHeight="false" outlineLevel="0" collapsed="false">
      <c r="A398" s="60" t="s">
        <v>1360</v>
      </c>
      <c r="B398" s="60" t="s">
        <v>1388</v>
      </c>
      <c r="C398" s="60"/>
      <c r="D398" s="52" t="s">
        <v>1071</v>
      </c>
    </row>
    <row r="399" customFormat="false" ht="15" hidden="false" customHeight="false" outlineLevel="0" collapsed="false">
      <c r="A399" s="60" t="s">
        <v>1360</v>
      </c>
      <c r="B399" s="60" t="s">
        <v>1389</v>
      </c>
      <c r="C399" s="60" t="s">
        <v>369</v>
      </c>
      <c r="D399" s="52" t="s">
        <v>1069</v>
      </c>
    </row>
    <row r="400" customFormat="false" ht="15" hidden="false" customHeight="false" outlineLevel="0" collapsed="false">
      <c r="A400" s="60" t="s">
        <v>1360</v>
      </c>
      <c r="B400" s="60" t="s">
        <v>1390</v>
      </c>
      <c r="C400" s="60"/>
      <c r="D400" s="52" t="s">
        <v>1071</v>
      </c>
    </row>
    <row r="401" customFormat="false" ht="15" hidden="false" customHeight="false" outlineLevel="0" collapsed="false">
      <c r="A401" s="60" t="s">
        <v>1360</v>
      </c>
      <c r="B401" s="60" t="s">
        <v>1391</v>
      </c>
      <c r="C401" s="60" t="s">
        <v>1392</v>
      </c>
      <c r="D401" s="52" t="s">
        <v>1069</v>
      </c>
    </row>
    <row r="402" customFormat="false" ht="15" hidden="false" customHeight="false" outlineLevel="0" collapsed="false">
      <c r="A402" s="60" t="s">
        <v>1360</v>
      </c>
      <c r="B402" s="60" t="s">
        <v>1393</v>
      </c>
      <c r="C402" s="60"/>
      <c r="D402" s="52" t="s">
        <v>1071</v>
      </c>
    </row>
    <row r="403" customFormat="false" ht="15" hidden="false" customHeight="false" outlineLevel="0" collapsed="false">
      <c r="A403" s="60" t="s">
        <v>1360</v>
      </c>
      <c r="B403" s="60" t="s">
        <v>1394</v>
      </c>
      <c r="C403" s="60" t="s">
        <v>1395</v>
      </c>
      <c r="D403" s="52" t="s">
        <v>1069</v>
      </c>
    </row>
    <row r="404" customFormat="false" ht="15" hidden="false" customHeight="false" outlineLevel="0" collapsed="false">
      <c r="A404" s="60" t="s">
        <v>1360</v>
      </c>
      <c r="B404" s="60" t="s">
        <v>1396</v>
      </c>
      <c r="C404" s="60"/>
      <c r="D404" s="52" t="s">
        <v>1071</v>
      </c>
    </row>
    <row r="405" customFormat="false" ht="15" hidden="false" customHeight="false" outlineLevel="0" collapsed="false">
      <c r="A405" s="60" t="s">
        <v>1360</v>
      </c>
      <c r="B405" s="60" t="s">
        <v>1168</v>
      </c>
      <c r="C405" s="60" t="s">
        <v>1397</v>
      </c>
      <c r="D405" s="52" t="s">
        <v>1069</v>
      </c>
    </row>
    <row r="406" customFormat="false" ht="15" hidden="false" customHeight="false" outlineLevel="0" collapsed="false">
      <c r="A406" s="60" t="s">
        <v>1360</v>
      </c>
      <c r="B406" s="60" t="s">
        <v>1170</v>
      </c>
      <c r="C406" s="60"/>
      <c r="D406" s="52" t="s">
        <v>1071</v>
      </c>
    </row>
    <row r="407" customFormat="false" ht="15" hidden="false" customHeight="false" outlineLevel="0" collapsed="false">
      <c r="A407" s="60" t="s">
        <v>1360</v>
      </c>
      <c r="B407" s="60" t="s">
        <v>1171</v>
      </c>
      <c r="C407" s="60" t="s">
        <v>1398</v>
      </c>
      <c r="D407" s="52" t="s">
        <v>1069</v>
      </c>
    </row>
    <row r="408" customFormat="false" ht="15" hidden="false" customHeight="false" outlineLevel="0" collapsed="false">
      <c r="A408" s="60" t="s">
        <v>1360</v>
      </c>
      <c r="B408" s="60" t="s">
        <v>1173</v>
      </c>
      <c r="C408" s="60"/>
      <c r="D408" s="52" t="s">
        <v>1071</v>
      </c>
    </row>
    <row r="409" customFormat="false" ht="15" hidden="false" customHeight="false" outlineLevel="0" collapsed="false">
      <c r="A409" s="60" t="s">
        <v>1360</v>
      </c>
      <c r="B409" s="60" t="s">
        <v>1174</v>
      </c>
      <c r="C409" s="60" t="s">
        <v>1399</v>
      </c>
      <c r="D409" s="52" t="s">
        <v>1069</v>
      </c>
    </row>
    <row r="410" customFormat="false" ht="15" hidden="false" customHeight="false" outlineLevel="0" collapsed="false">
      <c r="A410" s="60" t="s">
        <v>1360</v>
      </c>
      <c r="B410" s="60" t="s">
        <v>1176</v>
      </c>
      <c r="C410" s="60"/>
      <c r="D410" s="52" t="s">
        <v>1071</v>
      </c>
    </row>
    <row r="411" customFormat="false" ht="15" hidden="false" customHeight="false" outlineLevel="0" collapsed="false">
      <c r="A411" s="60" t="s">
        <v>1360</v>
      </c>
      <c r="B411" s="60" t="s">
        <v>1177</v>
      </c>
      <c r="C411" s="60" t="s">
        <v>1400</v>
      </c>
      <c r="D411" s="52" t="s">
        <v>1069</v>
      </c>
    </row>
    <row r="412" customFormat="false" ht="15" hidden="false" customHeight="false" outlineLevel="0" collapsed="false">
      <c r="A412" s="60" t="s">
        <v>1360</v>
      </c>
      <c r="B412" s="60" t="s">
        <v>1179</v>
      </c>
      <c r="C412" s="60"/>
      <c r="D412" s="52" t="s">
        <v>1071</v>
      </c>
    </row>
    <row r="413" customFormat="false" ht="15" hidden="false" customHeight="false" outlineLevel="0" collapsed="false">
      <c r="A413" s="60" t="s">
        <v>1360</v>
      </c>
      <c r="B413" s="60" t="s">
        <v>1401</v>
      </c>
      <c r="C413" s="60" t="s">
        <v>1402</v>
      </c>
      <c r="D413" s="52" t="s">
        <v>1069</v>
      </c>
    </row>
    <row r="414" customFormat="false" ht="15" hidden="false" customHeight="false" outlineLevel="0" collapsed="false">
      <c r="A414" s="60" t="s">
        <v>1360</v>
      </c>
      <c r="B414" s="60" t="s">
        <v>1403</v>
      </c>
      <c r="C414" s="60"/>
      <c r="D414" s="52" t="s">
        <v>1071</v>
      </c>
    </row>
    <row r="415" customFormat="false" ht="15" hidden="false" customHeight="false" outlineLevel="0" collapsed="false">
      <c r="A415" s="60" t="s">
        <v>1360</v>
      </c>
      <c r="B415" s="60" t="s">
        <v>1180</v>
      </c>
      <c r="C415" s="60" t="s">
        <v>1404</v>
      </c>
      <c r="D415" s="52" t="s">
        <v>1069</v>
      </c>
    </row>
    <row r="416" customFormat="false" ht="15" hidden="false" customHeight="false" outlineLevel="0" collapsed="false">
      <c r="A416" s="60" t="s">
        <v>1360</v>
      </c>
      <c r="B416" s="60" t="s">
        <v>1182</v>
      </c>
      <c r="C416" s="60"/>
      <c r="D416" s="52" t="s">
        <v>1071</v>
      </c>
    </row>
    <row r="417" customFormat="false" ht="15" hidden="false" customHeight="false" outlineLevel="0" collapsed="false">
      <c r="A417" s="60" t="s">
        <v>1360</v>
      </c>
      <c r="B417" s="60" t="s">
        <v>1183</v>
      </c>
      <c r="C417" s="60" t="s">
        <v>1405</v>
      </c>
      <c r="D417" s="52" t="s">
        <v>1069</v>
      </c>
    </row>
    <row r="418" customFormat="false" ht="15" hidden="false" customHeight="false" outlineLevel="0" collapsed="false">
      <c r="A418" s="60" t="s">
        <v>1360</v>
      </c>
      <c r="B418" s="60" t="s">
        <v>1184</v>
      </c>
      <c r="C418" s="60"/>
      <c r="D418" s="52" t="s">
        <v>1071</v>
      </c>
    </row>
    <row r="419" customFormat="false" ht="15" hidden="false" customHeight="false" outlineLevel="0" collapsed="false">
      <c r="A419" s="60" t="s">
        <v>1360</v>
      </c>
      <c r="B419" s="60" t="s">
        <v>1185</v>
      </c>
      <c r="C419" s="60" t="s">
        <v>1406</v>
      </c>
      <c r="D419" s="52" t="s">
        <v>1069</v>
      </c>
    </row>
    <row r="420" customFormat="false" ht="15" hidden="false" customHeight="false" outlineLevel="0" collapsed="false">
      <c r="A420" s="60" t="s">
        <v>1360</v>
      </c>
      <c r="B420" s="60" t="s">
        <v>1186</v>
      </c>
      <c r="C420" s="60"/>
      <c r="D420" s="52" t="s">
        <v>1071</v>
      </c>
    </row>
    <row r="421" customFormat="false" ht="15" hidden="false" customHeight="false" outlineLevel="0" collapsed="false">
      <c r="A421" s="60" t="s">
        <v>1360</v>
      </c>
      <c r="B421" s="60" t="s">
        <v>1407</v>
      </c>
      <c r="C421" s="60" t="s">
        <v>1169</v>
      </c>
      <c r="D421" s="52" t="s">
        <v>1069</v>
      </c>
    </row>
    <row r="422" customFormat="false" ht="15" hidden="false" customHeight="false" outlineLevel="0" collapsed="false">
      <c r="A422" s="60" t="s">
        <v>1360</v>
      </c>
      <c r="B422" s="60" t="s">
        <v>1408</v>
      </c>
      <c r="C422" s="60"/>
      <c r="D422" s="52" t="s">
        <v>1071</v>
      </c>
    </row>
    <row r="423" customFormat="false" ht="15" hidden="false" customHeight="false" outlineLevel="0" collapsed="false">
      <c r="A423" s="60" t="s">
        <v>1360</v>
      </c>
      <c r="B423" s="60" t="s">
        <v>1409</v>
      </c>
      <c r="C423" s="60" t="s">
        <v>1172</v>
      </c>
      <c r="D423" s="52" t="s">
        <v>1069</v>
      </c>
    </row>
    <row r="424" customFormat="false" ht="15" hidden="false" customHeight="false" outlineLevel="0" collapsed="false">
      <c r="A424" s="60" t="s">
        <v>1360</v>
      </c>
      <c r="B424" s="60" t="s">
        <v>1410</v>
      </c>
      <c r="C424" s="60"/>
      <c r="D424" s="52" t="s">
        <v>1071</v>
      </c>
    </row>
    <row r="425" customFormat="false" ht="15" hidden="false" customHeight="false" outlineLevel="0" collapsed="false">
      <c r="A425" s="60" t="s">
        <v>1360</v>
      </c>
      <c r="B425" s="60" t="s">
        <v>1411</v>
      </c>
      <c r="C425" s="60" t="s">
        <v>1175</v>
      </c>
      <c r="D425" s="52" t="s">
        <v>1069</v>
      </c>
    </row>
    <row r="426" customFormat="false" ht="15" hidden="false" customHeight="false" outlineLevel="0" collapsed="false">
      <c r="A426" s="60" t="s">
        <v>1360</v>
      </c>
      <c r="B426" s="60" t="s">
        <v>1412</v>
      </c>
      <c r="C426" s="60"/>
      <c r="D426" s="52" t="s">
        <v>1071</v>
      </c>
    </row>
    <row r="427" customFormat="false" ht="15" hidden="false" customHeight="false" outlineLevel="0" collapsed="false">
      <c r="A427" s="60" t="s">
        <v>1360</v>
      </c>
      <c r="B427" s="60" t="s">
        <v>1413</v>
      </c>
      <c r="C427" s="60" t="s">
        <v>1178</v>
      </c>
      <c r="D427" s="52" t="s">
        <v>1069</v>
      </c>
    </row>
    <row r="428" customFormat="false" ht="15" hidden="false" customHeight="false" outlineLevel="0" collapsed="false">
      <c r="A428" s="60" t="s">
        <v>1360</v>
      </c>
      <c r="B428" s="60" t="s">
        <v>1414</v>
      </c>
      <c r="C428" s="60"/>
      <c r="D428" s="52" t="s">
        <v>1071</v>
      </c>
    </row>
    <row r="429" customFormat="false" ht="15" hidden="false" customHeight="false" outlineLevel="0" collapsed="false">
      <c r="A429" s="60" t="s">
        <v>1360</v>
      </c>
      <c r="B429" s="60" t="s">
        <v>1187</v>
      </c>
      <c r="C429" s="60" t="s">
        <v>1415</v>
      </c>
      <c r="D429" s="52" t="s">
        <v>1069</v>
      </c>
    </row>
    <row r="430" customFormat="false" ht="15" hidden="false" customHeight="false" outlineLevel="0" collapsed="false">
      <c r="A430" s="60" t="s">
        <v>1360</v>
      </c>
      <c r="B430" s="60" t="s">
        <v>1189</v>
      </c>
      <c r="C430" s="60"/>
      <c r="D430" s="52" t="s">
        <v>1071</v>
      </c>
    </row>
    <row r="431" customFormat="false" ht="15" hidden="false" customHeight="false" outlineLevel="0" collapsed="false">
      <c r="A431" s="60" t="s">
        <v>1360</v>
      </c>
      <c r="B431" s="60" t="s">
        <v>1190</v>
      </c>
      <c r="C431" s="60" t="s">
        <v>1416</v>
      </c>
      <c r="D431" s="52" t="s">
        <v>1069</v>
      </c>
    </row>
    <row r="432" customFormat="false" ht="15" hidden="false" customHeight="false" outlineLevel="0" collapsed="false">
      <c r="A432" s="60" t="s">
        <v>1360</v>
      </c>
      <c r="B432" s="60" t="s">
        <v>1192</v>
      </c>
      <c r="C432" s="60"/>
      <c r="D432" s="52" t="s">
        <v>1071</v>
      </c>
    </row>
    <row r="433" customFormat="false" ht="15" hidden="false" customHeight="false" outlineLevel="0" collapsed="false">
      <c r="A433" s="60" t="s">
        <v>1360</v>
      </c>
      <c r="B433" s="60" t="s">
        <v>1193</v>
      </c>
      <c r="C433" s="60" t="s">
        <v>1417</v>
      </c>
      <c r="D433" s="52" t="s">
        <v>1069</v>
      </c>
    </row>
    <row r="434" customFormat="false" ht="15" hidden="false" customHeight="false" outlineLevel="0" collapsed="false">
      <c r="A434" s="60" t="s">
        <v>1360</v>
      </c>
      <c r="B434" s="60" t="s">
        <v>1195</v>
      </c>
      <c r="C434" s="60"/>
      <c r="D434" s="52" t="s">
        <v>1071</v>
      </c>
    </row>
    <row r="435" customFormat="false" ht="15" hidden="false" customHeight="false" outlineLevel="0" collapsed="false">
      <c r="A435" s="60" t="s">
        <v>1360</v>
      </c>
      <c r="B435" s="60" t="s">
        <v>1196</v>
      </c>
      <c r="C435" s="60" t="s">
        <v>1418</v>
      </c>
      <c r="D435" s="52" t="s">
        <v>1069</v>
      </c>
    </row>
    <row r="436" customFormat="false" ht="15" hidden="false" customHeight="false" outlineLevel="0" collapsed="false">
      <c r="A436" s="60" t="s">
        <v>1360</v>
      </c>
      <c r="B436" s="60" t="s">
        <v>1198</v>
      </c>
      <c r="C436" s="60"/>
      <c r="D436" s="52" t="s">
        <v>1071</v>
      </c>
    </row>
    <row r="437" customFormat="false" ht="15" hidden="false" customHeight="false" outlineLevel="0" collapsed="false">
      <c r="A437" s="60" t="s">
        <v>1360</v>
      </c>
      <c r="B437" s="60" t="s">
        <v>1419</v>
      </c>
      <c r="C437" s="60" t="s">
        <v>1420</v>
      </c>
      <c r="D437" s="52" t="s">
        <v>1069</v>
      </c>
    </row>
    <row r="438" customFormat="false" ht="15" hidden="false" customHeight="false" outlineLevel="0" collapsed="false">
      <c r="A438" s="60" t="s">
        <v>1360</v>
      </c>
      <c r="B438" s="60" t="s">
        <v>1421</v>
      </c>
      <c r="C438" s="60"/>
      <c r="D438" s="52" t="s">
        <v>1071</v>
      </c>
    </row>
    <row r="439" customFormat="false" ht="15" hidden="false" customHeight="false" outlineLevel="0" collapsed="false">
      <c r="A439" s="60" t="s">
        <v>1360</v>
      </c>
      <c r="B439" s="60" t="s">
        <v>1422</v>
      </c>
      <c r="C439" s="60" t="s">
        <v>1423</v>
      </c>
      <c r="D439" s="52" t="s">
        <v>1069</v>
      </c>
    </row>
    <row r="440" customFormat="false" ht="15" hidden="false" customHeight="false" outlineLevel="0" collapsed="false">
      <c r="A440" s="60" t="s">
        <v>1360</v>
      </c>
      <c r="B440" s="60" t="s">
        <v>1424</v>
      </c>
      <c r="C440" s="60"/>
      <c r="D440" s="52" t="s">
        <v>1071</v>
      </c>
    </row>
    <row r="441" customFormat="false" ht="15" hidden="false" customHeight="false" outlineLevel="0" collapsed="false">
      <c r="A441" s="60" t="s">
        <v>1360</v>
      </c>
      <c r="B441" s="60" t="s">
        <v>1425</v>
      </c>
      <c r="C441" s="60" t="s">
        <v>1426</v>
      </c>
      <c r="D441" s="52" t="s">
        <v>1069</v>
      </c>
    </row>
    <row r="442" customFormat="false" ht="15" hidden="false" customHeight="false" outlineLevel="0" collapsed="false">
      <c r="A442" s="60" t="s">
        <v>1360</v>
      </c>
      <c r="B442" s="60" t="s">
        <v>1427</v>
      </c>
      <c r="C442" s="60"/>
      <c r="D442" s="52" t="s">
        <v>1071</v>
      </c>
    </row>
    <row r="443" customFormat="false" ht="15" hidden="false" customHeight="false" outlineLevel="0" collapsed="false">
      <c r="A443" s="60" t="s">
        <v>1360</v>
      </c>
      <c r="B443" s="60" t="s">
        <v>1428</v>
      </c>
      <c r="C443" s="60" t="s">
        <v>1429</v>
      </c>
      <c r="D443" s="52" t="s">
        <v>1069</v>
      </c>
    </row>
    <row r="444" customFormat="false" ht="15" hidden="false" customHeight="false" outlineLevel="0" collapsed="false">
      <c r="A444" s="60" t="s">
        <v>1360</v>
      </c>
      <c r="B444" s="60" t="s">
        <v>1430</v>
      </c>
      <c r="C444" s="60"/>
      <c r="D444" s="52" t="s">
        <v>1071</v>
      </c>
    </row>
    <row r="445" customFormat="false" ht="15" hidden="false" customHeight="false" outlineLevel="0" collapsed="false">
      <c r="A445" s="60" t="s">
        <v>1360</v>
      </c>
      <c r="B445" s="60" t="s">
        <v>1199</v>
      </c>
      <c r="C445" s="60" t="s">
        <v>1431</v>
      </c>
      <c r="D445" s="52" t="s">
        <v>1069</v>
      </c>
    </row>
    <row r="446" customFormat="false" ht="15" hidden="false" customHeight="false" outlineLevel="0" collapsed="false">
      <c r="A446" s="60" t="s">
        <v>1360</v>
      </c>
      <c r="B446" s="60" t="s">
        <v>1201</v>
      </c>
      <c r="C446" s="60"/>
      <c r="D446" s="52" t="s">
        <v>1071</v>
      </c>
    </row>
    <row r="447" customFormat="false" ht="15" hidden="false" customHeight="false" outlineLevel="0" collapsed="false">
      <c r="A447" s="60" t="s">
        <v>1360</v>
      </c>
      <c r="B447" s="60" t="s">
        <v>1202</v>
      </c>
      <c r="C447" s="60" t="s">
        <v>1432</v>
      </c>
      <c r="D447" s="52" t="s">
        <v>1069</v>
      </c>
    </row>
    <row r="448" customFormat="false" ht="15" hidden="false" customHeight="false" outlineLevel="0" collapsed="false">
      <c r="A448" s="60" t="s">
        <v>1360</v>
      </c>
      <c r="B448" s="60" t="s">
        <v>1204</v>
      </c>
      <c r="C448" s="60"/>
      <c r="D448" s="52" t="s">
        <v>1071</v>
      </c>
    </row>
    <row r="449" customFormat="false" ht="15" hidden="false" customHeight="false" outlineLevel="0" collapsed="false">
      <c r="A449" s="60" t="s">
        <v>1360</v>
      </c>
      <c r="B449" s="60" t="s">
        <v>1205</v>
      </c>
      <c r="C449" s="60" t="s">
        <v>1433</v>
      </c>
      <c r="D449" s="52" t="s">
        <v>1069</v>
      </c>
    </row>
    <row r="450" customFormat="false" ht="15" hidden="false" customHeight="false" outlineLevel="0" collapsed="false">
      <c r="A450" s="60" t="s">
        <v>1360</v>
      </c>
      <c r="B450" s="60" t="s">
        <v>1207</v>
      </c>
      <c r="C450" s="60"/>
      <c r="D450" s="52" t="s">
        <v>1071</v>
      </c>
    </row>
    <row r="451" customFormat="false" ht="15" hidden="false" customHeight="false" outlineLevel="0" collapsed="false">
      <c r="A451" s="60" t="s">
        <v>1360</v>
      </c>
      <c r="B451" s="60" t="s">
        <v>1208</v>
      </c>
      <c r="C451" s="60" t="s">
        <v>1434</v>
      </c>
      <c r="D451" s="52" t="s">
        <v>1069</v>
      </c>
    </row>
    <row r="452" customFormat="false" ht="15" hidden="false" customHeight="false" outlineLevel="0" collapsed="false">
      <c r="A452" s="60" t="s">
        <v>1360</v>
      </c>
      <c r="B452" s="60" t="s">
        <v>1210</v>
      </c>
      <c r="C452" s="60"/>
      <c r="D452" s="52" t="s">
        <v>1071</v>
      </c>
    </row>
    <row r="453" customFormat="false" ht="15" hidden="false" customHeight="false" outlineLevel="0" collapsed="false">
      <c r="A453" s="60" t="s">
        <v>1360</v>
      </c>
      <c r="B453" s="60" t="s">
        <v>1435</v>
      </c>
      <c r="C453" s="60" t="s">
        <v>1436</v>
      </c>
      <c r="D453" s="52" t="s">
        <v>1069</v>
      </c>
    </row>
    <row r="454" customFormat="false" ht="15" hidden="false" customHeight="false" outlineLevel="0" collapsed="false">
      <c r="A454" s="60" t="s">
        <v>1360</v>
      </c>
      <c r="B454" s="60" t="s">
        <v>1437</v>
      </c>
      <c r="C454" s="60"/>
      <c r="D454" s="52" t="s">
        <v>1071</v>
      </c>
    </row>
    <row r="455" customFormat="false" ht="15" hidden="false" customHeight="false" outlineLevel="0" collapsed="false">
      <c r="A455" s="60" t="s">
        <v>1360</v>
      </c>
      <c r="B455" s="60" t="s">
        <v>1438</v>
      </c>
      <c r="C455" s="60" t="s">
        <v>1191</v>
      </c>
      <c r="D455" s="52" t="s">
        <v>1069</v>
      </c>
    </row>
    <row r="456" customFormat="false" ht="15" hidden="false" customHeight="false" outlineLevel="0" collapsed="false">
      <c r="A456" s="60" t="s">
        <v>1360</v>
      </c>
      <c r="B456" s="60" t="s">
        <v>1439</v>
      </c>
      <c r="C456" s="60"/>
      <c r="D456" s="52" t="s">
        <v>1071</v>
      </c>
    </row>
    <row r="457" customFormat="false" ht="15" hidden="false" customHeight="false" outlineLevel="0" collapsed="false">
      <c r="A457" s="60" t="s">
        <v>1360</v>
      </c>
      <c r="B457" s="60" t="s">
        <v>1211</v>
      </c>
      <c r="C457" s="60" t="s">
        <v>1194</v>
      </c>
      <c r="D457" s="52" t="s">
        <v>1069</v>
      </c>
    </row>
    <row r="458" customFormat="false" ht="15" hidden="false" customHeight="false" outlineLevel="0" collapsed="false">
      <c r="A458" s="60" t="s">
        <v>1360</v>
      </c>
      <c r="B458" s="60" t="s">
        <v>1213</v>
      </c>
      <c r="C458" s="60"/>
      <c r="D458" s="52" t="s">
        <v>1071</v>
      </c>
    </row>
    <row r="459" customFormat="false" ht="15" hidden="false" customHeight="false" outlineLevel="0" collapsed="false">
      <c r="A459" s="60" t="s">
        <v>1360</v>
      </c>
      <c r="B459" s="60" t="s">
        <v>1440</v>
      </c>
      <c r="C459" s="60" t="s">
        <v>1197</v>
      </c>
      <c r="D459" s="52" t="s">
        <v>1069</v>
      </c>
    </row>
    <row r="460" customFormat="false" ht="15" hidden="false" customHeight="false" outlineLevel="0" collapsed="false">
      <c r="A460" s="60" t="s">
        <v>1360</v>
      </c>
      <c r="B460" s="60" t="s">
        <v>1441</v>
      </c>
      <c r="C460" s="60"/>
      <c r="D460" s="52" t="s">
        <v>1071</v>
      </c>
    </row>
    <row r="461" customFormat="false" ht="15" hidden="false" customHeight="false" outlineLevel="0" collapsed="false">
      <c r="A461" s="60" t="s">
        <v>1442</v>
      </c>
      <c r="B461" s="60" t="s">
        <v>1443</v>
      </c>
      <c r="C461" s="60" t="s">
        <v>1068</v>
      </c>
      <c r="D461" s="52" t="s">
        <v>1069</v>
      </c>
    </row>
    <row r="462" customFormat="false" ht="15" hidden="false" customHeight="false" outlineLevel="0" collapsed="false">
      <c r="A462" s="60" t="s">
        <v>1442</v>
      </c>
      <c r="B462" s="60" t="s">
        <v>1080</v>
      </c>
      <c r="C462" s="60"/>
      <c r="D462" s="52" t="s">
        <v>1071</v>
      </c>
    </row>
    <row r="463" customFormat="false" ht="15" hidden="false" customHeight="false" outlineLevel="0" collapsed="false">
      <c r="A463" s="60" t="s">
        <v>1442</v>
      </c>
      <c r="B463" s="60" t="s">
        <v>1444</v>
      </c>
      <c r="C463" s="60" t="s">
        <v>1095</v>
      </c>
      <c r="D463" s="52" t="s">
        <v>1069</v>
      </c>
    </row>
    <row r="464" customFormat="false" ht="15" hidden="false" customHeight="false" outlineLevel="0" collapsed="false">
      <c r="A464" s="60" t="s">
        <v>1442</v>
      </c>
      <c r="B464" s="60" t="s">
        <v>1083</v>
      </c>
      <c r="C464" s="60"/>
      <c r="D464" s="52" t="s">
        <v>1071</v>
      </c>
    </row>
    <row r="465" customFormat="false" ht="15" hidden="false" customHeight="false" outlineLevel="0" collapsed="false">
      <c r="A465" s="60" t="s">
        <v>1442</v>
      </c>
      <c r="B465" s="60" t="s">
        <v>1445</v>
      </c>
      <c r="C465" s="60" t="s">
        <v>1446</v>
      </c>
      <c r="D465" s="52" t="s">
        <v>1069</v>
      </c>
    </row>
    <row r="466" customFormat="false" ht="15" hidden="false" customHeight="false" outlineLevel="0" collapsed="false">
      <c r="A466" s="60" t="s">
        <v>1442</v>
      </c>
      <c r="B466" s="60" t="s">
        <v>1089</v>
      </c>
      <c r="C466" s="60"/>
      <c r="D466" s="52" t="s">
        <v>1071</v>
      </c>
    </row>
    <row r="467" customFormat="false" ht="15" hidden="false" customHeight="false" outlineLevel="0" collapsed="false">
      <c r="A467" s="60" t="s">
        <v>1442</v>
      </c>
      <c r="B467" s="60" t="s">
        <v>1447</v>
      </c>
      <c r="C467" s="60" t="s">
        <v>1448</v>
      </c>
      <c r="D467" s="52" t="s">
        <v>1069</v>
      </c>
    </row>
    <row r="468" customFormat="false" ht="15" hidden="false" customHeight="false" outlineLevel="0" collapsed="false">
      <c r="A468" s="60" t="s">
        <v>1442</v>
      </c>
      <c r="B468" s="60" t="s">
        <v>1091</v>
      </c>
      <c r="C468" s="60"/>
      <c r="D468" s="52" t="s">
        <v>1071</v>
      </c>
    </row>
    <row r="469" customFormat="false" ht="15" hidden="false" customHeight="false" outlineLevel="0" collapsed="false">
      <c r="A469" s="60" t="s">
        <v>1442</v>
      </c>
      <c r="B469" s="60" t="s">
        <v>1449</v>
      </c>
      <c r="C469" s="60" t="s">
        <v>1181</v>
      </c>
      <c r="D469" s="52" t="s">
        <v>1069</v>
      </c>
    </row>
    <row r="470" customFormat="false" ht="15" hidden="false" customHeight="false" outlineLevel="0" collapsed="false">
      <c r="A470" s="60" t="s">
        <v>1442</v>
      </c>
      <c r="B470" s="60" t="s">
        <v>1103</v>
      </c>
      <c r="C470" s="60"/>
      <c r="D470" s="52" t="s">
        <v>1071</v>
      </c>
    </row>
    <row r="471" customFormat="false" ht="15" hidden="false" customHeight="false" outlineLevel="0" collapsed="false">
      <c r="A471" s="60" t="s">
        <v>1442</v>
      </c>
      <c r="B471" s="60" t="s">
        <v>933</v>
      </c>
      <c r="C471" s="60" t="s">
        <v>461</v>
      </c>
      <c r="D471" s="52" t="s">
        <v>1069</v>
      </c>
    </row>
    <row r="472" customFormat="false" ht="15" hidden="false" customHeight="false" outlineLevel="0" collapsed="false">
      <c r="A472" s="60" t="s">
        <v>1442</v>
      </c>
      <c r="B472" s="60" t="s">
        <v>1112</v>
      </c>
      <c r="C472" s="60"/>
      <c r="D472" s="52" t="s">
        <v>1071</v>
      </c>
    </row>
    <row r="473" customFormat="false" ht="15" hidden="false" customHeight="false" outlineLevel="0" collapsed="false">
      <c r="A473" s="60" t="s">
        <v>1442</v>
      </c>
      <c r="B473" s="60" t="s">
        <v>1450</v>
      </c>
      <c r="C473" s="60" t="s">
        <v>461</v>
      </c>
      <c r="D473" s="52" t="s">
        <v>1069</v>
      </c>
    </row>
    <row r="474" customFormat="false" ht="15" hidden="false" customHeight="false" outlineLevel="0" collapsed="false">
      <c r="A474" s="60" t="s">
        <v>1442</v>
      </c>
      <c r="B474" s="60" t="s">
        <v>1114</v>
      </c>
      <c r="C474" s="60"/>
      <c r="D474" s="52" t="s">
        <v>1071</v>
      </c>
    </row>
    <row r="475" customFormat="false" ht="15" hidden="false" customHeight="false" outlineLevel="0" collapsed="false">
      <c r="A475" s="60" t="s">
        <v>1442</v>
      </c>
      <c r="B475" s="60" t="s">
        <v>938</v>
      </c>
      <c r="C475" s="60" t="s">
        <v>1169</v>
      </c>
      <c r="D475" s="52" t="s">
        <v>1069</v>
      </c>
    </row>
    <row r="476" customFormat="false" ht="15" hidden="false" customHeight="false" outlineLevel="0" collapsed="false">
      <c r="A476" s="60" t="s">
        <v>1442</v>
      </c>
      <c r="B476" s="60" t="s">
        <v>1120</v>
      </c>
      <c r="C476" s="60"/>
      <c r="D476" s="52" t="s">
        <v>1071</v>
      </c>
    </row>
    <row r="477" customFormat="false" ht="15" hidden="false" customHeight="false" outlineLevel="0" collapsed="false">
      <c r="A477" s="60" t="s">
        <v>1442</v>
      </c>
      <c r="B477" s="60" t="s">
        <v>1451</v>
      </c>
      <c r="C477" s="60" t="s">
        <v>1452</v>
      </c>
      <c r="D477" s="52" t="s">
        <v>1069</v>
      </c>
    </row>
    <row r="478" customFormat="false" ht="15" hidden="false" customHeight="false" outlineLevel="0" collapsed="false">
      <c r="A478" s="60" t="s">
        <v>1442</v>
      </c>
      <c r="B478" s="60" t="s">
        <v>1123</v>
      </c>
      <c r="C478" s="60"/>
      <c r="D478" s="52" t="s">
        <v>1071</v>
      </c>
    </row>
    <row r="479" customFormat="false" ht="15" hidden="false" customHeight="false" outlineLevel="0" collapsed="false">
      <c r="A479" s="60" t="s">
        <v>1442</v>
      </c>
      <c r="B479" s="60" t="s">
        <v>1453</v>
      </c>
      <c r="C479" s="60" t="s">
        <v>1188</v>
      </c>
      <c r="D479" s="52" t="s">
        <v>1069</v>
      </c>
    </row>
    <row r="480" customFormat="false" ht="15" hidden="false" customHeight="false" outlineLevel="0" collapsed="false">
      <c r="A480" s="60" t="s">
        <v>1442</v>
      </c>
      <c r="B480" s="60" t="s">
        <v>1132</v>
      </c>
      <c r="C480" s="60"/>
      <c r="D480" s="52" t="s">
        <v>1071</v>
      </c>
    </row>
    <row r="481" customFormat="false" ht="15" hidden="false" customHeight="false" outlineLevel="0" collapsed="false">
      <c r="A481" s="60" t="s">
        <v>1442</v>
      </c>
      <c r="B481" s="60" t="s">
        <v>1454</v>
      </c>
      <c r="C481" s="60" t="s">
        <v>1206</v>
      </c>
      <c r="D481" s="52" t="s">
        <v>1069</v>
      </c>
    </row>
    <row r="482" customFormat="false" ht="15" hidden="false" customHeight="false" outlineLevel="0" collapsed="false">
      <c r="A482" s="60" t="s">
        <v>1442</v>
      </c>
      <c r="B482" s="60" t="s">
        <v>1135</v>
      </c>
      <c r="C482" s="60"/>
      <c r="D482" s="52" t="s">
        <v>1071</v>
      </c>
    </row>
    <row r="483" customFormat="false" ht="15" hidden="false" customHeight="false" outlineLevel="0" collapsed="false">
      <c r="A483" s="60" t="s">
        <v>1442</v>
      </c>
      <c r="B483" s="60" t="s">
        <v>948</v>
      </c>
      <c r="C483" s="60" t="s">
        <v>1068</v>
      </c>
      <c r="D483" s="52" t="s">
        <v>1069</v>
      </c>
    </row>
    <row r="484" customFormat="false" ht="15" hidden="false" customHeight="false" outlineLevel="0" collapsed="false">
      <c r="A484" s="60" t="s">
        <v>1442</v>
      </c>
      <c r="B484" s="60" t="s">
        <v>1156</v>
      </c>
      <c r="C484" s="60"/>
      <c r="D484" s="52" t="s">
        <v>1071</v>
      </c>
    </row>
    <row r="485" customFormat="false" ht="15" hidden="false" customHeight="false" outlineLevel="0" collapsed="false">
      <c r="A485" s="60" t="s">
        <v>1442</v>
      </c>
      <c r="B485" s="60" t="s">
        <v>1455</v>
      </c>
      <c r="C485" s="60" t="s">
        <v>1076</v>
      </c>
      <c r="D485" s="52" t="s">
        <v>1069</v>
      </c>
    </row>
    <row r="486" customFormat="false" ht="15" hidden="false" customHeight="false" outlineLevel="0" collapsed="false">
      <c r="A486" s="60" t="s">
        <v>1442</v>
      </c>
      <c r="B486" s="60" t="s">
        <v>1159</v>
      </c>
      <c r="C486" s="60"/>
      <c r="D486" s="52" t="s">
        <v>1071</v>
      </c>
    </row>
    <row r="487" customFormat="false" ht="15" hidden="false" customHeight="false" outlineLevel="0" collapsed="false">
      <c r="A487" s="60" t="s">
        <v>1442</v>
      </c>
      <c r="B487" s="60" t="s">
        <v>1456</v>
      </c>
      <c r="C487" s="60" t="s">
        <v>1081</v>
      </c>
      <c r="D487" s="52" t="s">
        <v>1069</v>
      </c>
    </row>
    <row r="488" customFormat="false" ht="15" hidden="false" customHeight="false" outlineLevel="0" collapsed="false">
      <c r="A488" s="60" t="s">
        <v>1442</v>
      </c>
      <c r="B488" s="60" t="s">
        <v>1387</v>
      </c>
      <c r="C488" s="60"/>
      <c r="D488" s="52" t="s">
        <v>1071</v>
      </c>
    </row>
    <row r="489" customFormat="false" ht="15" hidden="false" customHeight="false" outlineLevel="0" collapsed="false">
      <c r="A489" s="60" t="s">
        <v>1442</v>
      </c>
      <c r="B489" s="60" t="s">
        <v>1457</v>
      </c>
      <c r="C489" s="60" t="s">
        <v>266</v>
      </c>
      <c r="D489" s="52" t="s">
        <v>1069</v>
      </c>
    </row>
    <row r="490" customFormat="false" ht="15" hidden="false" customHeight="false" outlineLevel="0" collapsed="false">
      <c r="A490" s="60" t="s">
        <v>1442</v>
      </c>
      <c r="B490" s="60" t="s">
        <v>1389</v>
      </c>
      <c r="C490" s="60"/>
      <c r="D490" s="52" t="s">
        <v>1071</v>
      </c>
    </row>
    <row r="491" customFormat="false" ht="15" hidden="false" customHeight="false" outlineLevel="0" collapsed="false">
      <c r="A491" s="60" t="s">
        <v>1442</v>
      </c>
      <c r="B491" s="60" t="s">
        <v>1458</v>
      </c>
      <c r="C491" s="60" t="s">
        <v>1068</v>
      </c>
      <c r="D491" s="52" t="s">
        <v>1069</v>
      </c>
    </row>
    <row r="492" customFormat="false" ht="15" hidden="false" customHeight="false" outlineLevel="0" collapsed="false">
      <c r="A492" s="60" t="s">
        <v>1442</v>
      </c>
      <c r="B492" s="60" t="s">
        <v>1168</v>
      </c>
      <c r="C492" s="60"/>
      <c r="D492" s="52" t="s">
        <v>1071</v>
      </c>
    </row>
    <row r="493" customFormat="false" ht="15" hidden="false" customHeight="false" outlineLevel="0" collapsed="false">
      <c r="A493" s="60" t="s">
        <v>1442</v>
      </c>
      <c r="B493" s="60" t="s">
        <v>1459</v>
      </c>
      <c r="C493" s="60" t="s">
        <v>1095</v>
      </c>
      <c r="D493" s="52" t="s">
        <v>1069</v>
      </c>
    </row>
    <row r="494" customFormat="false" ht="15" hidden="false" customHeight="false" outlineLevel="0" collapsed="false">
      <c r="A494" s="60" t="s">
        <v>1442</v>
      </c>
      <c r="B494" s="60" t="s">
        <v>1171</v>
      </c>
      <c r="C494" s="60"/>
      <c r="D494" s="52" t="s">
        <v>1071</v>
      </c>
    </row>
    <row r="495" customFormat="false" ht="15" hidden="false" customHeight="false" outlineLevel="0" collapsed="false">
      <c r="A495" s="60" t="s">
        <v>1442</v>
      </c>
      <c r="B495" s="60" t="s">
        <v>1460</v>
      </c>
      <c r="C495" s="60" t="s">
        <v>1381</v>
      </c>
      <c r="D495" s="52" t="s">
        <v>1069</v>
      </c>
    </row>
    <row r="496" customFormat="false" ht="15" hidden="false" customHeight="false" outlineLevel="0" collapsed="false">
      <c r="A496" s="60" t="s">
        <v>1442</v>
      </c>
      <c r="B496" s="60" t="s">
        <v>1187</v>
      </c>
      <c r="C496" s="60"/>
      <c r="D496" s="52" t="s">
        <v>1071</v>
      </c>
    </row>
    <row r="497" customFormat="false" ht="15" hidden="false" customHeight="false" outlineLevel="0" collapsed="false">
      <c r="A497" s="60" t="s">
        <v>1442</v>
      </c>
      <c r="B497" s="60" t="s">
        <v>1461</v>
      </c>
      <c r="C497" s="60" t="s">
        <v>1383</v>
      </c>
      <c r="D497" s="52" t="s">
        <v>1069</v>
      </c>
    </row>
    <row r="498" customFormat="false" ht="15" hidden="false" customHeight="false" outlineLevel="0" collapsed="false">
      <c r="A498" s="60" t="s">
        <v>1442</v>
      </c>
      <c r="B498" s="60" t="s">
        <v>1190</v>
      </c>
      <c r="C498" s="60"/>
      <c r="D498" s="52" t="s">
        <v>1071</v>
      </c>
    </row>
    <row r="499" customFormat="false" ht="15" hidden="false" customHeight="false" outlineLevel="0" collapsed="false">
      <c r="A499" s="60" t="s">
        <v>1442</v>
      </c>
      <c r="B499" s="60" t="s">
        <v>1462</v>
      </c>
      <c r="C499" s="60" t="s">
        <v>1373</v>
      </c>
      <c r="D499" s="52" t="s">
        <v>1069</v>
      </c>
    </row>
    <row r="500" customFormat="false" ht="15" hidden="false" customHeight="false" outlineLevel="0" collapsed="false">
      <c r="A500" s="60" t="s">
        <v>1442</v>
      </c>
      <c r="B500" s="60" t="s">
        <v>1419</v>
      </c>
      <c r="C500" s="60"/>
      <c r="D500" s="52" t="s">
        <v>1071</v>
      </c>
    </row>
    <row r="501" customFormat="false" ht="15" hidden="false" customHeight="false" outlineLevel="0" collapsed="false">
      <c r="A501" s="60" t="s">
        <v>1442</v>
      </c>
      <c r="B501" s="60" t="s">
        <v>1463</v>
      </c>
      <c r="C501" s="60" t="s">
        <v>1375</v>
      </c>
      <c r="D501" s="52" t="s">
        <v>1069</v>
      </c>
    </row>
    <row r="502" customFormat="false" ht="15" hidden="false" customHeight="false" outlineLevel="0" collapsed="false">
      <c r="A502" s="60" t="s">
        <v>1442</v>
      </c>
      <c r="B502" s="60" t="s">
        <v>1422</v>
      </c>
      <c r="C502" s="60"/>
      <c r="D502" s="52" t="s">
        <v>1071</v>
      </c>
    </row>
    <row r="503" customFormat="false" ht="15" hidden="false" customHeight="false" outlineLevel="0" collapsed="false">
      <c r="A503" s="60" t="s">
        <v>1442</v>
      </c>
      <c r="B503" s="60" t="s">
        <v>1464</v>
      </c>
      <c r="C503" s="60" t="s">
        <v>1377</v>
      </c>
      <c r="D503" s="52" t="s">
        <v>1069</v>
      </c>
    </row>
    <row r="504" customFormat="false" ht="15" hidden="false" customHeight="false" outlineLevel="0" collapsed="false">
      <c r="A504" s="60" t="s">
        <v>1442</v>
      </c>
      <c r="B504" s="60" t="s">
        <v>1199</v>
      </c>
      <c r="C504" s="60"/>
      <c r="D504" s="52" t="s">
        <v>1071</v>
      </c>
    </row>
    <row r="505" customFormat="false" ht="15" hidden="false" customHeight="false" outlineLevel="0" collapsed="false">
      <c r="A505" s="60" t="s">
        <v>1442</v>
      </c>
      <c r="B505" s="60" t="s">
        <v>1465</v>
      </c>
      <c r="C505" s="60" t="s">
        <v>1379</v>
      </c>
      <c r="D505" s="52" t="s">
        <v>1069</v>
      </c>
    </row>
    <row r="506" customFormat="false" ht="15" hidden="false" customHeight="false" outlineLevel="0" collapsed="false">
      <c r="A506" s="60" t="s">
        <v>1442</v>
      </c>
      <c r="B506" s="60" t="s">
        <v>1202</v>
      </c>
      <c r="C506" s="60"/>
      <c r="D506" s="52" t="s">
        <v>1071</v>
      </c>
    </row>
    <row r="507" customFormat="false" ht="15" hidden="false" customHeight="false" outlineLevel="0" collapsed="false">
      <c r="A507" s="60" t="s">
        <v>1442</v>
      </c>
      <c r="B507" s="60" t="s">
        <v>961</v>
      </c>
      <c r="C507" s="60" t="s">
        <v>1415</v>
      </c>
      <c r="D507" s="52" t="s">
        <v>1069</v>
      </c>
    </row>
    <row r="508" customFormat="false" ht="15" hidden="false" customHeight="false" outlineLevel="0" collapsed="false">
      <c r="A508" s="60" t="s">
        <v>1442</v>
      </c>
      <c r="B508" s="60" t="s">
        <v>1435</v>
      </c>
      <c r="C508" s="60"/>
      <c r="D508" s="52" t="s">
        <v>1071</v>
      </c>
    </row>
    <row r="509" customFormat="false" ht="15" hidden="false" customHeight="false" outlineLevel="0" collapsed="false">
      <c r="A509" s="60" t="s">
        <v>1442</v>
      </c>
      <c r="B509" s="60" t="s">
        <v>1466</v>
      </c>
      <c r="C509" s="60" t="s">
        <v>1417</v>
      </c>
      <c r="D509" s="52" t="s">
        <v>1069</v>
      </c>
    </row>
    <row r="510" customFormat="false" ht="15" hidden="false" customHeight="false" outlineLevel="0" collapsed="false">
      <c r="A510" s="60" t="s">
        <v>1442</v>
      </c>
      <c r="B510" s="60" t="s">
        <v>1438</v>
      </c>
      <c r="C510" s="60"/>
      <c r="D510" s="52" t="s">
        <v>1071</v>
      </c>
    </row>
    <row r="511" customFormat="false" ht="15" hidden="false" customHeight="false" outlineLevel="0" collapsed="false">
      <c r="A511" s="60" t="s">
        <v>1442</v>
      </c>
      <c r="B511" s="60" t="s">
        <v>1467</v>
      </c>
      <c r="C511" s="60" t="s">
        <v>1420</v>
      </c>
      <c r="D511" s="52" t="s">
        <v>1069</v>
      </c>
    </row>
    <row r="512" customFormat="false" ht="15" hidden="false" customHeight="false" outlineLevel="0" collapsed="false">
      <c r="A512" s="60" t="s">
        <v>1442</v>
      </c>
      <c r="B512" s="60" t="s">
        <v>1468</v>
      </c>
      <c r="C512" s="60"/>
      <c r="D512" s="52" t="s">
        <v>1071</v>
      </c>
    </row>
    <row r="513" customFormat="false" ht="15" hidden="false" customHeight="false" outlineLevel="0" collapsed="false">
      <c r="A513" s="60" t="s">
        <v>1442</v>
      </c>
      <c r="B513" s="60" t="s">
        <v>1469</v>
      </c>
      <c r="C513" s="60" t="s">
        <v>1426</v>
      </c>
      <c r="D513" s="52" t="s">
        <v>1069</v>
      </c>
    </row>
    <row r="514" customFormat="false" ht="15" hidden="false" customHeight="false" outlineLevel="0" collapsed="false">
      <c r="A514" s="60" t="s">
        <v>1442</v>
      </c>
      <c r="B514" s="60" t="s">
        <v>1470</v>
      </c>
      <c r="C514" s="60"/>
      <c r="D514" s="52" t="s">
        <v>1071</v>
      </c>
    </row>
    <row r="515" customFormat="false" ht="15" hidden="false" customHeight="false" outlineLevel="0" collapsed="false">
      <c r="A515" s="60" t="s">
        <v>1442</v>
      </c>
      <c r="B515" s="60" t="s">
        <v>1471</v>
      </c>
      <c r="C515" s="60" t="s">
        <v>1431</v>
      </c>
      <c r="D515" s="52" t="s">
        <v>1069</v>
      </c>
    </row>
    <row r="516" customFormat="false" ht="15" hidden="false" customHeight="false" outlineLevel="0" collapsed="false">
      <c r="A516" s="60" t="s">
        <v>1442</v>
      </c>
      <c r="B516" s="60" t="s">
        <v>1214</v>
      </c>
      <c r="C516" s="60"/>
      <c r="D516" s="52" t="s">
        <v>1071</v>
      </c>
    </row>
    <row r="517" customFormat="false" ht="15" hidden="false" customHeight="false" outlineLevel="0" collapsed="false">
      <c r="A517" s="60" t="s">
        <v>1442</v>
      </c>
      <c r="B517" s="60" t="s">
        <v>1472</v>
      </c>
      <c r="C517" s="60" t="s">
        <v>1433</v>
      </c>
      <c r="D517" s="52" t="s">
        <v>1069</v>
      </c>
    </row>
    <row r="518" customFormat="false" ht="15" hidden="false" customHeight="false" outlineLevel="0" collapsed="false">
      <c r="A518" s="60" t="s">
        <v>1442</v>
      </c>
      <c r="B518" s="60" t="s">
        <v>1216</v>
      </c>
      <c r="C518" s="60"/>
      <c r="D518" s="52" t="s">
        <v>1071</v>
      </c>
    </row>
    <row r="519" customFormat="false" ht="15" hidden="false" customHeight="false" outlineLevel="0" collapsed="false">
      <c r="A519" s="60" t="s">
        <v>1442</v>
      </c>
      <c r="B519" s="60" t="s">
        <v>1473</v>
      </c>
      <c r="C519" s="60" t="s">
        <v>957</v>
      </c>
      <c r="D519" s="52" t="s">
        <v>1069</v>
      </c>
    </row>
    <row r="520" customFormat="false" ht="15" hidden="false" customHeight="false" outlineLevel="0" collapsed="false">
      <c r="A520" s="60" t="s">
        <v>1442</v>
      </c>
      <c r="B520" s="60" t="s">
        <v>1226</v>
      </c>
      <c r="C520" s="60"/>
      <c r="D520" s="52" t="s">
        <v>1071</v>
      </c>
    </row>
    <row r="521" customFormat="false" ht="15" hidden="false" customHeight="false" outlineLevel="0" collapsed="false">
      <c r="A521" s="60" t="s">
        <v>1442</v>
      </c>
      <c r="B521" s="60" t="s">
        <v>1474</v>
      </c>
      <c r="C521" s="60" t="s">
        <v>964</v>
      </c>
      <c r="D521" s="52" t="s">
        <v>1069</v>
      </c>
    </row>
    <row r="522" customFormat="false" ht="15" hidden="false" customHeight="false" outlineLevel="0" collapsed="false">
      <c r="A522" s="60" t="s">
        <v>1442</v>
      </c>
      <c r="B522" s="60" t="s">
        <v>1228</v>
      </c>
      <c r="C522" s="60"/>
      <c r="D522" s="52" t="s">
        <v>1071</v>
      </c>
    </row>
    <row r="523" customFormat="false" ht="15" hidden="false" customHeight="false" outlineLevel="0" collapsed="false">
      <c r="A523" s="60" t="s">
        <v>1442</v>
      </c>
      <c r="B523" s="60" t="s">
        <v>1475</v>
      </c>
      <c r="C523" s="60" t="s">
        <v>321</v>
      </c>
      <c r="D523" s="52" t="s">
        <v>1069</v>
      </c>
    </row>
    <row r="524" customFormat="false" ht="15" hidden="false" customHeight="false" outlineLevel="0" collapsed="false">
      <c r="A524" s="60" t="s">
        <v>1442</v>
      </c>
      <c r="B524" s="60" t="s">
        <v>1232</v>
      </c>
      <c r="C524" s="60"/>
      <c r="D524" s="52" t="s">
        <v>1071</v>
      </c>
    </row>
    <row r="525" customFormat="false" ht="15" hidden="false" customHeight="false" outlineLevel="0" collapsed="false">
      <c r="A525" s="60" t="s">
        <v>1442</v>
      </c>
      <c r="B525" s="60" t="s">
        <v>1476</v>
      </c>
      <c r="C525" s="60" t="s">
        <v>1477</v>
      </c>
      <c r="D525" s="52" t="s">
        <v>1069</v>
      </c>
    </row>
    <row r="526" customFormat="false" ht="15" hidden="false" customHeight="false" outlineLevel="0" collapsed="false">
      <c r="A526" s="60" t="s">
        <v>1442</v>
      </c>
      <c r="B526" s="60" t="s">
        <v>1238</v>
      </c>
      <c r="C526" s="60"/>
      <c r="D526" s="52" t="s">
        <v>1071</v>
      </c>
    </row>
    <row r="527" customFormat="false" ht="15" hidden="false" customHeight="false" outlineLevel="0" collapsed="false">
      <c r="A527" s="60" t="s">
        <v>1442</v>
      </c>
      <c r="B527" s="60" t="s">
        <v>1478</v>
      </c>
      <c r="C527" s="60" t="s">
        <v>1479</v>
      </c>
      <c r="D527" s="52" t="s">
        <v>1069</v>
      </c>
    </row>
    <row r="528" customFormat="false" ht="15" hidden="false" customHeight="false" outlineLevel="0" collapsed="false">
      <c r="A528" s="60" t="s">
        <v>1442</v>
      </c>
      <c r="B528" s="60" t="s">
        <v>1240</v>
      </c>
      <c r="C528" s="60"/>
      <c r="D528" s="52" t="s">
        <v>1071</v>
      </c>
    </row>
    <row r="529" customFormat="false" ht="15" hidden="false" customHeight="false" outlineLevel="0" collapsed="false">
      <c r="A529" s="60" t="s">
        <v>1442</v>
      </c>
      <c r="B529" s="60" t="s">
        <v>974</v>
      </c>
      <c r="C529" s="60" t="s">
        <v>967</v>
      </c>
      <c r="D529" s="52" t="s">
        <v>1069</v>
      </c>
    </row>
    <row r="530" customFormat="false" ht="15" hidden="false" customHeight="false" outlineLevel="0" collapsed="false">
      <c r="A530" s="60" t="s">
        <v>1442</v>
      </c>
      <c r="B530" s="60" t="s">
        <v>1244</v>
      </c>
      <c r="C530" s="60"/>
      <c r="D530" s="52" t="s">
        <v>1071</v>
      </c>
    </row>
    <row r="531" customFormat="false" ht="15" hidden="false" customHeight="false" outlineLevel="0" collapsed="false">
      <c r="A531" s="60" t="s">
        <v>1442</v>
      </c>
      <c r="B531" s="60" t="s">
        <v>1480</v>
      </c>
      <c r="C531" s="60" t="s">
        <v>346</v>
      </c>
      <c r="D531" s="52" t="s">
        <v>1069</v>
      </c>
    </row>
    <row r="532" customFormat="false" ht="15" hidden="false" customHeight="false" outlineLevel="0" collapsed="false">
      <c r="A532" s="60" t="s">
        <v>1442</v>
      </c>
      <c r="B532" s="60" t="s">
        <v>1246</v>
      </c>
      <c r="C532" s="60"/>
      <c r="D532" s="52" t="s">
        <v>1071</v>
      </c>
    </row>
    <row r="533" customFormat="false" ht="15" hidden="false" customHeight="false" outlineLevel="0" collapsed="false">
      <c r="A533" s="60" t="s">
        <v>1442</v>
      </c>
      <c r="B533" s="60" t="s">
        <v>979</v>
      </c>
      <c r="C533" s="60" t="s">
        <v>354</v>
      </c>
      <c r="D533" s="52" t="s">
        <v>1069</v>
      </c>
    </row>
    <row r="534" customFormat="false" ht="15" hidden="false" customHeight="false" outlineLevel="0" collapsed="false">
      <c r="A534" s="60" t="s">
        <v>1442</v>
      </c>
      <c r="B534" s="60" t="s">
        <v>1250</v>
      </c>
      <c r="C534" s="60"/>
      <c r="D534" s="52" t="s">
        <v>1071</v>
      </c>
    </row>
    <row r="535" customFormat="false" ht="15" hidden="false" customHeight="false" outlineLevel="0" collapsed="false">
      <c r="A535" s="60" t="s">
        <v>1442</v>
      </c>
      <c r="B535" s="60" t="s">
        <v>1481</v>
      </c>
      <c r="C535" s="60" t="s">
        <v>354</v>
      </c>
      <c r="D535" s="52" t="s">
        <v>1069</v>
      </c>
    </row>
    <row r="536" customFormat="false" ht="15" hidden="false" customHeight="false" outlineLevel="0" collapsed="false">
      <c r="A536" s="60" t="s">
        <v>1442</v>
      </c>
      <c r="B536" s="60" t="s">
        <v>1252</v>
      </c>
      <c r="C536" s="60"/>
      <c r="D536" s="52" t="s">
        <v>1071</v>
      </c>
    </row>
    <row r="537" customFormat="false" ht="15" hidden="false" customHeight="false" outlineLevel="0" collapsed="false">
      <c r="A537" s="60" t="s">
        <v>1442</v>
      </c>
      <c r="B537" s="60" t="s">
        <v>984</v>
      </c>
      <c r="C537" s="60" t="s">
        <v>359</v>
      </c>
      <c r="D537" s="52" t="s">
        <v>1069</v>
      </c>
    </row>
    <row r="538" customFormat="false" ht="15" hidden="false" customHeight="false" outlineLevel="0" collapsed="false">
      <c r="A538" s="60" t="s">
        <v>1442</v>
      </c>
      <c r="B538" s="60" t="s">
        <v>1256</v>
      </c>
      <c r="C538" s="60"/>
      <c r="D538" s="52" t="s">
        <v>1071</v>
      </c>
    </row>
    <row r="539" customFormat="false" ht="15" hidden="false" customHeight="false" outlineLevel="0" collapsed="false">
      <c r="A539" s="60" t="s">
        <v>1442</v>
      </c>
      <c r="B539" s="60" t="s">
        <v>1482</v>
      </c>
      <c r="C539" s="60" t="s">
        <v>359</v>
      </c>
      <c r="D539" s="52" t="s">
        <v>1069</v>
      </c>
    </row>
    <row r="540" customFormat="false" ht="15" hidden="false" customHeight="false" outlineLevel="0" collapsed="false">
      <c r="A540" s="60" t="s">
        <v>1442</v>
      </c>
      <c r="B540" s="60" t="s">
        <v>1259</v>
      </c>
      <c r="C540" s="60"/>
      <c r="D540" s="52" t="s">
        <v>1071</v>
      </c>
    </row>
    <row r="541" customFormat="false" ht="15" hidden="false" customHeight="false" outlineLevel="0" collapsed="false">
      <c r="A541" s="60" t="s">
        <v>1442</v>
      </c>
      <c r="B541" s="60" t="s">
        <v>989</v>
      </c>
      <c r="C541" s="60" t="s">
        <v>1483</v>
      </c>
      <c r="D541" s="52" t="s">
        <v>1069</v>
      </c>
    </row>
    <row r="542" customFormat="false" ht="15" hidden="false" customHeight="false" outlineLevel="0" collapsed="false">
      <c r="A542" s="60" t="s">
        <v>1442</v>
      </c>
      <c r="B542" s="60" t="s">
        <v>1265</v>
      </c>
      <c r="C542" s="60"/>
      <c r="D542" s="52" t="s">
        <v>1071</v>
      </c>
    </row>
    <row r="543" customFormat="false" ht="15" hidden="false" customHeight="false" outlineLevel="0" collapsed="false">
      <c r="A543" s="60" t="s">
        <v>1442</v>
      </c>
      <c r="B543" s="60" t="s">
        <v>1484</v>
      </c>
      <c r="C543" s="60" t="s">
        <v>1485</v>
      </c>
      <c r="D543" s="52" t="s">
        <v>1069</v>
      </c>
    </row>
    <row r="544" customFormat="false" ht="15" hidden="false" customHeight="false" outlineLevel="0" collapsed="false">
      <c r="A544" s="60" t="s">
        <v>1442</v>
      </c>
      <c r="B544" s="60" t="s">
        <v>1268</v>
      </c>
      <c r="C544" s="60"/>
      <c r="D544" s="52" t="s">
        <v>1071</v>
      </c>
    </row>
    <row r="545" customFormat="false" ht="15" hidden="false" customHeight="false" outlineLevel="0" collapsed="false">
      <c r="A545" s="60" t="s">
        <v>1442</v>
      </c>
      <c r="B545" s="60" t="s">
        <v>1486</v>
      </c>
      <c r="C545" s="60" t="s">
        <v>1487</v>
      </c>
      <c r="D545" s="52" t="s">
        <v>1069</v>
      </c>
    </row>
    <row r="546" customFormat="false" ht="15" hidden="false" customHeight="false" outlineLevel="0" collapsed="false">
      <c r="A546" s="60" t="s">
        <v>1442</v>
      </c>
      <c r="B546" s="60" t="s">
        <v>1274</v>
      </c>
      <c r="C546" s="60"/>
      <c r="D546" s="52" t="s">
        <v>1071</v>
      </c>
    </row>
    <row r="547" customFormat="false" ht="15" hidden="false" customHeight="false" outlineLevel="0" collapsed="false">
      <c r="A547" s="60" t="s">
        <v>1442</v>
      </c>
      <c r="B547" s="60" t="s">
        <v>1488</v>
      </c>
      <c r="C547" s="60" t="s">
        <v>1489</v>
      </c>
      <c r="D547" s="52" t="s">
        <v>1069</v>
      </c>
    </row>
    <row r="548" customFormat="false" ht="15" hidden="false" customHeight="false" outlineLevel="0" collapsed="false">
      <c r="A548" s="60" t="s">
        <v>1442</v>
      </c>
      <c r="B548" s="60" t="s">
        <v>1277</v>
      </c>
      <c r="C548" s="60"/>
      <c r="D548" s="52" t="s">
        <v>1071</v>
      </c>
    </row>
    <row r="549" customFormat="false" ht="15" hidden="false" customHeight="false" outlineLevel="0" collapsed="false">
      <c r="A549" s="60" t="s">
        <v>1442</v>
      </c>
      <c r="B549" s="60" t="s">
        <v>1490</v>
      </c>
      <c r="C549" s="60" t="s">
        <v>1491</v>
      </c>
      <c r="D549" s="52" t="s">
        <v>1069</v>
      </c>
    </row>
    <row r="550" customFormat="false" ht="15" hidden="false" customHeight="false" outlineLevel="0" collapsed="false">
      <c r="A550" s="60" t="s">
        <v>1442</v>
      </c>
      <c r="B550" s="60" t="s">
        <v>1283</v>
      </c>
      <c r="C550" s="60"/>
      <c r="D550" s="52" t="s">
        <v>1071</v>
      </c>
    </row>
    <row r="551" customFormat="false" ht="15" hidden="false" customHeight="false" outlineLevel="0" collapsed="false">
      <c r="A551" s="60" t="s">
        <v>1442</v>
      </c>
      <c r="B551" s="60" t="s">
        <v>1492</v>
      </c>
      <c r="C551" s="60" t="s">
        <v>1493</v>
      </c>
      <c r="D551" s="52" t="s">
        <v>1069</v>
      </c>
    </row>
    <row r="552" customFormat="false" ht="15" hidden="false" customHeight="false" outlineLevel="0" collapsed="false">
      <c r="A552" s="60" t="s">
        <v>1442</v>
      </c>
      <c r="B552" s="60" t="s">
        <v>1286</v>
      </c>
      <c r="C552" s="60"/>
      <c r="D552" s="52" t="s">
        <v>1071</v>
      </c>
    </row>
    <row r="553" customFormat="false" ht="15" hidden="false" customHeight="false" outlineLevel="0" collapsed="false">
      <c r="A553" s="60" t="s">
        <v>1442</v>
      </c>
      <c r="B553" s="60" t="s">
        <v>1494</v>
      </c>
      <c r="C553" s="60" t="s">
        <v>1495</v>
      </c>
      <c r="D553" s="52" t="s">
        <v>1069</v>
      </c>
    </row>
    <row r="554" customFormat="false" ht="15" hidden="false" customHeight="false" outlineLevel="0" collapsed="false">
      <c r="A554" s="60" t="s">
        <v>1442</v>
      </c>
      <c r="B554" s="60" t="s">
        <v>1292</v>
      </c>
      <c r="C554" s="60"/>
      <c r="D554" s="52" t="s">
        <v>1071</v>
      </c>
    </row>
    <row r="555" customFormat="false" ht="15" hidden="false" customHeight="false" outlineLevel="0" collapsed="false">
      <c r="A555" s="60" t="s">
        <v>1442</v>
      </c>
      <c r="B555" s="60" t="s">
        <v>1496</v>
      </c>
      <c r="C555" s="60" t="s">
        <v>1497</v>
      </c>
      <c r="D555" s="52" t="s">
        <v>1069</v>
      </c>
    </row>
    <row r="556" customFormat="false" ht="15" hidden="false" customHeight="false" outlineLevel="0" collapsed="false">
      <c r="A556" s="60" t="s">
        <v>1442</v>
      </c>
      <c r="B556" s="60" t="s">
        <v>1294</v>
      </c>
      <c r="C556" s="60"/>
      <c r="D556" s="52" t="s">
        <v>1071</v>
      </c>
    </row>
    <row r="557" customFormat="false" ht="15" hidden="false" customHeight="false" outlineLevel="0" collapsed="false">
      <c r="A557" s="60" t="s">
        <v>1442</v>
      </c>
      <c r="B557" s="60" t="s">
        <v>1498</v>
      </c>
      <c r="C557" s="60" t="s">
        <v>1499</v>
      </c>
      <c r="D557" s="52" t="s">
        <v>1069</v>
      </c>
    </row>
    <row r="558" customFormat="false" ht="15" hidden="false" customHeight="false" outlineLevel="0" collapsed="false">
      <c r="A558" s="60" t="s">
        <v>1442</v>
      </c>
      <c r="B558" s="60" t="s">
        <v>1500</v>
      </c>
      <c r="C558" s="60"/>
      <c r="D558" s="52" t="s">
        <v>1071</v>
      </c>
    </row>
    <row r="559" customFormat="false" ht="15" hidden="false" customHeight="false" outlineLevel="0" collapsed="false">
      <c r="A559" s="60" t="s">
        <v>1442</v>
      </c>
      <c r="B559" s="60" t="s">
        <v>1501</v>
      </c>
      <c r="C559" s="60" t="s">
        <v>1502</v>
      </c>
      <c r="D559" s="52" t="s">
        <v>1069</v>
      </c>
    </row>
    <row r="560" customFormat="false" ht="15" hidden="false" customHeight="false" outlineLevel="0" collapsed="false">
      <c r="A560" s="60" t="s">
        <v>1442</v>
      </c>
      <c r="B560" s="60" t="s">
        <v>1503</v>
      </c>
      <c r="C560" s="60"/>
      <c r="D560" s="52" t="s">
        <v>1071</v>
      </c>
    </row>
    <row r="561" customFormat="false" ht="15" hidden="false" customHeight="false" outlineLevel="0" collapsed="false">
      <c r="A561" s="60" t="s">
        <v>1442</v>
      </c>
      <c r="B561" s="60" t="s">
        <v>1504</v>
      </c>
      <c r="C561" s="60" t="s">
        <v>1446</v>
      </c>
      <c r="D561" s="52" t="s">
        <v>1069</v>
      </c>
    </row>
    <row r="562" customFormat="false" ht="15" hidden="false" customHeight="false" outlineLevel="0" collapsed="false">
      <c r="A562" s="60" t="s">
        <v>1442</v>
      </c>
      <c r="B562" s="60" t="s">
        <v>1298</v>
      </c>
      <c r="C562" s="60"/>
      <c r="D562" s="52" t="s">
        <v>1071</v>
      </c>
    </row>
    <row r="563" customFormat="false" ht="15" hidden="false" customHeight="false" outlineLevel="0" collapsed="false">
      <c r="A563" s="60" t="s">
        <v>1442</v>
      </c>
      <c r="B563" s="60" t="s">
        <v>1505</v>
      </c>
      <c r="C563" s="60" t="s">
        <v>1448</v>
      </c>
      <c r="D563" s="52" t="s">
        <v>1069</v>
      </c>
    </row>
    <row r="564" customFormat="false" ht="15" hidden="false" customHeight="false" outlineLevel="0" collapsed="false">
      <c r="A564" s="60" t="s">
        <v>1442</v>
      </c>
      <c r="B564" s="60" t="s">
        <v>1300</v>
      </c>
      <c r="C564" s="60"/>
      <c r="D564" s="52" t="s">
        <v>1071</v>
      </c>
    </row>
    <row r="565" customFormat="false" ht="15" hidden="false" customHeight="false" outlineLevel="0" collapsed="false">
      <c r="A565" s="60" t="s">
        <v>1442</v>
      </c>
      <c r="B565" s="60" t="s">
        <v>1506</v>
      </c>
      <c r="C565" s="60" t="s">
        <v>471</v>
      </c>
      <c r="D565" s="52" t="s">
        <v>1069</v>
      </c>
    </row>
    <row r="566" customFormat="false" ht="15" hidden="false" customHeight="false" outlineLevel="0" collapsed="false">
      <c r="A566" s="60" t="s">
        <v>1442</v>
      </c>
      <c r="B566" s="60" t="s">
        <v>1507</v>
      </c>
      <c r="C566" s="60"/>
      <c r="D566" s="52" t="s">
        <v>1071</v>
      </c>
    </row>
    <row r="567" customFormat="false" ht="15" hidden="false" customHeight="false" outlineLevel="0" collapsed="false">
      <c r="A567" s="60" t="s">
        <v>1442</v>
      </c>
      <c r="B567" s="60" t="s">
        <v>1508</v>
      </c>
      <c r="C567" s="60" t="s">
        <v>471</v>
      </c>
      <c r="D567" s="52" t="s">
        <v>1069</v>
      </c>
    </row>
    <row r="568" customFormat="false" ht="15" hidden="false" customHeight="false" outlineLevel="0" collapsed="false">
      <c r="A568" s="60" t="s">
        <v>1442</v>
      </c>
      <c r="B568" s="60" t="s">
        <v>1509</v>
      </c>
      <c r="C568" s="60"/>
      <c r="D568" s="52" t="s">
        <v>1071</v>
      </c>
    </row>
    <row r="569" customFormat="false" ht="15" hidden="false" customHeight="false" outlineLevel="0" collapsed="false">
      <c r="A569" s="60" t="s">
        <v>1442</v>
      </c>
      <c r="B569" s="60" t="s">
        <v>1510</v>
      </c>
      <c r="C569" s="60" t="s">
        <v>475</v>
      </c>
      <c r="D569" s="52" t="s">
        <v>1069</v>
      </c>
    </row>
    <row r="570" customFormat="false" ht="15" hidden="false" customHeight="false" outlineLevel="0" collapsed="false">
      <c r="A570" s="60" t="s">
        <v>1442</v>
      </c>
      <c r="B570" s="60" t="s">
        <v>1511</v>
      </c>
      <c r="C570" s="60"/>
      <c r="D570" s="52" t="s">
        <v>1071</v>
      </c>
    </row>
    <row r="571" customFormat="false" ht="15" hidden="false" customHeight="false" outlineLevel="0" collapsed="false">
      <c r="A571" s="60" t="s">
        <v>1442</v>
      </c>
      <c r="B571" s="60" t="s">
        <v>1512</v>
      </c>
      <c r="C571" s="60" t="s">
        <v>475</v>
      </c>
      <c r="D571" s="52" t="s">
        <v>1069</v>
      </c>
    </row>
    <row r="572" customFormat="false" ht="15" hidden="false" customHeight="false" outlineLevel="0" collapsed="false">
      <c r="A572" s="60" t="s">
        <v>1442</v>
      </c>
      <c r="B572" s="60" t="s">
        <v>1513</v>
      </c>
      <c r="C572" s="60"/>
      <c r="D572" s="52" t="s">
        <v>1071</v>
      </c>
    </row>
    <row r="573" customFormat="false" ht="15" hidden="false" customHeight="false" outlineLevel="0" collapsed="false">
      <c r="A573" s="60" t="s">
        <v>1442</v>
      </c>
      <c r="B573" s="60" t="s">
        <v>1514</v>
      </c>
      <c r="C573" s="60" t="s">
        <v>478</v>
      </c>
      <c r="D573" s="52" t="s">
        <v>1069</v>
      </c>
    </row>
    <row r="574" customFormat="false" ht="15" hidden="false" customHeight="false" outlineLevel="0" collapsed="false">
      <c r="A574" s="60" t="s">
        <v>1442</v>
      </c>
      <c r="B574" s="60" t="s">
        <v>1304</v>
      </c>
      <c r="C574" s="60"/>
      <c r="D574" s="52" t="s">
        <v>1071</v>
      </c>
    </row>
    <row r="575" customFormat="false" ht="15" hidden="false" customHeight="false" outlineLevel="0" collapsed="false">
      <c r="A575" s="60" t="s">
        <v>1442</v>
      </c>
      <c r="B575" s="60" t="s">
        <v>1515</v>
      </c>
      <c r="C575" s="60" t="s">
        <v>478</v>
      </c>
      <c r="D575" s="52" t="s">
        <v>1069</v>
      </c>
    </row>
    <row r="576" customFormat="false" ht="15" hidden="false" customHeight="false" outlineLevel="0" collapsed="false">
      <c r="A576" s="60" t="s">
        <v>1442</v>
      </c>
      <c r="B576" s="60" t="s">
        <v>1307</v>
      </c>
      <c r="C576" s="60"/>
      <c r="D576" s="52" t="s">
        <v>1071</v>
      </c>
    </row>
    <row r="577" customFormat="false" ht="15" hidden="false" customHeight="false" outlineLevel="0" collapsed="false">
      <c r="A577" s="60" t="s">
        <v>1442</v>
      </c>
      <c r="B577" s="60" t="s">
        <v>1516</v>
      </c>
      <c r="C577" s="60" t="s">
        <v>1284</v>
      </c>
      <c r="D577" s="52" t="s">
        <v>1069</v>
      </c>
    </row>
    <row r="578" customFormat="false" ht="15" hidden="false" customHeight="false" outlineLevel="0" collapsed="false">
      <c r="A578" s="60" t="s">
        <v>1442</v>
      </c>
      <c r="B578" s="60" t="s">
        <v>1317</v>
      </c>
      <c r="C578" s="60"/>
      <c r="D578" s="52" t="s">
        <v>1071</v>
      </c>
    </row>
    <row r="579" customFormat="false" ht="15" hidden="false" customHeight="false" outlineLevel="0" collapsed="false">
      <c r="A579" s="60" t="s">
        <v>1442</v>
      </c>
      <c r="B579" s="60" t="s">
        <v>1517</v>
      </c>
      <c r="C579" s="60" t="s">
        <v>1287</v>
      </c>
      <c r="D579" s="52" t="s">
        <v>1069</v>
      </c>
    </row>
    <row r="580" customFormat="false" ht="15" hidden="false" customHeight="false" outlineLevel="0" collapsed="false">
      <c r="A580" s="60" t="s">
        <v>1442</v>
      </c>
      <c r="B580" s="60" t="s">
        <v>1327</v>
      </c>
      <c r="C580" s="60"/>
      <c r="D580" s="52" t="s">
        <v>1071</v>
      </c>
    </row>
    <row r="581" customFormat="false" ht="15" hidden="false" customHeight="false" outlineLevel="0" collapsed="false">
      <c r="A581" s="60" t="s">
        <v>1442</v>
      </c>
      <c r="B581" s="60" t="s">
        <v>1518</v>
      </c>
      <c r="C581" s="60" t="s">
        <v>1290</v>
      </c>
      <c r="D581" s="52" t="s">
        <v>1069</v>
      </c>
    </row>
    <row r="582" customFormat="false" ht="15" hidden="false" customHeight="false" outlineLevel="0" collapsed="false">
      <c r="A582" s="60" t="s">
        <v>1442</v>
      </c>
      <c r="B582" s="60" t="s">
        <v>1333</v>
      </c>
      <c r="C582" s="60"/>
      <c r="D582" s="52" t="s">
        <v>1071</v>
      </c>
    </row>
    <row r="583" customFormat="false" ht="15" hidden="false" customHeight="false" outlineLevel="0" collapsed="false">
      <c r="A583" s="60" t="s">
        <v>1442</v>
      </c>
      <c r="B583" s="60" t="s">
        <v>1013</v>
      </c>
      <c r="C583" s="60" t="s">
        <v>466</v>
      </c>
      <c r="D583" s="52" t="s">
        <v>1069</v>
      </c>
    </row>
    <row r="584" customFormat="false" ht="15" hidden="false" customHeight="false" outlineLevel="0" collapsed="false">
      <c r="A584" s="60" t="s">
        <v>1442</v>
      </c>
      <c r="B584" s="60" t="s">
        <v>1336</v>
      </c>
      <c r="C584" s="60"/>
      <c r="D584" s="52" t="s">
        <v>1071</v>
      </c>
    </row>
    <row r="585" customFormat="false" ht="15" hidden="false" customHeight="false" outlineLevel="0" collapsed="false">
      <c r="A585" s="60" t="s">
        <v>1442</v>
      </c>
      <c r="B585" s="60" t="s">
        <v>1519</v>
      </c>
      <c r="C585" s="60" t="s">
        <v>466</v>
      </c>
      <c r="D585" s="52" t="s">
        <v>1069</v>
      </c>
    </row>
    <row r="586" customFormat="false" ht="15" hidden="false" customHeight="false" outlineLevel="0" collapsed="false">
      <c r="A586" s="60" t="s">
        <v>1442</v>
      </c>
      <c r="B586" s="60" t="s">
        <v>1339</v>
      </c>
      <c r="C586" s="60"/>
      <c r="D586" s="52" t="s">
        <v>1071</v>
      </c>
    </row>
    <row r="587" customFormat="false" ht="15" hidden="false" customHeight="false" outlineLevel="0" collapsed="false">
      <c r="A587" s="60" t="s">
        <v>1442</v>
      </c>
      <c r="B587" s="60" t="s">
        <v>1018</v>
      </c>
      <c r="C587" s="60" t="s">
        <v>1169</v>
      </c>
      <c r="D587" s="52" t="s">
        <v>1069</v>
      </c>
    </row>
    <row r="588" customFormat="false" ht="15" hidden="false" customHeight="false" outlineLevel="0" collapsed="false">
      <c r="A588" s="60" t="s">
        <v>1442</v>
      </c>
      <c r="B588" s="60" t="s">
        <v>1342</v>
      </c>
      <c r="C588" s="60"/>
      <c r="D588" s="52" t="s">
        <v>1071</v>
      </c>
    </row>
    <row r="589" customFormat="false" ht="15" hidden="false" customHeight="false" outlineLevel="0" collapsed="false">
      <c r="A589" s="60" t="s">
        <v>1442</v>
      </c>
      <c r="B589" s="60" t="s">
        <v>1520</v>
      </c>
      <c r="C589" s="60" t="s">
        <v>1452</v>
      </c>
      <c r="D589" s="52" t="s">
        <v>1069</v>
      </c>
    </row>
    <row r="590" customFormat="false" ht="15" hidden="false" customHeight="false" outlineLevel="0" collapsed="false">
      <c r="A590" s="60" t="s">
        <v>1442</v>
      </c>
      <c r="B590" s="60" t="s">
        <v>1345</v>
      </c>
      <c r="C590" s="60"/>
      <c r="D590" s="52" t="s">
        <v>1071</v>
      </c>
    </row>
    <row r="591" customFormat="false" ht="15" hidden="false" customHeight="false" outlineLevel="0" collapsed="false">
      <c r="A591" s="60" t="s">
        <v>1521</v>
      </c>
      <c r="B591" s="60" t="s">
        <v>1522</v>
      </c>
      <c r="C591" s="60" t="s">
        <v>1523</v>
      </c>
      <c r="D591" s="52" t="s">
        <v>1069</v>
      </c>
    </row>
    <row r="592" customFormat="false" ht="15" hidden="false" customHeight="false" outlineLevel="0" collapsed="false">
      <c r="A592" s="60" t="s">
        <v>1521</v>
      </c>
      <c r="B592" s="60" t="s">
        <v>1524</v>
      </c>
      <c r="C592" s="60" t="s">
        <v>1525</v>
      </c>
      <c r="D592" s="52" t="s">
        <v>1069</v>
      </c>
    </row>
    <row r="593" customFormat="false" ht="15" hidden="false" customHeight="false" outlineLevel="0" collapsed="false">
      <c r="A593" s="60" t="s">
        <v>1521</v>
      </c>
      <c r="B593" s="60" t="s">
        <v>1526</v>
      </c>
      <c r="C593" s="60" t="s">
        <v>94</v>
      </c>
      <c r="D593" s="52" t="s">
        <v>1069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2026-10-24T05:22:38Z</dcterms:created>
  <dc:creator>openpyxl</dc:creator>
  <dc:description/>
  <dc:language>en-US</dc:language>
  <cp:lastModifiedBy/>
  <dcterms:modified xsi:type="dcterms:W3CDTF">2026-10-24T05:22:38Z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