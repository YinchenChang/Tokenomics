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建議值" sheetId="1" state="visible" r:id="rId3"/>
    <sheet name="推導" sheetId="2" state="visible" r:id="rId4"/>
    <sheet name="證據" sheetId="3" state="visible" r:id="rId5"/>
    <sheet name="待判斷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<sst xmlns="http://schemas.openxmlformats.org/spreadsheetml/2006/main" count="846" uniqueCount="591">
  <si>
    <r>
      <rPr>
        <b val="true"/>
        <sz val="11"/>
        <rFont val="Noto Sans CJK SC"/>
        <family val="2"/>
      </rPr>
      <t xml:space="preserve">建議值 — 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列（</t>
    </r>
    <r>
      <rPr>
        <b val="true"/>
        <sz val="11"/>
        <rFont val="Cambria"/>
        <family val="0"/>
        <charset val="1"/>
      </rPr>
      <t xml:space="preserve">Cerebras</t>
    </r>
    <r>
      <rPr>
        <b val="true"/>
        <sz val="11"/>
        <rFont val="Noto Sans CJK SC"/>
        <family val="2"/>
      </rPr>
      <t xml:space="preserve">）與第 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列（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客製）｜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段唯讀查證，未寫入 </t>
    </r>
    <r>
      <rPr>
        <b val="true"/>
        <sz val="11"/>
        <rFont val="Cambria"/>
        <family val="0"/>
        <charset val="1"/>
      </rPr>
      <t xml:space="preserve">model/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</si>
  <si>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4–8 </t>
    </r>
    <r>
      <rPr>
        <sz val="11"/>
        <color theme="1"/>
        <rFont val="Noto Sans CJK SC"/>
        <family val="2"/>
      </rPr>
      <t xml:space="preserve">列＝推導頁公式的原始結果或界線；第 </t>
    </r>
    <r>
      <rPr>
        <sz val="11"/>
        <color theme="1"/>
        <rFont val="Calibri"/>
        <family val="2"/>
        <charset val="1"/>
      </rPr>
      <t xml:space="preserve">11–12 </t>
    </r>
    <r>
      <rPr>
        <sz val="11"/>
        <color theme="1"/>
        <rFont val="Noto Sans CJK SC"/>
        <family val="2"/>
      </rPr>
      <t xml:space="preserve">列＝建議輸入值；第 </t>
    </r>
    <r>
      <rPr>
        <sz val="11"/>
        <color theme="1"/>
        <rFont val="Calibri"/>
        <family val="2"/>
        <charset val="1"/>
      </rPr>
      <t xml:space="preserve">15–16 </t>
    </r>
    <r>
      <rPr>
        <sz val="11"/>
        <color theme="1"/>
        <rFont val="Noto Sans CJK SC"/>
        <family val="2"/>
      </rPr>
      <t xml:space="preserve">列＝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現值。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F÷C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成本比）、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E÷D</t>
    </r>
    <r>
      <rPr>
        <sz val="11"/>
        <color theme="1"/>
        <rFont val="Noto Sans CJK SC"/>
        <family val="2"/>
      </rPr>
      <t xml:space="preserve">（最佳角落）、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G÷B</t>
    </r>
    <r>
      <rPr>
        <sz val="11"/>
        <color theme="1"/>
        <rFont val="Noto Sans CJK SC"/>
        <family val="2"/>
      </rPr>
      <t xml:space="preserve">（最差角落），同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。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</si>
  <si>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</si>
  <si>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</si>
  <si>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</si>
  <si>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</si>
  <si>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</si>
  <si>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</si>
  <si>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</si>
  <si>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</si>
  <si>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</si>
  <si>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</si>
  <si>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t xml:space="preserve">標記</t>
  </si>
  <si>
    <t xml:space="preserve">說明</t>
  </si>
  <si>
    <r>
      <rPr>
        <sz val="11"/>
        <color theme="1"/>
        <rFont val="Calibri"/>
        <family val="2"/>
        <charset val="1"/>
      </rPr>
      <t xml:space="preserve">Cerebras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(b) FP16 </t>
    </r>
    <r>
      <rPr>
        <sz val="11"/>
        <color theme="1"/>
        <rFont val="Noto Sans CJK SC"/>
        <family val="2"/>
      </rPr>
      <t xml:space="preserve">對齊每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峰值比（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上限）／</t>
    </r>
    <r>
      <rPr>
        <sz val="11"/>
        <color theme="1"/>
        <rFont val="Calibri"/>
        <family val="2"/>
        <charset val="1"/>
      </rPr>
      <t xml:space="preserve">(i)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設備價法持有比</t>
    </r>
  </si>
  <si>
    <t xml:space="preserve">公式（連結推導頁）；方向界線；不建議作輸入</t>
  </si>
  <si>
    <r>
      <rPr>
        <sz val="11"/>
        <color theme="1"/>
        <rFont val="Calibri"/>
        <family val="2"/>
        <charset val="1"/>
      </rPr>
      <t xml:space="preserve">Cerebras</t>
    </r>
    <r>
      <rPr>
        <sz val="11"/>
        <color theme="1"/>
        <rFont val="Noto Sans CJK SC"/>
        <family val="2"/>
      </rPr>
      <t xml:space="preserve">：容量換算產出比／</t>
    </r>
    <r>
      <rPr>
        <sz val="11"/>
        <color theme="1"/>
        <rFont val="Calibri"/>
        <family val="2"/>
        <charset val="1"/>
      </rPr>
      <t xml:space="preserve">(ii) </t>
    </r>
    <r>
      <rPr>
        <sz val="11"/>
        <color theme="1"/>
        <rFont val="Noto Sans CJK SC"/>
        <family val="2"/>
      </rPr>
      <t xml:space="preserve">合約隱含持有比上限</t>
    </r>
  </si>
  <si>
    <t xml:space="preserve">公式（連結推導頁）；方向界線；持有比為上限</t>
  </si>
  <si>
    <r>
      <rPr>
        <sz val="11"/>
        <color theme="1"/>
        <rFont val="Calibri"/>
        <family val="2"/>
        <charset val="1"/>
      </rPr>
      <t xml:space="preserve">Jalapeño</t>
    </r>
    <r>
      <rPr>
        <sz val="11"/>
        <color theme="1"/>
        <rFont val="Noto Sans CJK SC"/>
        <family val="2"/>
      </rPr>
      <t xml:space="preserve">：方法一 </t>
    </r>
    <r>
      <rPr>
        <sz val="11"/>
        <color theme="1"/>
        <rFont val="Calibri"/>
        <family val="2"/>
        <charset val="1"/>
      </rPr>
      <t xml:space="preserve">(a2) </t>
    </r>
    <r>
      <rPr>
        <sz val="11"/>
        <color theme="1"/>
        <rFont val="Noto Sans CJK SC"/>
        <family val="2"/>
      </rPr>
      <t xml:space="preserve">保守讀法／持有比界線</t>
    </r>
  </si>
  <si>
    <t xml:space="preserve">公式（連結推導頁）</t>
  </si>
  <si>
    <r>
      <rPr>
        <sz val="11"/>
        <color theme="1"/>
        <rFont val="Calibri"/>
        <family val="2"/>
        <charset val="1"/>
      </rPr>
      <t xml:space="preserve">Jalapeño</t>
    </r>
    <r>
      <rPr>
        <sz val="11"/>
        <color theme="1"/>
        <rFont val="Noto Sans CJK SC"/>
        <family val="2"/>
      </rPr>
      <t xml:space="preserve">：方法二（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自測）／持有比界線</t>
    </r>
  </si>
  <si>
    <r>
      <rPr>
        <sz val="11"/>
        <color theme="1"/>
        <rFont val="Calibri"/>
        <family val="2"/>
        <charset val="1"/>
      </rPr>
      <t xml:space="preserve">Jalapeño</t>
    </r>
    <r>
      <rPr>
        <sz val="11"/>
        <color theme="1"/>
        <rFont val="Noto Sans CJK SC"/>
        <family val="2"/>
      </rPr>
      <t xml:space="preserve">：建議產出比（原始）／持有比界線</t>
    </r>
  </si>
  <si>
    <r>
      <rPr>
        <b val="true"/>
        <sz val="11"/>
        <rFont val="Noto Sans CJK SC"/>
        <family val="2"/>
      </rPr>
      <t xml:space="preserve">建議輸入值（若寫入 </t>
    </r>
    <r>
      <rPr>
        <b val="true"/>
        <sz val="11"/>
        <rFont val="Cambria"/>
        <family val="0"/>
        <charset val="1"/>
      </rPr>
      <t xml:space="preserve">NonNV</t>
    </r>
    <r>
      <rPr>
        <b val="true"/>
        <sz val="11"/>
        <rFont val="Noto Sans CJK SC"/>
        <family val="2"/>
      </rPr>
      <t xml:space="preserve">；預設，見待判斷 </t>
    </r>
    <r>
      <rPr>
        <b val="true"/>
        <sz val="11"/>
        <rFont val="Cambria"/>
        <family val="0"/>
        <charset val="1"/>
      </rPr>
      <t xml:space="preserve">Q3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Q8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</si>
  <si>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（維持慣例值）</t>
    </r>
  </si>
  <si>
    <t xml:space="preserve">Assumed</t>
  </si>
  <si>
    <r>
      <rPr>
        <sz val="11"/>
        <color theme="1"/>
        <rFont val="Noto Sans CJK SC"/>
        <family val="2"/>
      </rPr>
      <t xml:space="preserve">數值不改。每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法不適用（瓶頸為 </t>
    </r>
    <r>
      <rPr>
        <sz val="11"/>
        <color theme="1"/>
        <rFont val="Calibri"/>
        <family val="2"/>
        <charset val="1"/>
      </rPr>
      <t xml:space="preserve">44 GB SRAM </t>
    </r>
    <r>
      <rPr>
        <sz val="11"/>
        <color theme="1"/>
        <rFont val="Noto Sans CJK SC"/>
        <family val="2"/>
      </rPr>
      <t xml:space="preserve">容量，每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記憶體只有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）；產出方向界線：</t>
    </r>
    <r>
      <rPr>
        <sz val="11"/>
        <color theme="1"/>
        <rFont val="Calibri"/>
        <family val="2"/>
        <charset val="1"/>
      </rPr>
      <t xml:space="preserve">FP16 </t>
    </r>
    <r>
      <rPr>
        <sz val="11"/>
        <color theme="1"/>
        <rFont val="Noto Sans CJK SC"/>
        <family val="2"/>
      </rPr>
      <t xml:space="preserve">對齊每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峰值比 </t>
    </r>
    <r>
      <rPr>
        <sz val="11"/>
        <color theme="1"/>
        <rFont val="Calibri"/>
        <family val="2"/>
        <charset val="1"/>
      </rPr>
      <t xml:space="preserve">0.36–0.43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f≤1 </t>
    </r>
    <r>
      <rPr>
        <sz val="11"/>
        <color theme="1"/>
        <rFont val="Noto Sans CJK SC"/>
        <family val="2"/>
      </rPr>
      <t xml:space="preserve">上限）、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自述容量換算約 </t>
    </r>
    <r>
      <rPr>
        <sz val="11"/>
        <color theme="1"/>
        <rFont val="Calibri"/>
        <family val="2"/>
        <charset val="1"/>
      </rPr>
      <t xml:space="preserve">0.04–0.13</t>
    </r>
    <r>
      <rPr>
        <sz val="11"/>
        <color theme="1"/>
        <rFont val="Noto Sans CJK SC"/>
        <family val="2"/>
      </rPr>
      <t xml:space="preserve">，前者只與現值基準相當、後者遠低於，現值高端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超出全部證據。持有比兩法衝突：記者估價（</t>
    </r>
    <r>
      <rPr>
        <sz val="11"/>
        <color theme="1"/>
        <rFont val="Calibri"/>
        <family val="2"/>
        <charset val="1"/>
      </rPr>
      <t xml:space="preserve">$2.5–4.0M</t>
    </r>
    <r>
      <rPr>
        <sz val="11"/>
        <color theme="1"/>
        <rFont val="Noto Sans CJK SC"/>
        <family val="2"/>
      </rPr>
      <t xml:space="preserve">／台、</t>
    </r>
    <r>
      <rPr>
        <sz val="11"/>
        <color theme="1"/>
        <rFont val="Calibri"/>
        <family val="2"/>
        <charset val="1"/>
      </rPr>
      <t xml:space="preserve">23 kW</t>
    </r>
    <r>
      <rPr>
        <sz val="11"/>
        <color theme="1"/>
        <rFont val="Noto Sans CJK SC"/>
        <family val="2"/>
      </rPr>
      <t xml:space="preserve">）→ 約 </t>
    </r>
    <r>
      <rPr>
        <sz val="11"/>
        <color theme="1"/>
        <rFont val="Calibri"/>
        <family val="2"/>
        <charset val="1"/>
      </rPr>
      <t xml:space="preserve">2.5–3.9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750 MW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年）→ 上限約 </t>
    </r>
    <r>
      <rPr>
        <sz val="11"/>
        <color theme="1"/>
        <rFont val="Calibri"/>
        <family val="2"/>
        <charset val="1"/>
      </rPr>
      <t xml:space="preserve">0.55–0.73</t>
    </r>
    <r>
      <rPr>
        <sz val="11"/>
        <color theme="1"/>
        <rFont val="Noto Sans CJK SC"/>
        <family val="2"/>
      </rPr>
      <t xml:space="preserve">。證據：</t>
    </r>
    <r>
      <rPr>
        <sz val="11"/>
        <color theme="1"/>
        <rFont val="Calibri"/>
        <family val="2"/>
        <charset val="1"/>
      </rPr>
      <t xml:space="preserve">docs/evidence/20261025_NonNV_Cerebras_OpenAI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</si>
  <si>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Jalapeño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</si>
  <si>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產出比：</t>
    </r>
    <r>
      <rPr>
        <sz val="11"/>
        <color theme="1"/>
        <rFont val="Calibri"/>
        <family val="2"/>
        <charset val="1"/>
      </rPr>
      <t xml:space="preserve">Jalapeño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MXFP4 13.4 PF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FP8 dense 3.4 PF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TDP 700 W</t>
    </r>
    <r>
      <rPr>
        <sz val="11"/>
        <color theme="1"/>
        <rFont val="Noto Sans CJK SC"/>
        <family val="2"/>
      </rPr>
      <t xml:space="preserve">；機架未公布，倍數 </t>
    </r>
    <r>
      <rPr>
        <sz val="11"/>
        <color theme="1"/>
        <rFont val="Calibri"/>
        <family val="2"/>
        <charset val="1"/>
      </rPr>
      <t xml:space="preserve">1.35–1.75</t>
    </r>
    <r>
      <rPr>
        <sz val="11"/>
        <color theme="1"/>
        <rFont val="Noto Sans CJK SC"/>
        <family val="2"/>
      </rPr>
      <t xml:space="preserve">）低＝方法一保守讀法 </t>
    </r>
    <r>
      <rPr>
        <sz val="11"/>
        <color theme="1"/>
        <rFont val="Calibri"/>
        <family val="2"/>
        <charset val="1"/>
      </rPr>
      <t xml:space="preserve">0.43</t>
    </r>
    <r>
      <rPr>
        <sz val="11"/>
        <color theme="1"/>
        <rFont val="Noto Sans CJK SC"/>
        <family val="2"/>
      </rPr>
      <t xml:space="preserve">；基準＝其與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自測（</t>
    </r>
    <r>
      <rPr>
        <sz val="11"/>
        <color theme="1"/>
        <rFont val="Calibri"/>
        <family val="2"/>
        <charset val="1"/>
      </rPr>
      <t xml:space="preserve">InferenceX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GB300 1.5–1.7×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TK GB300 </t>
    </r>
    <r>
      <rPr>
        <sz val="11"/>
        <color theme="1"/>
        <rFont val="Noto Sans CJK SC"/>
        <family val="2"/>
      </rPr>
      <t xml:space="preserve">錨點換算 </t>
    </r>
    <r>
      <rPr>
        <sz val="11"/>
        <color theme="1"/>
        <rFont val="Calibri"/>
        <family val="2"/>
        <charset val="1"/>
      </rPr>
      <t xml:space="preserve">0.91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；高＝方法二高端 </t>
    </r>
    <r>
      <rPr>
        <sz val="11"/>
        <color theme="1"/>
        <rFont val="Calibri"/>
        <family val="2"/>
        <charset val="1"/>
      </rPr>
      <t xml:space="preserve">1.07</t>
    </r>
    <r>
      <rPr>
        <sz val="11"/>
        <color theme="1"/>
        <rFont val="Noto Sans CJK SC"/>
        <family val="2"/>
      </rPr>
      <t xml:space="preserve">；持有比維持（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$20–30B </t>
    </r>
    <r>
      <rPr>
        <sz val="11"/>
        <color theme="1"/>
        <rFont val="Noto Sans CJK SC"/>
        <family val="2"/>
      </rPr>
      <t xml:space="preserve">推得界線 </t>
    </r>
    <r>
      <rPr>
        <sz val="11"/>
        <color theme="1"/>
        <rFont val="Calibri"/>
        <family val="2"/>
        <charset val="1"/>
      </rPr>
      <t xml:space="preserve">0.64–1.27</t>
    </r>
    <r>
      <rPr>
        <sz val="11"/>
        <color theme="1"/>
        <rFont val="Noto Sans CJK SC"/>
        <family val="2"/>
      </rPr>
      <t xml:space="preserve">，現值落在其中）。證據：同上。</t>
    </r>
  </si>
  <si>
    <r>
      <rPr>
        <b val="true"/>
        <sz val="11"/>
        <rFont val="Cambria"/>
        <family val="0"/>
        <charset val="1"/>
      </rPr>
      <t xml:space="preserve">TK v21.7 </t>
    </r>
    <r>
      <rPr>
        <b val="true"/>
        <sz val="11"/>
        <rFont val="Noto Sans CJK SC"/>
        <family val="2"/>
      </rPr>
      <t xml:space="preserve">現值（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9 </t>
    </r>
    <r>
      <rPr>
        <b val="true"/>
        <sz val="11"/>
        <rFont val="Noto Sans CJK SC"/>
        <family val="2"/>
      </rPr>
      <t xml:space="preserve">列；慣例值、未推導）</t>
    </r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</si>
  <si>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（現值）</t>
    </r>
  </si>
  <si>
    <t xml:space="preserve">model/20261025_Tokenomics_v21.7.xlsx NonNV!B8:G8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</si>
  <si>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客製（現值）</t>
    </r>
  </si>
  <si>
    <t xml:space="preserve">model/20261025_Tokenomics_v21.7.xlsx NonNV!B9:G9</t>
  </si>
  <si>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A–C </t>
    </r>
    <r>
      <rPr>
        <b val="true"/>
        <sz val="11"/>
        <rFont val="Noto Sans CJK SC"/>
        <family val="2"/>
      </rPr>
      <t xml:space="preserve">段並排（每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峰值比為各自最高原生精度；建議值或 </t>
    </r>
    <r>
      <rPr>
        <b val="true"/>
        <sz val="11"/>
        <rFont val="Cambria"/>
        <family val="0"/>
        <charset val="1"/>
      </rPr>
      <t xml:space="preserve">TK v21.7 </t>
    </r>
    <r>
      <rPr>
        <b val="true"/>
        <sz val="11"/>
        <rFont val="Noto Sans CJK SC"/>
        <family val="2"/>
      </rPr>
      <t xml:space="preserve">現值）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</si>
  <si>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峰值 </t>
    </r>
    <r>
      <rPr>
        <b val="true"/>
        <sz val="11"/>
        <rFont val="Cambria"/>
        <family val="0"/>
        <charset val="1"/>
      </rPr>
      <t xml:space="preserve">÷ VR200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</si>
  <si>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Noto Sans CJK SC"/>
        <family val="2"/>
      </rPr>
      <t xml:space="preserve">成本比</t>
    </r>
  </si>
  <si>
    <t xml:space="preserve">來源</t>
  </si>
  <si>
    <r>
      <rPr>
        <sz val="11"/>
        <color theme="1"/>
        <rFont val="Calibri"/>
        <family val="2"/>
        <charset val="1"/>
      </rPr>
      <t xml:space="preserve">Cerebras CS-3</t>
    </r>
    <r>
      <rPr>
        <sz val="11"/>
        <color theme="1"/>
        <rFont val="Noto Sans CJK SC"/>
        <family val="2"/>
      </rPr>
      <t xml:space="preserve">（本段；維持）</t>
    </r>
  </si>
  <si>
    <r>
      <rPr>
        <sz val="11"/>
        <color theme="1"/>
        <rFont val="Noto Sans CJK SC"/>
        <family val="2"/>
      </rPr>
      <t xml:space="preserve">本段：</t>
    </r>
    <r>
      <rPr>
        <sz val="11"/>
        <color theme="1"/>
        <rFont val="Calibri"/>
        <family val="2"/>
        <charset val="1"/>
      </rPr>
      <t xml:space="preserve">(a) FP16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(b) FP16 </t>
    </r>
    <r>
      <rPr>
        <sz val="11"/>
        <color theme="1"/>
        <rFont val="Noto Sans CJK SC"/>
        <family val="2"/>
      </rPr>
      <t xml:space="preserve">對齊 </t>
    </r>
    <r>
      <rPr>
        <sz val="11"/>
        <color theme="1"/>
        <rFont val="Calibri"/>
        <family val="2"/>
        <charset val="1"/>
      </rPr>
      <t xml:space="preserve">0.43</t>
    </r>
  </si>
  <si>
    <r>
      <rPr>
        <sz val="11"/>
        <color theme="1"/>
        <rFont val="Calibri"/>
        <family val="2"/>
        <charset val="1"/>
      </rPr>
      <t xml:space="preserve">OpenAI Jalapeño</t>
    </r>
    <r>
      <rPr>
        <sz val="11"/>
        <color theme="1"/>
        <rFont val="Noto Sans CJK SC"/>
        <family val="2"/>
      </rPr>
      <t xml:space="preserve">（本段建議）</t>
    </r>
  </si>
  <si>
    <r>
      <rPr>
        <sz val="11"/>
        <color theme="1"/>
        <rFont val="Noto Sans CJK SC"/>
        <family val="2"/>
      </rPr>
      <t xml:space="preserve">本段：保守讀法；</t>
    </r>
    <r>
      <rPr>
        <sz val="11"/>
        <color theme="1"/>
        <rFont val="Calibri"/>
        <family val="2"/>
        <charset val="1"/>
      </rPr>
      <t xml:space="preserve">13.4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dense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1.13</t>
    </r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</si>
  <si>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段）</t>
    </r>
  </si>
  <si>
    <r>
      <rPr>
        <sz val="11"/>
        <color theme="1"/>
        <rFont val="Calibri"/>
        <family val="2"/>
        <charset val="1"/>
      </rPr>
      <t xml:space="preserve">TK v21.7 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</si>
  <si>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Google TPU v7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段）</t>
    </r>
  </si>
  <si>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列（產出比仍慣例值；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段建議 </t>
    </r>
    <r>
      <rPr>
        <sz val="11"/>
        <color theme="1"/>
        <rFont val="Calibri"/>
        <family val="2"/>
        <charset val="1"/>
      </rPr>
      <t xml:space="preserve">0.35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</si>
  <si>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段）</t>
    </r>
  </si>
  <si>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列（產出比仍慣例值；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段建議 </t>
    </r>
    <r>
      <rPr>
        <sz val="11"/>
        <color theme="1"/>
        <rFont val="Calibri"/>
        <family val="2"/>
        <charset val="1"/>
      </rPr>
      <t xml:space="preserve">0.14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</si>
  <si>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段）</t>
    </r>
  </si>
  <si>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</si>
  <si>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段）</t>
    </r>
  </si>
  <si>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</t>
    </r>
  </si>
  <si>
    <r>
      <rPr>
        <b val="true"/>
        <sz val="11"/>
        <rFont val="Noto Sans CJK SC"/>
        <family val="2"/>
      </rPr>
      <t xml:space="preserve">推導 — </t>
    </r>
    <r>
      <rPr>
        <b val="true"/>
        <sz val="11"/>
        <rFont val="Cambria"/>
        <family val="0"/>
        <charset val="1"/>
      </rPr>
      <t xml:space="preserve">Cerebras CS-3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WSE-3</t>
    </r>
    <r>
      <rPr>
        <b val="true"/>
        <sz val="11"/>
        <rFont val="Noto Sans CJK SC"/>
        <family val="2"/>
      </rPr>
      <t xml:space="preserve">）與 </t>
    </r>
    <r>
      <rPr>
        <b val="true"/>
        <sz val="11"/>
        <rFont val="Cambria"/>
        <family val="0"/>
        <charset val="1"/>
      </rPr>
      <t xml:space="preserve">OpenAI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Broadcom Jalapeño </t>
    </r>
    <r>
      <rPr>
        <b val="true"/>
        <sz val="11"/>
        <rFont val="Noto Sans CJK SC"/>
        <family val="2"/>
      </rPr>
      <t xml:space="preserve">相對 </t>
    </r>
    <r>
      <rPr>
        <b val="true"/>
        <sz val="11"/>
        <rFont val="Cambria"/>
        <family val="0"/>
        <charset val="1"/>
      </rPr>
      <t xml:space="preserve">VR200 NVL72 </t>
    </r>
    <r>
      <rPr>
        <b val="true"/>
        <sz val="11"/>
        <rFont val="Noto Sans CJK SC"/>
        <family val="2"/>
      </rPr>
      <t xml:space="preserve">的每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產出比與持有成本比（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段；方法同 </t>
    </r>
    <r>
      <rPr>
        <b val="true"/>
        <sz val="11"/>
        <rFont val="Cambria"/>
        <family val="0"/>
        <charset val="1"/>
      </rPr>
      <t xml:space="preserve">A–C </t>
    </r>
    <r>
      <rPr>
        <b val="true"/>
        <sz val="11"/>
        <rFont val="Noto Sans CJK SC"/>
        <family val="2"/>
      </rPr>
      <t xml:space="preserve">段）</t>
    </r>
  </si>
  <si>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＝低端／基準／高端（產出列：悲觀→樂觀；持有列：成本低→成本高）。藍字＝輸入；黑字＝公式。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分母取自 </t>
    </r>
    <r>
      <rPr>
        <sz val="11"/>
        <color theme="1"/>
        <rFont val="Calibri"/>
        <family val="2"/>
        <charset val="1"/>
      </rPr>
      <t xml:space="preserve">model/20261025_Tokenomics_v21.7.xlsx</t>
    </r>
    <r>
      <rPr>
        <sz val="11"/>
        <color theme="1"/>
        <rFont val="Noto Sans CJK SC"/>
        <family val="2"/>
      </rPr>
      <t xml:space="preserve">（數值與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v21.6 </t>
    </r>
    <r>
      <rPr>
        <sz val="11"/>
        <color theme="1"/>
        <rFont val="Noto Sans CJK SC"/>
        <family val="2"/>
      </rPr>
      <t xml:space="preserve">相同）。證據編號 </t>
    </r>
    <r>
      <rPr>
        <sz val="11"/>
        <color theme="1"/>
        <rFont val="Calibri"/>
        <family val="2"/>
        <charset val="1"/>
      </rPr>
      <t xml:space="preserve">C01–C11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O01–O08 </t>
    </r>
    <r>
      <rPr>
        <sz val="11"/>
        <color theme="1"/>
        <rFont val="Noto Sans CJK SC"/>
        <family val="2"/>
      </rPr>
      <t xml:space="preserve">見『證據』頁。</t>
    </r>
  </si>
  <si>
    <t xml:space="preserve">編號</t>
  </si>
  <si>
    <t xml:space="preserve">物理量</t>
  </si>
  <si>
    <t xml:space="preserve">單位</t>
  </si>
  <si>
    <t xml:space="preserve">低端</t>
  </si>
  <si>
    <t xml:space="preserve">基準</t>
  </si>
  <si>
    <t xml:space="preserve">高端</t>
  </si>
  <si>
    <t xml:space="preserve">來源（證據編號／模型格）</t>
  </si>
  <si>
    <t xml:space="preserve">算式或說明</t>
  </si>
  <si>
    <r>
      <rPr>
        <b val="true"/>
        <sz val="11"/>
        <rFont val="Cambria"/>
        <family val="0"/>
        <charset val="1"/>
      </rPr>
      <t xml:space="preserve">A. VR200 NVL72 </t>
    </r>
    <r>
      <rPr>
        <b val="true"/>
        <sz val="11"/>
        <rFont val="Noto Sans CJK SC"/>
        <family val="2"/>
      </rPr>
      <t xml:space="preserve">分母（模型 </t>
    </r>
    <r>
      <rPr>
        <b val="true"/>
        <sz val="11"/>
        <rFont val="Cambria"/>
        <family val="0"/>
        <charset val="1"/>
      </rPr>
      <t xml:space="preserve">v21.7</t>
    </r>
    <r>
      <rPr>
        <b val="true"/>
        <sz val="11"/>
        <rFont val="Noto Sans CJK SC"/>
        <family val="2"/>
      </rPr>
      <t xml:space="preserve">；同層級、同 </t>
    </r>
    <r>
      <rPr>
        <b val="true"/>
        <sz val="11"/>
        <rFont val="Cambria"/>
        <family val="0"/>
        <charset val="1"/>
      </rPr>
      <t xml:space="preserve">SLO</t>
    </r>
    <r>
      <rPr>
        <b val="true"/>
        <sz val="11"/>
        <rFont val="Noto Sans CJK SC"/>
        <family val="2"/>
      </rPr>
      <t xml:space="preserve">）</t>
    </r>
  </si>
  <si>
    <t xml:space="preserve">A1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</si>
  <si>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計算用峰值（</t>
    </r>
    <r>
      <rPr>
        <sz val="11"/>
        <color theme="1"/>
        <rFont val="Calibri"/>
        <family val="2"/>
        <charset val="1"/>
      </rPr>
      <t xml:space="preserve">NVFP4 dense</t>
    </r>
    <r>
      <rPr>
        <sz val="11"/>
        <color theme="1"/>
        <rFont val="Noto Sans CJK SC"/>
        <family val="2"/>
      </rPr>
      <t xml:space="preserve">；模型服務精度）</t>
    </r>
  </si>
  <si>
    <t xml:space="preserve">PF</t>
  </si>
  <si>
    <t xml:space="preserve">Spec_Rack!F35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</si>
  <si>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規格）</t>
    </r>
  </si>
  <si>
    <t xml:space="preserve">A2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</si>
  <si>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機架配電設計功率（基準）</t>
    </r>
  </si>
  <si>
    <t xml:space="preserve">kW</t>
  </si>
  <si>
    <t xml:space="preserve">Spec_Rack!F9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</si>
  <si>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</si>
  <si>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Max-P </t>
    </r>
    <r>
      <rPr>
        <sz val="11"/>
        <color theme="1"/>
        <rFont val="Noto Sans CJK SC"/>
        <family val="2"/>
      </rPr>
      <t xml:space="preserve">設計功率</t>
    </r>
  </si>
  <si>
    <t xml:space="preserve">A3</t>
  </si>
  <si>
    <r>
      <rPr>
        <sz val="11"/>
        <color theme="1"/>
        <rFont val="Noto Sans CJK SC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</t>
    </r>
  </si>
  <si>
    <t xml:space="preserve">顆</t>
  </si>
  <si>
    <t xml:space="preserve">Spec_Rack!F6</t>
  </si>
  <si>
    <t xml:space="preserve">Verified</t>
  </si>
  <si>
    <t xml:space="preserve">A4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</si>
  <si>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每顆所攤機架功率</t>
    </r>
  </si>
  <si>
    <t xml:space="preserve">Derived</t>
  </si>
  <si>
    <t xml:space="preserve">A5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</si>
  <si>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峰值算力（</t>
    </r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Noto Sans CJK SC"/>
        <family val="2"/>
      </rPr>
      <t xml:space="preserve">）</t>
    </r>
  </si>
  <si>
    <t xml:space="preserve">PF/kW</t>
  </si>
  <si>
    <t xml:space="preserve">A21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</si>
  <si>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FP8 dense</t>
    </r>
  </si>
  <si>
    <t xml:space="preserve">Spec_Rack!F40</t>
  </si>
  <si>
    <t xml:space="preserve">A26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</si>
  <si>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BF16 dense</t>
    </r>
  </si>
  <si>
    <t xml:space="preserve">Spec_Rack!F39</t>
  </si>
  <si>
    <r>
      <rPr>
        <sz val="11"/>
        <color theme="1"/>
        <rFont val="Calibri"/>
        <family val="2"/>
        <charset val="1"/>
      </rPr>
      <t xml:space="preserve">Cerebras FP16 </t>
    </r>
    <r>
      <rPr>
        <sz val="11"/>
        <color theme="1"/>
        <rFont val="Noto Sans CJK SC"/>
        <family val="2"/>
      </rPr>
      <t xml:space="preserve">對齊口徑用</t>
    </r>
  </si>
  <si>
    <t xml:space="preserve">A24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</si>
  <si>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容量</t>
    </r>
  </si>
  <si>
    <t xml:space="preserve">GB</t>
  </si>
  <si>
    <t xml:space="preserve">Spec_Rack!F25</t>
  </si>
  <si>
    <t xml:space="preserve">A6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</si>
  <si>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</t>
    </r>
  </si>
  <si>
    <t xml:space="preserve">架</t>
  </si>
  <si>
    <t xml:space="preserve">Interface!M6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</si>
  <si>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（模型）</t>
    </r>
  </si>
  <si>
    <t xml:space="preserve">A7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</si>
  <si>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功率（＝</t>
    </r>
    <r>
      <rPr>
        <sz val="11"/>
        <color theme="1"/>
        <rFont val="Calibri"/>
        <family val="2"/>
        <charset val="1"/>
      </rPr>
      <t xml:space="preserve">A6×A2</t>
    </r>
    <r>
      <rPr>
        <sz val="11"/>
        <color theme="1"/>
        <rFont val="Noto Sans CJK SC"/>
        <family val="2"/>
      </rPr>
      <t xml:space="preserve">）</t>
    </r>
  </si>
  <si>
    <t xml:space="preserve">MW</t>
  </si>
  <si>
    <r>
      <rPr>
        <sz val="11"/>
        <color theme="1"/>
        <rFont val="Noto Sans CJK SC"/>
        <family val="2"/>
      </rPr>
      <t xml:space="preserve">候選每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台數＝此值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候選每台功率（同 </t>
    </r>
    <r>
      <rPr>
        <sz val="11"/>
        <color theme="1"/>
        <rFont val="Calibri"/>
        <family val="2"/>
        <charset val="1"/>
      </rPr>
      <t xml:space="preserve">A–C </t>
    </r>
    <r>
      <rPr>
        <sz val="11"/>
        <color theme="1"/>
        <rFont val="Noto Sans CJK SC"/>
        <family val="2"/>
      </rPr>
      <t xml:space="preserve">段）</t>
    </r>
  </si>
  <si>
    <t xml:space="preserve">A8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</si>
  <si>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機架價格（基準）</t>
    </r>
  </si>
  <si>
    <t xml:space="preserve">$M</t>
  </si>
  <si>
    <t xml:space="preserve">Spec_Rack!F12</t>
  </si>
  <si>
    <r>
      <rPr>
        <sz val="11"/>
        <color theme="1"/>
        <rFont val="Noto Sans CJK SC"/>
        <family val="2"/>
      </rPr>
      <t xml:space="preserve">買方取得價（</t>
    </r>
    <r>
      <rPr>
        <sz val="11"/>
        <color theme="1"/>
        <rFont val="Calibri"/>
        <family val="2"/>
        <charset val="1"/>
      </rPr>
      <t xml:space="preserve">MS BOM 7.8 × 1.075</t>
    </r>
    <r>
      <rPr>
        <sz val="11"/>
        <color theme="1"/>
        <rFont val="Noto Sans CJK SC"/>
        <family val="2"/>
      </rPr>
      <t xml:space="preserve">）</t>
    </r>
  </si>
  <si>
    <t xml:space="preserve">A9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</si>
  <si>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設備資本支出（基準）</t>
    </r>
  </si>
  <si>
    <t xml:space="preserve">$B</t>
  </si>
  <si>
    <t xml:space="preserve">Interface!M9</t>
  </si>
  <si>
    <t xml:space="preserve">A10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</si>
  <si>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（機架數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機架價）＝網路等加成</t>
    </r>
  </si>
  <si>
    <t xml:space="preserve">x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</si>
  <si>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1.10</t>
    </r>
  </si>
  <si>
    <t xml:space="preserve">A11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</si>
  <si>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廠房資本支出</t>
    </r>
  </si>
  <si>
    <t xml:space="preserve">Interface!M10</t>
  </si>
  <si>
    <t xml:space="preserve">A12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</si>
  <si>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 — 經濟口徑</t>
    </r>
  </si>
  <si>
    <r>
      <rPr>
        <sz val="11"/>
        <color theme="1"/>
        <rFont val="Calibri"/>
        <family val="2"/>
        <charset val="1"/>
      </rPr>
      <t xml:space="preserve">$B/</t>
    </r>
    <r>
      <rPr>
        <sz val="11"/>
        <color theme="1"/>
        <rFont val="Noto Sans CJK SC"/>
        <family val="2"/>
      </rPr>
      <t xml:space="preserve">年</t>
    </r>
  </si>
  <si>
    <t xml:space="preserve">Interface!M13</t>
  </si>
  <si>
    <t xml:space="preserve">分母</t>
  </si>
  <si>
    <t xml:space="preserve">A13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</si>
  <si>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年持有成本 — 會計口徑</t>
    </r>
  </si>
  <si>
    <t xml:space="preserve">Interface!M12</t>
  </si>
  <si>
    <t xml:space="preserve">A14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</si>
  <si>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折舊</t>
    </r>
  </si>
  <si>
    <t xml:space="preserve">Interface!M220</t>
  </si>
  <si>
    <t xml:space="preserve">A15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</si>
  <si>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維護</t>
    </r>
  </si>
  <si>
    <t xml:space="preserve">Interface!M224</t>
  </si>
  <si>
    <t xml:space="preserve">A16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</si>
  <si>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財產稅與保險</t>
    </r>
  </si>
  <si>
    <t xml:space="preserve">Interface!M227</t>
  </si>
  <si>
    <t xml:space="preserve">A17</t>
  </si>
  <si>
    <t xml:space="preserve">資金成本（經濟 − 會計）</t>
  </si>
  <si>
    <t xml:space="preserve">A18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</si>
  <si>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設備占總資本支出比例</t>
    </r>
  </si>
  <si>
    <t xml:space="preserve">—</t>
  </si>
  <si>
    <t xml:space="preserve">A19</t>
  </si>
  <si>
    <r>
      <rPr>
        <sz val="11"/>
        <color theme="1"/>
        <rFont val="Noto Sans CJK SC"/>
        <family val="2"/>
      </rPr>
      <t xml:space="preserve">持有成本中隨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設備資本支出成比例的部分</t>
    </r>
  </si>
  <si>
    <t xml:space="preserve">A20</t>
  </si>
  <si>
    <r>
      <rPr>
        <sz val="11"/>
        <color theme="1"/>
        <rFont val="Noto Sans CJK SC"/>
        <family val="2"/>
      </rPr>
      <t xml:space="preserve">上述部分占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持有成本比例 </t>
    </r>
    <r>
      <rPr>
        <sz val="11"/>
        <color theme="1"/>
        <rFont val="Calibri"/>
        <family val="2"/>
        <charset val="1"/>
      </rPr>
      <t xml:space="preserve">s</t>
    </r>
  </si>
  <si>
    <r>
      <rPr>
        <sz val="11"/>
        <color theme="1"/>
        <rFont val="Noto Sans CJK SC"/>
        <family val="2"/>
      </rPr>
      <t xml:space="preserve">候選持有比 ＝ </t>
    </r>
    <r>
      <rPr>
        <sz val="11"/>
        <color theme="1"/>
        <rFont val="Calibri"/>
        <family val="2"/>
        <charset val="1"/>
      </rPr>
      <t xml:space="preserve">1 − s×(1 − k)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0.774</t>
    </r>
    <r>
      <rPr>
        <sz val="11"/>
        <color theme="1"/>
        <rFont val="Noto Sans CJK SC"/>
        <family val="2"/>
      </rPr>
      <t xml:space="preserve">（同 </t>
    </r>
    <r>
      <rPr>
        <sz val="11"/>
        <color theme="1"/>
        <rFont val="Calibri"/>
        <family val="2"/>
        <charset val="1"/>
      </rPr>
      <t xml:space="preserve">A–C </t>
    </r>
    <r>
      <rPr>
        <sz val="11"/>
        <color theme="1"/>
        <rFont val="Noto Sans CJK SC"/>
        <family val="2"/>
      </rPr>
      <t xml:space="preserve">段）</t>
    </r>
  </si>
  <si>
    <r>
      <rPr>
        <b val="true"/>
        <sz val="11"/>
        <rFont val="Cambria"/>
        <family val="0"/>
        <charset val="1"/>
      </rPr>
      <t xml:space="preserve">B. GB300 NVL72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模型值；方法二與 </t>
    </r>
    <r>
      <rPr>
        <b val="true"/>
        <sz val="11"/>
        <rFont val="Cambria"/>
        <family val="0"/>
        <charset val="1"/>
      </rPr>
      <t xml:space="preserve">Cerebras </t>
    </r>
    <r>
      <rPr>
        <b val="true"/>
        <sz val="11"/>
        <rFont val="Noto Sans CJK SC"/>
        <family val="2"/>
      </rPr>
      <t xml:space="preserve">容量換算共用）</t>
    </r>
  </si>
  <si>
    <t xml:space="preserve">B1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</si>
  <si>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機架配電功率（基準）</t>
    </r>
  </si>
  <si>
    <t xml:space="preserve">Spec_Rack!E9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</si>
  <si>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</si>
  <si>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B2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</si>
  <si>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GPU</t>
    </r>
  </si>
  <si>
    <t xml:space="preserve">Spec_Rack!E6</t>
  </si>
  <si>
    <t xml:space="preserve">B3</t>
  </si>
  <si>
    <r>
      <rPr>
        <sz val="11"/>
        <color theme="1"/>
        <rFont val="Calibri"/>
        <family val="2"/>
        <charset val="1"/>
      </rPr>
      <t xml:space="preserve">GB300 GPU </t>
    </r>
    <r>
      <rPr>
        <sz val="11"/>
        <color theme="1"/>
        <rFont val="Noto Sans CJK SC"/>
        <family val="2"/>
      </rPr>
      <t xml:space="preserve">封裝功率</t>
    </r>
  </si>
  <si>
    <t xml:space="preserve">W</t>
  </si>
  <si>
    <r>
      <rPr>
        <sz val="11"/>
        <color theme="1"/>
        <rFont val="Calibri"/>
        <family val="2"/>
        <charset val="1"/>
      </rPr>
      <t xml:space="preserve">Spec_Rack!E33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正規化同用 </t>
    </r>
    <r>
      <rPr>
        <sz val="11"/>
        <color theme="1"/>
        <rFont val="Calibri"/>
        <family val="2"/>
        <charset val="1"/>
      </rPr>
      <t xml:space="preserve">1,400 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O04</t>
    </r>
    <r>
      <rPr>
        <sz val="11"/>
        <color theme="1"/>
        <rFont val="Noto Sans CJK SC"/>
        <family val="2"/>
      </rPr>
      <t xml:space="preserve">）</t>
    </r>
  </si>
  <si>
    <t xml:space="preserve">B4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</si>
  <si>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封裝功率總和（倍數）</t>
    </r>
  </si>
  <si>
    <t xml:space="preserve">1.35</t>
  </si>
  <si>
    <t xml:space="preserve">B5</t>
  </si>
  <si>
    <r>
      <rPr>
        <sz val="11"/>
        <color theme="1"/>
        <rFont val="Calibri"/>
        <family val="2"/>
        <charset val="1"/>
      </rPr>
      <t xml:space="preserve">GB300 VR-eq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</si>
  <si>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Interface IF_VReq_Luna/Sol/Astra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I22/I32/I42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</si>
  <si>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欄 </t>
    </r>
    <r>
      <rPr>
        <sz val="11"/>
        <color theme="1"/>
        <rFont val="Calibri"/>
        <family val="2"/>
        <charset val="1"/>
      </rPr>
      <t xml:space="preserve">D/E/F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Astra</t>
    </r>
    <r>
      <rPr>
        <sz val="11"/>
        <color theme="1"/>
        <rFont val="Noto Sans CJK SC"/>
        <family val="2"/>
      </rPr>
      <t xml:space="preserve">（此行不是低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基準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高）</t>
    </r>
  </si>
  <si>
    <t xml:space="preserve">B6</t>
  </si>
  <si>
    <r>
      <rPr>
        <sz val="11"/>
        <color theme="1"/>
        <rFont val="Calibri"/>
        <family val="2"/>
        <charset val="1"/>
      </rPr>
      <t xml:space="preserve">GB300 VR-eq </t>
    </r>
    <r>
      <rPr>
        <sz val="11"/>
        <color theme="1"/>
        <rFont val="Noto Sans CJK SC"/>
        <family val="2"/>
      </rPr>
      <t xml:space="preserve">三層平均（每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</si>
  <si>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0.641</t>
  </si>
  <si>
    <t xml:space="preserve">B7</t>
  </si>
  <si>
    <r>
      <rPr>
        <sz val="11"/>
        <color theme="1"/>
        <rFont val="Calibri"/>
        <family val="2"/>
        <charset val="1"/>
      </rPr>
      <t xml:space="preserve">MLPerf v6.1 Llama2-70b-99.9 Server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每顆吞吐</t>
    </r>
  </si>
  <si>
    <t xml:space="preserve">tok/s/GPU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</si>
  <si>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段證據 </t>
    </r>
    <r>
      <rPr>
        <sz val="11"/>
        <color theme="1"/>
        <rFont val="Calibri"/>
        <family val="2"/>
        <charset val="1"/>
      </rPr>
      <t xml:space="preserve">M05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docs/evidence/20261025_NonNV_AMD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</si>
  <si>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第三方實測（</t>
    </r>
    <r>
      <rPr>
        <sz val="11"/>
        <color theme="1"/>
        <rFont val="Calibri"/>
        <family val="2"/>
        <charset val="1"/>
      </rPr>
      <t xml:space="preserve">MLPerf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</si>
  <si>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Server </t>
    </r>
    <r>
      <rPr>
        <sz val="11"/>
        <color theme="1"/>
        <rFont val="Noto Sans CJK SC"/>
        <family val="2"/>
      </rPr>
      <t xml:space="preserve">情境</t>
    </r>
  </si>
  <si>
    <t xml:space="preserve">B8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</si>
  <si>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每機架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吞吐（</t>
    </r>
    <r>
      <rPr>
        <sz val="11"/>
        <color theme="1"/>
        <rFont val="Calibri"/>
        <family val="2"/>
        <charset val="1"/>
      </rPr>
      <t xml:space="preserve">Llama2-70B</t>
    </r>
    <r>
      <rPr>
        <sz val="11"/>
        <color theme="1"/>
        <rFont val="Noto Sans CJK SC"/>
        <family val="2"/>
      </rPr>
      <t xml:space="preserve">）</t>
    </r>
  </si>
  <si>
    <t xml:space="preserve">tok/s/kW</t>
  </si>
  <si>
    <t xml:space="preserve">B9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</si>
  <si>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倍數（機架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晶片）：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Max-P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Max-Q </t>
    </r>
    <r>
      <rPr>
        <sz val="11"/>
        <color theme="1"/>
        <rFont val="Noto Sans CJK SC"/>
        <family val="2"/>
      </rPr>
      <t xml:space="preserve">平均</t>
    </r>
  </si>
  <si>
    <r>
      <rPr>
        <sz val="11"/>
        <color theme="1"/>
        <rFont val="Calibri"/>
        <family val="2"/>
        <charset val="1"/>
      </rPr>
      <t xml:space="preserve">Spec_Rack!D–F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</t>
    </r>
  </si>
  <si>
    <r>
      <rPr>
        <sz val="11"/>
        <color theme="1"/>
        <rFont val="Calibri"/>
        <family val="2"/>
        <charset val="1"/>
      </rPr>
      <t xml:space="preserve">1.52</t>
    </r>
    <r>
      <rPr>
        <sz val="11"/>
        <color theme="1"/>
        <rFont val="Noto Sans CJK SC"/>
        <family val="2"/>
      </rPr>
      <t xml:space="preserve">（同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Trn3 </t>
    </r>
    <r>
      <rPr>
        <sz val="11"/>
        <color theme="1"/>
        <rFont val="Noto Sans CJK SC"/>
        <family val="2"/>
      </rPr>
      <t xml:space="preserve">基準）</t>
    </r>
  </si>
  <si>
    <r>
      <rPr>
        <b val="true"/>
        <sz val="11"/>
        <rFont val="Cambria"/>
        <family val="0"/>
        <charset val="1"/>
      </rPr>
      <t xml:space="preserve">C. Cerebras CS-3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片 </t>
    </r>
    <r>
      <rPr>
        <b val="true"/>
        <sz val="11"/>
        <rFont val="Cambria"/>
        <family val="0"/>
        <charset val="1"/>
      </rPr>
      <t xml:space="preserve">WSE-3</t>
    </r>
    <r>
      <rPr>
        <b val="true"/>
        <sz val="11"/>
        <rFont val="Noto Sans CJK SC"/>
        <family val="2"/>
      </rPr>
      <t xml:space="preserve">／系統；每架 </t>
    </r>
    <r>
      <rPr>
        <b val="true"/>
        <sz val="11"/>
        <rFont val="Cambria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台，</t>
    </r>
    <r>
      <rPr>
        <b val="true"/>
        <sz val="11"/>
        <rFont val="Cambria"/>
        <family val="0"/>
        <charset val="1"/>
      </rPr>
      <t xml:space="preserve">C03</t>
    </r>
    <r>
      <rPr>
        <b val="true"/>
        <sz val="11"/>
        <rFont val="Noto Sans CJK SC"/>
        <family val="2"/>
      </rPr>
      <t xml:space="preserve">）——每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法不適用，以下為方向界線</t>
    </r>
  </si>
  <si>
    <t xml:space="preserve">C1</t>
  </si>
  <si>
    <r>
      <rPr>
        <sz val="11"/>
        <color theme="1"/>
        <rFont val="Noto Sans CJK SC"/>
        <family val="2"/>
      </rPr>
      <t xml:space="preserve">每系統 </t>
    </r>
    <r>
      <rPr>
        <sz val="11"/>
        <color theme="1"/>
        <rFont val="Calibri"/>
        <family val="2"/>
        <charset val="1"/>
      </rPr>
      <t xml:space="preserve">FP16 dense </t>
    </r>
    <r>
      <rPr>
        <sz val="11"/>
        <color theme="1"/>
        <rFont val="Noto Sans CJK SC"/>
        <family val="2"/>
      </rPr>
      <t xml:space="preserve">峰值</t>
    </r>
  </si>
  <si>
    <r>
      <rPr>
        <sz val="11"/>
        <color theme="1"/>
        <rFont val="Calibri"/>
        <family val="2"/>
        <charset val="1"/>
      </rPr>
      <t xml:space="preserve">C01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125 sparse ÷ 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C04 </t>
    </r>
    <r>
      <rPr>
        <sz val="11"/>
        <color theme="1"/>
        <rFont val="Noto Sans CJK SC"/>
        <family val="2"/>
      </rPr>
      <t xml:space="preserve">旁證 </t>
    </r>
    <r>
      <rPr>
        <sz val="11"/>
        <color theme="1"/>
        <rFont val="Calibri"/>
        <family val="2"/>
        <charset val="1"/>
      </rPr>
      <t xml:space="preserve">25.6 EF÷2,048</t>
    </r>
  </si>
  <si>
    <r>
      <rPr>
        <sz val="11"/>
        <color theme="1"/>
        <rFont val="Noto Sans CJK SC"/>
        <family val="2"/>
      </rPr>
      <t xml:space="preserve">記者整理（源自 </t>
    </r>
    <r>
      <rPr>
        <sz val="11"/>
        <color theme="1"/>
        <rFont val="Calibri"/>
        <family val="2"/>
        <charset val="1"/>
      </rPr>
      <t xml:space="preserve">Cerebras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</si>
  <si>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WSE-3 </t>
    </r>
    <r>
      <rPr>
        <sz val="11"/>
        <color theme="1"/>
        <rFont val="Noto Sans CJK SC"/>
        <family val="2"/>
      </rPr>
      <t xml:space="preserve">未公布 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FP4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C08</t>
    </r>
    <r>
      <rPr>
        <sz val="11"/>
        <color theme="1"/>
        <rFont val="Noto Sans CJK SC"/>
        <family val="2"/>
      </rPr>
      <t xml:space="preserve">：推論全程 </t>
    </r>
    <r>
      <rPr>
        <sz val="11"/>
        <color theme="1"/>
        <rFont val="Calibri"/>
        <family val="2"/>
        <charset val="1"/>
      </rPr>
      <t xml:space="preserve">16-bit</t>
    </r>
    <r>
      <rPr>
        <sz val="11"/>
        <color theme="1"/>
        <rFont val="Noto Sans CJK SC"/>
        <family val="2"/>
      </rPr>
      <t xml:space="preserve">）</t>
    </r>
  </si>
  <si>
    <t xml:space="preserve">C2</t>
  </si>
  <si>
    <t xml:space="preserve">每系統功率</t>
  </si>
  <si>
    <r>
      <rPr>
        <sz val="11"/>
        <color theme="1"/>
        <rFont val="Noto Sans CJK SC"/>
        <family val="2"/>
      </rPr>
      <t xml:space="preserve">低端 </t>
    </r>
    <r>
      <rPr>
        <sz val="11"/>
        <color theme="1"/>
        <rFont val="Calibri"/>
        <family val="2"/>
        <charset val="1"/>
      </rPr>
      <t xml:space="preserve">C02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up to 27 kW</t>
    </r>
    <r>
      <rPr>
        <sz val="11"/>
        <color theme="1"/>
        <rFont val="Noto Sans CJK SC"/>
        <family val="2"/>
      </rPr>
      <t xml:space="preserve">）；基準／高端 </t>
    </r>
    <r>
      <rPr>
        <sz val="11"/>
        <color theme="1"/>
        <rFont val="Calibri"/>
        <family val="2"/>
        <charset val="1"/>
      </rPr>
      <t xml:space="preserve">C01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23 kW</t>
    </r>
    <r>
      <rPr>
        <sz val="11"/>
        <color theme="1"/>
        <rFont val="Noto Sans CJK SC"/>
        <family val="2"/>
      </rPr>
      <t xml:space="preserve">）</t>
    </r>
  </si>
  <si>
    <t xml:space="preserve">第三方（區間）</t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</si>
  <si>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MemoryX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SwarmX</t>
    </r>
    <r>
      <rPr>
        <sz val="11"/>
        <color theme="1"/>
        <rFont val="Noto Sans CJK SC"/>
        <family val="2"/>
      </rPr>
      <t xml:space="preserve">、主機（未公布，</t>
    </r>
    <r>
      <rPr>
        <sz val="11"/>
        <color theme="1"/>
        <rFont val="Calibri"/>
        <family val="2"/>
        <charset val="1"/>
      </rPr>
      <t xml:space="preserve">C11</t>
    </r>
    <r>
      <rPr>
        <sz val="11"/>
        <color theme="1"/>
        <rFont val="Noto Sans CJK SC"/>
        <family val="2"/>
      </rPr>
      <t xml:space="preserve">）</t>
    </r>
  </si>
  <si>
    <t xml:space="preserve">C3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</si>
  <si>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FP16 dense </t>
    </r>
    <r>
      <rPr>
        <sz val="11"/>
        <color theme="1"/>
        <rFont val="Noto Sans CJK SC"/>
        <family val="2"/>
      </rPr>
      <t xml:space="preserve">峰值</t>
    </r>
  </si>
  <si>
    <t xml:space="preserve">C4</t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</si>
  <si>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最高原生精度：</t>
    </r>
    <r>
      <rPr>
        <sz val="11"/>
        <color theme="1"/>
        <rFont val="Calibri"/>
        <family val="2"/>
        <charset val="1"/>
      </rPr>
      <t xml:space="preserve">÷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NVFP4 </t>
    </r>
    <r>
      <rPr>
        <sz val="11"/>
        <color theme="1"/>
        <rFont val="Noto Sans CJK SC"/>
        <family val="2"/>
      </rPr>
      <t xml:space="preserve">峰值</t>
    </r>
  </si>
  <si>
    <r>
      <rPr>
        <sz val="11"/>
        <color theme="1"/>
        <rFont val="Calibri"/>
        <family val="2"/>
        <charset val="1"/>
      </rPr>
      <t xml:space="preserve">FP16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NVFP4</t>
    </r>
  </si>
  <si>
    <t xml:space="preserve">C5</t>
  </si>
  <si>
    <r>
      <rPr>
        <sz val="11"/>
        <color theme="1"/>
        <rFont val="Calibri"/>
        <family val="2"/>
        <charset val="1"/>
      </rPr>
      <t xml:space="preserve">(b) FP16 </t>
    </r>
    <r>
      <rPr>
        <sz val="11"/>
        <color theme="1"/>
        <rFont val="Noto Sans CJK SC"/>
        <family val="2"/>
      </rPr>
      <t xml:space="preserve">對齊：</t>
    </r>
    <r>
      <rPr>
        <sz val="11"/>
        <color theme="1"/>
        <rFont val="Calibri"/>
        <family val="2"/>
        <charset val="1"/>
      </rPr>
      <t xml:space="preserve">÷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BF16 </t>
    </r>
    <r>
      <rPr>
        <sz val="11"/>
        <color theme="1"/>
        <rFont val="Noto Sans CJK SC"/>
        <family val="2"/>
      </rPr>
      <t xml:space="preserve">峰值</t>
    </r>
  </si>
  <si>
    <r>
      <rPr>
        <sz val="11"/>
        <color theme="1"/>
        <rFont val="Calibri"/>
        <family val="2"/>
        <charset val="1"/>
      </rPr>
      <t xml:space="preserve">f≤1 </t>
    </r>
    <r>
      <rPr>
        <sz val="11"/>
        <color theme="1"/>
        <rFont val="Noto Sans CJK SC"/>
        <family val="2"/>
      </rPr>
      <t xml:space="preserve">時產出比上限</t>
    </r>
  </si>
  <si>
    <t xml:space="preserve">C6</t>
  </si>
  <si>
    <r>
      <rPr>
        <sz val="11"/>
        <color theme="1"/>
        <rFont val="Noto Sans CJK SC"/>
        <family val="2"/>
      </rPr>
      <t xml:space="preserve">每系統 </t>
    </r>
    <r>
      <rPr>
        <sz val="11"/>
        <color theme="1"/>
        <rFont val="Calibri"/>
        <family val="2"/>
        <charset val="1"/>
      </rPr>
      <t xml:space="preserve">SRAM</t>
    </r>
  </si>
  <si>
    <t xml:space="preserve">C01</t>
  </si>
  <si>
    <r>
      <rPr>
        <sz val="11"/>
        <color theme="1"/>
        <rFont val="Noto Sans CJK SC"/>
        <family val="2"/>
      </rPr>
      <t xml:space="preserve">權重與 </t>
    </r>
    <r>
      <rPr>
        <sz val="11"/>
        <color theme="1"/>
        <rFont val="Calibri"/>
        <family val="2"/>
        <charset val="1"/>
      </rPr>
      <t xml:space="preserve">KV </t>
    </r>
    <r>
      <rPr>
        <sz val="11"/>
        <color theme="1"/>
        <rFont val="Noto Sans CJK SC"/>
        <family val="2"/>
      </rPr>
      <t xml:space="preserve">都要放 </t>
    </r>
    <r>
      <rPr>
        <sz val="11"/>
        <color theme="1"/>
        <rFont val="Calibri"/>
        <family val="2"/>
        <charset val="1"/>
      </rPr>
      <t xml:space="preserve">SRAM</t>
    </r>
  </si>
  <si>
    <t xml:space="preserve">C7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</si>
  <si>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記憶體容量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</si>
  <si>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：容量是瓶頸（</t>
    </r>
    <r>
      <rPr>
        <sz val="11"/>
        <color theme="1"/>
        <rFont val="Calibri"/>
        <family val="2"/>
        <charset val="1"/>
      </rPr>
      <t xml:space="preserve">1T </t>
    </r>
    <r>
      <rPr>
        <sz val="11"/>
        <color theme="1"/>
        <rFont val="Noto Sans CJK SC"/>
        <family val="2"/>
      </rPr>
      <t xml:space="preserve">參數 </t>
    </r>
    <r>
      <rPr>
        <sz val="11"/>
        <color theme="1"/>
        <rFont val="Calibri"/>
        <family val="2"/>
        <charset val="1"/>
      </rPr>
      <t xml:space="preserve">4-bit </t>
    </r>
    <r>
      <rPr>
        <sz val="11"/>
        <color theme="1"/>
        <rFont val="Noto Sans CJK SC"/>
        <family val="2"/>
      </rPr>
      <t xml:space="preserve">權重約 </t>
    </r>
    <r>
      <rPr>
        <sz val="11"/>
        <color theme="1"/>
        <rFont val="Calibri"/>
        <family val="2"/>
        <charset val="1"/>
      </rPr>
      <t xml:space="preserve">0.5 TB ⇒ </t>
    </r>
    <r>
      <rPr>
        <sz val="11"/>
        <color theme="1"/>
        <rFont val="Noto Sans CJK SC"/>
        <family val="2"/>
      </rPr>
      <t xml:space="preserve">至少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台、約 </t>
    </r>
    <r>
      <rPr>
        <sz val="11"/>
        <color theme="1"/>
        <rFont val="Calibri"/>
        <family val="2"/>
        <charset val="1"/>
      </rPr>
      <t xml:space="preserve">280 kW </t>
    </r>
    <r>
      <rPr>
        <sz val="11"/>
        <color theme="1"/>
        <rFont val="Noto Sans CJK SC"/>
        <family val="2"/>
      </rPr>
      <t xml:space="preserve">才放得下權重）</t>
    </r>
  </si>
  <si>
    <t xml:space="preserve">C10</t>
  </si>
  <si>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自述容量（</t>
    </r>
    <r>
      <rPr>
        <sz val="11"/>
        <color theme="1"/>
        <rFont val="Calibri"/>
        <family val="2"/>
        <charset val="1"/>
      </rPr>
      <t xml:space="preserve">Llama 70B</t>
    </r>
    <r>
      <rPr>
        <sz val="11"/>
        <color theme="1"/>
        <rFont val="Noto Sans CJK SC"/>
        <family val="2"/>
      </rPr>
      <t xml:space="preserve">）</t>
    </r>
  </si>
  <si>
    <t xml:space="preserve">tok/s</t>
  </si>
  <si>
    <t xml:space="preserve">C07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</si>
  <si>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Cerebras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</si>
  <si>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未說明是否只計輸出 </t>
    </r>
    <r>
      <rPr>
        <sz val="11"/>
        <color theme="1"/>
        <rFont val="Calibri"/>
        <family val="2"/>
        <charset val="1"/>
      </rPr>
      <t xml:space="preserve">token</t>
    </r>
  </si>
  <si>
    <t xml:space="preserve">C11</t>
  </si>
  <si>
    <t xml:space="preserve">支撐該容量的系統台數</t>
  </si>
  <si>
    <t xml:space="preserve">台</t>
  </si>
  <si>
    <r>
      <rPr>
        <sz val="11"/>
        <color theme="1"/>
        <rFont val="Calibri"/>
        <family val="2"/>
        <charset val="1"/>
      </rPr>
      <t xml:space="preserve">C07</t>
    </r>
    <r>
      <rPr>
        <sz val="11"/>
        <color theme="1"/>
        <rFont val="Noto Sans CJK SC"/>
        <family val="2"/>
      </rPr>
      <t xml:space="preserve">（『</t>
    </r>
    <r>
      <rPr>
        <sz val="11"/>
        <color theme="1"/>
        <rFont val="Calibri"/>
        <family val="2"/>
        <charset val="1"/>
      </rPr>
      <t xml:space="preserve">more than a thousand</t>
    </r>
    <r>
      <rPr>
        <sz val="11"/>
        <color theme="1"/>
        <rFont val="Noto Sans CJK SC"/>
        <family val="2"/>
      </rPr>
      <t xml:space="preserve">』／『</t>
    </r>
    <r>
      <rPr>
        <sz val="11"/>
        <color theme="1"/>
        <rFont val="Calibri"/>
        <family val="2"/>
        <charset val="1"/>
      </rPr>
      <t xml:space="preserve">thousands</t>
    </r>
    <r>
      <rPr>
        <sz val="11"/>
        <color theme="1"/>
        <rFont val="Noto Sans CJK SC"/>
        <family val="2"/>
      </rPr>
      <t xml:space="preserve">』）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</si>
  <si>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（區間）</t>
    </r>
  </si>
  <si>
    <t xml:space="preserve">產出低端＝台數多</t>
  </si>
  <si>
    <t xml:space="preserve">C12</t>
  </si>
  <si>
    <t xml:space="preserve">每系統吞吐</t>
  </si>
  <si>
    <t xml:space="preserve">C13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</si>
  <si>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吞吐</t>
    </r>
  </si>
  <si>
    <t xml:space="preserve">C14</t>
  </si>
  <si>
    <r>
      <rPr>
        <sz val="11"/>
        <color theme="1"/>
        <rFont val="Calibri"/>
        <family val="2"/>
        <charset val="1"/>
      </rPr>
      <t xml:space="preserve">÷ GB300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MLPerf Llama2-70B Server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</si>
  <si>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</si>
  <si>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Cerebras 16-bit</t>
    </r>
    <r>
      <rPr>
        <sz val="11"/>
        <color theme="1"/>
        <rFont val="Noto Sans CJK SC"/>
        <family val="2"/>
      </rPr>
      <t xml:space="preserve">、約 </t>
    </r>
    <r>
      <rPr>
        <sz val="11"/>
        <color theme="1"/>
        <rFont val="Calibri"/>
        <family val="2"/>
        <charset val="1"/>
      </rPr>
      <t xml:space="preserve">450–2,100 tok/s/user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GPU NVFP4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Server SLO</t>
    </r>
  </si>
  <si>
    <t xml:space="preserve">C15</t>
  </si>
  <si>
    <r>
      <rPr>
        <sz val="11"/>
        <color theme="1"/>
        <rFont val="Noto Sans CJK SC"/>
        <family val="2"/>
      </rPr>
      <t xml:space="preserve">容量換算的產出比（</t>
    </r>
    <r>
      <rPr>
        <sz val="11"/>
        <color theme="1"/>
        <rFont val="Calibri"/>
        <family val="2"/>
        <charset val="1"/>
      </rPr>
      <t xml:space="preserve">× GB300 VR-eq </t>
    </r>
    <r>
      <rPr>
        <sz val="11"/>
        <color theme="1"/>
        <rFont val="Noto Sans CJK SC"/>
        <family val="2"/>
      </rPr>
      <t xml:space="preserve">平均）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</si>
  <si>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（方向界線）</t>
    </r>
  </si>
  <si>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自己的工作點；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三層 </t>
    </r>
    <r>
      <rPr>
        <sz val="11"/>
        <color theme="1"/>
        <rFont val="Calibri"/>
        <family val="2"/>
        <charset val="1"/>
      </rPr>
      <t xml:space="preserve">55–120 tok/s/user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可加大批次，但受 </t>
    </r>
    <r>
      <rPr>
        <sz val="11"/>
        <color theme="1"/>
        <rFont val="Calibri"/>
        <family val="2"/>
        <charset val="1"/>
      </rPr>
      <t xml:space="preserve">SRAM </t>
    </r>
    <r>
      <rPr>
        <sz val="11"/>
        <color theme="1"/>
        <rFont val="Noto Sans CJK SC"/>
        <family val="2"/>
      </rPr>
      <t xml:space="preserve">容量限制</t>
    </r>
  </si>
  <si>
    <t xml:space="preserve">C16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</si>
  <si>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現值產出比（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）需要的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</si>
  <si>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&gt;1 </t>
    </r>
    <r>
      <rPr>
        <sz val="11"/>
        <color theme="1"/>
        <rFont val="Noto Sans CJK SC"/>
        <family val="2"/>
      </rPr>
      <t xml:space="preserve">表示超出 </t>
    </r>
    <r>
      <rPr>
        <sz val="11"/>
        <color theme="1"/>
        <rFont val="Calibri"/>
        <family val="2"/>
        <charset val="1"/>
      </rPr>
      <t xml:space="preserve">FP16 </t>
    </r>
    <r>
      <rPr>
        <sz val="11"/>
        <color theme="1"/>
        <rFont val="Noto Sans CJK SC"/>
        <family val="2"/>
      </rPr>
      <t xml:space="preserve">對齊的峰值上限</t>
    </r>
  </si>
  <si>
    <t xml:space="preserve">C20</t>
  </si>
  <si>
    <t xml:space="preserve">每系統價格</t>
  </si>
  <si>
    <r>
      <rPr>
        <sz val="11"/>
        <color theme="1"/>
        <rFont val="Calibri"/>
        <family val="2"/>
        <charset val="1"/>
      </rPr>
      <t xml:space="preserve">C04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猜 </t>
    </r>
    <r>
      <rPr>
        <sz val="11"/>
        <color theme="1"/>
        <rFont val="Calibri"/>
        <family val="2"/>
        <charset val="1"/>
      </rPr>
      <t xml:space="preserve">$2.5M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$3.2M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MemoryX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SwarmX $4.0M</t>
    </r>
    <r>
      <rPr>
        <sz val="11"/>
        <color theme="1"/>
        <rFont val="Noto Sans CJK SC"/>
        <family val="2"/>
      </rPr>
      <t xml:space="preserve">）</t>
    </r>
  </si>
  <si>
    <t xml:space="preserve">記者估計（區間）</t>
  </si>
  <si>
    <r>
      <rPr>
        <sz val="11"/>
        <color theme="1"/>
        <rFont val="Noto Sans CJK SC"/>
        <family val="2"/>
      </rPr>
      <t xml:space="preserve">高端已含配套，再乘 </t>
    </r>
    <r>
      <rPr>
        <sz val="11"/>
        <color theme="1"/>
        <rFont val="Calibri"/>
        <family val="2"/>
        <charset val="1"/>
      </rPr>
      <t xml:space="preserve">A10 </t>
    </r>
    <r>
      <rPr>
        <sz val="11"/>
        <color theme="1"/>
        <rFont val="Noto Sans CJK SC"/>
        <family val="2"/>
      </rPr>
      <t xml:space="preserve">為重複計算（偏高）</t>
    </r>
  </si>
  <si>
    <t xml:space="preserve">C21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</si>
  <si>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系統台數（以基準功率）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</si>
  <si>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4,052 </t>
    </r>
    <r>
      <rPr>
        <sz val="11"/>
        <color theme="1"/>
        <rFont val="Noto Sans CJK SC"/>
        <family val="2"/>
      </rPr>
      <t xml:space="preserve">架</t>
    </r>
  </si>
  <si>
    <t xml:space="preserve">C22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</si>
  <si>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設備資本支出</t>
    </r>
  </si>
  <si>
    <t xml:space="preserve">C23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</si>
  <si>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</si>
  <si>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t xml:space="preserve">C24</t>
  </si>
  <si>
    <r>
      <rPr>
        <sz val="11"/>
        <color theme="1"/>
        <rFont val="Calibri"/>
        <family val="2"/>
        <charset val="1"/>
      </rPr>
      <t xml:space="preserve">(i)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設備價法持有比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</si>
  <si>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（記者估價）</t>
    </r>
  </si>
  <si>
    <t xml:space="preserve">C30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</si>
  <si>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合約總值</t>
    </r>
  </si>
  <si>
    <r>
      <rPr>
        <sz val="11"/>
        <color theme="1"/>
        <rFont val="Calibri"/>
        <family val="2"/>
        <charset val="1"/>
      </rPr>
      <t xml:space="preserve">C05</t>
    </r>
    <r>
      <rPr>
        <sz val="11"/>
        <color theme="1"/>
        <rFont val="Noto Sans CJK SC"/>
        <family val="2"/>
      </rPr>
      <t xml:space="preserve">（『</t>
    </r>
    <r>
      <rPr>
        <sz val="11"/>
        <color theme="1"/>
        <rFont val="Calibri"/>
        <family val="2"/>
        <charset val="1"/>
      </rPr>
      <t xml:space="preserve">more than $20 billion</t>
    </r>
    <r>
      <rPr>
        <sz val="11"/>
        <color theme="1"/>
        <rFont val="Noto Sans CJK SC"/>
        <family val="2"/>
      </rPr>
      <t xml:space="preserve">』）</t>
    </r>
  </si>
  <si>
    <r>
      <rPr>
        <sz val="11"/>
        <color theme="1"/>
        <rFont val="Noto Sans CJK SC"/>
        <family val="2"/>
      </rPr>
      <t xml:space="preserve">下限值；替代見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$25.4B</t>
    </r>
    <r>
      <rPr>
        <sz val="11"/>
        <color theme="1"/>
        <rFont val="Noto Sans CJK SC"/>
        <family val="2"/>
      </rPr>
      <t xml:space="preserve">）</t>
    </r>
  </si>
  <si>
    <t xml:space="preserve">C31</t>
  </si>
  <si>
    <t xml:space="preserve">合約容量</t>
  </si>
  <si>
    <r>
      <rPr>
        <sz val="11"/>
        <color theme="1"/>
        <rFont val="Calibri"/>
        <family val="2"/>
        <charset val="1"/>
      </rPr>
      <t xml:space="preserve">C05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C06</t>
    </r>
  </si>
  <si>
    <r>
      <rPr>
        <sz val="11"/>
        <color theme="1"/>
        <rFont val="Noto Sans CJK SC"/>
        <family val="2"/>
      </rPr>
      <t xml:space="preserve">口徑未明（</t>
    </r>
    <r>
      <rPr>
        <sz val="11"/>
        <color theme="1"/>
        <rFont val="Calibri"/>
        <family val="2"/>
        <charset val="1"/>
      </rPr>
      <t xml:space="preserve">C03 </t>
    </r>
    <r>
      <rPr>
        <sz val="11"/>
        <color theme="1"/>
        <rFont val="Noto Sans CJK SC"/>
        <family val="2"/>
      </rPr>
      <t xml:space="preserve">推算為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</t>
    </r>
  </si>
  <si>
    <t xml:space="preserve">C32</t>
  </si>
  <si>
    <t xml:space="preserve">每期年數</t>
  </si>
  <si>
    <t xml:space="preserve">年</t>
  </si>
  <si>
    <r>
      <rPr>
        <sz val="11"/>
        <color theme="1"/>
        <rFont val="Calibri"/>
        <family val="2"/>
        <charset val="1"/>
      </rPr>
      <t xml:space="preserve">C06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three or four years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</si>
  <si>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（區間）</t>
    </r>
  </si>
  <si>
    <t xml:space="preserve">欄序：上限低→高</t>
  </si>
  <si>
    <t xml:space="preserve">C33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</si>
  <si>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年營收（假設 </t>
    </r>
    <r>
      <rPr>
        <sz val="11"/>
        <color theme="1"/>
        <rFont val="Calibri"/>
        <family val="2"/>
        <charset val="1"/>
      </rPr>
      <t xml:space="preserve">750 MW </t>
    </r>
    <r>
      <rPr>
        <sz val="11"/>
        <color theme="1"/>
        <rFont val="Noto Sans CJK SC"/>
        <family val="2"/>
      </rPr>
      <t xml:space="preserve">全期滿載）</t>
    </r>
  </si>
  <si>
    <r>
      <rPr>
        <sz val="11"/>
        <color theme="1"/>
        <rFont val="Noto Sans CJK SC"/>
        <family val="2"/>
      </rPr>
      <t xml:space="preserve">爬坡期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不滿 ⇒ 實際每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年營收更高</t>
    </r>
  </si>
  <si>
    <t xml:space="preserve">C34</t>
  </si>
  <si>
    <r>
      <rPr>
        <sz val="11"/>
        <color theme="1"/>
        <rFont val="Calibri"/>
        <family val="2"/>
        <charset val="1"/>
      </rPr>
      <t xml:space="preserve">(ii) </t>
    </r>
    <r>
      <rPr>
        <sz val="11"/>
        <color theme="1"/>
        <rFont val="Noto Sans CJK SC"/>
        <family val="2"/>
      </rPr>
      <t xml:space="preserve">合約隱含持有比上限 ＝ </t>
    </r>
    <r>
      <rPr>
        <sz val="11"/>
        <color theme="1"/>
        <rFont val="Calibri"/>
        <family val="2"/>
        <charset val="1"/>
      </rPr>
      <t xml:space="preserve">C33 ÷ VR200 </t>
    </r>
    <r>
      <rPr>
        <sz val="11"/>
        <color theme="1"/>
        <rFont val="Noto Sans CJK SC"/>
        <family val="2"/>
      </rPr>
      <t xml:space="preserve">年持有成本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</si>
  <si>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（上限）</t>
    </r>
  </si>
  <si>
    <t xml:space="preserve">營收還要負擔電費、營運與毛利，所以持有成本比低於此值</t>
  </si>
  <si>
    <t xml:space="preserve">C35</t>
  </si>
  <si>
    <r>
      <rPr>
        <sz val="11"/>
        <color theme="1"/>
        <rFont val="Noto Sans CJK SC"/>
        <family val="2"/>
      </rPr>
      <t xml:space="preserve">兩法差距 ＝ </t>
    </r>
    <r>
      <rPr>
        <sz val="11"/>
        <color theme="1"/>
        <rFont val="Calibri"/>
        <family val="2"/>
        <charset val="1"/>
      </rPr>
      <t xml:space="preserve">(i) ÷ (ii)</t>
    </r>
  </si>
  <si>
    <t xml:space="preserve">最接近／基準／最遠</t>
  </si>
  <si>
    <r>
      <rPr>
        <b val="true"/>
        <sz val="11"/>
        <rFont val="Cambria"/>
        <family val="0"/>
        <charset val="1"/>
      </rPr>
      <t xml:space="preserve">D. OpenAI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Broadcom Jalapeño</t>
    </r>
    <r>
      <rPr>
        <b val="true"/>
        <sz val="11"/>
        <rFont val="Noto Sans CJK SC"/>
        <family val="2"/>
      </rPr>
      <t xml:space="preserve">（第一代；</t>
    </r>
    <r>
      <rPr>
        <b val="true"/>
        <sz val="11"/>
        <rFont val="Cambria"/>
        <family val="0"/>
        <charset val="1"/>
      </rPr>
      <t xml:space="preserve">TSMC N3P</t>
    </r>
    <r>
      <rPr>
        <b val="true"/>
        <sz val="11"/>
        <rFont val="Noto Sans CJK SC"/>
        <family val="2"/>
      </rPr>
      <t xml:space="preserve">；機架未公布）</t>
    </r>
  </si>
  <si>
    <t xml:space="preserve">D1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</si>
  <si>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MXFP4 </t>
    </r>
    <r>
      <rPr>
        <sz val="11"/>
        <color theme="1"/>
        <rFont val="Noto Sans CJK SC"/>
        <family val="2"/>
      </rPr>
      <t xml:space="preserve">峰值（</t>
    </r>
    <r>
      <rPr>
        <sz val="11"/>
        <color theme="1"/>
        <rFont val="Calibri"/>
        <family val="2"/>
        <charset val="1"/>
      </rPr>
      <t xml:space="preserve">dense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sparse </t>
    </r>
    <r>
      <rPr>
        <sz val="11"/>
        <color theme="1"/>
        <rFont val="Noto Sans CJK SC"/>
        <family val="2"/>
      </rPr>
      <t xml:space="preserve">未標）</t>
    </r>
  </si>
  <si>
    <t xml:space="preserve">O03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</si>
  <si>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</si>
  <si>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t xml:space="preserve">D2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</si>
  <si>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FP8 dense </t>
    </r>
    <r>
      <rPr>
        <sz val="11"/>
        <color theme="1"/>
        <rFont val="Noto Sans CJK SC"/>
        <family val="2"/>
      </rPr>
      <t xml:space="preserve">峰值</t>
    </r>
  </si>
  <si>
    <r>
      <rPr>
        <sz val="11"/>
        <color theme="1"/>
        <rFont val="Calibri"/>
        <family val="2"/>
        <charset val="1"/>
      </rPr>
      <t xml:space="preserve">FP4÷FP8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3.94</t>
    </r>
  </si>
  <si>
    <t xml:space="preserve">D2b</t>
  </si>
  <si>
    <r>
      <rPr>
        <sz val="11"/>
        <color theme="1"/>
        <rFont val="Noto Sans CJK SC"/>
        <family val="2"/>
      </rPr>
      <t xml:space="preserve">保守讀法：</t>
    </r>
    <r>
      <rPr>
        <sz val="11"/>
        <color theme="1"/>
        <rFont val="Calibri"/>
        <family val="2"/>
        <charset val="1"/>
      </rPr>
      <t xml:space="preserve">dense FP4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 × FP8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</si>
  <si>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2:1</t>
    </r>
  </si>
  <si>
    <t xml:space="preserve">D3</t>
  </si>
  <si>
    <r>
      <rPr>
        <sz val="11"/>
        <color theme="1"/>
        <rFont val="Noto Sans CJK SC"/>
        <family val="2"/>
      </rPr>
      <t xml:space="preserve">每顆封裝 </t>
    </r>
    <r>
      <rPr>
        <sz val="11"/>
        <color theme="1"/>
        <rFont val="Calibri"/>
        <family val="2"/>
        <charset val="1"/>
      </rPr>
      <t xml:space="preserve">TDP</t>
    </r>
  </si>
  <si>
    <r>
      <rPr>
        <sz val="11"/>
        <color theme="1"/>
        <rFont val="Calibri"/>
        <family val="2"/>
        <charset val="1"/>
      </rPr>
      <t xml:space="preserve">O03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O04</t>
    </r>
  </si>
  <si>
    <r>
      <rPr>
        <sz val="11"/>
        <color theme="1"/>
        <rFont val="Noto Sans CJK SC"/>
        <family val="2"/>
      </rPr>
      <t xml:space="preserve">實測持續 ≤</t>
    </r>
    <r>
      <rPr>
        <sz val="11"/>
        <color theme="1"/>
        <rFont val="Calibri"/>
        <family val="2"/>
        <charset val="1"/>
      </rPr>
      <t xml:space="preserve">0.55 kW</t>
    </r>
  </si>
  <si>
    <t xml:space="preserve">D4</t>
  </si>
  <si>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晶片倍數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</si>
  <si>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各世代區間（同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Trn3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</si>
  <si>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（區間）</t>
    </r>
  </si>
  <si>
    <r>
      <rPr>
        <sz val="11"/>
        <color theme="1"/>
        <rFont val="Noto Sans CJK SC"/>
        <family val="2"/>
      </rPr>
      <t xml:space="preserve">機架功率未公布（</t>
    </r>
    <r>
      <rPr>
        <sz val="11"/>
        <color theme="1"/>
        <rFont val="Calibri"/>
        <family val="2"/>
        <charset val="1"/>
      </rPr>
      <t xml:space="preserve">O08</t>
    </r>
    <r>
      <rPr>
        <sz val="11"/>
        <color theme="1"/>
        <rFont val="Noto Sans CJK SC"/>
        <family val="2"/>
      </rPr>
      <t xml:space="preserve">）</t>
    </r>
  </si>
  <si>
    <t xml:space="preserve">D5</t>
  </si>
  <si>
    <t xml:space="preserve">每顆所攤機架功率</t>
  </si>
  <si>
    <t xml:space="preserve">D6</t>
  </si>
  <si>
    <r>
      <rPr>
        <sz val="11"/>
        <color theme="1"/>
        <rFont val="Calibri"/>
        <family val="2"/>
        <charset val="1"/>
      </rPr>
      <t xml:space="preserve">(a1) 13.4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dense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Noto Sans CJK SC"/>
        <family val="2"/>
      </rPr>
      <t xml:space="preserve">）</t>
    </r>
  </si>
  <si>
    <t xml:space="preserve">D7</t>
  </si>
  <si>
    <r>
      <rPr>
        <sz val="11"/>
        <color theme="1"/>
        <rFont val="Calibri"/>
        <family val="2"/>
        <charset val="1"/>
      </rPr>
      <t xml:space="preserve">(a2) </t>
    </r>
    <r>
      <rPr>
        <sz val="11"/>
        <color theme="1"/>
        <rFont val="Noto Sans CJK SC"/>
        <family val="2"/>
      </rPr>
      <t xml:space="preserve">保守讀法 </t>
    </r>
    <r>
      <rPr>
        <sz val="11"/>
        <color theme="1"/>
        <rFont val="Calibri"/>
        <family val="2"/>
        <charset val="1"/>
      </rPr>
      <t xml:space="preserve">6.8 PF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Noto Sans CJK SC"/>
        <family val="2"/>
      </rPr>
      <t xml:space="preserve">）</t>
    </r>
  </si>
  <si>
    <t xml:space="preserve">D8</t>
  </si>
  <si>
    <r>
      <rPr>
        <sz val="11"/>
        <color theme="1"/>
        <rFont val="Calibri"/>
        <family val="2"/>
        <charset val="1"/>
      </rPr>
      <t xml:space="preserve">(b) FP8 </t>
    </r>
    <r>
      <rPr>
        <sz val="11"/>
        <color theme="1"/>
        <rFont val="Noto Sans CJK SC"/>
        <family val="2"/>
      </rPr>
      <t xml:space="preserve">對齊：每 </t>
    </r>
    <r>
      <rPr>
        <sz val="11"/>
        <color theme="1"/>
        <rFont val="Calibri"/>
        <family val="2"/>
        <charset val="1"/>
      </rPr>
      <t xml:space="preserve">kW FP8 </t>
    </r>
    <r>
      <rPr>
        <sz val="11"/>
        <color theme="1"/>
        <rFont val="Noto Sans CJK SC"/>
        <family val="2"/>
      </rPr>
      <t xml:space="preserve">峰值 </t>
    </r>
    <r>
      <rPr>
        <sz val="11"/>
        <color theme="1"/>
        <rFont val="Calibri"/>
        <family val="2"/>
        <charset val="1"/>
      </rPr>
      <t xml:space="preserve">÷ VR200 FP8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</si>
  <si>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(a2)</t>
    </r>
  </si>
  <si>
    <t xml:space="preserve">D9</t>
  </si>
  <si>
    <r>
      <rPr>
        <sz val="11"/>
        <color theme="1"/>
        <rFont val="Noto Sans CJK SC"/>
        <family val="2"/>
      </rPr>
      <t xml:space="preserve">效率因子 </t>
    </r>
    <r>
      <rPr>
        <sz val="11"/>
        <color theme="1"/>
        <rFont val="Calibri"/>
        <family val="2"/>
        <charset val="1"/>
      </rPr>
      <t xml:space="preserve">f</t>
    </r>
  </si>
  <si>
    <r>
      <rPr>
        <sz val="11"/>
        <color theme="1"/>
        <rFont val="Noto Sans CJK SC"/>
        <family val="2"/>
      </rPr>
      <t xml:space="preserve">無第三方實測；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0.66–1.04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AMD 0.66–0.99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Trn3 0.50–1.04</t>
    </r>
  </si>
  <si>
    <t xml:space="preserve">D10</t>
  </si>
  <si>
    <r>
      <rPr>
        <sz val="11"/>
        <color theme="1"/>
        <rFont val="Noto Sans CJK SC"/>
        <family val="2"/>
      </rPr>
      <t xml:space="preserve">方法一 </t>
    </r>
    <r>
      <rPr>
        <sz val="11"/>
        <color theme="1"/>
        <rFont val="Calibri"/>
        <family val="2"/>
        <charset val="1"/>
      </rPr>
      <t xml:space="preserve">(a1) </t>
    </r>
    <r>
      <rPr>
        <sz val="11"/>
        <color theme="1"/>
        <rFont val="Noto Sans CJK SC"/>
        <family val="2"/>
      </rPr>
      <t xml:space="preserve">產出比 ＝ </t>
    </r>
    <r>
      <rPr>
        <sz val="11"/>
        <color theme="1"/>
        <rFont val="Calibri"/>
        <family val="2"/>
        <charset val="1"/>
      </rPr>
      <t xml:space="preserve">D6 × D9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</si>
  <si>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</si>
  <si>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D11</t>
  </si>
  <si>
    <r>
      <rPr>
        <sz val="11"/>
        <color theme="1"/>
        <rFont val="Noto Sans CJK SC"/>
        <family val="2"/>
      </rPr>
      <t xml:space="preserve">方法一 </t>
    </r>
    <r>
      <rPr>
        <sz val="11"/>
        <color theme="1"/>
        <rFont val="Calibri"/>
        <family val="2"/>
        <charset val="1"/>
      </rPr>
      <t xml:space="preserve">(a2)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產出比 ＝ </t>
    </r>
    <r>
      <rPr>
        <sz val="11"/>
        <color theme="1"/>
        <rFont val="Calibri"/>
        <family val="2"/>
        <charset val="1"/>
      </rPr>
      <t xml:space="preserve">D7 × D9</t>
    </r>
  </si>
  <si>
    <t xml:space="preserve">D12a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</si>
  <si>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自測：</t>
    </r>
    <r>
      <rPr>
        <sz val="11"/>
        <color theme="1"/>
        <rFont val="Calibri"/>
        <family val="2"/>
        <charset val="1"/>
      </rPr>
      <t xml:space="preserve">DeepSeek R1 Jalapeño </t>
    </r>
    <r>
      <rPr>
        <sz val="11"/>
        <color theme="1"/>
        <rFont val="Noto Sans CJK SC"/>
        <family val="2"/>
      </rPr>
      <t xml:space="preserve">峰值 </t>
    </r>
    <r>
      <rPr>
        <sz val="11"/>
        <color theme="1"/>
        <rFont val="Calibri"/>
        <family val="2"/>
        <charset val="1"/>
      </rPr>
      <t xml:space="preserve">TPS/kW</t>
    </r>
    <r>
      <rPr>
        <sz val="11"/>
        <color theme="1"/>
        <rFont val="Noto Sans CJK SC"/>
        <family val="2"/>
      </rPr>
      <t xml:space="preserve">（封裝 </t>
    </r>
    <r>
      <rPr>
        <sz val="11"/>
        <color theme="1"/>
        <rFont val="Calibri"/>
        <family val="2"/>
        <charset val="1"/>
      </rPr>
      <t xml:space="preserve">TDP</t>
    </r>
    <r>
      <rPr>
        <sz val="11"/>
        <color theme="1"/>
        <rFont val="Noto Sans CJK SC"/>
        <family val="2"/>
      </rPr>
      <t xml:space="preserve">）</t>
    </r>
  </si>
  <si>
    <t xml:space="preserve">O04</t>
  </si>
  <si>
    <t xml:space="preserve">D12b</t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</si>
  <si>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GB300</t>
    </r>
  </si>
  <si>
    <t xml:space="preserve">D12c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</si>
  <si>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自測：</t>
    </r>
    <r>
      <rPr>
        <sz val="11"/>
        <color theme="1"/>
        <rFont val="Calibri"/>
        <family val="2"/>
        <charset val="1"/>
      </rPr>
      <t xml:space="preserve">Kimi K2.5 Jalapeño</t>
    </r>
  </si>
  <si>
    <t xml:space="preserve">D12d</t>
  </si>
  <si>
    <t xml:space="preserve">D12e</t>
  </si>
  <si>
    <r>
      <rPr>
        <sz val="11"/>
        <color theme="1"/>
        <rFont val="Noto Sans CJK SC"/>
        <family val="2"/>
      </rPr>
      <t xml:space="preserve">記者：對使用 </t>
    </r>
    <r>
      <rPr>
        <sz val="11"/>
        <color theme="1"/>
        <rFont val="Calibri"/>
        <family val="2"/>
        <charset val="1"/>
      </rPr>
      <t xml:space="preserve">MTP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，峰值效率領先約</t>
    </r>
  </si>
  <si>
    <t xml:space="preserve">O05</t>
  </si>
  <si>
    <t xml:space="preserve">記者推論</t>
  </si>
  <si>
    <t xml:space="preserve">D12</t>
  </si>
  <si>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吞吐比 </t>
    </r>
    <r>
      <rPr>
        <sz val="11"/>
        <color theme="1"/>
        <rFont val="Calibri"/>
        <family val="2"/>
        <charset val="1"/>
      </rPr>
      <t xml:space="preserve">÷ GB300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</si>
  <si>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MTP </t>
    </r>
    <r>
      <rPr>
        <sz val="11"/>
        <color theme="1"/>
        <rFont val="Noto Sans CJK SC"/>
        <family val="2"/>
      </rPr>
      <t xml:space="preserve">修正（</t>
    </r>
    <r>
      <rPr>
        <sz val="11"/>
        <color theme="1"/>
        <rFont val="Calibri"/>
        <family val="2"/>
        <charset val="1"/>
      </rPr>
      <t xml:space="preserve">O05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Kimi </t>
    </r>
    <r>
      <rPr>
        <sz val="11"/>
        <color theme="1"/>
        <rFont val="Noto Sans CJK SC"/>
        <family val="2"/>
      </rPr>
      <t xml:space="preserve">取小；基準＝</t>
    </r>
    <r>
      <rPr>
        <sz val="11"/>
        <color theme="1"/>
        <rFont val="Calibri"/>
        <family val="2"/>
        <charset val="1"/>
      </rPr>
      <t xml:space="preserve">DS-R1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Kimi </t>
    </r>
    <r>
      <rPr>
        <sz val="11"/>
        <color theme="1"/>
        <rFont val="Noto Sans CJK SC"/>
        <family val="2"/>
      </rPr>
      <t xml:space="preserve">平均；高＝</t>
    </r>
    <r>
      <rPr>
        <sz val="11"/>
        <color theme="1"/>
        <rFont val="Calibri"/>
        <family val="2"/>
        <charset val="1"/>
      </rPr>
      <t xml:space="preserve">DS-R1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</si>
  <si>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</si>
  <si>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GPT-OSS </t>
    </r>
    <r>
      <rPr>
        <sz val="11"/>
        <color theme="1"/>
        <rFont val="Noto Sans CJK SC"/>
        <family val="2"/>
      </rPr>
      <t xml:space="preserve">只對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1.9×</t>
    </r>
    <r>
      <rPr>
        <sz val="11"/>
        <color theme="1"/>
        <rFont val="Noto Sans CJK SC"/>
        <family val="2"/>
      </rPr>
      <t xml:space="preserve">），不用</t>
    </r>
  </si>
  <si>
    <t xml:space="preserve">D13</t>
  </si>
  <si>
    <r>
      <rPr>
        <sz val="11"/>
        <color theme="1"/>
        <rFont val="Noto Sans CJK SC"/>
        <family val="2"/>
      </rPr>
      <t xml:space="preserve">改機架功率口徑 ＝ </t>
    </r>
    <r>
      <rPr>
        <sz val="11"/>
        <color theme="1"/>
        <rFont val="Calibri"/>
        <family val="2"/>
        <charset val="1"/>
      </rPr>
      <t xml:space="preserve">D12 × GB300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÷ Jalapeño </t>
    </r>
    <r>
      <rPr>
        <sz val="11"/>
        <color theme="1"/>
        <rFont val="Noto Sans CJK SC"/>
        <family val="2"/>
      </rPr>
      <t xml:space="preserve">倍數</t>
    </r>
  </si>
  <si>
    <t xml:space="preserve">D14</t>
  </si>
  <si>
    <r>
      <rPr>
        <sz val="11"/>
        <color theme="1"/>
        <rFont val="Noto Sans CJK SC"/>
        <family val="2"/>
      </rPr>
      <t xml:space="preserve">方法二產出比 ＝ </t>
    </r>
    <r>
      <rPr>
        <sz val="11"/>
        <color theme="1"/>
        <rFont val="Calibri"/>
        <family val="2"/>
        <charset val="1"/>
      </rPr>
      <t xml:space="preserve">D13 × GB300 VR-eq </t>
    </r>
    <r>
      <rPr>
        <sz val="11"/>
        <color theme="1"/>
        <rFont val="Noto Sans CJK SC"/>
        <family val="2"/>
      </rPr>
      <t xml:space="preserve">平均</t>
    </r>
  </si>
  <si>
    <r>
      <rPr>
        <sz val="11"/>
        <color theme="1"/>
        <rFont val="Noto Sans CJK SC"/>
        <family val="2"/>
      </rPr>
      <t xml:space="preserve">峰值吞吐點；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三層高於此點，</t>
    </r>
    <r>
      <rPr>
        <sz val="11"/>
        <color theme="1"/>
        <rFont val="Calibri"/>
        <family val="2"/>
        <charset val="1"/>
      </rPr>
      <t xml:space="preserve">Jalapeño </t>
    </r>
    <r>
      <rPr>
        <sz val="11"/>
        <color theme="1"/>
        <rFont val="Noto Sans CJK SC"/>
        <family val="2"/>
      </rPr>
      <t xml:space="preserve">領先更多（</t>
    </r>
    <r>
      <rPr>
        <sz val="11"/>
        <color theme="1"/>
        <rFont val="Calibri"/>
        <family val="2"/>
        <charset val="1"/>
      </rPr>
      <t xml:space="preserve">O04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50–100×</t>
    </r>
    <r>
      <rPr>
        <sz val="11"/>
        <color theme="1"/>
        <rFont val="Noto Sans CJK SC"/>
        <family val="2"/>
      </rPr>
      <t xml:space="preserve">），對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偏保守；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未用 </t>
    </r>
    <r>
      <rPr>
        <sz val="11"/>
        <color theme="1"/>
        <rFont val="Calibri"/>
        <family val="2"/>
        <charset val="1"/>
      </rPr>
      <t xml:space="preserve">MTP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PD </t>
    </r>
    <r>
      <rPr>
        <sz val="11"/>
        <color theme="1"/>
        <rFont val="Noto Sans CJK SC"/>
        <family val="2"/>
      </rPr>
      <t xml:space="preserve">分離，偏樂觀</t>
    </r>
  </si>
  <si>
    <t xml:space="preserve">D15</t>
  </si>
  <si>
    <r>
      <rPr>
        <sz val="11"/>
        <color theme="1"/>
        <rFont val="Noto Sans CJK SC"/>
        <family val="2"/>
      </rPr>
      <t xml:space="preserve">一致性：方法二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方法一峰值比 ＝ 隱含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(a2)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(a1)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</si>
  <si>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＝保守讀法需要的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dense </t>
    </r>
    <r>
      <rPr>
        <sz val="11"/>
        <color theme="1"/>
        <rFont val="Noto Sans CJK SC"/>
        <family val="2"/>
      </rPr>
      <t xml:space="preserve">讀法需要的 </t>
    </r>
    <r>
      <rPr>
        <sz val="11"/>
        <color theme="1"/>
        <rFont val="Calibri"/>
        <family val="2"/>
        <charset val="1"/>
      </rPr>
      <t xml:space="preserve">f</t>
    </r>
  </si>
  <si>
    <t xml:space="preserve">D16</t>
  </si>
  <si>
    <t xml:space="preserve">建議產出比（原始）</t>
  </si>
  <si>
    <r>
      <rPr>
        <sz val="11"/>
        <color theme="1"/>
        <rFont val="Noto Sans CJK SC"/>
        <family val="2"/>
      </rPr>
      <t xml:space="preserve">低＝方法一保守讀法 </t>
    </r>
    <r>
      <rPr>
        <sz val="11"/>
        <color theme="1"/>
        <rFont val="Calibri"/>
        <family val="2"/>
        <charset val="1"/>
      </rPr>
      <t xml:space="preserve">× f </t>
    </r>
    <r>
      <rPr>
        <sz val="11"/>
        <color theme="1"/>
        <rFont val="Noto Sans CJK SC"/>
        <family val="2"/>
      </rPr>
      <t xml:space="preserve">基準；基準＝方法一保守與方法二平均；高＝方法二高端</t>
    </r>
  </si>
  <si>
    <t xml:space="preserve">Q6</t>
  </si>
  <si>
    <t xml:space="preserve">D20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</si>
  <si>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內容</t>
    </r>
  </si>
  <si>
    <r>
      <rPr>
        <sz val="11"/>
        <color theme="1"/>
        <rFont val="Calibri"/>
        <family val="2"/>
        <charset val="1"/>
      </rPr>
      <t xml:space="preserve">O06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Hock Tan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$20–30B per GW</t>
    </r>
    <r>
      <rPr>
        <sz val="11"/>
        <color theme="1"/>
        <rFont val="Noto Sans CJK SC"/>
        <family val="2"/>
      </rPr>
      <t xml:space="preserve">，全部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</si>
  <si>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</si>
  <si>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D21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</si>
  <si>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內容加成（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若由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自購、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整合）</t>
    </r>
  </si>
  <si>
    <r>
      <rPr>
        <sz val="11"/>
        <color theme="1"/>
        <rFont val="Calibri"/>
        <family val="2"/>
        <charset val="1"/>
      </rPr>
      <t xml:space="preserve">O07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Samsung HBM </t>
    </r>
    <r>
      <rPr>
        <sz val="11"/>
        <color theme="1"/>
        <rFont val="Noto Sans CJK SC"/>
        <family val="2"/>
      </rPr>
      <t xml:space="preserve">直供報導，方向）</t>
    </r>
  </si>
  <si>
    <t xml:space="preserve">D22</t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</si>
  <si>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口徑換算（若為設施 </t>
    </r>
    <r>
      <rPr>
        <sz val="11"/>
        <color theme="1"/>
        <rFont val="Calibri"/>
        <family val="2"/>
        <charset val="1"/>
      </rPr>
      <t xml:space="preserve">GW →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× PUE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</si>
  <si>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O06 </t>
    </r>
    <r>
      <rPr>
        <sz val="11"/>
        <color theme="1"/>
        <rFont val="Noto Sans CJK SC"/>
        <family val="2"/>
      </rPr>
      <t xml:space="preserve">未說明口徑</t>
    </r>
  </si>
  <si>
    <t xml:space="preserve">D23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</si>
  <si>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GW </t>
    </r>
    <r>
      <rPr>
        <sz val="11"/>
        <color theme="1"/>
        <rFont val="Noto Sans CJK SC"/>
        <family val="2"/>
      </rPr>
      <t xml:space="preserve">設備資本支出</t>
    </r>
  </si>
  <si>
    <t xml:space="preserve">D24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</si>
  <si>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VR200</t>
    </r>
  </si>
  <si>
    <t xml:space="preserve">D25</t>
  </si>
  <si>
    <t xml:space="preserve">持有比界線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</si>
  <si>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（界線）</t>
    </r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</si>
  <si>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0.7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落在界線內</t>
    </r>
  </si>
  <si>
    <t xml:space="preserve">D26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</si>
  <si>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Rasgon $11.5B/GW</t>
    </r>
    <r>
      <rPr>
        <sz val="11"/>
        <color theme="1"/>
        <rFont val="Noto Sans CJK SC"/>
        <family val="2"/>
      </rPr>
      <t xml:space="preserve">（只作下界）</t>
    </r>
  </si>
  <si>
    <t xml:space="preserve">O06</t>
  </si>
  <si>
    <t xml:space="preserve">分析師推論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</si>
  <si>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敏感度（一次動一個參數；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＝參數低值對應結果，</t>
    </r>
    <r>
      <rPr>
        <b val="true"/>
        <sz val="11"/>
        <rFont val="Cambria"/>
        <family val="0"/>
        <charset val="1"/>
      </rPr>
      <t xml:space="preserve">F</t>
    </r>
    <r>
      <rPr>
        <b val="true"/>
        <sz val="11"/>
        <rFont val="Noto Sans CJK SC"/>
        <family val="2"/>
      </rPr>
      <t xml:space="preserve">＝高值）</t>
    </r>
  </si>
  <si>
    <t xml:space="preserve">F1</t>
  </si>
  <si>
    <r>
      <rPr>
        <sz val="11"/>
        <color theme="1"/>
        <rFont val="Calibri"/>
        <family val="2"/>
        <charset val="1"/>
      </rPr>
      <t xml:space="preserve">Cerebras (ii) </t>
    </r>
    <r>
      <rPr>
        <sz val="11"/>
        <color theme="1"/>
        <rFont val="Noto Sans CJK SC"/>
        <family val="2"/>
      </rPr>
      <t xml:space="preserve">改用剩餘履約義務全數 </t>
    </r>
    <r>
      <rPr>
        <sz val="11"/>
        <color theme="1"/>
        <rFont val="Calibri"/>
        <family val="2"/>
        <charset val="1"/>
      </rPr>
      <t xml:space="preserve">$25.4B</t>
    </r>
  </si>
  <si>
    <t xml:space="preserve">持有比上限</t>
  </si>
  <si>
    <t xml:space="preserve">C06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</si>
  <si>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替代 </t>
    </r>
    <r>
      <rPr>
        <sz val="11"/>
        <color theme="1"/>
        <rFont val="Calibri"/>
        <family val="2"/>
        <charset val="1"/>
      </rPr>
      <t xml:space="preserve">c</t>
    </r>
  </si>
  <si>
    <t xml:space="preserve">F2</t>
  </si>
  <si>
    <r>
      <rPr>
        <sz val="11"/>
        <color theme="1"/>
        <rFont val="Calibri"/>
        <family val="2"/>
        <charset val="1"/>
      </rPr>
      <t xml:space="preserve">Cerebras (b)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× f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</si>
  <si>
    <t xml:space="preserve">產出比</t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</si>
  <si>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替代 </t>
    </r>
    <r>
      <rPr>
        <sz val="11"/>
        <color theme="1"/>
        <rFont val="Calibri"/>
        <family val="2"/>
        <charset val="1"/>
      </rPr>
      <t xml:space="preserve">a</t>
    </r>
  </si>
  <si>
    <t xml:space="preserve">F3</t>
  </si>
  <si>
    <r>
      <rPr>
        <sz val="11"/>
        <color theme="1"/>
        <rFont val="Calibri"/>
        <family val="2"/>
        <charset val="1"/>
      </rPr>
      <t xml:space="preserve">Jalapeño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（小晶片固定負載）</t>
    </r>
  </si>
  <si>
    <t xml:space="preserve">方法二產出比</t>
  </si>
  <si>
    <r>
      <rPr>
        <sz val="11"/>
        <color theme="1"/>
        <rFont val="Calibri"/>
        <family val="2"/>
        <charset val="1"/>
      </rPr>
      <t xml:space="preserve">Q5 </t>
    </r>
    <r>
      <rPr>
        <sz val="11"/>
        <color theme="1"/>
        <rFont val="Noto Sans CJK SC"/>
        <family val="2"/>
      </rPr>
      <t xml:space="preserve">替代</t>
    </r>
  </si>
  <si>
    <t xml:space="preserve">F4</t>
  </si>
  <si>
    <r>
      <rPr>
        <sz val="11"/>
        <color theme="1"/>
        <rFont val="Calibri"/>
        <family val="2"/>
        <charset val="1"/>
      </rPr>
      <t xml:space="preserve">Jalapeño </t>
    </r>
    <r>
      <rPr>
        <sz val="11"/>
        <color theme="1"/>
        <rFont val="Noto Sans CJK SC"/>
        <family val="2"/>
      </rPr>
      <t xml:space="preserve">方法二改用 </t>
    </r>
    <r>
      <rPr>
        <sz val="11"/>
        <color theme="1"/>
        <rFont val="Calibri"/>
        <family val="2"/>
        <charset val="1"/>
      </rPr>
      <t xml:space="preserve">GB300 Astra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VR-eq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0.564</t>
    </r>
    <r>
      <rPr>
        <sz val="11"/>
        <color theme="1"/>
        <rFont val="Noto Sans CJK SC"/>
        <family val="2"/>
      </rPr>
      <t xml:space="preserve">）</t>
    </r>
  </si>
  <si>
    <t xml:space="preserve">F5</t>
  </si>
  <si>
    <r>
      <rPr>
        <sz val="11"/>
        <color theme="1"/>
        <rFont val="Calibri"/>
        <family val="2"/>
        <charset val="1"/>
      </rPr>
      <t xml:space="preserve">Jalapeño </t>
    </r>
    <r>
      <rPr>
        <sz val="11"/>
        <color theme="1"/>
        <rFont val="Noto Sans CJK SC"/>
        <family val="2"/>
      </rPr>
      <t xml:space="preserve">以持續功率 </t>
    </r>
    <r>
      <rPr>
        <sz val="11"/>
        <color theme="1"/>
        <rFont val="Calibri"/>
        <family val="2"/>
        <charset val="1"/>
      </rPr>
      <t xml:space="preserve">0.55 kW</t>
    </r>
    <r>
      <rPr>
        <sz val="11"/>
        <color theme="1"/>
        <rFont val="Noto Sans CJK SC"/>
        <family val="2"/>
      </rPr>
      <t xml:space="preserve">（而非 </t>
    </r>
    <r>
      <rPr>
        <sz val="11"/>
        <color theme="1"/>
        <rFont val="Calibri"/>
        <family val="2"/>
        <charset val="1"/>
      </rPr>
      <t xml:space="preserve">TDP</t>
    </r>
    <r>
      <rPr>
        <sz val="11"/>
        <color theme="1"/>
        <rFont val="Noto Sans CJK SC"/>
        <family val="2"/>
      </rPr>
      <t xml:space="preserve">）計</t>
    </r>
  </si>
  <si>
    <r>
      <rPr>
        <sz val="11"/>
        <color theme="1"/>
        <rFont val="Noto Sans CJK SC"/>
        <family val="2"/>
      </rPr>
      <t xml:space="preserve">方法一 </t>
    </r>
    <r>
      <rPr>
        <sz val="11"/>
        <color theme="1"/>
        <rFont val="Calibri"/>
        <family val="2"/>
        <charset val="1"/>
      </rPr>
      <t xml:space="preserve">(a2)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</si>
  <si>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正規化用 </t>
    </r>
    <r>
      <rPr>
        <sz val="11"/>
        <color theme="1"/>
        <rFont val="Calibri"/>
        <family val="2"/>
        <charset val="1"/>
      </rPr>
      <t xml:space="preserve">TDP</t>
    </r>
    <r>
      <rPr>
        <sz val="11"/>
        <color theme="1"/>
        <rFont val="Noto Sans CJK SC"/>
        <family val="2"/>
      </rPr>
      <t xml:space="preserve">，對 </t>
    </r>
    <r>
      <rPr>
        <sz val="11"/>
        <color theme="1"/>
        <rFont val="Calibri"/>
        <family val="2"/>
        <charset val="1"/>
      </rPr>
      <t xml:space="preserve">Jalapeño </t>
    </r>
    <r>
      <rPr>
        <sz val="11"/>
        <color theme="1"/>
        <rFont val="Noto Sans CJK SC"/>
        <family val="2"/>
      </rPr>
      <t xml:space="preserve">偏保守</t>
    </r>
  </si>
  <si>
    <t xml:space="preserve">F6</t>
  </si>
  <si>
    <r>
      <rPr>
        <sz val="11"/>
        <color theme="1"/>
        <rFont val="Calibri"/>
        <family val="2"/>
        <charset val="1"/>
      </rPr>
      <t xml:space="preserve">Jalapeño B0 </t>
    </r>
    <r>
      <rPr>
        <sz val="11"/>
        <color theme="1"/>
        <rFont val="Noto Sans CJK SC"/>
        <family val="2"/>
      </rPr>
      <t xml:space="preserve">每瓦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爬坡，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自述）</t>
    </r>
  </si>
  <si>
    <r>
      <rPr>
        <sz val="11"/>
        <color theme="1"/>
        <rFont val="Calibri"/>
        <family val="2"/>
        <charset val="1"/>
      </rPr>
      <t xml:space="preserve">O03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TechRadar</t>
    </r>
    <r>
      <rPr>
        <sz val="11"/>
        <color theme="1"/>
        <rFont val="Noto Sans CJK SC"/>
        <family val="2"/>
      </rPr>
      <t xml:space="preserve">）</t>
    </r>
  </si>
  <si>
    <t xml:space="preserve">只作上行參考</t>
  </si>
  <si>
    <t xml:space="preserve">主張</t>
  </si>
  <si>
    <t xml:space="preserve">數值</t>
  </si>
  <si>
    <t xml:space="preserve">口徑</t>
  </si>
  <si>
    <t xml:space="preserve">出處網址</t>
  </si>
  <si>
    <t xml:space="preserve">來源等級</t>
  </si>
  <si>
    <t xml:space="preserve">立場</t>
  </si>
  <si>
    <t xml:space="preserve">取得方式與備註</t>
  </si>
  <si>
    <t xml:space="preserve">用於</t>
  </si>
  <si>
    <r>
      <rPr>
        <sz val="11"/>
        <color theme="1"/>
        <rFont val="Calibri"/>
        <family val="2"/>
        <charset val="1"/>
      </rPr>
      <t xml:space="preserve">WSE-3 </t>
    </r>
    <r>
      <rPr>
        <sz val="11"/>
        <color theme="1"/>
        <rFont val="Noto Sans CJK SC"/>
        <family val="2"/>
      </rPr>
      <t xml:space="preserve">規格表：</t>
    </r>
    <r>
      <rPr>
        <sz val="11"/>
        <color theme="1"/>
        <rFont val="Calibri"/>
        <family val="2"/>
        <charset val="1"/>
      </rPr>
      <t xml:space="preserve">SRAM 44 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Sparse FP16 125 PFLOPS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Dense FP16 12.5 PFLOPS</t>
    </r>
    <r>
      <rPr>
        <sz val="11"/>
        <color theme="1"/>
        <rFont val="Noto Sans CJK SC"/>
        <family val="2"/>
      </rPr>
      <t xml:space="preserve">；記憶體頻寬 </t>
    </r>
    <r>
      <rPr>
        <sz val="11"/>
        <color theme="1"/>
        <rFont val="Calibri"/>
        <family val="2"/>
        <charset val="1"/>
      </rPr>
      <t xml:space="preserve">21.6 PB/s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TDP </t>
    </r>
    <r>
      <rPr>
        <sz val="11"/>
        <color theme="1"/>
        <rFont val="Noto Sans CJK SC"/>
        <family val="2"/>
      </rPr>
      <t xml:space="preserve">晶圓 </t>
    </r>
    <r>
      <rPr>
        <sz val="11"/>
        <color theme="1"/>
        <rFont val="Calibri"/>
        <family val="2"/>
        <charset val="1"/>
      </rPr>
      <t xml:space="preserve">15 kW</t>
    </r>
    <r>
      <rPr>
        <sz val="11"/>
        <color theme="1"/>
        <rFont val="Noto Sans CJK SC"/>
        <family val="2"/>
      </rPr>
      <t xml:space="preserve">、系統 </t>
    </r>
    <r>
      <rPr>
        <sz val="11"/>
        <color theme="1"/>
        <rFont val="Calibri"/>
        <family val="2"/>
        <charset val="1"/>
      </rPr>
      <t xml:space="preserve">23 kW</t>
    </r>
    <r>
      <rPr>
        <sz val="11"/>
        <color theme="1"/>
        <rFont val="Noto Sans CJK SC"/>
        <family val="2"/>
      </rPr>
      <t xml:space="preserve">；記者：『</t>
    </r>
    <r>
      <rPr>
        <sz val="11"/>
        <color theme="1"/>
        <rFont val="Calibri"/>
        <family val="2"/>
        <charset val="1"/>
      </rPr>
      <t xml:space="preserve">headline performance figure relies heavily on sparsity, which as a general rule doesn't benefit LLM inference</t>
    </r>
    <r>
      <rPr>
        <sz val="11"/>
        <color theme="1"/>
        <rFont val="Noto Sans CJK SC"/>
        <family val="2"/>
      </rPr>
      <t xml:space="preserve">』『</t>
    </r>
    <r>
      <rPr>
        <sz val="11"/>
        <color theme="1"/>
        <rFont val="Calibri"/>
        <family val="2"/>
        <charset val="1"/>
      </rPr>
      <t xml:space="preserve">the same 10x sparsity we saw with the WSE-3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</si>
  <si>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12.5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dense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sparse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44</t>
    </r>
  </si>
  <si>
    <r>
      <rPr>
        <sz val="11"/>
        <color theme="1"/>
        <rFont val="Calibri"/>
        <family val="2"/>
        <charset val="1"/>
      </rPr>
      <t xml:space="preserve">PF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／系統；</t>
    </r>
    <r>
      <rPr>
        <sz val="11"/>
        <color theme="1"/>
        <rFont val="Calibri"/>
        <family val="2"/>
        <charset val="1"/>
      </rPr>
      <t xml:space="preserve">GB</t>
    </r>
  </si>
  <si>
    <r>
      <rPr>
        <sz val="11"/>
        <color theme="1"/>
        <rFont val="Noto Sans CJK SC"/>
        <family val="2"/>
      </rPr>
      <t xml:space="preserve">每系統（</t>
    </r>
    <r>
      <rPr>
        <sz val="11"/>
        <color theme="1"/>
        <rFont val="Calibri"/>
        <family val="2"/>
        <charset val="1"/>
      </rPr>
      <t xml:space="preserve">CS-3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WSE-3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dense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sparse ÷ 10</t>
    </r>
    <r>
      <rPr>
        <sz val="11"/>
        <color theme="1"/>
        <rFont val="Noto Sans CJK SC"/>
        <family val="2"/>
      </rPr>
      <t xml:space="preserve">（記者整理；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自己只發布 </t>
    </r>
    <r>
      <rPr>
        <sz val="11"/>
        <color theme="1"/>
        <rFont val="Calibri"/>
        <family val="2"/>
        <charset val="1"/>
      </rPr>
      <t xml:space="preserve">125 PF sparse</t>
    </r>
    <r>
      <rPr>
        <sz val="11"/>
        <color theme="1"/>
        <rFont val="Noto Sans CJK SC"/>
        <family val="2"/>
      </rPr>
      <t xml:space="preserve">）</t>
    </r>
  </si>
  <si>
    <t xml:space="preserve">https://www.theregister.com/a/5289286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</si>
  <si>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CS-4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WSE-3T </t>
    </r>
    <r>
      <rPr>
        <sz val="11"/>
        <color theme="1"/>
        <rFont val="Noto Sans CJK SC"/>
        <family val="2"/>
      </rPr>
      <t xml:space="preserve">文章附表）</t>
    </r>
  </si>
  <si>
    <t xml:space="preserve">支持</t>
  </si>
  <si>
    <r>
      <rPr>
        <sz val="11"/>
        <color theme="1"/>
        <rFont val="Noto Sans CJK SC"/>
        <family val="2"/>
      </rPr>
      <t xml:space="preserve">記者整理（數字源自 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發表；</t>
    </r>
    <r>
      <rPr>
        <sz val="11"/>
        <color theme="1"/>
        <rFont val="Calibri"/>
        <family val="2"/>
        <charset val="1"/>
      </rPr>
      <t xml:space="preserve">dense </t>
    </r>
    <r>
      <rPr>
        <sz val="11"/>
        <color theme="1"/>
        <rFont val="Noto Sans CJK SC"/>
        <family val="2"/>
      </rPr>
      <t xml:space="preserve">值為記者換算）</t>
    </r>
  </si>
  <si>
    <r>
      <rPr>
        <sz val="11"/>
        <color theme="1"/>
        <rFont val="Noto Sans CJK SC"/>
        <family val="2"/>
      </rPr>
      <t xml:space="preserve">全文。同文 </t>
    </r>
    <r>
      <rPr>
        <sz val="11"/>
        <color theme="1"/>
        <rFont val="Calibri"/>
        <family val="2"/>
        <charset val="1"/>
      </rPr>
      <t xml:space="preserve">WSE-3T</t>
    </r>
    <r>
      <rPr>
        <sz val="11"/>
        <color theme="1"/>
        <rFont val="Noto Sans CJK SC"/>
        <family val="2"/>
      </rPr>
      <t xml:space="preserve">（新一代）：</t>
    </r>
    <r>
      <rPr>
        <sz val="11"/>
        <color theme="1"/>
        <rFont val="Calibri"/>
        <family val="2"/>
        <charset val="1"/>
      </rPr>
      <t xml:space="preserve">Sparse 250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Dense 25 PF</t>
    </r>
    <r>
      <rPr>
        <sz val="11"/>
        <color theme="1"/>
        <rFont val="Noto Sans CJK SC"/>
        <family val="2"/>
      </rPr>
      <t xml:space="preserve">、系統 </t>
    </r>
    <r>
      <rPr>
        <sz val="11"/>
        <color theme="1"/>
        <rFont val="Calibri"/>
        <family val="2"/>
        <charset val="1"/>
      </rPr>
      <t xml:space="preserve">46 kW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estimated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CS-4 </t>
    </r>
    <r>
      <rPr>
        <sz val="11"/>
        <color theme="1"/>
        <rFont val="Noto Sans CJK SC"/>
        <family val="2"/>
      </rPr>
      <t xml:space="preserve">機架最多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片、記者估 </t>
    </r>
    <r>
      <rPr>
        <sz val="11"/>
        <color theme="1"/>
        <rFont val="Calibri"/>
        <family val="2"/>
        <charset val="1"/>
      </rPr>
      <t xml:space="preserve">120–140 kW</t>
    </r>
    <r>
      <rPr>
        <sz val="11"/>
        <color theme="1"/>
        <rFont val="Noto Sans CJK SC"/>
        <family val="2"/>
      </rPr>
      <t xml:space="preserve">。本表只用 </t>
    </r>
    <r>
      <rPr>
        <sz val="11"/>
        <color theme="1"/>
        <rFont val="Calibri"/>
        <family val="2"/>
        <charset val="1"/>
      </rPr>
      <t xml:space="preserve">WSE-3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列）。</t>
    </r>
  </si>
  <si>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C2</t>
    </r>
  </si>
  <si>
    <t xml:space="preserve">C02</t>
  </si>
  <si>
    <r>
      <rPr>
        <sz val="11"/>
        <color theme="1"/>
        <rFont val="Calibri"/>
        <family val="2"/>
        <charset val="1"/>
      </rPr>
      <t xml:space="preserve">CS-3 </t>
    </r>
    <r>
      <rPr>
        <sz val="11"/>
        <color theme="1"/>
        <rFont val="Noto Sans CJK SC"/>
        <family val="2"/>
      </rPr>
      <t xml:space="preserve">系統功率『</t>
    </r>
    <r>
      <rPr>
        <sz val="11"/>
        <color theme="1"/>
        <rFont val="Calibri"/>
        <family val="2"/>
        <charset val="1"/>
      </rPr>
      <t xml:space="preserve">drawing up to 27 kW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125 PF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FLOPS are shown as sparse</t>
    </r>
    <r>
      <rPr>
        <sz val="11"/>
        <color theme="1"/>
        <rFont val="Noto Sans CJK SC"/>
        <family val="2"/>
      </rPr>
      <t xml:space="preserve">』；無公開價格（『</t>
    </r>
    <r>
      <rPr>
        <sz val="11"/>
        <color theme="1"/>
        <rFont val="Calibri"/>
        <family val="2"/>
        <charset val="1"/>
      </rPr>
      <t xml:space="preserve">sells the CS-3 on quote through OEMs and resellers</t>
    </r>
    <r>
      <rPr>
        <sz val="11"/>
        <color theme="1"/>
        <rFont val="Noto Sans CJK SC"/>
        <family val="2"/>
      </rPr>
      <t xml:space="preserve">』）</t>
    </r>
  </si>
  <si>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125</t>
    </r>
  </si>
  <si>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sparse</t>
    </r>
    <r>
      <rPr>
        <sz val="11"/>
        <color theme="1"/>
        <rFont val="Noto Sans CJK SC"/>
        <family val="2"/>
      </rPr>
      <t xml:space="preserve">）</t>
    </r>
  </si>
  <si>
    <t xml:space="preserve">系統上限</t>
  </si>
  <si>
    <t xml:space="preserve">https://flopper.io/system/cerebras-cs-3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</si>
  <si>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（規格彙整站）</t>
    </r>
  </si>
  <si>
    <t xml:space="preserve">支持（上限）</t>
  </si>
  <si>
    <t xml:space="preserve">第三方彙整</t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</si>
  <si>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27 kW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C01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23 kW </t>
    </r>
    <r>
      <rPr>
        <sz val="11"/>
        <color theme="1"/>
        <rFont val="Noto Sans CJK SC"/>
        <family val="2"/>
      </rPr>
      <t xml:space="preserve">不同；本表 </t>
    </r>
    <r>
      <rPr>
        <sz val="11"/>
        <color theme="1"/>
        <rFont val="Calibri"/>
        <family val="2"/>
        <charset val="1"/>
      </rPr>
      <t xml:space="preserve">27 kW </t>
    </r>
    <r>
      <rPr>
        <sz val="11"/>
        <color theme="1"/>
        <rFont val="Noto Sans CJK SC"/>
        <family val="2"/>
      </rPr>
      <t xml:space="preserve">只作產出低端。</t>
    </r>
  </si>
  <si>
    <r>
      <rPr>
        <sz val="11"/>
        <color theme="1"/>
        <rFont val="Calibri"/>
        <family val="2"/>
        <charset val="1"/>
      </rPr>
      <t xml:space="preserve">C2 </t>
    </r>
    <r>
      <rPr>
        <sz val="11"/>
        <color theme="1"/>
        <rFont val="Noto Sans CJK SC"/>
        <family val="2"/>
      </rPr>
      <t xml:space="preserve">低端</t>
    </r>
  </si>
  <si>
    <t xml:space="preserve">C03</t>
  </si>
  <si>
    <r>
      <rPr>
        <sz val="11"/>
        <color theme="1"/>
        <rFont val="Calibri"/>
        <family val="2"/>
        <charset val="1"/>
      </rPr>
      <t xml:space="preserve">Next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2026-01-15</t>
    </r>
    <r>
      <rPr>
        <sz val="11"/>
        <color theme="1"/>
        <rFont val="Noto Sans CJK SC"/>
        <family val="2"/>
      </rPr>
      <t xml:space="preserve">）：『</t>
    </r>
    <r>
      <rPr>
        <sz val="11"/>
        <color theme="1"/>
        <rFont val="Calibri"/>
        <family val="2"/>
        <charset val="1"/>
      </rPr>
      <t xml:space="preserve">A CS-3 system weighs in at 23 kilowatts</t>
    </r>
    <r>
      <rPr>
        <sz val="11"/>
        <color theme="1"/>
        <rFont val="Noto Sans CJK SC"/>
        <family val="2"/>
      </rPr>
      <t xml:space="preserve">』；每台約 </t>
    </r>
    <r>
      <rPr>
        <sz val="11"/>
        <color theme="1"/>
        <rFont val="Calibri"/>
        <family val="2"/>
        <charset val="1"/>
      </rPr>
      <t xml:space="preserve">$3.2M</t>
    </r>
    <r>
      <rPr>
        <sz val="11"/>
        <color theme="1"/>
        <rFont val="Noto Sans CJK SC"/>
        <family val="2"/>
      </rPr>
      <t xml:space="preserve">（依近兩年前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交易推算），含 </t>
    </r>
    <r>
      <rPr>
        <sz val="11"/>
        <color theme="1"/>
        <rFont val="Calibri"/>
        <family val="2"/>
        <charset val="1"/>
      </rPr>
      <t xml:space="preserve">MemoryX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SwarmX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750 MW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32,768 </t>
    </r>
    <r>
      <rPr>
        <sz val="11"/>
        <color theme="1"/>
        <rFont val="Noto Sans CJK SC"/>
        <family val="2"/>
      </rPr>
      <t xml:space="preserve">台、</t>
    </r>
    <r>
      <rPr>
        <sz val="11"/>
        <color theme="1"/>
        <rFont val="Calibri"/>
        <family val="2"/>
        <charset val="1"/>
      </rPr>
      <t xml:space="preserve">16,384 </t>
    </r>
    <r>
      <rPr>
        <sz val="11"/>
        <color theme="1"/>
        <rFont val="Noto Sans CJK SC"/>
        <family val="2"/>
      </rPr>
      <t xml:space="preserve">架（每架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台）、</t>
    </r>
    <r>
      <rPr>
        <sz val="11"/>
        <color theme="1"/>
        <rFont val="Calibri"/>
        <family val="2"/>
        <charset val="1"/>
      </rPr>
      <t xml:space="preserve">753.7 MW</t>
    </r>
    <r>
      <rPr>
        <sz val="11"/>
        <color theme="1"/>
        <rFont val="Noto Sans CJK SC"/>
        <family val="2"/>
      </rPr>
      <t xml:space="preserve">；交易為雲端服務（非買硬體）</t>
    </r>
  </si>
  <si>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32,768</t>
    </r>
  </si>
  <si>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；台</t>
    </r>
  </si>
  <si>
    <r>
      <rPr>
        <sz val="11"/>
        <color theme="1"/>
        <rFont val="Noto Sans CJK SC"/>
        <family val="2"/>
      </rPr>
      <t xml:space="preserve">系統功率；價格為記者依 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交易估計（非公司揭露）</t>
    </r>
  </si>
  <si>
    <t xml:space="preserve">https://www.nextplatform.com/ai/2026/01/15/cerebras-inks-transformative-10-billion-inference-deal-with-openai/4092155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</si>
  <si>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Timothy Prickett Morgan </t>
    </r>
    <r>
      <rPr>
        <sz val="11"/>
        <color theme="1"/>
        <rFont val="Noto Sans CJK SC"/>
        <family val="2"/>
      </rPr>
      <t xml:space="preserve">估計）</t>
    </r>
  </si>
  <si>
    <t xml:space="preserve">記者推論（價格）</t>
  </si>
  <si>
    <r>
      <rPr>
        <sz val="11"/>
        <color theme="1"/>
        <rFont val="Noto Sans CJK SC"/>
        <family val="2"/>
      </rPr>
      <t xml:space="preserve">全文。記者自己指出：照此價格 </t>
    </r>
    <r>
      <rPr>
        <sz val="11"/>
        <color theme="1"/>
        <rFont val="Calibri"/>
        <family val="2"/>
        <charset val="1"/>
      </rPr>
      <t xml:space="preserve">750 MW </t>
    </r>
    <r>
      <rPr>
        <sz val="11"/>
        <color theme="1"/>
        <rFont val="Noto Sans CJK SC"/>
        <family val="2"/>
      </rPr>
      <t xml:space="preserve">硬體約 </t>
    </r>
    <r>
      <rPr>
        <sz val="11"/>
        <color theme="1"/>
        <rFont val="Calibri"/>
        <family val="2"/>
        <charset val="1"/>
      </rPr>
      <t xml:space="preserve">$131B</t>
    </r>
    <r>
      <rPr>
        <sz val="11"/>
        <color theme="1"/>
        <rFont val="Noto Sans CJK SC"/>
        <family val="2"/>
      </rPr>
      <t xml:space="preserve">（打折後約 </t>
    </r>
    <r>
      <rPr>
        <sz val="11"/>
        <color theme="1"/>
        <rFont val="Calibri"/>
        <family val="2"/>
        <charset val="1"/>
      </rPr>
      <t xml:space="preserve">$100B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$10B </t>
    </r>
    <r>
      <rPr>
        <sz val="11"/>
        <color theme="1"/>
        <rFont val="Noto Sans CJK SC"/>
        <family val="2"/>
      </rPr>
      <t xml:space="preserve">合約規模對不起來。</t>
    </r>
    <r>
      <rPr>
        <sz val="11"/>
        <color theme="1"/>
        <rFont val="Calibri"/>
        <family val="2"/>
        <charset val="1"/>
      </rPr>
      <t xml:space="preserve">32,768×23 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753.7 MW → 750 MW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口徑（記者推算）。</t>
    </r>
  </si>
  <si>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C20</t>
    </r>
  </si>
  <si>
    <t xml:space="preserve">C04</t>
  </si>
  <si>
    <r>
      <rPr>
        <sz val="11"/>
        <color theme="1"/>
        <rFont val="Calibri"/>
        <family val="2"/>
        <charset val="1"/>
      </rPr>
      <t xml:space="preserve">Next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2024-03-14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CS-3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have the same price as the CS-2 machines they replace</t>
    </r>
    <r>
      <rPr>
        <sz val="11"/>
        <color theme="1"/>
        <rFont val="Noto Sans CJK SC"/>
        <family val="2"/>
      </rPr>
      <t xml:space="preserve">』；記者猜『</t>
    </r>
    <r>
      <rPr>
        <sz val="11"/>
        <color theme="1"/>
        <rFont val="Calibri"/>
        <family val="2"/>
        <charset val="1"/>
      </rPr>
      <t xml:space="preserve">maybe it is $2.5 million per node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Condor Galaxy-1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price tag of $100 million for 32 nodes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2,048 </t>
    </r>
    <r>
      <rPr>
        <sz val="11"/>
        <color theme="1"/>
        <rFont val="Noto Sans CJK SC"/>
        <family val="2"/>
      </rPr>
      <t xml:space="preserve">台『</t>
    </r>
    <r>
      <rPr>
        <sz val="11"/>
        <color theme="1"/>
        <rFont val="Calibri"/>
        <family val="2"/>
        <charset val="1"/>
      </rPr>
      <t xml:space="preserve">256 exaflops FP16 with sparse</t>
    </r>
    <r>
      <rPr>
        <sz val="11"/>
        <color theme="1"/>
        <rFont val="Noto Sans CJK SC"/>
        <family val="2"/>
      </rPr>
      <t xml:space="preserve">』、關閉稀疏『</t>
    </r>
    <r>
      <rPr>
        <sz val="11"/>
        <color theme="1"/>
        <rFont val="Calibri"/>
        <family val="2"/>
        <charset val="1"/>
      </rPr>
      <t xml:space="preserve">25.6 exaflops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</si>
  <si>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32</t>
    </r>
  </si>
  <si>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／台；</t>
    </r>
    <r>
      <rPr>
        <sz val="11"/>
        <color theme="1"/>
        <rFont val="Calibri"/>
        <family val="2"/>
        <charset val="1"/>
      </rPr>
      <t xml:space="preserve">$M</t>
    </r>
  </si>
  <si>
    <r>
      <rPr>
        <sz val="11"/>
        <color theme="1"/>
        <rFont val="Noto Sans CJK SC"/>
        <family val="2"/>
      </rPr>
      <t xml:space="preserve">記者估計；</t>
    </r>
    <r>
      <rPr>
        <sz val="11"/>
        <color theme="1"/>
        <rFont val="Calibri"/>
        <family val="2"/>
        <charset val="1"/>
      </rPr>
      <t xml:space="preserve">CG-1 </t>
    </r>
    <r>
      <rPr>
        <sz val="11"/>
        <color theme="1"/>
        <rFont val="Noto Sans CJK SC"/>
        <family val="2"/>
      </rPr>
      <t xml:space="preserve">為整套系統（含網路、儲存、服務）</t>
    </r>
  </si>
  <si>
    <t xml:space="preserve">https://www.nextplatform.com/2024/03/14/cerebras-goes-hyperscale-with-third-gen-waferscale-supercomputers/</t>
  </si>
  <si>
    <t xml:space="preserve">3</t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</si>
  <si>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25.6 EF ÷ 2,048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12.5 PF dense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C01 </t>
    </r>
    <r>
      <rPr>
        <sz val="11"/>
        <color theme="1"/>
        <rFont val="Noto Sans CJK SC"/>
        <family val="2"/>
      </rPr>
      <t xml:space="preserve">一致（</t>
    </r>
    <r>
      <rPr>
        <sz val="11"/>
        <color theme="1"/>
        <rFont val="Calibri"/>
        <family val="2"/>
        <charset val="1"/>
      </rPr>
      <t xml:space="preserve">dense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sparse÷10 </t>
    </r>
    <r>
      <rPr>
        <sz val="11"/>
        <color theme="1"/>
        <rFont val="Noto Sans CJK SC"/>
        <family val="2"/>
      </rPr>
      <t xml:space="preserve">有第二來源）。</t>
    </r>
    <r>
      <rPr>
        <sz val="11"/>
        <color theme="1"/>
        <rFont val="Calibri"/>
        <family val="2"/>
        <charset val="1"/>
      </rPr>
      <t xml:space="preserve">CG-1 $100M÷32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$3.1M</t>
    </r>
    <r>
      <rPr>
        <sz val="11"/>
        <color theme="1"/>
        <rFont val="Noto Sans CJK SC"/>
        <family val="2"/>
      </rPr>
      <t xml:space="preserve">／台（含全部配套）。</t>
    </r>
  </si>
  <si>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C20 </t>
    </r>
    <r>
      <rPr>
        <sz val="11"/>
        <color theme="1"/>
        <rFont val="Noto Sans CJK SC"/>
        <family val="2"/>
      </rPr>
      <t xml:space="preserve">低端</t>
    </r>
  </si>
  <si>
    <t xml:space="preserve">C05</t>
  </si>
  <si>
    <r>
      <rPr>
        <sz val="11"/>
        <color theme="1"/>
        <rFont val="Calibri"/>
        <family val="2"/>
        <charset val="1"/>
      </rPr>
      <t xml:space="preserve">Cerebras S-1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$510.0M</t>
    </r>
    <r>
      <rPr>
        <sz val="11"/>
        <color theme="1"/>
        <rFont val="Noto Sans CJK SC"/>
        <family val="2"/>
      </rPr>
      <t xml:space="preserve">（硬體 </t>
    </r>
    <r>
      <rPr>
        <sz val="11"/>
        <color theme="1"/>
        <rFont val="Calibri"/>
        <family val="2"/>
        <charset val="1"/>
      </rPr>
      <t xml:space="preserve">$358.4M</t>
    </r>
    <r>
      <rPr>
        <sz val="11"/>
        <color theme="1"/>
        <rFont val="Noto Sans CJK SC"/>
        <family val="2"/>
      </rPr>
      <t xml:space="preserve">、雲端與其他 </t>
    </r>
    <r>
      <rPr>
        <sz val="11"/>
        <color theme="1"/>
        <rFont val="Calibri"/>
        <family val="2"/>
        <charset val="1"/>
      </rPr>
      <t xml:space="preserve">$151.6M</t>
    </r>
    <r>
      <rPr>
        <sz val="11"/>
        <color theme="1"/>
        <rFont val="Noto Sans CJK SC"/>
        <family val="2"/>
      </rPr>
      <t xml:space="preserve">）；硬體營業成本 </t>
    </r>
    <r>
      <rPr>
        <sz val="11"/>
        <color theme="1"/>
        <rFont val="Calibri"/>
        <family val="2"/>
        <charset val="1"/>
      </rPr>
      <t xml:space="preserve">$204.7M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multi-year deal … valued at more than $20 billion</t>
    </r>
    <r>
      <rPr>
        <sz val="11"/>
        <color theme="1"/>
        <rFont val="Noto Sans CJK SC"/>
        <family val="2"/>
      </rPr>
      <t xml:space="preserve">』『</t>
    </r>
    <r>
      <rPr>
        <sz val="11"/>
        <color theme="1"/>
        <rFont val="Calibri"/>
        <family val="2"/>
        <charset val="1"/>
      </rPr>
      <t xml:space="preserve">deploy 750 megawatts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認股權 </t>
    </r>
    <r>
      <rPr>
        <sz val="11"/>
        <color theme="1"/>
        <rFont val="Calibri"/>
        <family val="2"/>
        <charset val="1"/>
      </rPr>
      <t xml:space="preserve">33,445,026 </t>
    </r>
    <r>
      <rPr>
        <sz val="11"/>
        <color theme="1"/>
        <rFont val="Noto Sans CJK SC"/>
        <family val="2"/>
      </rPr>
      <t xml:space="preserve">股、行使價 </t>
    </r>
    <r>
      <rPr>
        <sz val="11"/>
        <color theme="1"/>
        <rFont val="Calibri"/>
        <family val="2"/>
        <charset val="1"/>
      </rPr>
      <t xml:space="preserve">$0.00001</t>
    </r>
    <r>
      <rPr>
        <sz val="11"/>
        <color theme="1"/>
        <rFont val="Noto Sans CJK SC"/>
        <family val="2"/>
      </rPr>
      <t xml:space="preserve">；工作資金貸款（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提供）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年前到期；『</t>
    </r>
    <r>
      <rPr>
        <sz val="11"/>
        <color theme="1"/>
        <rFont val="Calibri"/>
        <family val="2"/>
        <charset val="1"/>
      </rPr>
      <t xml:space="preserve">initial 250 MW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G42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MBZUAI 62.0%</t>
    </r>
  </si>
  <si>
    <r>
      <rPr>
        <sz val="11"/>
        <color theme="1"/>
        <rFont val="Calibri"/>
        <family val="2"/>
        <charset val="1"/>
      </rPr>
      <t xml:space="preserve">&gt;20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358.4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204.7</t>
    </r>
  </si>
  <si>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$M</t>
    </r>
  </si>
  <si>
    <r>
      <rPr>
        <sz val="11"/>
        <color theme="1"/>
        <rFont val="Noto Sans CJK SC"/>
        <family val="2"/>
      </rPr>
      <t xml:space="preserve">合約總值（多年）；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口徑未明（記者推算為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C03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</si>
  <si>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https://www.sec.gov/Archives/edgar/data/2021728/000162828026025762/cerebras-sx1april2026.htm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</si>
  <si>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文件，公司本人說）</t>
    </r>
  </si>
  <si>
    <r>
      <rPr>
        <sz val="11"/>
        <color theme="1"/>
        <rFont val="Noto Sans CJK SC"/>
        <family val="2"/>
      </rPr>
      <t xml:space="preserve">部分（頁長 </t>
    </r>
    <r>
      <rPr>
        <sz val="11"/>
        <color theme="1"/>
        <rFont val="Calibri"/>
        <family val="2"/>
        <charset val="1"/>
      </rPr>
      <t xml:space="preserve">13.6 </t>
    </r>
    <r>
      <rPr>
        <sz val="11"/>
        <color theme="1"/>
        <rFont val="Noto Sans CJK SC"/>
        <family val="2"/>
      </rPr>
      <t xml:space="preserve">萬字，讀完兩段；未見每台售價、出貨台數、每台功率）。硬體毛利率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43%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(358.4−204.7)÷358.4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</si>
  <si>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sec-api.io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contractually committed to purchase 750MW of AI inference compute capacity over a term of three or four years</t>
    </r>
    <r>
      <rPr>
        <sz val="11"/>
        <color theme="1"/>
        <rFont val="Noto Sans CJK SC"/>
        <family val="2"/>
      </rPr>
      <t xml:space="preserve">』，另有選擇權 </t>
    </r>
    <r>
      <rPr>
        <sz val="11"/>
        <color theme="1"/>
        <rFont val="Calibri"/>
        <family val="2"/>
        <charset val="1"/>
      </rPr>
      <t xml:space="preserve">1.25 GW</t>
    </r>
    <r>
      <rPr>
        <sz val="11"/>
        <color theme="1"/>
        <rFont val="Noto Sans CJK SC"/>
        <family val="2"/>
      </rPr>
      <t xml:space="preserve">（合計最多 </t>
    </r>
    <r>
      <rPr>
        <sz val="11"/>
        <color theme="1"/>
        <rFont val="Calibri"/>
        <family val="2"/>
        <charset val="1"/>
      </rPr>
      <t xml:space="preserve">2.0 GW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工作資金貸款 </t>
    </r>
    <r>
      <rPr>
        <sz val="11"/>
        <color theme="1"/>
        <rFont val="Calibri"/>
        <family val="2"/>
        <charset val="1"/>
      </rPr>
      <t xml:space="preserve">$1.005B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）；剩餘履約義務 </t>
    </r>
    <r>
      <rPr>
        <sz val="11"/>
        <color theme="1"/>
        <rFont val="Calibri"/>
        <family val="2"/>
        <charset val="1"/>
      </rPr>
      <t xml:space="preserve">$25.4B</t>
    </r>
    <r>
      <rPr>
        <sz val="11"/>
        <color theme="1"/>
        <rFont val="Noto Sans CJK SC"/>
        <family val="2"/>
      </rPr>
      <t xml:space="preserve">（『</t>
    </r>
    <r>
      <rPr>
        <sz val="11"/>
        <color theme="1"/>
        <rFont val="Calibri"/>
        <family val="2"/>
        <charset val="1"/>
      </rPr>
      <t xml:space="preserve">a significant amount</t>
    </r>
    <r>
      <rPr>
        <sz val="11"/>
        <color theme="1"/>
        <rFont val="Noto Sans CJK SC"/>
        <family val="2"/>
      </rPr>
      <t xml:space="preserve">』屬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上半年資本支出 </t>
    </r>
    <r>
      <rPr>
        <sz val="11"/>
        <color theme="1"/>
        <rFont val="Calibri"/>
        <family val="2"/>
        <charset val="1"/>
      </rPr>
      <t xml:space="preserve">$548.9M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2026 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14.2%</t>
    </r>
  </si>
  <si>
    <r>
      <rPr>
        <sz val="11"/>
        <color theme="1"/>
        <rFont val="Calibri"/>
        <family val="2"/>
        <charset val="1"/>
      </rPr>
      <t xml:space="preserve">750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3–4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25.4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548.9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</si>
  <si>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；年；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$M</t>
    </r>
  </si>
  <si>
    <r>
      <rPr>
        <sz val="11"/>
        <color theme="1"/>
        <rFont val="Noto Sans CJK SC"/>
        <family val="2"/>
      </rPr>
      <t xml:space="preserve">合約期間每一期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年；未揭露每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價格、上線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、出貨台數</t>
    </r>
  </si>
  <si>
    <t xml:space="preserve">https://sec-api.io/insights/cerebras-cbrs-first-public-quarters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</si>
  <si>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文件，經第三方摘要）</t>
    </r>
  </si>
  <si>
    <r>
      <rPr>
        <sz val="11"/>
        <color theme="1"/>
        <rFont val="Noto Sans CJK SC"/>
        <family val="2"/>
      </rPr>
      <t xml:space="preserve">摘要（非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原文）。上市：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$185</t>
    </r>
    <r>
      <rPr>
        <sz val="11"/>
        <color theme="1"/>
        <rFont val="Noto Sans CJK SC"/>
        <family val="2"/>
      </rPr>
      <t xml:space="preserve">／股（</t>
    </r>
    <r>
      <rPr>
        <sz val="11"/>
        <color theme="1"/>
        <rFont val="Calibri"/>
        <family val="2"/>
        <charset val="1"/>
      </rPr>
      <t xml:space="preserve">Kiplinger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</si>
  <si>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C31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C32</t>
    </r>
  </si>
  <si>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2025-03-11</t>
    </r>
    <r>
      <rPr>
        <sz val="11"/>
        <color theme="1"/>
        <rFont val="Noto Sans CJK SC"/>
        <family val="2"/>
      </rPr>
      <t xml:space="preserve">）：六座新資料中心『</t>
    </r>
    <r>
      <rPr>
        <sz val="11"/>
        <color theme="1"/>
        <rFont val="Calibri"/>
        <family val="2"/>
        <charset val="1"/>
      </rPr>
      <t xml:space="preserve">expected to serve over 40 million Llama 70B tokens per second</t>
    </r>
    <r>
      <rPr>
        <sz val="11"/>
        <color theme="1"/>
        <rFont val="Noto Sans CJK SC"/>
        <family val="2"/>
      </rPr>
      <t xml:space="preserve">』；『</t>
    </r>
    <r>
      <rPr>
        <sz val="11"/>
        <color theme="1"/>
        <rFont val="Calibri"/>
        <family val="2"/>
        <charset val="1"/>
      </rPr>
      <t xml:space="preserve">thousands of Cerebras CS-3 systems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Oklahoma City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over 300 Cerebras CS-3 systems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The Register </t>
    </r>
    <r>
      <rPr>
        <sz val="11"/>
        <color theme="1"/>
        <rFont val="Noto Sans CJK SC"/>
        <family val="2"/>
      </rPr>
      <t xml:space="preserve">同日：</t>
    </r>
    <r>
      <rPr>
        <sz val="11"/>
        <color theme="1"/>
        <rFont val="Calibri"/>
        <family val="2"/>
        <charset val="1"/>
      </rPr>
      <t xml:space="preserve">Minneapolis 512 </t>
    </r>
    <r>
      <rPr>
        <sz val="11"/>
        <color theme="1"/>
        <rFont val="Noto Sans CJK SC"/>
        <family val="2"/>
      </rPr>
      <t xml:space="preserve">台、全部新站『</t>
    </r>
    <r>
      <rPr>
        <sz val="11"/>
        <color theme="1"/>
        <rFont val="Calibri"/>
        <family val="2"/>
        <charset val="1"/>
      </rPr>
      <t xml:space="preserve">more than a thousand</t>
    </r>
    <r>
      <rPr>
        <sz val="11"/>
        <color theme="1"/>
        <rFont val="Noto Sans CJK SC"/>
        <family val="2"/>
      </rPr>
      <t xml:space="preserve">』台</t>
    </r>
  </si>
  <si>
    <r>
      <rPr>
        <sz val="11"/>
        <color theme="1"/>
        <rFont val="Calibri"/>
        <family val="2"/>
        <charset val="1"/>
      </rPr>
      <t xml:space="preserve">&gt;40,000,000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&gt;1,000</t>
    </r>
    <r>
      <rPr>
        <sz val="11"/>
        <color theme="1"/>
        <rFont val="Noto Sans CJK SC"/>
        <family val="2"/>
      </rPr>
      <t xml:space="preserve">（數千）</t>
    </r>
  </si>
  <si>
    <r>
      <rPr>
        <sz val="11"/>
        <color theme="1"/>
        <rFont val="Calibri"/>
        <family val="2"/>
        <charset val="1"/>
      </rPr>
      <t xml:space="preserve">tok/s</t>
    </r>
    <r>
      <rPr>
        <sz val="11"/>
        <color theme="1"/>
        <rFont val="Noto Sans CJK SC"/>
        <family val="2"/>
      </rPr>
      <t xml:space="preserve">；台</t>
    </r>
  </si>
  <si>
    <r>
      <rPr>
        <sz val="11"/>
        <color theme="1"/>
        <rFont val="Noto Sans CJK SC"/>
        <family val="2"/>
      </rPr>
      <t xml:space="preserve">容量宣稱（</t>
    </r>
    <r>
      <rPr>
        <sz val="11"/>
        <color theme="1"/>
        <rFont val="Calibri"/>
        <family val="2"/>
        <charset val="1"/>
      </rPr>
      <t xml:space="preserve">Llama 70B</t>
    </r>
    <r>
      <rPr>
        <sz val="11"/>
        <color theme="1"/>
        <rFont val="Noto Sans CJK SC"/>
        <family val="2"/>
      </rPr>
      <t xml:space="preserve">；未說明是否只計輸出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；未給功率）</t>
    </r>
  </si>
  <si>
    <r>
      <rPr>
        <sz val="11"/>
        <color theme="1"/>
        <rFont val="Calibri"/>
        <family val="2"/>
        <charset val="1"/>
      </rPr>
      <t xml:space="preserve">https://www.cerebras.ai/press-release/cerebras-announces-six-new-ai-datacenters-across-north-america-and-europe-to-deliver-industry-s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https://www.theregister.com/2025/03/11/cerebras_dc_buildout/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</si>
  <si>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</t>
    </r>
  </si>
  <si>
    <t xml:space="preserve">支持（方向）</t>
  </si>
  <si>
    <r>
      <rPr>
        <sz val="11"/>
        <color theme="1"/>
        <rFont val="Noto Sans CJK SC"/>
        <family val="2"/>
      </rPr>
      <t xml:space="preserve">全文。台數只有『</t>
    </r>
    <r>
      <rPr>
        <sz val="11"/>
        <color theme="1"/>
        <rFont val="Calibri"/>
        <family val="2"/>
        <charset val="1"/>
      </rPr>
      <t xml:space="preserve">more than a thousand</t>
    </r>
    <r>
      <rPr>
        <sz val="11"/>
        <color theme="1"/>
        <rFont val="Noto Sans CJK SC"/>
        <family val="2"/>
      </rPr>
      <t xml:space="preserve">』與『</t>
    </r>
    <r>
      <rPr>
        <sz val="11"/>
        <color theme="1"/>
        <rFont val="Calibri"/>
        <family val="2"/>
        <charset val="1"/>
      </rPr>
      <t xml:space="preserve">thousands</t>
    </r>
    <r>
      <rPr>
        <sz val="11"/>
        <color theme="1"/>
        <rFont val="Noto Sans CJK SC"/>
        <family val="2"/>
      </rPr>
      <t xml:space="preserve">』兩種說法，本表取 </t>
    </r>
    <r>
      <rPr>
        <sz val="11"/>
        <color theme="1"/>
        <rFont val="Calibri"/>
        <family val="2"/>
        <charset val="1"/>
      </rPr>
      <t xml:space="preserve">1,000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3,000 </t>
    </r>
    <r>
      <rPr>
        <sz val="11"/>
        <color theme="1"/>
        <rFont val="Noto Sans CJK SC"/>
        <family val="2"/>
      </rPr>
      <t xml:space="preserve">台。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</si>
  <si>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C11</t>
    </r>
  </si>
  <si>
    <t xml:space="preserve">C08</t>
  </si>
  <si>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推論服務（</t>
    </r>
    <r>
      <rPr>
        <sz val="11"/>
        <color theme="1"/>
        <rFont val="Calibri"/>
        <family val="2"/>
        <charset val="1"/>
      </rPr>
      <t xml:space="preserve">2024-08-27</t>
    </r>
    <r>
      <rPr>
        <sz val="11"/>
        <color theme="1"/>
        <rFont val="Noto Sans CJK SC"/>
        <family val="2"/>
      </rPr>
      <t xml:space="preserve">）：『</t>
    </r>
    <r>
      <rPr>
        <sz val="11"/>
        <color theme="1"/>
        <rFont val="Calibri"/>
        <family val="2"/>
        <charset val="1"/>
      </rPr>
      <t xml:space="preserve">in the 16-bit domain for the entire inference run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Llama 3.1 70B 450 tok/s</t>
    </r>
    <r>
      <rPr>
        <sz val="11"/>
        <color theme="1"/>
        <rFont val="Noto Sans CJK SC"/>
        <family val="2"/>
      </rPr>
      <t xml:space="preserve">（每用戶）；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部落格（</t>
    </r>
    <r>
      <rPr>
        <sz val="11"/>
        <color theme="1"/>
        <rFont val="Calibri"/>
        <family val="2"/>
        <charset val="1"/>
      </rPr>
      <t xml:space="preserve">2025-09-19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gpt-oss-120B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2,700+ tokens/second</t>
    </r>
    <r>
      <rPr>
        <sz val="11"/>
        <color theme="1"/>
        <rFont val="Noto Sans CJK SC"/>
        <family val="2"/>
      </rPr>
      <t xml:space="preserve">』、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個並行請求時『</t>
    </r>
    <r>
      <rPr>
        <sz val="11"/>
        <color theme="1"/>
        <rFont val="Calibri"/>
        <family val="2"/>
        <charset val="1"/>
      </rPr>
      <t xml:space="preserve">580 tokens/second</t>
    </r>
    <r>
      <rPr>
        <sz val="11"/>
        <color theme="1"/>
        <rFont val="Noto Sans CJK SC"/>
        <family val="2"/>
      </rPr>
      <t xml:space="preserve">』；宣稱『</t>
    </r>
    <r>
      <rPr>
        <sz val="11"/>
        <color theme="1"/>
        <rFont val="Calibri"/>
        <family val="2"/>
        <charset val="1"/>
      </rPr>
      <t xml:space="preserve">1/3 lower power</t>
    </r>
    <r>
      <rPr>
        <sz val="11"/>
        <color theme="1"/>
        <rFont val="Noto Sans CJK SC"/>
        <family val="2"/>
      </rPr>
      <t xml:space="preserve">』『</t>
    </r>
    <r>
      <rPr>
        <sz val="11"/>
        <color theme="1"/>
        <rFont val="Calibri"/>
        <family val="2"/>
        <charset val="1"/>
      </rPr>
      <t xml:space="preserve">32% lower cost</t>
    </r>
    <r>
      <rPr>
        <sz val="11"/>
        <color theme="1"/>
        <rFont val="Noto Sans CJK SC"/>
        <family val="2"/>
      </rPr>
      <t xml:space="preserve">』（對 </t>
    </r>
    <r>
      <rPr>
        <sz val="11"/>
        <color theme="1"/>
        <rFont val="Calibri"/>
        <family val="2"/>
        <charset val="1"/>
      </rPr>
      <t xml:space="preserve">DGX B200</t>
    </r>
    <r>
      <rPr>
        <sz val="11"/>
        <color theme="1"/>
        <rFont val="Noto Sans CJK SC"/>
        <family val="2"/>
      </rPr>
      <t xml:space="preserve">，無瓦數）</t>
    </r>
  </si>
  <si>
    <r>
      <rPr>
        <sz val="11"/>
        <color theme="1"/>
        <rFont val="Calibri"/>
        <family val="2"/>
        <charset val="1"/>
      </rPr>
      <t xml:space="preserve">16-bit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450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2,700</t>
    </r>
  </si>
  <si>
    <r>
      <rPr>
        <sz val="11"/>
        <color theme="1"/>
        <rFont val="Noto Sans CJK SC"/>
        <family val="2"/>
      </rPr>
      <t xml:space="preserve">精度；</t>
    </r>
    <r>
      <rPr>
        <sz val="11"/>
        <color theme="1"/>
        <rFont val="Calibri"/>
        <family val="2"/>
        <charset val="1"/>
      </rPr>
      <t xml:space="preserve">tok/s/user</t>
    </r>
  </si>
  <si>
    <r>
      <rPr>
        <sz val="11"/>
        <color theme="1"/>
        <rFont val="Noto Sans CJK SC"/>
        <family val="2"/>
      </rPr>
      <t xml:space="preserve">每用戶速度（</t>
    </r>
    <r>
      <rPr>
        <sz val="11"/>
        <color theme="1"/>
        <rFont val="Calibri"/>
        <family val="2"/>
        <charset val="1"/>
      </rPr>
      <t xml:space="preserve">Artificial Analysis</t>
    </r>
    <r>
      <rPr>
        <sz val="11"/>
        <color theme="1"/>
        <rFont val="Noto Sans CJK SC"/>
        <family val="2"/>
      </rPr>
      <t xml:space="preserve">），非整機總吞吐</t>
    </r>
  </si>
  <si>
    <r>
      <rPr>
        <sz val="11"/>
        <color theme="1"/>
        <rFont val="Calibri"/>
        <family val="2"/>
        <charset val="1"/>
      </rPr>
      <t xml:space="preserve">https://cerebras.ai/press-release/cerebras-launches-the-worlds-fastest-ai-inference 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https://www.cerebras.ai/blog/cerebras-cs-3-vs-nvidia-dgx-b200-blackwell</t>
    </r>
  </si>
  <si>
    <t xml:space="preserve">1</t>
  </si>
  <si>
    <t xml:space="preserve">支持（速度）</t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</si>
  <si>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WSE-3 </t>
    </r>
    <r>
      <rPr>
        <sz val="11"/>
        <color theme="1"/>
        <rFont val="Noto Sans CJK SC"/>
        <family val="2"/>
      </rPr>
      <t xml:space="preserve">未公布 </t>
    </r>
    <r>
      <rPr>
        <sz val="11"/>
        <color theme="1"/>
        <rFont val="Calibri"/>
        <family val="2"/>
        <charset val="1"/>
      </rPr>
      <t xml:space="preserve">FP8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FP4 </t>
    </r>
    <r>
      <rPr>
        <sz val="11"/>
        <color theme="1"/>
        <rFont val="Noto Sans CJK SC"/>
        <family val="2"/>
      </rPr>
      <t xml:space="preserve">峰值；本表以 </t>
    </r>
    <r>
      <rPr>
        <sz val="11"/>
        <color theme="1"/>
        <rFont val="Calibri"/>
        <family val="2"/>
        <charset val="1"/>
      </rPr>
      <t xml:space="preserve">FP16 </t>
    </r>
    <r>
      <rPr>
        <sz val="11"/>
        <color theme="1"/>
        <rFont val="Noto Sans CJK SC"/>
        <family val="2"/>
      </rPr>
      <t xml:space="preserve">為其最高原生精度。</t>
    </r>
  </si>
  <si>
    <r>
      <rPr>
        <sz val="11"/>
        <color theme="1"/>
        <rFont val="Calibri"/>
        <family val="2"/>
        <charset val="1"/>
      </rPr>
      <t xml:space="preserve">C1</t>
    </r>
    <r>
      <rPr>
        <sz val="11"/>
        <color theme="1"/>
        <rFont val="Noto Sans CJK SC"/>
        <family val="2"/>
      </rPr>
      <t xml:space="preserve">、精度口徑</t>
    </r>
  </si>
  <si>
    <t xml:space="preserve">C09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</si>
  <si>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Ultrafast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提供）：</t>
    </r>
    <r>
      <rPr>
        <sz val="11"/>
        <color theme="1"/>
        <rFont val="Calibri"/>
        <family val="2"/>
        <charset val="1"/>
      </rPr>
      <t xml:space="preserve">GPT-5.6 Sol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up to 14 times the speed of Standard processing</t>
    </r>
    <r>
      <rPr>
        <sz val="11"/>
        <color theme="1"/>
        <rFont val="Noto Sans CJK SC"/>
        <family val="2"/>
      </rPr>
      <t xml:space="preserve">』、『</t>
    </r>
    <r>
      <rPr>
        <sz val="11"/>
        <color theme="1"/>
        <rFont val="Calibri"/>
        <family val="2"/>
        <charset val="1"/>
      </rPr>
      <t xml:space="preserve">up to 750 output tokens per second</t>
    </r>
    <r>
      <rPr>
        <sz val="11"/>
        <color theme="1"/>
        <rFont val="Noto Sans CJK SC"/>
        <family val="2"/>
      </rPr>
      <t xml:space="preserve">』</t>
    </r>
  </si>
  <si>
    <t xml:space="preserve">750</t>
  </si>
  <si>
    <t xml:space="preserve">tok/s/user</t>
  </si>
  <si>
    <t xml:space="preserve">每用戶速度</t>
  </si>
  <si>
    <t xml:space="preserve">https://www.techrepublic.com/article/news-openai-jalapeno-ai-chip-benchmark/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</si>
  <si>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TechRepublic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</si>
  <si>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t xml:space="preserve">支持（定位）</t>
  </si>
  <si>
    <r>
      <rPr>
        <sz val="11"/>
        <color theme="1"/>
        <rFont val="Noto Sans CJK SC"/>
        <family val="2"/>
      </rPr>
      <t xml:space="preserve">記者轉述 </t>
    </r>
    <r>
      <rPr>
        <sz val="11"/>
        <color theme="1"/>
        <rFont val="Calibri"/>
        <family val="2"/>
        <charset val="1"/>
      </rPr>
      <t xml:space="preserve">OpenAI</t>
    </r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</si>
  <si>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三層每用戶速度 </t>
    </r>
    <r>
      <rPr>
        <sz val="11"/>
        <color theme="1"/>
        <rFont val="Calibri"/>
        <family val="2"/>
        <charset val="1"/>
      </rPr>
      <t xml:space="preserve">Luna 120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Sol 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Astra 55 tok/s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Decisions D18</t>
    </r>
    <r>
      <rPr>
        <sz val="11"/>
        <color theme="1"/>
        <rFont val="Noto Sans CJK SC"/>
        <family val="2"/>
      </rPr>
      <t xml:space="preserve">）——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的用途是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沒有的超高速層。</t>
    </r>
  </si>
  <si>
    <t xml:space="preserve">定位</t>
  </si>
  <si>
    <r>
      <rPr>
        <sz val="11"/>
        <color theme="1"/>
        <rFont val="Calibri"/>
        <family val="2"/>
        <charset val="1"/>
      </rPr>
      <t xml:space="preserve">Irrational 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2024-10-01</t>
    </r>
    <r>
      <rPr>
        <sz val="11"/>
        <color theme="1"/>
        <rFont val="Noto Sans CJK SC"/>
        <family val="2"/>
      </rPr>
      <t xml:space="preserve">）：五台 </t>
    </r>
    <r>
      <rPr>
        <sz val="11"/>
        <color theme="1"/>
        <rFont val="Calibri"/>
        <family val="2"/>
        <charset val="1"/>
      </rPr>
      <t xml:space="preserve">CS-3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something like $3-5M in CapEx drawing ~120-140KW</t>
    </r>
    <r>
      <rPr>
        <sz val="11"/>
        <color theme="1"/>
        <rFont val="Noto Sans CJK SC"/>
        <family val="2"/>
      </rPr>
      <t xml:space="preserve">』</t>
    </r>
  </si>
  <si>
    <r>
      <rPr>
        <sz val="11"/>
        <color theme="1"/>
        <rFont val="Calibri"/>
        <family val="2"/>
        <charset val="1"/>
      </rPr>
      <t xml:space="preserve">3–5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120–140</t>
    </r>
  </si>
  <si>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kW</t>
    </r>
  </si>
  <si>
    <r>
      <rPr>
        <sz val="11"/>
        <color theme="1"/>
        <rFont val="Noto Sans CJK SC"/>
        <family val="2"/>
      </rPr>
      <t xml:space="preserve">作者估計（</t>
    </r>
    <r>
      <rPr>
        <sz val="11"/>
        <color theme="1"/>
        <rFont val="Calibri"/>
        <family val="2"/>
        <charset val="1"/>
      </rPr>
      <t xml:space="preserve">hedge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something like</t>
    </r>
    <r>
      <rPr>
        <sz val="11"/>
        <color theme="1"/>
        <rFont val="Noto Sans CJK SC"/>
        <family val="2"/>
      </rPr>
      <t xml:space="preserve">』）</t>
    </r>
  </si>
  <si>
    <t xml:space="preserve">https://irrationalanalysis.substack.com/p/cerebras-s-1-initial-analysis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</si>
  <si>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（個人部落格）</t>
    </r>
  </si>
  <si>
    <r>
      <rPr>
        <sz val="11"/>
        <color theme="1"/>
        <rFont val="Noto Sans CJK SC"/>
        <family val="2"/>
      </rPr>
      <t xml:space="preserve">衝突（價格遠低於 </t>
    </r>
    <r>
      <rPr>
        <sz val="11"/>
        <color theme="1"/>
        <rFont val="Calibri"/>
        <family val="2"/>
        <charset val="1"/>
      </rPr>
      <t xml:space="preserve">C03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C04</t>
    </r>
    <r>
      <rPr>
        <sz val="11"/>
        <color theme="1"/>
        <rFont val="Noto Sans CJK SC"/>
        <family val="2"/>
      </rPr>
      <t xml:space="preserve">）</t>
    </r>
  </si>
  <si>
    <t xml:space="preserve">作者推論</t>
  </si>
  <si>
    <r>
      <rPr>
        <sz val="11"/>
        <color theme="1"/>
        <rFont val="Noto Sans CJK SC"/>
        <family val="2"/>
      </rPr>
      <t xml:space="preserve">全文。語意不清（是否五台合計 </t>
    </r>
    <r>
      <rPr>
        <sz val="11"/>
        <color theme="1"/>
        <rFont val="Calibri"/>
        <family val="2"/>
        <charset val="1"/>
      </rPr>
      <t xml:space="preserve">$3–5M</t>
    </r>
    <r>
      <rPr>
        <sz val="11"/>
        <color theme="1"/>
        <rFont val="Noto Sans CJK SC"/>
        <family val="2"/>
      </rPr>
      <t xml:space="preserve">），品質低，不採用，只列為『價格證據互相衝突』之一。</t>
    </r>
  </si>
  <si>
    <t xml:space="preserve">不採用</t>
  </si>
  <si>
    <t xml:space="preserve">O01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</si>
  <si>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2025-10-13</t>
    </r>
    <r>
      <rPr>
        <sz val="11"/>
        <color theme="1"/>
        <rFont val="Noto Sans CJK SC"/>
        <family val="2"/>
      </rPr>
      <t xml:space="preserve">）：『</t>
    </r>
    <r>
      <rPr>
        <sz val="11"/>
        <color theme="1"/>
        <rFont val="Calibri"/>
        <family val="2"/>
        <charset val="1"/>
      </rPr>
      <t xml:space="preserve">deploy 10 gigawatts of OpenAI-designed AI accelerators</t>
    </r>
    <r>
      <rPr>
        <sz val="11"/>
        <color theme="1"/>
        <rFont val="Noto Sans CJK SC"/>
        <family val="2"/>
      </rPr>
      <t xml:space="preserve">』；機架『</t>
    </r>
    <r>
      <rPr>
        <sz val="11"/>
        <color theme="1"/>
        <rFont val="Calibri"/>
        <family val="2"/>
        <charset val="1"/>
      </rPr>
      <t xml:space="preserve">targeted to start in the second half of 2026</t>
    </r>
    <r>
      <rPr>
        <sz val="11"/>
        <color theme="1"/>
        <rFont val="Noto Sans CJK SC"/>
        <family val="2"/>
      </rPr>
      <t xml:space="preserve">』『</t>
    </r>
    <r>
      <rPr>
        <sz val="11"/>
        <color theme="1"/>
        <rFont val="Calibri"/>
        <family val="2"/>
        <charset val="1"/>
      </rPr>
      <t xml:space="preserve">complete by end of 2029</t>
    </r>
    <r>
      <rPr>
        <sz val="11"/>
        <color theme="1"/>
        <rFont val="Noto Sans CJK SC"/>
        <family val="2"/>
      </rPr>
      <t xml:space="preserve">』；『</t>
    </r>
    <r>
      <rPr>
        <sz val="11"/>
        <color theme="1"/>
        <rFont val="Calibri"/>
        <family val="2"/>
        <charset val="1"/>
      </rPr>
      <t xml:space="preserve">racks, scaled entirely with Ethernet</t>
    </r>
    <r>
      <rPr>
        <sz val="11"/>
        <color theme="1"/>
        <rFont val="Noto Sans CJK SC"/>
        <family val="2"/>
      </rPr>
      <t xml:space="preserve">』；『</t>
    </r>
    <r>
      <rPr>
        <sz val="11"/>
        <color theme="1"/>
        <rFont val="Calibri"/>
        <family val="2"/>
        <charset val="1"/>
      </rPr>
      <t xml:space="preserve">signed a term sheet</t>
    </r>
    <r>
      <rPr>
        <sz val="11"/>
        <color theme="1"/>
        <rFont val="Noto Sans CJK SC"/>
        <family val="2"/>
      </rPr>
      <t xml:space="preserve">』；無金額</t>
    </r>
  </si>
  <si>
    <t xml:space="preserve">10</t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</si>
  <si>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（口徑未明）</t>
    </r>
  </si>
  <si>
    <t xml:space="preserve">部署目標；無財務條件</t>
  </si>
  <si>
    <t xml:space="preserve">https://investors.broadcom.com/news-releases/news-release-details/openai-and-broadcom-announce-strategic-collaboration-deploy-10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</si>
  <si>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</t>
    </r>
  </si>
  <si>
    <t xml:space="preserve">全文。</t>
  </si>
  <si>
    <t xml:space="preserve">背景</t>
  </si>
  <si>
    <t xml:space="preserve">O02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</si>
  <si>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Jalapeño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designed for initial deployment by the end of 2026</t>
    </r>
    <r>
      <rPr>
        <sz val="11"/>
        <color theme="1"/>
        <rFont val="Noto Sans CJK SC"/>
        <family val="2"/>
      </rPr>
      <t xml:space="preserve">』；『</t>
    </r>
    <r>
      <rPr>
        <sz val="11"/>
        <color theme="1"/>
        <rFont val="Calibri"/>
        <family val="2"/>
        <charset val="1"/>
      </rPr>
      <t xml:space="preserve">To be deployed at gigawatt scale … over multiple generations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Celestica </t>
    </r>
    <r>
      <rPr>
        <sz val="11"/>
        <color theme="1"/>
        <rFont val="Noto Sans CJK SC"/>
        <family val="2"/>
      </rPr>
      <t xml:space="preserve">負責機架與系統整合；設計到 </t>
    </r>
    <r>
      <rPr>
        <sz val="11"/>
        <color theme="1"/>
        <rFont val="Calibri"/>
        <family val="2"/>
        <charset val="1"/>
      </rPr>
      <t xml:space="preserve">tape-out 9 </t>
    </r>
    <r>
      <rPr>
        <sz val="11"/>
        <color theme="1"/>
        <rFont val="Noto Sans CJK SC"/>
        <family val="2"/>
      </rPr>
      <t xml:space="preserve">個月；本頁無規格</t>
    </r>
  </si>
  <si>
    <t xml:space="preserve">https://openai.com/index/openai-broadcom-jalapeno-inference-chip/</t>
  </si>
  <si>
    <r>
      <rPr>
        <sz val="11"/>
        <color theme="1"/>
        <rFont val="Calibri"/>
        <family val="2"/>
        <charset val="1"/>
      </rPr>
      <t xml:space="preserve">Jalapeño </t>
    </r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OpenAI Hot Chips 2026 </t>
    </r>
    <r>
      <rPr>
        <sz val="11"/>
        <color theme="1"/>
        <rFont val="Noto Sans CJK SC"/>
        <family val="2"/>
      </rPr>
      <t xml:space="preserve">投影片，經 </t>
    </r>
    <r>
      <rPr>
        <sz val="11"/>
        <color theme="1"/>
        <rFont val="Calibri"/>
        <family val="2"/>
        <charset val="1"/>
      </rPr>
      <t xml:space="preserve">ServeTheHome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Flopper </t>
    </r>
    <r>
      <rPr>
        <sz val="11"/>
        <color theme="1"/>
        <rFont val="Noto Sans CJK SC"/>
        <family val="2"/>
      </rPr>
      <t xml:space="preserve">轉述，標『</t>
    </r>
    <r>
      <rPr>
        <sz val="11"/>
        <color theme="1"/>
        <rFont val="Calibri"/>
        <family val="2"/>
        <charset val="1"/>
      </rPr>
      <t xml:space="preserve">Vendor claimed</t>
    </r>
    <r>
      <rPr>
        <sz val="11"/>
        <color theme="1"/>
        <rFont val="Noto Sans CJK SC"/>
        <family val="2"/>
      </rPr>
      <t xml:space="preserve">』）：</t>
    </r>
    <r>
      <rPr>
        <sz val="11"/>
        <color theme="1"/>
        <rFont val="Calibri"/>
        <family val="2"/>
        <charset val="1"/>
      </rPr>
      <t xml:space="preserve">MXFP4 13.4 PFLOPS</t>
    </r>
    <r>
      <rPr>
        <sz val="11"/>
        <color theme="1"/>
        <rFont val="Noto Sans CJK SC"/>
        <family val="2"/>
      </rPr>
      <t xml:space="preserve">（未標 </t>
    </r>
    <r>
      <rPr>
        <sz val="11"/>
        <color theme="1"/>
        <rFont val="Calibri"/>
        <family val="2"/>
        <charset val="1"/>
      </rPr>
      <t xml:space="preserve">dense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sparse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FP8 dense 3.4 PFLOPS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HBM4 216 GB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堆疊、</t>
    </r>
    <r>
      <rPr>
        <sz val="11"/>
        <color theme="1"/>
        <rFont val="Calibri"/>
        <family val="2"/>
        <charset val="1"/>
      </rPr>
      <t xml:space="preserve">15.4 TB/s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TDP 700 W</t>
    </r>
    <r>
      <rPr>
        <sz val="11"/>
        <color theme="1"/>
        <rFont val="Noto Sans CJK SC"/>
        <family val="2"/>
      </rPr>
      <t xml:space="preserve">（封裝）；實測持續功率 ≤</t>
    </r>
    <r>
      <rPr>
        <sz val="11"/>
        <color theme="1"/>
        <rFont val="Calibri"/>
        <family val="2"/>
        <charset val="1"/>
      </rPr>
      <t xml:space="preserve">550 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128 </t>
    </r>
    <r>
      <rPr>
        <sz val="11"/>
        <color theme="1"/>
        <rFont val="Noto Sans CJK SC"/>
        <family val="2"/>
      </rPr>
      <t xml:space="preserve">顆共享 </t>
    </r>
    <r>
      <rPr>
        <sz val="11"/>
        <color theme="1"/>
        <rFont val="Calibri"/>
        <family val="2"/>
        <charset val="1"/>
      </rPr>
      <t xml:space="preserve">600 GB/s </t>
    </r>
    <r>
      <rPr>
        <sz val="11"/>
        <color theme="1"/>
        <rFont val="Noto Sans CJK SC"/>
        <family val="2"/>
      </rPr>
      <t xml:space="preserve">局部域、最多 </t>
    </r>
    <r>
      <rPr>
        <sz val="11"/>
        <color theme="1"/>
        <rFont val="Calibri"/>
        <family val="2"/>
        <charset val="1"/>
      </rPr>
      <t xml:space="preserve">2,048 </t>
    </r>
    <r>
      <rPr>
        <sz val="11"/>
        <color theme="1"/>
        <rFont val="Noto Sans CJK SC"/>
        <family val="2"/>
      </rPr>
      <t xml:space="preserve">顆一系統；機架配置與機架功率未公布</t>
    </r>
  </si>
  <si>
    <r>
      <rPr>
        <sz val="11"/>
        <color theme="1"/>
        <rFont val="Calibri"/>
        <family val="2"/>
        <charset val="1"/>
      </rPr>
      <t xml:space="preserve">13.4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15.4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700</t>
    </r>
  </si>
  <si>
    <r>
      <rPr>
        <sz val="11"/>
        <color theme="1"/>
        <rFont val="Calibri"/>
        <family val="2"/>
        <charset val="1"/>
      </rPr>
      <t xml:space="preserve">PF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TB/s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</t>
    </r>
  </si>
  <si>
    <r>
      <rPr>
        <sz val="11"/>
        <color theme="1"/>
        <rFont val="Noto Sans CJK SC"/>
        <family val="2"/>
      </rPr>
      <t xml:space="preserve">每顆；</t>
    </r>
    <r>
      <rPr>
        <sz val="11"/>
        <color theme="1"/>
        <rFont val="Calibri"/>
        <family val="2"/>
        <charset val="1"/>
      </rPr>
      <t xml:space="preserve">FP4 </t>
    </r>
    <r>
      <rPr>
        <sz val="11"/>
        <color theme="1"/>
        <rFont val="Noto Sans CJK SC"/>
        <family val="2"/>
      </rPr>
      <t xml:space="preserve">是否 </t>
    </r>
    <r>
      <rPr>
        <sz val="11"/>
        <color theme="1"/>
        <rFont val="Calibri"/>
        <family val="2"/>
        <charset val="1"/>
      </rPr>
      <t xml:space="preserve">dense </t>
    </r>
    <r>
      <rPr>
        <sz val="11"/>
        <color theme="1"/>
        <rFont val="Noto Sans CJK SC"/>
        <family val="2"/>
      </rPr>
      <t xml:space="preserve">未明（</t>
    </r>
    <r>
      <rPr>
        <sz val="11"/>
        <color theme="1"/>
        <rFont val="Calibri"/>
        <family val="2"/>
        <charset val="1"/>
      </rPr>
      <t xml:space="preserve">FP4÷FP8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3.94</t>
    </r>
    <r>
      <rPr>
        <sz val="11"/>
        <color theme="1"/>
        <rFont val="Noto Sans CJK SC"/>
        <family val="2"/>
      </rPr>
      <t xml:space="preserve">，非一般的 </t>
    </r>
    <r>
      <rPr>
        <sz val="11"/>
        <color theme="1"/>
        <rFont val="Calibri"/>
        <family val="2"/>
        <charset val="1"/>
      </rPr>
      <t xml:space="preserve">2:1</t>
    </r>
    <r>
      <rPr>
        <sz val="11"/>
        <color theme="1"/>
        <rFont val="Noto Sans CJK SC"/>
        <family val="2"/>
      </rPr>
      <t xml:space="preserve">）</t>
    </r>
  </si>
  <si>
    <t xml:space="preserve">https://flopper.io/gpu/openai-jalapeno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</si>
  <si>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投影片，經轉述）</t>
    </r>
  </si>
  <si>
    <r>
      <rPr>
        <sz val="11"/>
        <color theme="1"/>
        <rFont val="Noto Sans CJK SC"/>
        <family val="2"/>
      </rPr>
      <t xml:space="preserve">全文。</t>
    </r>
    <r>
      <rPr>
        <sz val="11"/>
        <color theme="1"/>
        <rFont val="Calibri"/>
        <family val="2"/>
        <charset val="1"/>
      </rPr>
      <t xml:space="preserve">AI Weekly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B0 stepping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N3P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13.4 PF MXFP4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700 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900–1,150 W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TechRadar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A0 </t>
    </r>
    <r>
      <rPr>
        <sz val="11"/>
        <color theme="1"/>
        <rFont val="Noto Sans CJK SC"/>
        <family val="2"/>
      </rPr>
      <t xml:space="preserve">矽、</t>
    </r>
    <r>
      <rPr>
        <sz val="11"/>
        <color theme="1"/>
        <rFont val="Calibri"/>
        <family val="2"/>
        <charset val="1"/>
      </rPr>
      <t xml:space="preserve">B0 </t>
    </r>
    <r>
      <rPr>
        <sz val="11"/>
        <color theme="1"/>
        <rFont val="Noto Sans CJK SC"/>
        <family val="2"/>
      </rPr>
      <t xml:space="preserve">每瓦效能再 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量產爬坡。</t>
    </r>
  </si>
  <si>
    <t xml:space="preserve">D1–D3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</si>
  <si>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Jalapeño first results</t>
    </r>
    <r>
      <rPr>
        <sz val="11"/>
        <color theme="1"/>
        <rFont val="Noto Sans CJK SC"/>
        <family val="2"/>
      </rPr>
      <t xml:space="preserve">』：</t>
    </r>
    <r>
      <rPr>
        <sz val="11"/>
        <color theme="1"/>
        <rFont val="Calibri"/>
        <family val="2"/>
        <charset val="1"/>
      </rPr>
      <t xml:space="preserve">InferenceX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公開基準）</t>
    </r>
    <r>
      <rPr>
        <sz val="11"/>
        <color theme="1"/>
        <rFont val="Calibri"/>
        <family val="2"/>
        <charset val="1"/>
      </rPr>
      <t xml:space="preserve">8k/1k</t>
    </r>
    <r>
      <rPr>
        <sz val="11"/>
        <color theme="1"/>
        <rFont val="Noto Sans CJK SC"/>
        <family val="2"/>
      </rPr>
      <t xml:space="preserve">；以各晶片『</t>
    </r>
    <r>
      <rPr>
        <sz val="11"/>
        <color theme="1"/>
        <rFont val="Calibri"/>
        <family val="2"/>
        <charset val="1"/>
      </rPr>
      <t xml:space="preserve">package TDP</t>
    </r>
    <r>
      <rPr>
        <sz val="11"/>
        <color theme="1"/>
        <rFont val="Noto Sans CJK SC"/>
        <family val="2"/>
      </rPr>
      <t xml:space="preserve">』正規化（</t>
    </r>
    <r>
      <rPr>
        <sz val="11"/>
        <color theme="1"/>
        <rFont val="Calibri"/>
        <family val="2"/>
        <charset val="1"/>
      </rPr>
      <t xml:space="preserve">Jalapeño 700 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1,200 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1,400 W</t>
    </r>
    <r>
      <rPr>
        <sz val="11"/>
        <color theme="1"/>
        <rFont val="Noto Sans CJK SC"/>
        <family val="2"/>
      </rPr>
      <t xml:space="preserve">）；峰值 </t>
    </r>
    <r>
      <rPr>
        <sz val="11"/>
        <color theme="1"/>
        <rFont val="Calibri"/>
        <family val="2"/>
        <charset val="1"/>
      </rPr>
      <t xml:space="preserve">mixed TPS/kW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GPT-OSS 120B 85,448 vs GB200 44,960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1.9×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DeepSeek R1 19,641 vs GB300 11,781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1.7×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Kimi K2.5 18,195 vs GB300 11,862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1.5×</t>
    </r>
    <r>
      <rPr>
        <sz val="11"/>
        <color theme="1"/>
        <rFont val="Noto Sans CJK SC"/>
        <family val="2"/>
      </rPr>
      <t xml:space="preserve">）；於先前最佳 </t>
    </r>
    <r>
      <rPr>
        <sz val="11"/>
        <color theme="1"/>
        <rFont val="Calibri"/>
        <family val="2"/>
        <charset val="1"/>
      </rPr>
      <t xml:space="preserve">TBT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53.7×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104.3×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56.1×</t>
    </r>
    <r>
      <rPr>
        <sz val="11"/>
        <color theme="1"/>
        <rFont val="Noto Sans CJK SC"/>
        <family val="2"/>
      </rPr>
      <t xml:space="preserve">；最小 </t>
    </r>
    <r>
      <rPr>
        <sz val="11"/>
        <color theme="1"/>
        <rFont val="Calibri"/>
        <family val="2"/>
        <charset val="1"/>
      </rPr>
      <t xml:space="preserve">TBT </t>
    </r>
    <r>
      <rPr>
        <sz val="11"/>
        <color theme="1"/>
        <rFont val="Noto Sans CJK SC"/>
        <family val="2"/>
      </rPr>
      <t xml:space="preserve">下每用戶 </t>
    </r>
    <r>
      <rPr>
        <sz val="11"/>
        <color theme="1"/>
        <rFont val="Calibri"/>
        <family val="2"/>
        <charset val="1"/>
      </rPr>
      <t xml:space="preserve">1,459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694 tok/s</t>
    </r>
  </si>
  <si>
    <r>
      <rPr>
        <sz val="11"/>
        <color theme="1"/>
        <rFont val="Calibri"/>
        <family val="2"/>
        <charset val="1"/>
      </rPr>
      <t xml:space="preserve">19,641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11,781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18,195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11,862</t>
    </r>
  </si>
  <si>
    <r>
      <rPr>
        <sz val="11"/>
        <color theme="1"/>
        <rFont val="Calibri"/>
        <family val="2"/>
        <charset val="1"/>
      </rPr>
      <t xml:space="preserve">tok/s/kW</t>
    </r>
    <r>
      <rPr>
        <sz val="11"/>
        <color theme="1"/>
        <rFont val="Noto Sans CJK SC"/>
        <family val="2"/>
      </rPr>
      <t xml:space="preserve">（封裝 </t>
    </r>
    <r>
      <rPr>
        <sz val="11"/>
        <color theme="1"/>
        <rFont val="Calibri"/>
        <family val="2"/>
        <charset val="1"/>
      </rPr>
      <t xml:space="preserve">TDP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</si>
  <si>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峰值吞吐點；封裝 </t>
    </r>
    <r>
      <rPr>
        <sz val="11"/>
        <color theme="1"/>
        <rFont val="Calibri"/>
        <family val="2"/>
        <charset val="1"/>
      </rPr>
      <t xml:space="preserve">TDP </t>
    </r>
    <r>
      <rPr>
        <sz val="11"/>
        <color theme="1"/>
        <rFont val="Noto Sans CJK SC"/>
        <family val="2"/>
      </rPr>
      <t xml:space="preserve">正規化（非機架功率）；單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預測（無 </t>
    </r>
    <r>
      <rPr>
        <sz val="11"/>
        <color theme="1"/>
        <rFont val="Calibri"/>
        <family val="2"/>
        <charset val="1"/>
      </rPr>
      <t xml:space="preserve">MTP</t>
    </r>
    <r>
      <rPr>
        <sz val="11"/>
        <color theme="1"/>
        <rFont val="Noto Sans CJK SC"/>
        <family val="2"/>
      </rPr>
      <t xml:space="preserve">、無 </t>
    </r>
    <r>
      <rPr>
        <sz val="11"/>
        <color theme="1"/>
        <rFont val="Calibri"/>
        <family val="2"/>
        <charset val="1"/>
      </rPr>
      <t xml:space="preserve">PD </t>
    </r>
    <r>
      <rPr>
        <sz val="11"/>
        <color theme="1"/>
        <rFont val="Noto Sans CJK SC"/>
        <family val="2"/>
      </rPr>
      <t xml:space="preserve">分離）</t>
    </r>
  </si>
  <si>
    <t xml:space="preserve">https://openai.com/index/jalapeno-first-results/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</si>
  <si>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自行量測，工具為第三方公開基準）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</si>
  <si>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；非獨立測試，</t>
    </r>
    <r>
      <rPr>
        <sz val="11"/>
        <color theme="1"/>
        <rFont val="Calibri"/>
        <family val="2"/>
        <charset val="1"/>
      </rPr>
      <t xml:space="preserve">TechRepublic </t>
    </r>
    <r>
      <rPr>
        <sz val="11"/>
        <color theme="1"/>
        <rFont val="Noto Sans CJK SC"/>
        <family val="2"/>
      </rPr>
      <t xml:space="preserve">註明）</t>
    </r>
  </si>
  <si>
    <t xml:space="preserve">全文。未給總吞吐、機架功率、成本數字。</t>
  </si>
  <si>
    <r>
      <rPr>
        <sz val="11"/>
        <color theme="1"/>
        <rFont val="Calibri"/>
        <family val="2"/>
        <charset val="1"/>
      </rPr>
      <t xml:space="preserve">TechRadar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）記者分析：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每顆絕對吞吐仍高 </t>
    </r>
    <r>
      <rPr>
        <sz val="11"/>
        <color theme="1"/>
        <rFont val="Calibri"/>
        <family val="2"/>
        <charset val="1"/>
      </rPr>
      <t xml:space="preserve">20–25%</t>
    </r>
    <r>
      <rPr>
        <sz val="11"/>
        <color theme="1"/>
        <rFont val="Noto Sans CJK SC"/>
        <family val="2"/>
      </rPr>
      <t xml:space="preserve">；以每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（非每顆）比較使 </t>
    </r>
    <r>
      <rPr>
        <sz val="11"/>
        <color theme="1"/>
        <rFont val="Calibri"/>
        <family val="2"/>
        <charset val="1"/>
      </rPr>
      <t xml:space="preserve">Jalapeño </t>
    </r>
    <r>
      <rPr>
        <sz val="11"/>
        <color theme="1"/>
        <rFont val="Noto Sans CJK SC"/>
        <family val="2"/>
      </rPr>
      <t xml:space="preserve">顯得更有競爭力；對使用 </t>
    </r>
    <r>
      <rPr>
        <sz val="11"/>
        <color theme="1"/>
        <rFont val="Calibri"/>
        <family val="2"/>
        <charset val="1"/>
      </rPr>
      <t xml:space="preserve">MTP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，峰值效率領先降到約 </t>
    </r>
    <r>
      <rPr>
        <sz val="11"/>
        <color theme="1"/>
        <rFont val="Calibri"/>
        <family val="2"/>
        <charset val="1"/>
      </rPr>
      <t xml:space="preserve">1.5×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未發表對 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的比較</t>
    </r>
  </si>
  <si>
    <t xml:space="preserve">1.5</t>
  </si>
  <si>
    <r>
      <rPr>
        <sz val="11"/>
        <color theme="1"/>
        <rFont val="Noto Sans CJK SC"/>
        <family val="2"/>
      </rPr>
      <t xml:space="preserve">倍（每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，對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MTP</t>
    </r>
    <r>
      <rPr>
        <sz val="11"/>
        <color theme="1"/>
        <rFont val="Noto Sans CJK SC"/>
        <family val="2"/>
      </rPr>
      <t xml:space="preserve">）</t>
    </r>
  </si>
  <si>
    <t xml:space="preserve">https://techradar.com/pro/openai-lifts-the-lid-on-its-in-house-jalapeno-chip-with-benchmarks-claiming-it-beats-nvidias-gb300</t>
  </si>
  <si>
    <t xml:space="preserve">衝突（下修）</t>
  </si>
  <si>
    <r>
      <rPr>
        <sz val="11"/>
        <color theme="1"/>
        <rFont val="Noto Sans CJK SC"/>
        <family val="2"/>
      </rPr>
      <t xml:space="preserve">全文。每顆 </t>
    </r>
    <r>
      <rPr>
        <sz val="11"/>
        <color theme="1"/>
        <rFont val="Calibri"/>
        <family val="2"/>
        <charset val="1"/>
      </rPr>
      <t xml:space="preserve">0.80–0.83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O04 </t>
    </r>
    <r>
      <rPr>
        <sz val="11"/>
        <color theme="1"/>
        <rFont val="Noto Sans CJK SC"/>
        <family val="2"/>
      </rPr>
      <t xml:space="preserve">換算一致（</t>
    </r>
    <r>
      <rPr>
        <sz val="11"/>
        <color theme="1"/>
        <rFont val="Calibri"/>
        <family val="2"/>
        <charset val="1"/>
      </rPr>
      <t xml:space="preserve">1.667×0.7÷1.4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</si>
  <si>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D12 </t>
    </r>
    <r>
      <rPr>
        <sz val="11"/>
        <color theme="1"/>
        <rFont val="Noto Sans CJK SC"/>
        <family val="2"/>
      </rPr>
      <t xml:space="preserve">低端</t>
    </r>
  </si>
  <si>
    <r>
      <rPr>
        <sz val="11"/>
        <color theme="1"/>
        <rFont val="Calibri"/>
        <family val="2"/>
        <charset val="1"/>
      </rPr>
      <t xml:space="preserve">Broadcom FY26 Q3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2026-09-02</t>
    </r>
    <r>
      <rPr>
        <sz val="11"/>
        <color theme="1"/>
        <rFont val="Noto Sans CJK SC"/>
        <family val="2"/>
      </rPr>
      <t xml:space="preserve">，自動逐字稿）：『</t>
    </r>
    <r>
      <rPr>
        <sz val="11"/>
        <color theme="1"/>
        <rFont val="Calibri"/>
        <family val="2"/>
        <charset val="1"/>
      </rPr>
      <t xml:space="preserve">shipped Jalapeno</t>
    </r>
    <r>
      <rPr>
        <sz val="11"/>
        <color theme="1"/>
        <rFont val="Noto Sans CJK SC"/>
        <family val="2"/>
      </rPr>
      <t xml:space="preserve">』；『</t>
    </r>
    <r>
      <rPr>
        <sz val="11"/>
        <color theme="1"/>
        <rFont val="Calibri"/>
        <family val="2"/>
        <charset val="1"/>
      </rPr>
      <t xml:space="preserve">on track for the planned deployment of 1.3 gigawatts in 2027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line of sight for OpenAI to deploy over 5 gigawatts</t>
    </r>
    <r>
      <rPr>
        <sz val="11"/>
        <color theme="1"/>
        <rFont val="Noto Sans CJK SC"/>
        <family val="2"/>
      </rPr>
      <t xml:space="preserve">』；</t>
    </r>
    <r>
      <rPr>
        <sz val="11"/>
        <color theme="1"/>
        <rFont val="Calibri"/>
        <family val="2"/>
        <charset val="1"/>
      </rPr>
      <t xml:space="preserve">Jalapeño</t>
    </r>
    <r>
      <rPr>
        <sz val="11"/>
        <color theme="1"/>
        <rFont val="Noto Sans CJK SC"/>
        <family val="2"/>
      </rPr>
      <t xml:space="preserve">『</t>
    </r>
    <r>
      <rPr>
        <sz val="11"/>
        <color theme="1"/>
        <rFont val="Calibri"/>
        <family val="2"/>
        <charset val="1"/>
      </rPr>
      <t xml:space="preserve">outperforms the Grace Blackwell Ultra in performance per watt</t>
    </r>
    <r>
      <rPr>
        <sz val="11"/>
        <color theme="1"/>
        <rFont val="Noto Sans CJK SC"/>
        <family val="2"/>
      </rPr>
      <t xml:space="preserve">』『</t>
    </r>
    <r>
      <rPr>
        <sz val="11"/>
        <color theme="1"/>
        <rFont val="Calibri"/>
        <family val="2"/>
        <charset val="1"/>
      </rPr>
      <t xml:space="preserve">comparable to [Vera Rubin] GPUs in running OpenAI workloads</t>
    </r>
    <r>
      <rPr>
        <sz val="11"/>
        <color theme="1"/>
        <rFont val="Noto Sans CJK SC"/>
        <family val="2"/>
      </rPr>
      <t xml:space="preserve">』『</t>
    </r>
    <r>
      <rPr>
        <sz val="11"/>
        <color theme="1"/>
        <rFont val="Calibri"/>
        <family val="2"/>
        <charset val="1"/>
      </rPr>
      <t xml:space="preserve">half the cost of a GPU</t>
    </r>
    <r>
      <rPr>
        <sz val="11"/>
        <color theme="1"/>
        <rFont val="Noto Sans CJK SC"/>
        <family val="2"/>
      </rPr>
      <t xml:space="preserve">』；每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內容『</t>
    </r>
    <r>
      <rPr>
        <sz val="11"/>
        <color theme="1"/>
        <rFont val="Calibri"/>
        <family val="2"/>
        <charset val="1"/>
      </rPr>
      <t xml:space="preserve">$20 to $30 billion per gigawatt</t>
    </r>
    <r>
      <rPr>
        <sz val="11"/>
        <color theme="1"/>
        <rFont val="Noto Sans CJK SC"/>
        <family val="2"/>
      </rPr>
      <t xml:space="preserve">』（全部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客戶）；</t>
    </r>
    <r>
      <rPr>
        <sz val="11"/>
        <color theme="1"/>
        <rFont val="Calibri"/>
        <family val="2"/>
        <charset val="1"/>
      </rPr>
      <t xml:space="preserve">Rasgon </t>
    </r>
    <r>
      <rPr>
        <sz val="11"/>
        <color theme="1"/>
        <rFont val="Noto Sans CJK SC"/>
        <family val="2"/>
      </rPr>
      <t xml:space="preserve">由營收指引算約 </t>
    </r>
    <r>
      <rPr>
        <sz val="11"/>
        <color theme="1"/>
        <rFont val="Calibri"/>
        <family val="2"/>
        <charset val="1"/>
      </rPr>
      <t xml:space="preserve">$11–12B/GW</t>
    </r>
    <r>
      <rPr>
        <sz val="11"/>
        <color theme="1"/>
        <rFont val="Noto Sans CJK SC"/>
        <family val="2"/>
      </rPr>
      <t xml:space="preserve">（管理層未確認）</t>
    </r>
  </si>
  <si>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20–30</t>
    </r>
  </si>
  <si>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</si>
  <si>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內容（營收）每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口徑未明；是否含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未明</t>
    </r>
  </si>
  <si>
    <t xml:space="preserve">https://www.webull.com/news/15511095937917952</t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</si>
  <si>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（法說，自動逐字稿轉載）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</si>
  <si>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，轉述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</si>
  <si>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全文。同場 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Anthropic 1 GW </t>
    </r>
    <r>
      <rPr>
        <sz val="11"/>
        <color theme="1"/>
        <rFont val="Noto Sans CJK SC"/>
        <family val="2"/>
      </rPr>
      <t xml:space="preserve">首批融資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（融資額，非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營收）。</t>
    </r>
  </si>
  <si>
    <t xml:space="preserve">O07</t>
  </si>
  <si>
    <r>
      <rPr>
        <sz val="11"/>
        <color theme="1"/>
        <rFont val="Calibri"/>
        <family val="2"/>
        <charset val="1"/>
      </rPr>
      <t xml:space="preserve">Tech Insider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10-05 </t>
    </r>
    <r>
      <rPr>
        <sz val="11"/>
        <color theme="1"/>
        <rFont val="Noto Sans CJK SC"/>
        <family val="2"/>
      </rPr>
      <t xml:space="preserve">更新）：</t>
    </r>
    <r>
      <rPr>
        <sz val="11"/>
        <color theme="1"/>
        <rFont val="Calibri"/>
        <family val="2"/>
        <charset val="1"/>
      </rPr>
      <t xml:space="preserve">Gen 1 TSMC N3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Titan 2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TSMC A16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Samsung </t>
    </r>
    <r>
      <rPr>
        <sz val="11"/>
        <color theme="1"/>
        <rFont val="Noto Sans CJK SC"/>
        <family val="2"/>
      </rPr>
      <t xml:space="preserve">最多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Gb HBM4</t>
    </r>
    <r>
      <rPr>
        <sz val="11"/>
        <color theme="1"/>
        <rFont val="Noto Sans CJK SC"/>
        <family val="2"/>
      </rPr>
      <t xml:space="preserve">；『</t>
    </r>
    <r>
      <rPr>
        <sz val="11"/>
        <color theme="1"/>
        <rFont val="Calibri"/>
        <family val="2"/>
        <charset val="1"/>
      </rPr>
      <t xml:space="preserve">$10 billion</t>
    </r>
    <r>
      <rPr>
        <sz val="11"/>
        <color theme="1"/>
        <rFont val="Noto Sans CJK SC"/>
        <family val="2"/>
      </rPr>
      <t xml:space="preserve">』（報導值，未歸屬）；整個專案 </t>
    </r>
    <r>
      <rPr>
        <sz val="11"/>
        <color theme="1"/>
        <rFont val="Calibri"/>
        <family val="2"/>
        <charset val="1"/>
      </rPr>
      <t xml:space="preserve">$15–20B</t>
    </r>
    <r>
      <rPr>
        <sz val="11"/>
        <color theme="1"/>
        <rFont val="Noto Sans CJK SC"/>
        <family val="2"/>
      </rPr>
      <t xml:space="preserve">（業界估計，未歸屬）</t>
    </r>
  </si>
  <si>
    <r>
      <rPr>
        <sz val="11"/>
        <color theme="1"/>
        <rFont val="Calibri"/>
        <family val="2"/>
        <charset val="1"/>
      </rPr>
      <t xml:space="preserve">N3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15–20</t>
    </r>
  </si>
  <si>
    <r>
      <rPr>
        <sz val="11"/>
        <color theme="1"/>
        <rFont val="Noto Sans CJK SC"/>
        <family val="2"/>
      </rPr>
      <t xml:space="preserve">製程；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$B</t>
    </r>
  </si>
  <si>
    <t xml:space="preserve">多數未歸屬來源</t>
  </si>
  <si>
    <t xml:space="preserve">https://tech-insider.org/openai-titan-chip-samsung-hbm4-custom-ai-chip-2026/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</si>
  <si>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（品質低）</t>
    </r>
  </si>
  <si>
    <t xml:space="preserve">媒體（未歸屬）</t>
  </si>
  <si>
    <r>
      <rPr>
        <sz val="11"/>
        <color theme="1"/>
        <rFont val="Noto Sans CJK SC"/>
        <family val="2"/>
      </rPr>
      <t xml:space="preserve">全文。文章日期與內容時序不一致（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月文章描述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月事件），不採用數字。</t>
    </r>
    <r>
      <rPr>
        <sz val="11"/>
        <color theme="1"/>
        <rFont val="Calibri"/>
        <family val="2"/>
        <charset val="1"/>
      </rPr>
      <t xml:space="preserve">Samsung 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直接採購的報導，支持『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內容可能不含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』的方向。</t>
    </r>
  </si>
  <si>
    <r>
      <rPr>
        <sz val="11"/>
        <color theme="1"/>
        <rFont val="Calibri"/>
        <family val="2"/>
        <charset val="1"/>
      </rPr>
      <t xml:space="preserve">D21</t>
    </r>
    <r>
      <rPr>
        <sz val="11"/>
        <color theme="1"/>
        <rFont val="Noto Sans CJK SC"/>
        <family val="2"/>
      </rPr>
      <t xml:space="preserve">（方向）</t>
    </r>
  </si>
  <si>
    <t xml:space="preserve">O08</t>
  </si>
  <si>
    <r>
      <rPr>
        <sz val="11"/>
        <color theme="1"/>
        <rFont val="Noto Sans CJK SC"/>
        <family val="2"/>
      </rPr>
      <t xml:space="preserve">已搜尋，未找到：</t>
    </r>
    <r>
      <rPr>
        <sz val="11"/>
        <color theme="1"/>
        <rFont val="Calibri"/>
        <family val="2"/>
        <charset val="1"/>
      </rPr>
      <t xml:space="preserve">Jalapeño </t>
    </r>
    <r>
      <rPr>
        <sz val="11"/>
        <color theme="1"/>
        <rFont val="Noto Sans CJK SC"/>
        <family val="2"/>
      </rPr>
      <t xml:space="preserve">機架配置與機架功率；</t>
    </r>
    <r>
      <rPr>
        <sz val="11"/>
        <color theme="1"/>
        <rFont val="Calibri"/>
        <family val="2"/>
        <charset val="1"/>
      </rPr>
      <t xml:space="preserve">13.4 PF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dense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sparse </t>
    </r>
    <r>
      <rPr>
        <sz val="11"/>
        <color theme="1"/>
        <rFont val="Noto Sans CJK SC"/>
        <family val="2"/>
      </rPr>
      <t xml:space="preserve">的原文；每顆或每架價格；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的合約金額；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對照；第三方（非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）實測；</t>
    </r>
    <r>
      <rPr>
        <sz val="11"/>
        <color theme="1"/>
        <rFont val="Calibri"/>
        <family val="2"/>
        <charset val="1"/>
      </rPr>
      <t xml:space="preserve">ServeTheHome </t>
    </r>
    <r>
      <rPr>
        <sz val="11"/>
        <color theme="1"/>
        <rFont val="Noto Sans CJK SC"/>
        <family val="2"/>
      </rPr>
      <t xml:space="preserve">原文（只讀到轉述）</t>
    </r>
  </si>
  <si>
    <r>
      <rPr>
        <sz val="11"/>
        <color theme="1"/>
        <rFont val="Noto Sans CJK SC"/>
        <family val="2"/>
      </rPr>
      <t xml:space="preserve">搜尋與讀取紀錄見 證據原稿</t>
    </r>
    <r>
      <rPr>
        <sz val="11"/>
        <color theme="1"/>
        <rFont val="Calibri"/>
        <family val="2"/>
        <charset val="1"/>
      </rPr>
      <t xml:space="preserve">.md</t>
    </r>
  </si>
  <si>
    <t xml:space="preserve">待判斷</t>
  </si>
  <si>
    <r>
      <rPr>
        <sz val="11"/>
        <color theme="1"/>
        <rFont val="Noto Sans CJK SC"/>
        <family val="2"/>
      </rPr>
      <t xml:space="preserve">已搜尋，未找到：</t>
    </r>
    <r>
      <rPr>
        <sz val="11"/>
        <color theme="1"/>
        <rFont val="Calibri"/>
        <family val="2"/>
        <charset val="1"/>
      </rPr>
      <t xml:space="preserve">CS-3 </t>
    </r>
    <r>
      <rPr>
        <sz val="11"/>
        <color theme="1"/>
        <rFont val="Noto Sans CJK SC"/>
        <family val="2"/>
      </rPr>
      <t xml:space="preserve">官方售價與出貨台數（</t>
    </r>
    <r>
      <rPr>
        <sz val="11"/>
        <color theme="1"/>
        <rFont val="Calibri"/>
        <family val="2"/>
        <charset val="1"/>
      </rPr>
      <t xml:space="preserve">S-1 </t>
    </r>
    <r>
      <rPr>
        <sz val="11"/>
        <color theme="1"/>
        <rFont val="Noto Sans CJK SC"/>
        <family val="2"/>
      </rPr>
      <t xml:space="preserve">未揭露）；每系統（含 </t>
    </r>
    <r>
      <rPr>
        <sz val="11"/>
        <color theme="1"/>
        <rFont val="Calibri"/>
        <family val="2"/>
        <charset val="1"/>
      </rPr>
      <t xml:space="preserve">MemoryX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SwarmX</t>
    </r>
    <r>
      <rPr>
        <sz val="11"/>
        <color theme="1"/>
        <rFont val="Noto Sans CJK SC"/>
        <family val="2"/>
      </rPr>
      <t xml:space="preserve">、主機）總功率；整機總吞吐的第三方實測（</t>
    </r>
    <r>
      <rPr>
        <sz val="11"/>
        <color theme="1"/>
        <rFont val="Calibri"/>
        <family val="2"/>
        <charset val="1"/>
      </rPr>
      <t xml:space="preserve">Artificial Analysis </t>
    </r>
    <r>
      <rPr>
        <sz val="11"/>
        <color theme="1"/>
        <rFont val="Noto Sans CJK SC"/>
        <family val="2"/>
      </rPr>
      <t xml:space="preserve">只量每用戶速度）；</t>
    </r>
    <r>
      <rPr>
        <sz val="11"/>
        <color theme="1"/>
        <rFont val="Calibri"/>
        <family val="2"/>
        <charset val="1"/>
      </rPr>
      <t xml:space="preserve">MLPerf </t>
    </r>
    <r>
      <rPr>
        <sz val="11"/>
        <color theme="1"/>
        <rFont val="Noto Sans CJK SC"/>
        <family val="2"/>
      </rPr>
      <t xml:space="preserve">提交；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合約每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單價；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或設施）的公司原文</t>
    </r>
  </si>
  <si>
    <t xml:space="preserve">題目</t>
  </si>
  <si>
    <t xml:space="preserve">預設（本提案採用）</t>
  </si>
  <si>
    <t xml:space="preserve">替代方案</t>
  </si>
  <si>
    <t xml:space="preserve">影響</t>
  </si>
  <si>
    <t xml:space="preserve">Q1</t>
  </si>
  <si>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產出比：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方法（每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 </t>
    </r>
    <r>
      <rPr>
        <sz val="11"/>
        <color theme="1"/>
        <rFont val="Calibri"/>
        <family val="2"/>
        <charset val="1"/>
      </rPr>
      <t xml:space="preserve">× f</t>
    </r>
    <r>
      <rPr>
        <sz val="11"/>
        <color theme="1"/>
        <rFont val="Noto Sans CJK SC"/>
        <family val="2"/>
      </rPr>
      <t xml:space="preserve">）是否適用？</t>
    </r>
    <r>
      <rPr>
        <sz val="11"/>
        <color theme="1"/>
        <rFont val="Calibri"/>
        <family val="2"/>
        <charset val="1"/>
      </rPr>
      <t xml:space="preserve">WSE-3 </t>
    </r>
    <r>
      <rPr>
        <sz val="11"/>
        <color theme="1"/>
        <rFont val="Noto Sans CJK SC"/>
        <family val="2"/>
      </rPr>
      <t xml:space="preserve">的瓶頸是 </t>
    </r>
    <r>
      <rPr>
        <sz val="11"/>
        <color theme="1"/>
        <rFont val="Calibri"/>
        <family val="2"/>
        <charset val="1"/>
      </rPr>
      <t xml:space="preserve">44 GB SRAM </t>
    </r>
    <r>
      <rPr>
        <sz val="11"/>
        <color theme="1"/>
        <rFont val="Noto Sans CJK SC"/>
        <family val="2"/>
      </rPr>
      <t xml:space="preserve">容量（每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記憶體容量只有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），不是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世代還原的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不能類比。</t>
    </r>
  </si>
  <si>
    <r>
      <rPr>
        <sz val="11"/>
        <color theme="1"/>
        <rFont val="Noto Sans CJK SC"/>
        <family val="2"/>
      </rPr>
      <t xml:space="preserve">不適用，不推點值；改給方向界線。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最高原生精度（</t>
    </r>
    <r>
      <rPr>
        <sz val="11"/>
        <color theme="1"/>
        <rFont val="Calibri"/>
        <family val="2"/>
        <charset val="1"/>
      </rPr>
      <t xml:space="preserve">FP16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NVFP4</t>
    </r>
    <r>
      <rPr>
        <sz val="11"/>
        <color theme="1"/>
        <rFont val="Noto Sans CJK SC"/>
        <family val="2"/>
      </rPr>
      <t xml:space="preserve">）每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峰值比 </t>
    </r>
    <r>
      <rPr>
        <sz val="11"/>
        <color theme="1"/>
        <rFont val="Calibri"/>
        <family val="2"/>
        <charset val="1"/>
      </rPr>
      <t xml:space="preserve">0.042–0.049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(b) FP16 </t>
    </r>
    <r>
      <rPr>
        <sz val="11"/>
        <color theme="1"/>
        <rFont val="Noto Sans CJK SC"/>
        <family val="2"/>
      </rPr>
      <t xml:space="preserve">對齊（對 </t>
    </r>
    <r>
      <rPr>
        <sz val="11"/>
        <color theme="1"/>
        <rFont val="Calibri"/>
        <family val="2"/>
        <charset val="1"/>
      </rPr>
      <t xml:space="preserve">VR200 BF16 4 PF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0.36–0.43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f≤1 </t>
    </r>
    <r>
      <rPr>
        <sz val="11"/>
        <color theme="1"/>
        <rFont val="Noto Sans CJK SC"/>
        <family val="2"/>
      </rPr>
      <t xml:space="preserve">時的上限）；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自述容量換算（每 </t>
    </r>
    <r>
      <rPr>
        <sz val="11"/>
        <color theme="1"/>
        <rFont val="Calibri"/>
        <family val="2"/>
        <charset val="1"/>
      </rPr>
      <t xml:space="preserve">kW Llama-70B </t>
    </r>
    <r>
      <rPr>
        <sz val="11"/>
        <color theme="1"/>
        <rFont val="Noto Sans CJK SC"/>
        <family val="2"/>
      </rPr>
      <t xml:space="preserve">吞吐對 </t>
    </r>
    <r>
      <rPr>
        <sz val="11"/>
        <color theme="1"/>
        <rFont val="Calibri"/>
        <family val="2"/>
        <charset val="1"/>
      </rPr>
      <t xml:space="preserve">MLPerf GB300</t>
    </r>
    <r>
      <rPr>
        <sz val="11"/>
        <color theme="1"/>
        <rFont val="Noto Sans CJK SC"/>
        <family val="2"/>
      </rPr>
      <t xml:space="preserve">，再乘 </t>
    </r>
    <r>
      <rPr>
        <sz val="11"/>
        <color theme="1"/>
        <rFont val="Calibri"/>
        <family val="2"/>
        <charset val="1"/>
      </rPr>
      <t xml:space="preserve">TK 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VR-eq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0.04–0.13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的上限，只與現值基準 </t>
    </r>
    <r>
      <rPr>
        <sz val="11"/>
        <color theme="1"/>
        <rFont val="Calibri"/>
        <family val="2"/>
        <charset val="1"/>
      </rPr>
      <t xml:space="preserve">0.4 </t>
    </r>
    <r>
      <rPr>
        <sz val="11"/>
        <color theme="1"/>
        <rFont val="Noto Sans CJK SC"/>
        <family val="2"/>
      </rPr>
      <t xml:space="preserve">相當；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與容量換算遠低於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；現值高端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超出全部證據。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</si>
  <si>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仍套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× f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 → 0.21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0.32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容量換算為點值 → 約 </t>
    </r>
    <r>
      <rPr>
        <sz val="11"/>
        <color theme="1"/>
        <rFont val="Calibri"/>
        <family val="2"/>
        <charset val="1"/>
      </rPr>
      <t xml:space="preserve">0.04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容量宣稱、台數未知）。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</si>
  <si>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列產出比（</t>
    </r>
    <r>
      <rPr>
        <sz val="11"/>
        <color theme="1"/>
        <rFont val="Calibri"/>
        <family val="2"/>
        <charset val="1"/>
      </rPr>
      <t xml:space="preserve">Interface IF_NonNV_Out_CS</t>
    </r>
    <r>
      <rPr>
        <sz val="11"/>
        <color theme="1"/>
        <rFont val="Noto Sans CJK SC"/>
        <family val="2"/>
      </rPr>
      <t xml:space="preserve">）</t>
    </r>
  </si>
  <si>
    <t xml:space="preserve">Q2</t>
  </si>
  <si>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持有比：兩種方法差 </t>
    </r>
    <r>
      <rPr>
        <sz val="11"/>
        <color theme="1"/>
        <rFont val="Calibri"/>
        <family val="2"/>
        <charset val="1"/>
      </rPr>
      <t xml:space="preserve">3.4–7 </t>
    </r>
    <r>
      <rPr>
        <sz val="11"/>
        <color theme="1"/>
        <rFont val="Noto Sans CJK SC"/>
        <family val="2"/>
      </rPr>
      <t xml:space="preserve">倍（基準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倍）。</t>
    </r>
    <r>
      <rPr>
        <sz val="11"/>
        <color theme="1"/>
        <rFont val="Calibri"/>
        <family val="2"/>
        <charset val="1"/>
      </rPr>
      <t xml:space="preserve">(i)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設備價法（每台 </t>
    </r>
    <r>
      <rPr>
        <sz val="11"/>
        <color theme="1"/>
        <rFont val="Calibri"/>
        <family val="2"/>
        <charset val="1"/>
      </rPr>
      <t xml:space="preserve">$2.5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4.0M</t>
    </r>
    <r>
      <rPr>
        <sz val="11"/>
        <color theme="1"/>
        <rFont val="Noto Sans CJK SC"/>
        <family val="2"/>
      </rPr>
      <t xml:space="preserve">，記者估計）→ 持有比約 </t>
    </r>
    <r>
      <rPr>
        <sz val="11"/>
        <color theme="1"/>
        <rFont val="Calibri"/>
        <family val="2"/>
        <charset val="1"/>
      </rPr>
      <t xml:space="preserve">2.5–3.9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(ii) OpenAI </t>
    </r>
    <r>
      <rPr>
        <sz val="11"/>
        <color theme="1"/>
        <rFont val="Noto Sans CJK SC"/>
        <family val="2"/>
      </rPr>
      <t xml:space="preserve">合約隱含（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750 MW</t>
    </r>
    <r>
      <rPr>
        <sz val="11"/>
        <color theme="1"/>
        <rFont val="Noto Sans CJK SC"/>
        <family val="2"/>
      </rPr>
      <t xml:space="preserve">、每期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年）→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年營收約 </t>
    </r>
    <r>
      <rPr>
        <sz val="11"/>
        <color theme="1"/>
        <rFont val="Calibri"/>
        <family val="2"/>
        <charset val="1"/>
      </rPr>
      <t xml:space="preserve">$6.7–8.9B</t>
    </r>
    <r>
      <rPr>
        <sz val="11"/>
        <color theme="1"/>
        <rFont val="Noto Sans CJK SC"/>
        <family val="2"/>
      </rPr>
      <t xml:space="preserve">，只有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年持有成本的 </t>
    </r>
    <r>
      <rPr>
        <sz val="11"/>
        <color theme="1"/>
        <rFont val="Calibri"/>
        <family val="2"/>
        <charset val="1"/>
      </rPr>
      <t xml:space="preserve">0.55–0.73</t>
    </r>
    <r>
      <rPr>
        <sz val="11"/>
        <color theme="1"/>
        <rFont val="Noto Sans CJK SC"/>
        <family val="2"/>
      </rPr>
      <t xml:space="preserve">，而營收還要負擔電費、營運與毛利，所以持有比上限約 </t>
    </r>
    <r>
      <rPr>
        <sz val="11"/>
        <color theme="1"/>
        <rFont val="Calibri"/>
        <family val="2"/>
        <charset val="1"/>
      </rPr>
      <t xml:space="preserve">0.55–0.73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</si>
  <si>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資料互相衝突，維持慣例值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；說明欄記兩法與衝突。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</si>
  <si>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採 </t>
    </r>
    <r>
      <rPr>
        <sz val="11"/>
        <color theme="1"/>
        <rFont val="Calibri"/>
        <family val="2"/>
        <charset val="1"/>
      </rPr>
      <t xml:space="preserve">(i)</t>
    </r>
    <r>
      <rPr>
        <sz val="11"/>
        <color theme="1"/>
        <rFont val="Noto Sans CJK SC"/>
        <family val="2"/>
      </rPr>
      <t xml:space="preserve">：持有比約 </t>
    </r>
    <r>
      <rPr>
        <sz val="11"/>
        <color theme="1"/>
        <rFont val="Calibri"/>
        <family val="2"/>
        <charset val="1"/>
      </rPr>
      <t xml:space="preserve">2.5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3.9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成本比會到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以上）。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採 </t>
    </r>
    <r>
      <rPr>
        <sz val="11"/>
        <color theme="1"/>
        <rFont val="Calibri"/>
        <family val="2"/>
        <charset val="1"/>
      </rPr>
      <t xml:space="preserve">(ii) </t>
    </r>
    <r>
      <rPr>
        <sz val="11"/>
        <color theme="1"/>
        <rFont val="Noto Sans CJK SC"/>
        <family val="2"/>
      </rPr>
      <t xml:space="preserve">上限：持有比 ≤</t>
    </r>
    <r>
      <rPr>
        <sz val="11"/>
        <color theme="1"/>
        <rFont val="Calibri"/>
        <family val="2"/>
        <charset val="1"/>
      </rPr>
      <t xml:space="preserve">0.55–0.73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$25.4B</t>
    </r>
    <r>
      <rPr>
        <sz val="11"/>
        <color theme="1"/>
        <rFont val="Noto Sans CJK SC"/>
        <family val="2"/>
      </rPr>
      <t xml:space="preserve">（剩餘履約義務全數）代入 </t>
    </r>
    <r>
      <rPr>
        <sz val="11"/>
        <color theme="1"/>
        <rFont val="Calibri"/>
        <family val="2"/>
        <charset val="1"/>
      </rPr>
      <t xml:space="preserve">(ii)</t>
    </r>
    <r>
      <rPr>
        <sz val="11"/>
        <color theme="1"/>
        <rFont val="Noto Sans CJK SC"/>
        <family val="2"/>
      </rPr>
      <t xml:space="preserve">：上限 </t>
    </r>
    <r>
      <rPr>
        <sz val="11"/>
        <color theme="1"/>
        <rFont val="Calibri"/>
        <family val="2"/>
        <charset val="1"/>
      </rPr>
      <t xml:space="preserve">0.69–0.92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</si>
  <si>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列持有比</t>
    </r>
  </si>
  <si>
    <t xml:space="preserve">Q3</t>
  </si>
  <si>
    <r>
      <rPr>
        <sz val="11"/>
        <color theme="1"/>
        <rFont val="Calibri"/>
        <family val="2"/>
        <charset val="1"/>
      </rPr>
      <t xml:space="preserve">Cerebras </t>
    </r>
    <r>
      <rPr>
        <sz val="11"/>
        <color theme="1"/>
        <rFont val="Noto Sans CJK SC"/>
        <family val="2"/>
      </rPr>
      <t xml:space="preserve">是否寫進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下一版？</t>
    </r>
  </si>
  <si>
    <r>
      <rPr>
        <sz val="11"/>
        <color theme="1"/>
        <rFont val="Noto Sans CJK SC"/>
        <family val="2"/>
      </rPr>
      <t xml:space="preserve">數值不改（產出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、持有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）；只更新第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列說明欄：引本資料夾、寫明每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法不適用的原因、產出方向界線（證據都低於現值基準）、持有比兩法衝突。</t>
    </r>
  </si>
  <si>
    <r>
      <rPr>
        <sz val="11"/>
        <color theme="1"/>
        <rFont val="Noto Sans CJK SC"/>
        <family val="2"/>
      </rPr>
      <t xml:space="preserve">下修產出比到約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（低端取容量換算、高端取 </t>
    </r>
    <r>
      <rPr>
        <sz val="11"/>
        <color theme="1"/>
        <rFont val="Calibri"/>
        <family val="2"/>
        <charset val="1"/>
      </rPr>
      <t xml:space="preserve">FP16 </t>
    </r>
    <r>
      <rPr>
        <sz val="11"/>
        <color theme="1"/>
        <rFont val="Noto Sans CJK SC"/>
        <family val="2"/>
      </rPr>
      <t xml:space="preserve">對齊上限 </t>
    </r>
    <r>
      <rPr>
        <sz val="11"/>
        <color theme="1"/>
        <rFont val="Calibri"/>
        <family val="2"/>
        <charset val="1"/>
      </rPr>
      <t xml:space="preserve">0.43</t>
    </r>
    <r>
      <rPr>
        <sz val="11"/>
        <color theme="1"/>
        <rFont val="Noto Sans CJK SC"/>
        <family val="2"/>
      </rPr>
      <t xml:space="preserve">），持有比仍維持；每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成本比 </t>
    </r>
    <r>
      <rPr>
        <sz val="11"/>
        <color theme="1"/>
        <rFont val="Calibri"/>
        <family val="2"/>
        <charset val="1"/>
      </rPr>
      <t xml:space="preserve">2.5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</si>
  <si>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下游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模型若用到 </t>
    </r>
    <r>
      <rPr>
        <sz val="11"/>
        <color theme="1"/>
        <rFont val="Calibri"/>
        <family val="2"/>
        <charset val="1"/>
      </rPr>
      <t xml:space="preserve">Cerebras 750 MW</t>
    </r>
    <r>
      <rPr>
        <sz val="11"/>
        <color theme="1"/>
        <rFont val="Noto Sans CJK SC"/>
        <family val="2"/>
      </rPr>
      <t xml:space="preserve">，影響每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成本</t>
    </r>
  </si>
  <si>
    <t xml:space="preserve">Q4</t>
  </si>
  <si>
    <r>
      <rPr>
        <sz val="11"/>
        <color theme="1"/>
        <rFont val="Calibri"/>
        <family val="2"/>
        <charset val="1"/>
      </rPr>
      <t xml:space="preserve">Jalapeño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MXFP4 13.4 PF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dense </t>
    </r>
    <r>
      <rPr>
        <sz val="11"/>
        <color theme="1"/>
        <rFont val="Noto Sans CJK SC"/>
        <family val="2"/>
      </rPr>
      <t xml:space="preserve">還是 </t>
    </r>
    <r>
      <rPr>
        <sz val="11"/>
        <color theme="1"/>
        <rFont val="Calibri"/>
        <family val="2"/>
        <charset val="1"/>
      </rPr>
      <t xml:space="preserve">sparse</t>
    </r>
    <r>
      <rPr>
        <sz val="11"/>
        <color theme="1"/>
        <rFont val="Noto Sans CJK SC"/>
        <family val="2"/>
      </rPr>
      <t xml:space="preserve">？（</t>
    </r>
    <r>
      <rPr>
        <sz val="11"/>
        <color theme="1"/>
        <rFont val="Calibri"/>
        <family val="2"/>
        <charset val="1"/>
      </rPr>
      <t xml:space="preserve">FP8 dense 3.4 PF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FP4÷FP8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3.94</t>
    </r>
    <r>
      <rPr>
        <sz val="11"/>
        <color theme="1"/>
        <rFont val="Noto Sans CJK SC"/>
        <family val="2"/>
      </rPr>
      <t xml:space="preserve">，其他晶片皆 </t>
    </r>
    <r>
      <rPr>
        <sz val="11"/>
        <color theme="1"/>
        <rFont val="Calibri"/>
        <family val="2"/>
        <charset val="1"/>
      </rPr>
      <t xml:space="preserve">2:1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</si>
  <si>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保守讀法：</t>
    </r>
    <r>
      <rPr>
        <sz val="11"/>
        <color theme="1"/>
        <rFont val="Calibri"/>
        <family val="2"/>
        <charset val="1"/>
      </rPr>
      <t xml:space="preserve">dense FP4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 × FP8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6.8 PF</t>
    </r>
    <r>
      <rPr>
        <sz val="11"/>
        <color theme="1"/>
        <rFont val="Noto Sans CJK SC"/>
        <family val="2"/>
      </rPr>
      <t xml:space="preserve">（方法一低值）；同時並列『</t>
    </r>
    <r>
      <rPr>
        <sz val="11"/>
        <color theme="1"/>
        <rFont val="Calibri"/>
        <family val="2"/>
        <charset val="1"/>
      </rPr>
      <t xml:space="preserve">13.4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dense</t>
    </r>
    <r>
      <rPr>
        <sz val="11"/>
        <color theme="1"/>
        <rFont val="Noto Sans CJK SC"/>
        <family val="2"/>
      </rPr>
      <t xml:space="preserve">』讀法。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自測（方法二）若可信，保守讀法需 </t>
    </r>
    <r>
      <rPr>
        <sz val="11"/>
        <color theme="1"/>
        <rFont val="Calibri"/>
        <family val="2"/>
        <charset val="1"/>
      </rPr>
      <t xml:space="preserve">f≈1.6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0.66–1.04</t>
    </r>
    <r>
      <rPr>
        <sz val="11"/>
        <color theme="1"/>
        <rFont val="Noto Sans CJK SC"/>
        <family val="2"/>
      </rPr>
      <t xml:space="preserve">）不相容——方向上支持 </t>
    </r>
    <r>
      <rPr>
        <sz val="11"/>
        <color theme="1"/>
        <rFont val="Calibri"/>
        <family val="2"/>
        <charset val="1"/>
      </rPr>
      <t xml:space="preserve">13.4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dense </t>
    </r>
    <r>
      <rPr>
        <sz val="11"/>
        <color theme="1"/>
        <rFont val="Noto Sans CJK SC"/>
        <family val="2"/>
      </rPr>
      <t xml:space="preserve">或自測偏樂觀。</t>
    </r>
  </si>
  <si>
    <r>
      <rPr>
        <sz val="11"/>
        <color theme="1"/>
        <rFont val="Calibri"/>
        <family val="2"/>
        <charset val="1"/>
      </rPr>
      <t xml:space="preserve">(a) 13.4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dense</t>
    </r>
    <r>
      <rPr>
        <sz val="11"/>
        <color theme="1"/>
        <rFont val="Noto Sans CJK SC"/>
        <family val="2"/>
      </rPr>
      <t xml:space="preserve">：方法一 </t>
    </r>
    <r>
      <rPr>
        <sz val="11"/>
        <color theme="1"/>
        <rFont val="Calibri"/>
        <family val="2"/>
        <charset val="1"/>
      </rPr>
      <t xml:space="preserve">0.49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1.28</t>
    </r>
    <r>
      <rPr>
        <sz val="11"/>
        <color theme="1"/>
        <rFont val="Noto Sans CJK SC"/>
        <family val="2"/>
      </rPr>
      <t xml:space="preserve">（基準需 </t>
    </r>
    <r>
      <rPr>
        <sz val="11"/>
        <color theme="1"/>
        <rFont val="Calibri"/>
        <family val="2"/>
        <charset val="1"/>
      </rPr>
      <t xml:space="preserve">f≈0.80 </t>
    </r>
    <r>
      <rPr>
        <sz val="11"/>
        <color theme="1"/>
        <rFont val="Noto Sans CJK SC"/>
        <family val="2"/>
      </rPr>
      <t xml:space="preserve">才與方法二一致）。</t>
    </r>
    <r>
      <rPr>
        <sz val="11"/>
        <color theme="1"/>
        <rFont val="Calibri"/>
        <family val="2"/>
        <charset val="1"/>
      </rPr>
      <t xml:space="preserve">(b) 6.8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dense</t>
    </r>
    <r>
      <rPr>
        <sz val="11"/>
        <color theme="1"/>
        <rFont val="Noto Sans CJK SC"/>
        <family val="2"/>
      </rPr>
      <t xml:space="preserve">：方法一 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。</t>
    </r>
  </si>
  <si>
    <t xml:space="preserve">方法一</t>
  </si>
  <si>
    <t xml:space="preserve">Q5</t>
  </si>
  <si>
    <r>
      <rPr>
        <sz val="11"/>
        <color theme="1"/>
        <rFont val="Calibri"/>
        <family val="2"/>
        <charset val="1"/>
      </rPr>
      <t xml:space="preserve">Jalapeño </t>
    </r>
    <r>
      <rPr>
        <sz val="11"/>
        <color theme="1"/>
        <rFont val="Noto Sans CJK SC"/>
        <family val="2"/>
      </rPr>
      <t xml:space="preserve">機架功率未公布：機架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晶片倍數取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各世代區間 </t>
    </r>
    <r>
      <rPr>
        <sz val="11"/>
        <color theme="1"/>
        <rFont val="Calibri"/>
        <family val="2"/>
        <charset val="1"/>
      </rPr>
      <t xml:space="preserve">1.35–1.75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1.52</t>
    </r>
    <r>
      <rPr>
        <sz val="11"/>
        <color theme="1"/>
        <rFont val="Noto Sans CJK SC"/>
        <family val="2"/>
      </rPr>
      <t xml:space="preserve">，同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Trn3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700 W </t>
    </r>
    <r>
      <rPr>
        <sz val="11"/>
        <color theme="1"/>
        <rFont val="Noto Sans CJK SC"/>
        <family val="2"/>
      </rPr>
      <t xml:space="preserve">小晶片的固定負載（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、網卡、交換）占比可能較高。</t>
    </r>
  </si>
  <si>
    <r>
      <rPr>
        <sz val="11"/>
        <color theme="1"/>
        <rFont val="Calibri"/>
        <family val="2"/>
        <charset val="1"/>
      </rPr>
      <t xml:space="preserve">1.75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（產出低／基準／高）。</t>
    </r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</si>
  <si>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（小晶片固定負載）→ 方法二基準 </t>
    </r>
    <r>
      <rPr>
        <sz val="11"/>
        <color theme="1"/>
        <rFont val="Calibri"/>
        <family val="2"/>
        <charset val="1"/>
      </rPr>
      <t xml:space="preserve">0.69</t>
    </r>
    <r>
      <rPr>
        <sz val="11"/>
        <color theme="1"/>
        <rFont val="Noto Sans CJK SC"/>
        <family val="2"/>
      </rPr>
      <t xml:space="preserve">。</t>
    </r>
  </si>
  <si>
    <t xml:space="preserve">兩種方法皆受影響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</si>
  <si>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客製產出比的依據只有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自測（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轉述；依本專案規則公司自述只作佐證。是否仍以方法二進基準？</t>
    </r>
  </si>
  <si>
    <r>
      <rPr>
        <sz val="11"/>
        <color theme="1"/>
        <rFont val="Noto Sans CJK SC"/>
        <family val="2"/>
      </rPr>
      <t xml:space="preserve">進基準但與方法一（保守讀法）平均：低＝方法一保守讀法 </t>
    </r>
    <r>
      <rPr>
        <sz val="11"/>
        <color theme="1"/>
        <rFont val="Calibri"/>
        <family val="2"/>
        <charset val="1"/>
      </rPr>
      <t xml:space="preserve">× f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0.43</t>
    </r>
    <r>
      <rPr>
        <sz val="11"/>
        <color theme="1"/>
        <rFont val="Noto Sans CJK SC"/>
        <family val="2"/>
      </rPr>
      <t xml:space="preserve">）、基準＝兩法平均（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）、高＝方法二高端（</t>
    </r>
    <r>
      <rPr>
        <sz val="11"/>
        <color theme="1"/>
        <rFont val="Calibri"/>
        <family val="2"/>
        <charset val="1"/>
      </rPr>
      <t xml:space="preserve">1.07</t>
    </r>
    <r>
      <rPr>
        <sz val="11"/>
        <color theme="1"/>
        <rFont val="Noto Sans CJK SC"/>
        <family val="2"/>
      </rPr>
      <t xml:space="preserve">）→ 建議 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（取 </t>
    </r>
    <r>
      <rPr>
        <sz val="11"/>
        <color theme="1"/>
        <rFont val="Calibri"/>
        <family val="2"/>
        <charset val="1"/>
      </rPr>
      <t xml:space="preserve">0.05 </t>
    </r>
    <r>
      <rPr>
        <sz val="11"/>
        <color theme="1"/>
        <rFont val="Noto Sans CJK SC"/>
        <family val="2"/>
      </rPr>
      <t xml:space="preserve">整數倍）。說明：方法二用峰值吞吐點、單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預測；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三層 </t>
    </r>
    <r>
      <rPr>
        <sz val="11"/>
        <color theme="1"/>
        <rFont val="Calibri"/>
        <family val="2"/>
        <charset val="1"/>
      </rPr>
      <t xml:space="preserve">55–120 tok/s/user </t>
    </r>
    <r>
      <rPr>
        <sz val="11"/>
        <color theme="1"/>
        <rFont val="Noto Sans CJK SC"/>
        <family val="2"/>
      </rPr>
      <t xml:space="preserve">高於峰值點，</t>
    </r>
    <r>
      <rPr>
        <sz val="11"/>
        <color theme="1"/>
        <rFont val="Calibri"/>
        <family val="2"/>
        <charset val="1"/>
      </rPr>
      <t xml:space="preserve">Jalapeño </t>
    </r>
    <r>
      <rPr>
        <sz val="11"/>
        <color theme="1"/>
        <rFont val="Noto Sans CJK SC"/>
        <family val="2"/>
      </rPr>
      <t xml:space="preserve">在高互動區領先更多（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自述 </t>
    </r>
    <r>
      <rPr>
        <sz val="11"/>
        <color theme="1"/>
        <rFont val="Calibri"/>
        <family val="2"/>
        <charset val="1"/>
      </rPr>
      <t xml:space="preserve">50–100×</t>
    </r>
    <r>
      <rPr>
        <sz val="11"/>
        <color theme="1"/>
        <rFont val="Noto Sans CJK SC"/>
        <family val="2"/>
      </rPr>
      <t xml:space="preserve">），所以峰值點比值對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偏保守；但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未用 </t>
    </r>
    <r>
      <rPr>
        <sz val="11"/>
        <color theme="1"/>
        <rFont val="Calibri"/>
        <family val="2"/>
        <charset val="1"/>
      </rPr>
      <t xml:space="preserve">MTP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PD </t>
    </r>
    <r>
      <rPr>
        <sz val="11"/>
        <color theme="1"/>
        <rFont val="Noto Sans CJK SC"/>
        <family val="2"/>
      </rPr>
      <t xml:space="preserve">分離，又偏樂觀（記者：降到約 </t>
    </r>
    <r>
      <rPr>
        <sz val="11"/>
        <color theme="1"/>
        <rFont val="Calibri"/>
        <family val="2"/>
        <charset val="1"/>
      </rPr>
      <t xml:space="preserve">1.5×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</si>
  <si>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維持慣例值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</t>
    </r>
    <r>
      <rPr>
        <sz val="11"/>
        <color theme="1"/>
        <rFont val="Noto Sans CJK SC"/>
        <family val="2"/>
      </rPr>
      <t xml:space="preserve">（工作單允許）。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只用方法二：</t>
    </r>
    <r>
      <rPr>
        <sz val="11"/>
        <color theme="1"/>
        <rFont val="Calibri"/>
        <family val="2"/>
        <charset val="1"/>
      </rPr>
      <t xml:space="preserve">0.74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1.07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只用方法一：保守讀法 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0.65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dense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0.49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1.28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</si>
  <si>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列產出比（</t>
    </r>
    <r>
      <rPr>
        <sz val="11"/>
        <color theme="1"/>
        <rFont val="Calibri"/>
        <family val="2"/>
        <charset val="1"/>
      </rPr>
      <t xml:space="preserve">IF_NonNV_Out_OAI</t>
    </r>
    <r>
      <rPr>
        <sz val="11"/>
        <color theme="1"/>
        <rFont val="Noto Sans CJK SC"/>
        <family val="2"/>
      </rPr>
      <t xml:space="preserve">）</t>
    </r>
  </si>
  <si>
    <t xml:space="preserve">Q7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</si>
  <si>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客製持有比：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$20–30B</t>
    </r>
    <r>
      <rPr>
        <sz val="11"/>
        <color theme="1"/>
        <rFont val="Noto Sans CJK SC"/>
        <family val="2"/>
      </rPr>
      <t xml:space="preserve">（全部 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客戶、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口徑未明、未必含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</si>
  <si>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界線與現值相容，維持 </t>
    </r>
    <r>
      <rPr>
        <sz val="11"/>
        <color theme="1"/>
        <rFont val="Calibri"/>
        <family val="2"/>
        <charset val="1"/>
      </rPr>
      <t xml:space="preserve">0.7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。界線：只算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內容 → </t>
    </r>
    <r>
      <rPr>
        <sz val="11"/>
        <color theme="1"/>
        <rFont val="Calibri"/>
        <family val="2"/>
        <charset val="1"/>
      </rPr>
      <t xml:space="preserve">0.64</t>
    </r>
    <r>
      <rPr>
        <sz val="11"/>
        <color theme="1"/>
        <rFont val="Noto Sans CJK SC"/>
        <family val="2"/>
      </rPr>
      <t xml:space="preserve">；加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其他內容 → </t>
    </r>
    <r>
      <rPr>
        <sz val="11"/>
        <color theme="1"/>
        <rFont val="Calibri"/>
        <family val="2"/>
        <charset val="1"/>
      </rPr>
      <t xml:space="preserve">0.82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為設施口徑且加 </t>
    </r>
    <r>
      <rPr>
        <sz val="11"/>
        <color theme="1"/>
        <rFont val="Calibri"/>
        <family val="2"/>
        <charset val="1"/>
      </rPr>
      <t xml:space="preserve">35% → 1.27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</si>
  <si>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改用界線推導值 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(b) Rasgon $11–12B/GW → 0.46–0.47</t>
    </r>
    <r>
      <rPr>
        <sz val="11"/>
        <color theme="1"/>
        <rFont val="Noto Sans CJK SC"/>
        <family val="2"/>
      </rPr>
      <t xml:space="preserve">（分析師由營收指引推，非每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資本支出，只作下界）。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</si>
  <si>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列持有比</t>
    </r>
  </si>
  <si>
    <t xml:space="preserve">Q8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</si>
  <si>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客製是否寫進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下一版？</t>
    </r>
  </si>
  <si>
    <r>
      <rPr>
        <sz val="11"/>
        <color theme="1"/>
        <rFont val="Noto Sans CJK SC"/>
        <family val="2"/>
      </rPr>
      <t xml:space="preserve">產出比換成 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；說明欄引本資料夾、移除『無公開規格』），持有比維持 </t>
    </r>
    <r>
      <rPr>
        <sz val="11"/>
        <color theme="1"/>
        <rFont val="Calibri"/>
        <family val="2"/>
        <charset val="1"/>
      </rPr>
      <t xml:space="preserve">0.7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（說明欄補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內容界線）；每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成本比 </t>
    </r>
    <r>
      <rPr>
        <sz val="11"/>
        <color theme="1"/>
        <rFont val="Calibri"/>
        <family val="2"/>
        <charset val="1"/>
      </rPr>
      <t xml:space="preserve">1.33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1.23</t>
    </r>
    <r>
      <rPr>
        <sz val="11"/>
        <color theme="1"/>
        <rFont val="Noto Sans CJK SC"/>
        <family val="2"/>
      </rPr>
      <t xml:space="preserve">。</t>
    </r>
  </si>
  <si>
    <t xml:space="preserve">保守替代：數值全不改，只更新說明欄（工作單允許『維持慣例值』）。</t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</si>
  <si>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列；下游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模型（自研晶片 </t>
    </r>
    <r>
      <rPr>
        <sz val="11"/>
        <color theme="1"/>
        <rFont val="Calibri"/>
        <family val="2"/>
        <charset val="1"/>
      </rPr>
      <t xml:space="preserve">1.3 GW 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&gt;5 GW 2028</t>
    </r>
    <r>
      <rPr>
        <sz val="11"/>
        <color theme="1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</si>
</sst>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00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7" min="3" style="0" width="11"/>
    <col collapsed="false" customWidth="true" hidden="false" outlineLevel="0" max="8" min="8" style="0" width="14"/>
    <col collapsed="false" customWidth="true" hidden="false" outlineLevel="0" max="11" min="9" style="0" width="10"/>
    <col collapsed="false" customWidth="true" hidden="false" outlineLevel="0" max="12" min="12" style="0" width="90"/>
  </cols>
  <sheetData>
    <row r="1" customFormat="false" ht="17.15" hidden="false" customHeight="false" outlineLevel="0" collapsed="false">
      <c r="A1" s="1" t="s">
        <v>0</v>
      </c>
    </row>
    <row r="2" customFormat="false" ht="64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7.15" hidden="false" customHeight="false" outlineLevel="0" collapsed="false">
      <c r="A4" s="0" t="s">
        <v>14</v>
      </c>
      <c r="B4" s="4" t="n">
        <f aca="false">推導!D44</f>
        <v>0.364904835390947</v>
      </c>
      <c r="C4" s="4" t="n">
        <f aca="false">推導!E44</f>
        <v>0.42836654589372</v>
      </c>
      <c r="D4" s="4" t="n">
        <f aca="false">推導!F44</f>
        <v>0.42836654589372</v>
      </c>
      <c r="E4" s="4" t="n">
        <f aca="false">推導!D58</f>
        <v>2.49935312562813</v>
      </c>
      <c r="F4" s="4" t="n">
        <f aca="false">推導!E58</f>
        <v>3.13586718296799</v>
      </c>
      <c r="G4" s="4" t="n">
        <f aca="false">推導!F58</f>
        <v>3.86331181992783</v>
      </c>
      <c r="H4" s="4" t="n">
        <f aca="false">F4/C4</f>
        <v>7.32052307312069</v>
      </c>
      <c r="I4" s="4" t="n">
        <f aca="false">E4/D4</f>
        <v>5.83461325256766</v>
      </c>
      <c r="J4" s="4" t="n">
        <f aca="false">G4/B4</f>
        <v>10.5871762860824</v>
      </c>
      <c r="L4" s="5" t="s">
        <v>15</v>
      </c>
    </row>
    <row r="5" customFormat="false" ht="17.15" hidden="false" customHeight="false" outlineLevel="0" collapsed="false">
      <c r="A5" s="0" t="s">
        <v>16</v>
      </c>
      <c r="B5" s="4" t="n">
        <f aca="false">推導!D52</f>
        <v>0.0373688704729685</v>
      </c>
      <c r="C5" s="4" t="n">
        <f aca="false">推導!E52</f>
        <v>0.065801706702401</v>
      </c>
      <c r="D5" s="4" t="n">
        <f aca="false">推導!F52</f>
        <v>0.131603413404802</v>
      </c>
      <c r="E5" s="4" t="n">
        <f aca="false">推導!D63</f>
        <v>0.545309597001777</v>
      </c>
      <c r="F5" s="4" t="n">
        <f aca="false">推導!E63</f>
        <v>0.623210968002031</v>
      </c>
      <c r="G5" s="4" t="n">
        <f aca="false">推導!F63</f>
        <v>0.727079462669036</v>
      </c>
      <c r="H5" s="4" t="n">
        <f aca="false">F5/C5</f>
        <v>9.47104564963041</v>
      </c>
      <c r="I5" s="4" t="n">
        <f aca="false">E5/D5</f>
        <v>4.1435824717133</v>
      </c>
      <c r="J5" s="4" t="n">
        <f aca="false">G5/B5</f>
        <v>19.4568220410886</v>
      </c>
      <c r="L5" s="5" t="s">
        <v>17</v>
      </c>
    </row>
    <row r="6" customFormat="false" ht="17.15" hidden="false" customHeight="false" outlineLevel="0" collapsed="false">
      <c r="A6" s="0" t="s">
        <v>18</v>
      </c>
      <c r="B6" s="4" t="n">
        <f aca="false">推導!D77</f>
        <v>0.250016196954972</v>
      </c>
      <c r="C6" s="4" t="n">
        <f aca="false">推導!E77</f>
        <v>0.431832146095065</v>
      </c>
      <c r="D6" s="4" t="n">
        <f aca="false">推導!F77</f>
        <v>0.648190140253632</v>
      </c>
      <c r="E6" s="4" t="n">
        <f aca="false">推導!D93</f>
        <v>0.637893092699489</v>
      </c>
      <c r="F6" s="4" t="n">
        <f aca="false">推導!E93</f>
        <v>0.818057542886741</v>
      </c>
      <c r="G6" s="4" t="n">
        <f aca="false">推導!F93</f>
        <v>1.26846866835487</v>
      </c>
      <c r="H6" s="4" t="n">
        <f aca="false">F6/C6</f>
        <v>1.89438778535642</v>
      </c>
      <c r="I6" s="4" t="n">
        <f aca="false">E6/D6</f>
        <v>0.984114155839961</v>
      </c>
      <c r="J6" s="4" t="n">
        <f aca="false">G6/B6</f>
        <v>5.07354596943701</v>
      </c>
      <c r="L6" s="5" t="s">
        <v>19</v>
      </c>
    </row>
    <row r="7" customFormat="false" ht="17.15" hidden="false" customHeight="false" outlineLevel="0" collapsed="false">
      <c r="A7" s="0" t="s">
        <v>20</v>
      </c>
      <c r="B7" s="4" t="n">
        <f aca="false">推導!D85</f>
        <v>0.741183709835977</v>
      </c>
      <c r="C7" s="4" t="n">
        <f aca="false">推導!E85</f>
        <v>0.910656858126718</v>
      </c>
      <c r="D7" s="4" t="n">
        <f aca="false">推導!F85</f>
        <v>1.067874771307</v>
      </c>
      <c r="E7" s="4" t="n">
        <f aca="false">推導!D93</f>
        <v>0.637893092699489</v>
      </c>
      <c r="F7" s="4" t="n">
        <f aca="false">推導!E93</f>
        <v>0.818057542886741</v>
      </c>
      <c r="G7" s="4" t="n">
        <f aca="false">推導!F93</f>
        <v>1.26846866835487</v>
      </c>
      <c r="H7" s="4" t="n">
        <f aca="false">F7/C7</f>
        <v>0.898315908551482</v>
      </c>
      <c r="I7" s="4" t="n">
        <f aca="false">E7/D7</f>
        <v>0.597348218947765</v>
      </c>
      <c r="J7" s="4" t="n">
        <f aca="false">G7/B7</f>
        <v>1.71140926537036</v>
      </c>
      <c r="L7" s="5" t="s">
        <v>19</v>
      </c>
    </row>
    <row r="8" customFormat="false" ht="17.15" hidden="false" customHeight="false" outlineLevel="0" collapsed="false">
      <c r="A8" s="0" t="s">
        <v>21</v>
      </c>
      <c r="B8" s="4" t="n">
        <f aca="false">推導!D87</f>
        <v>0.431832146095065</v>
      </c>
      <c r="C8" s="4" t="n">
        <f aca="false">推導!E87</f>
        <v>0.671244502110892</v>
      </c>
      <c r="D8" s="4" t="n">
        <f aca="false">推導!F87</f>
        <v>1.067874771307</v>
      </c>
      <c r="E8" s="4" t="n">
        <f aca="false">推導!D93</f>
        <v>0.637893092699489</v>
      </c>
      <c r="F8" s="4" t="n">
        <f aca="false">推導!E93</f>
        <v>0.818057542886741</v>
      </c>
      <c r="G8" s="4" t="n">
        <f aca="false">推導!F93</f>
        <v>1.26846866835487</v>
      </c>
      <c r="H8" s="4" t="n">
        <f aca="false">F8/C8</f>
        <v>1.21871768083636</v>
      </c>
      <c r="I8" s="4" t="n">
        <f aca="false">E8/D8</f>
        <v>0.597348218947765</v>
      </c>
      <c r="J8" s="4" t="n">
        <f aca="false">G8/B8</f>
        <v>2.93741139890874</v>
      </c>
      <c r="L8" s="5" t="s">
        <v>19</v>
      </c>
    </row>
    <row r="9" customFormat="false" ht="15" hidden="false" customHeight="false" outlineLevel="0" collapsed="false">
      <c r="B9" s="4"/>
      <c r="C9" s="4"/>
      <c r="D9" s="4"/>
      <c r="E9" s="4"/>
      <c r="F9" s="4"/>
      <c r="G9" s="4"/>
      <c r="H9" s="4"/>
      <c r="I9" s="4"/>
      <c r="J9" s="4"/>
    </row>
    <row r="10" customFormat="false" ht="17.15" hidden="false" customHeight="false" outlineLevel="0" collapsed="false">
      <c r="A10" s="1" t="s">
        <v>22</v>
      </c>
      <c r="B10" s="4"/>
      <c r="C10" s="4"/>
      <c r="D10" s="4"/>
      <c r="E10" s="4"/>
      <c r="F10" s="4"/>
      <c r="G10" s="4"/>
      <c r="H10" s="4"/>
      <c r="I10" s="4"/>
      <c r="J10" s="4"/>
    </row>
    <row r="11" customFormat="false" ht="79.85" hidden="false" customHeight="false" outlineLevel="0" collapsed="false">
      <c r="A11" s="0" t="s">
        <v>23</v>
      </c>
      <c r="B11" s="6" t="n">
        <v>0.2</v>
      </c>
      <c r="C11" s="6" t="n">
        <v>0.4</v>
      </c>
      <c r="D11" s="6" t="n">
        <v>0.8</v>
      </c>
      <c r="E11" s="6" t="n">
        <v>0.8</v>
      </c>
      <c r="F11" s="6" t="n">
        <v>1</v>
      </c>
      <c r="G11" s="6" t="n">
        <v>1.2</v>
      </c>
      <c r="H11" s="4" t="n">
        <f aca="false">F11/C11</f>
        <v>2.5</v>
      </c>
      <c r="I11" s="4" t="n">
        <f aca="false">E11/D11</f>
        <v>1</v>
      </c>
      <c r="J11" s="4" t="n">
        <f aca="false">G11/B11</f>
        <v>6</v>
      </c>
      <c r="K11" s="7" t="s">
        <v>24</v>
      </c>
      <c r="L11" s="2" t="s">
        <v>25</v>
      </c>
    </row>
    <row r="12" customFormat="false" ht="64.15" hidden="false" customHeight="false" outlineLevel="0" collapsed="false">
      <c r="A12" s="0" t="s">
        <v>26</v>
      </c>
      <c r="B12" s="6" t="n">
        <v>0.45</v>
      </c>
      <c r="C12" s="6" t="n">
        <v>0.65</v>
      </c>
      <c r="D12" s="6" t="n">
        <v>1.05</v>
      </c>
      <c r="E12" s="6" t="n">
        <v>0.7</v>
      </c>
      <c r="F12" s="6" t="n">
        <v>0.8</v>
      </c>
      <c r="G12" s="6" t="n">
        <v>1</v>
      </c>
      <c r="H12" s="4" t="n">
        <f aca="false">F12/C12</f>
        <v>1.23076923076923</v>
      </c>
      <c r="I12" s="4" t="n">
        <f aca="false">E12/D12</f>
        <v>0.666666666666667</v>
      </c>
      <c r="J12" s="4" t="n">
        <f aca="false">G12/B12</f>
        <v>2.22222222222222</v>
      </c>
      <c r="K12" s="7" t="s">
        <v>24</v>
      </c>
      <c r="L12" s="2" t="s">
        <v>27</v>
      </c>
    </row>
    <row r="13" customFormat="false" ht="15" hidden="false" customHeight="false" outlineLevel="0" collapsed="false">
      <c r="B13" s="4"/>
      <c r="C13" s="4"/>
      <c r="D13" s="4"/>
      <c r="E13" s="4"/>
      <c r="F13" s="4"/>
      <c r="G13" s="4"/>
      <c r="H13" s="4"/>
      <c r="I13" s="4"/>
      <c r="J13" s="4"/>
    </row>
    <row r="14" customFormat="false" ht="17.15" hidden="false" customHeight="false" outlineLevel="0" collapsed="false">
      <c r="A14" s="8" t="s">
        <v>28</v>
      </c>
      <c r="B14" s="4"/>
      <c r="C14" s="4"/>
      <c r="D14" s="4"/>
      <c r="E14" s="4"/>
      <c r="F14" s="4"/>
      <c r="G14" s="4"/>
      <c r="H14" s="4"/>
      <c r="I14" s="4"/>
      <c r="J14" s="4"/>
    </row>
    <row r="15" customFormat="false" ht="17.15" hidden="false" customHeight="false" outlineLevel="0" collapsed="false">
      <c r="A15" s="0" t="s">
        <v>29</v>
      </c>
      <c r="B15" s="4" t="n">
        <v>0.2</v>
      </c>
      <c r="C15" s="4" t="n">
        <v>0.4</v>
      </c>
      <c r="D15" s="4" t="n">
        <v>0.8</v>
      </c>
      <c r="E15" s="4" t="n">
        <v>0.8</v>
      </c>
      <c r="F15" s="4" t="n">
        <v>1</v>
      </c>
      <c r="G15" s="4" t="n">
        <v>1.2</v>
      </c>
      <c r="H15" s="4" t="n">
        <f aca="false">F15/C15</f>
        <v>2.5</v>
      </c>
      <c r="I15" s="4" t="n">
        <f aca="false">E15/D15</f>
        <v>1</v>
      </c>
      <c r="J15" s="4" t="n">
        <f aca="false">G15/B15</f>
        <v>6</v>
      </c>
      <c r="K15" s="7" t="s">
        <v>24</v>
      </c>
      <c r="L15" s="7" t="s">
        <v>30</v>
      </c>
    </row>
    <row r="16" customFormat="false" ht="17.15" hidden="false" customHeight="false" outlineLevel="0" collapsed="false">
      <c r="A16" s="0" t="s">
        <v>31</v>
      </c>
      <c r="B16" s="4" t="n">
        <v>0.4</v>
      </c>
      <c r="C16" s="4" t="n">
        <v>0.6</v>
      </c>
      <c r="D16" s="4" t="n">
        <v>0.9</v>
      </c>
      <c r="E16" s="4" t="n">
        <v>0.7</v>
      </c>
      <c r="F16" s="4" t="n">
        <v>0.8</v>
      </c>
      <c r="G16" s="4" t="n">
        <v>1</v>
      </c>
      <c r="H16" s="4" t="n">
        <f aca="false">F16/C16</f>
        <v>1.33333333333333</v>
      </c>
      <c r="I16" s="4" t="n">
        <f aca="false">E16/D16</f>
        <v>0.777777777777778</v>
      </c>
      <c r="J16" s="4" t="n">
        <f aca="false">G16/B16</f>
        <v>2.5</v>
      </c>
      <c r="K16" s="7" t="s">
        <v>24</v>
      </c>
      <c r="L16" s="7" t="s">
        <v>32</v>
      </c>
    </row>
    <row r="17" customFormat="false" ht="15" hidden="false" customHeight="false" outlineLevel="0" collapsed="false">
      <c r="B17" s="4"/>
      <c r="C17" s="4"/>
      <c r="D17" s="4"/>
      <c r="E17" s="4"/>
      <c r="F17" s="4"/>
      <c r="G17" s="4"/>
      <c r="H17" s="4"/>
      <c r="I17" s="4"/>
      <c r="J17" s="4"/>
    </row>
    <row r="18" customFormat="false" ht="17.15" hidden="false" customHeight="false" outlineLevel="0" collapsed="false">
      <c r="A18" s="1" t="s">
        <v>33</v>
      </c>
      <c r="B18" s="4"/>
      <c r="C18" s="4"/>
      <c r="D18" s="4"/>
      <c r="E18" s="4"/>
      <c r="F18" s="4"/>
      <c r="G18" s="4"/>
      <c r="H18" s="4"/>
      <c r="I18" s="4"/>
      <c r="J18" s="4"/>
    </row>
    <row r="19" customFormat="false" ht="17.15" hidden="false" customHeight="false" outlineLevel="0" collapsed="false">
      <c r="A19" s="3" t="s">
        <v>2</v>
      </c>
      <c r="B19" s="9" t="s">
        <v>34</v>
      </c>
      <c r="C19" s="9" t="s">
        <v>4</v>
      </c>
      <c r="D19" s="9" t="s">
        <v>7</v>
      </c>
      <c r="E19" s="9" t="s">
        <v>35</v>
      </c>
      <c r="F19" s="9" t="s">
        <v>36</v>
      </c>
      <c r="G19" s="4"/>
      <c r="H19" s="4"/>
      <c r="I19" s="4"/>
      <c r="J19" s="4"/>
    </row>
    <row r="20" customFormat="false" ht="17.15" hidden="false" customHeight="false" outlineLevel="0" collapsed="false">
      <c r="A20" s="0" t="s">
        <v>37</v>
      </c>
      <c r="B20" s="4" t="n">
        <f aca="false">推導!E43</f>
        <v>0.048956176673568</v>
      </c>
      <c r="C20" s="4" t="n">
        <f aca="false">C11</f>
        <v>0.4</v>
      </c>
      <c r="D20" s="4" t="n">
        <f aca="false">F11</f>
        <v>1</v>
      </c>
      <c r="E20" s="4" t="n">
        <f aca="false">D20/C20</f>
        <v>2.5</v>
      </c>
      <c r="F20" s="10" t="s">
        <v>38</v>
      </c>
      <c r="G20" s="4"/>
      <c r="H20" s="4"/>
      <c r="I20" s="4"/>
      <c r="J20" s="4"/>
    </row>
    <row r="21" customFormat="false" ht="17.15" hidden="false" customHeight="false" outlineLevel="0" collapsed="false">
      <c r="A21" s="0" t="s">
        <v>39</v>
      </c>
      <c r="B21" s="4" t="n">
        <f aca="false">推導!E73</f>
        <v>0.575776194793421</v>
      </c>
      <c r="C21" s="4" t="n">
        <f aca="false">C12</f>
        <v>0.65</v>
      </c>
      <c r="D21" s="4" t="n">
        <f aca="false">F12</f>
        <v>0.8</v>
      </c>
      <c r="E21" s="4" t="n">
        <f aca="false">D21/C21</f>
        <v>1.23076923076923</v>
      </c>
      <c r="F21" s="10" t="s">
        <v>40</v>
      </c>
      <c r="G21" s="4"/>
      <c r="H21" s="4"/>
      <c r="I21" s="4"/>
      <c r="J21" s="4"/>
    </row>
    <row r="22" customFormat="false" ht="17.15" hidden="false" customHeight="false" outlineLevel="0" collapsed="false">
      <c r="A22" s="0" t="s">
        <v>41</v>
      </c>
      <c r="B22" s="6" t="n">
        <v>1.066</v>
      </c>
      <c r="C22" s="6" t="n">
        <v>0.8</v>
      </c>
      <c r="D22" s="6" t="n">
        <v>0.85</v>
      </c>
      <c r="E22" s="4" t="n">
        <f aca="false">D22/C22</f>
        <v>1.0625</v>
      </c>
      <c r="F22" s="4" t="s">
        <v>42</v>
      </c>
      <c r="G22" s="4"/>
      <c r="H22" s="4"/>
      <c r="I22" s="4"/>
      <c r="J22" s="4"/>
    </row>
    <row r="23" customFormat="false" ht="17.15" hidden="false" customHeight="false" outlineLevel="0" collapsed="false">
      <c r="A23" s="0" t="s">
        <v>43</v>
      </c>
      <c r="B23" s="6" t="n">
        <v>0.383</v>
      </c>
      <c r="C23" s="6" t="n">
        <v>0.8</v>
      </c>
      <c r="D23" s="6" t="n">
        <v>0.7</v>
      </c>
      <c r="E23" s="4" t="n">
        <f aca="false">D23/C23</f>
        <v>0.875</v>
      </c>
      <c r="F23" s="4" t="s">
        <v>44</v>
      </c>
      <c r="G23" s="4"/>
      <c r="H23" s="4"/>
      <c r="I23" s="4"/>
      <c r="J23" s="4"/>
    </row>
    <row r="24" customFormat="false" ht="17.15" hidden="false" customHeight="false" outlineLevel="0" collapsed="false">
      <c r="A24" s="0" t="s">
        <v>45</v>
      </c>
      <c r="B24" s="6" t="n">
        <v>0.176</v>
      </c>
      <c r="C24" s="6" t="n">
        <v>0.5</v>
      </c>
      <c r="D24" s="6" t="n">
        <v>0.61</v>
      </c>
      <c r="E24" s="4" t="n">
        <f aca="false">D24/C24</f>
        <v>1.22</v>
      </c>
      <c r="F24" s="4" t="s">
        <v>46</v>
      </c>
      <c r="G24" s="4"/>
      <c r="H24" s="4"/>
      <c r="I24" s="4"/>
      <c r="J24" s="4"/>
    </row>
    <row r="25" customFormat="false" ht="17.15" hidden="false" customHeight="false" outlineLevel="0" collapsed="false">
      <c r="A25" s="0" t="s">
        <v>47</v>
      </c>
      <c r="B25" s="6" t="n">
        <v>0.676</v>
      </c>
      <c r="C25" s="6" t="n">
        <v>0.55</v>
      </c>
      <c r="D25" s="6" t="n">
        <v>0.5</v>
      </c>
      <c r="E25" s="4" t="n">
        <f aca="false">D25/C25</f>
        <v>0.909090909090909</v>
      </c>
      <c r="F25" s="4" t="s">
        <v>48</v>
      </c>
      <c r="G25" s="4"/>
      <c r="H25" s="4"/>
      <c r="I25" s="4"/>
      <c r="J25" s="4"/>
    </row>
    <row r="26" customFormat="false" ht="17.15" hidden="false" customHeight="false" outlineLevel="0" collapsed="false">
      <c r="A26" s="5" t="s">
        <v>49</v>
      </c>
      <c r="B26" s="6" t="n">
        <v>0.093</v>
      </c>
      <c r="C26" s="6" t="n">
        <v>0.08</v>
      </c>
      <c r="D26" s="6" t="n">
        <v>0.55</v>
      </c>
      <c r="E26" s="4" t="n">
        <f aca="false">D26/C26</f>
        <v>6.875</v>
      </c>
      <c r="F26" s="4" t="s">
        <v>50</v>
      </c>
      <c r="G26" s="4"/>
      <c r="H26" s="4"/>
      <c r="I26" s="4"/>
      <c r="J2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"/>
    <col collapsed="false" customWidth="true" hidden="false" outlineLevel="0" max="6" min="3" style="0" width="12"/>
    <col collapsed="false" customWidth="true" hidden="false" outlineLevel="0" max="7" min="7" style="0" width="50"/>
    <col collapsed="false" customWidth="true" hidden="false" outlineLevel="0" max="8" min="8" style="0" width="28"/>
    <col collapsed="false" customWidth="true" hidden="false" outlineLevel="0" max="9" min="9" style="0" width="60"/>
  </cols>
  <sheetData>
    <row r="1" customFormat="false" ht="17.15" hidden="false" customHeight="false" outlineLevel="0" collapsed="false">
      <c r="A1" s="1" t="s">
        <v>51</v>
      </c>
    </row>
    <row r="2" customFormat="false" ht="550" hidden="false" customHeight="false" outlineLevel="0" collapsed="false">
      <c r="A2" s="2" t="s">
        <v>52</v>
      </c>
    </row>
    <row r="4" customFormat="false" ht="15" hidden="false" customHeight="false" outlineLevel="0" collapsed="false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12</v>
      </c>
      <c r="I4" s="3" t="s">
        <v>60</v>
      </c>
    </row>
    <row r="5" customFormat="false" ht="17.15" hidden="false" customHeight="false" outlineLevel="0" collapsed="false">
      <c r="A5" s="11" t="s">
        <v>61</v>
      </c>
      <c r="B5" s="12"/>
      <c r="C5" s="12"/>
      <c r="D5" s="12"/>
      <c r="E5" s="12"/>
      <c r="F5" s="12"/>
      <c r="G5" s="13"/>
      <c r="H5" s="13"/>
      <c r="I5" s="13"/>
    </row>
    <row r="6" customFormat="false" ht="32.8" hidden="false" customHeight="false" outlineLevel="0" collapsed="false">
      <c r="A6" s="0" t="s">
        <v>62</v>
      </c>
      <c r="B6" s="0" t="s">
        <v>63</v>
      </c>
      <c r="C6" s="0" t="s">
        <v>64</v>
      </c>
      <c r="D6" s="14" t="n">
        <v>35</v>
      </c>
      <c r="E6" s="14" t="n">
        <v>35</v>
      </c>
      <c r="F6" s="14" t="n">
        <v>35</v>
      </c>
      <c r="G6" s="15" t="s">
        <v>65</v>
      </c>
      <c r="H6" s="15" t="s">
        <v>66</v>
      </c>
      <c r="I6" s="15"/>
    </row>
    <row r="7" customFormat="false" ht="17.15" hidden="false" customHeight="false" outlineLevel="0" collapsed="false">
      <c r="A7" s="0" t="s">
        <v>67</v>
      </c>
      <c r="B7" s="0" t="s">
        <v>68</v>
      </c>
      <c r="C7" s="0" t="s">
        <v>69</v>
      </c>
      <c r="D7" s="16" t="n">
        <v>227</v>
      </c>
      <c r="E7" s="16" t="n">
        <v>227</v>
      </c>
      <c r="F7" s="16" t="n">
        <v>227</v>
      </c>
      <c r="G7" s="15" t="s">
        <v>70</v>
      </c>
      <c r="H7" s="15" t="s">
        <v>71</v>
      </c>
      <c r="I7" s="15" t="s">
        <v>72</v>
      </c>
    </row>
    <row r="8" customFormat="false" ht="17.15" hidden="false" customHeight="false" outlineLevel="0" collapsed="false">
      <c r="A8" s="0" t="s">
        <v>73</v>
      </c>
      <c r="B8" s="5" t="s">
        <v>74</v>
      </c>
      <c r="C8" s="5" t="s">
        <v>75</v>
      </c>
      <c r="D8" s="14" t="n">
        <v>72</v>
      </c>
      <c r="E8" s="14" t="n">
        <v>72</v>
      </c>
      <c r="F8" s="14" t="n">
        <v>72</v>
      </c>
      <c r="G8" s="15" t="s">
        <v>76</v>
      </c>
      <c r="H8" s="15" t="s">
        <v>77</v>
      </c>
      <c r="I8" s="15"/>
    </row>
    <row r="9" customFormat="false" ht="17.15" hidden="false" customHeight="false" outlineLevel="0" collapsed="false">
      <c r="A9" s="0" t="s">
        <v>78</v>
      </c>
      <c r="B9" s="0" t="s">
        <v>79</v>
      </c>
      <c r="C9" s="0" t="s">
        <v>69</v>
      </c>
      <c r="D9" s="17" t="n">
        <f aca="false">D7/D8</f>
        <v>3.15277777777778</v>
      </c>
      <c r="E9" s="17" t="n">
        <f aca="false">E7/E8</f>
        <v>3.15277777777778</v>
      </c>
      <c r="F9" s="17" t="n">
        <f aca="false">F7/F8</f>
        <v>3.15277777777778</v>
      </c>
      <c r="G9" s="15" t="s">
        <v>80</v>
      </c>
      <c r="H9" s="15" t="s">
        <v>80</v>
      </c>
      <c r="I9" s="15"/>
    </row>
    <row r="10" customFormat="false" ht="17.15" hidden="false" customHeight="false" outlineLevel="0" collapsed="false">
      <c r="A10" s="0" t="s">
        <v>81</v>
      </c>
      <c r="B10" s="0" t="s">
        <v>82</v>
      </c>
      <c r="C10" s="0" t="s">
        <v>83</v>
      </c>
      <c r="D10" s="17" t="n">
        <f aca="false">D6/D9</f>
        <v>11.1013215859031</v>
      </c>
      <c r="E10" s="17" t="n">
        <f aca="false">E6/E9</f>
        <v>11.1013215859031</v>
      </c>
      <c r="F10" s="17" t="n">
        <f aca="false">F6/F9</f>
        <v>11.1013215859031</v>
      </c>
      <c r="G10" s="15" t="s">
        <v>80</v>
      </c>
      <c r="H10" s="15" t="s">
        <v>80</v>
      </c>
      <c r="I10" s="15"/>
    </row>
    <row r="11" customFormat="false" ht="17.15" hidden="false" customHeight="false" outlineLevel="0" collapsed="false">
      <c r="A11" s="0" t="s">
        <v>84</v>
      </c>
      <c r="B11" s="0" t="s">
        <v>85</v>
      </c>
      <c r="C11" s="0" t="s">
        <v>64</v>
      </c>
      <c r="D11" s="14" t="n">
        <v>17.5</v>
      </c>
      <c r="E11" s="14" t="n">
        <v>17.5</v>
      </c>
      <c r="F11" s="14" t="n">
        <v>17.5</v>
      </c>
      <c r="G11" s="15" t="s">
        <v>86</v>
      </c>
      <c r="H11" s="15" t="s">
        <v>71</v>
      </c>
      <c r="I11" s="15"/>
    </row>
    <row r="12" customFormat="false" ht="17.15" hidden="false" customHeight="false" outlineLevel="0" collapsed="false">
      <c r="A12" s="0" t="s">
        <v>87</v>
      </c>
      <c r="B12" s="0" t="s">
        <v>88</v>
      </c>
      <c r="C12" s="0" t="s">
        <v>64</v>
      </c>
      <c r="D12" s="14" t="n">
        <v>4</v>
      </c>
      <c r="E12" s="14" t="n">
        <v>4</v>
      </c>
      <c r="F12" s="14" t="n">
        <v>4</v>
      </c>
      <c r="G12" s="15" t="s">
        <v>89</v>
      </c>
      <c r="H12" s="15" t="s">
        <v>71</v>
      </c>
      <c r="I12" s="15" t="s">
        <v>90</v>
      </c>
    </row>
    <row r="13" customFormat="false" ht="17.15" hidden="false" customHeight="false" outlineLevel="0" collapsed="false">
      <c r="A13" s="0" t="s">
        <v>91</v>
      </c>
      <c r="B13" s="0" t="s">
        <v>92</v>
      </c>
      <c r="C13" s="0" t="s">
        <v>93</v>
      </c>
      <c r="D13" s="14" t="n">
        <v>288</v>
      </c>
      <c r="E13" s="14" t="n">
        <v>288</v>
      </c>
      <c r="F13" s="14" t="n">
        <v>288</v>
      </c>
      <c r="G13" s="15" t="s">
        <v>94</v>
      </c>
      <c r="H13" s="15" t="s">
        <v>71</v>
      </c>
      <c r="I13" s="15"/>
    </row>
    <row r="14" customFormat="false" ht="17.15" hidden="false" customHeight="false" outlineLevel="0" collapsed="false">
      <c r="A14" s="0" t="s">
        <v>95</v>
      </c>
      <c r="B14" s="0" t="s">
        <v>96</v>
      </c>
      <c r="C14" s="5" t="s">
        <v>97</v>
      </c>
      <c r="D14" s="14" t="n">
        <v>4052</v>
      </c>
      <c r="E14" s="14" t="n">
        <v>4052</v>
      </c>
      <c r="F14" s="14" t="n">
        <v>4052</v>
      </c>
      <c r="G14" s="15" t="s">
        <v>98</v>
      </c>
      <c r="H14" s="15" t="s">
        <v>99</v>
      </c>
      <c r="I14" s="15"/>
    </row>
    <row r="15" customFormat="false" ht="17.15" hidden="false" customHeight="false" outlineLevel="0" collapsed="false">
      <c r="A15" s="0" t="s">
        <v>100</v>
      </c>
      <c r="B15" s="0" t="s">
        <v>101</v>
      </c>
      <c r="C15" s="0" t="s">
        <v>102</v>
      </c>
      <c r="D15" s="0" t="n">
        <f aca="false">D14*D7/1000</f>
        <v>919.804</v>
      </c>
      <c r="E15" s="0" t="n">
        <f aca="false">E14*E7/1000</f>
        <v>919.804</v>
      </c>
      <c r="F15" s="0" t="n">
        <f aca="false">F14*F7/1000</f>
        <v>919.804</v>
      </c>
      <c r="G15" s="15" t="s">
        <v>80</v>
      </c>
      <c r="H15" s="15" t="s">
        <v>80</v>
      </c>
      <c r="I15" s="2" t="s">
        <v>103</v>
      </c>
    </row>
    <row r="16" customFormat="false" ht="17.15" hidden="false" customHeight="false" outlineLevel="0" collapsed="false">
      <c r="A16" s="0" t="s">
        <v>104</v>
      </c>
      <c r="B16" s="0" t="s">
        <v>105</v>
      </c>
      <c r="C16" s="0" t="s">
        <v>106</v>
      </c>
      <c r="D16" s="14" t="n">
        <v>8.4</v>
      </c>
      <c r="E16" s="14" t="n">
        <v>8.4</v>
      </c>
      <c r="F16" s="14" t="n">
        <v>8.4</v>
      </c>
      <c r="G16" s="15" t="s">
        <v>107</v>
      </c>
      <c r="H16" s="15" t="s">
        <v>71</v>
      </c>
      <c r="I16" s="2" t="s">
        <v>108</v>
      </c>
    </row>
    <row r="17" customFormat="false" ht="17.15" hidden="false" customHeight="false" outlineLevel="0" collapsed="false">
      <c r="A17" s="0" t="s">
        <v>109</v>
      </c>
      <c r="B17" s="0" t="s">
        <v>110</v>
      </c>
      <c r="C17" s="0" t="s">
        <v>111</v>
      </c>
      <c r="D17" s="14" t="n">
        <v>37.586352</v>
      </c>
      <c r="E17" s="14" t="n">
        <v>37.586352</v>
      </c>
      <c r="F17" s="14" t="n">
        <v>37.586352</v>
      </c>
      <c r="G17" s="15" t="s">
        <v>112</v>
      </c>
      <c r="H17" s="15" t="s">
        <v>99</v>
      </c>
      <c r="I17" s="15"/>
    </row>
    <row r="18" customFormat="false" ht="17.15" hidden="false" customHeight="false" outlineLevel="0" collapsed="false">
      <c r="A18" s="0" t="s">
        <v>113</v>
      </c>
      <c r="B18" s="0" t="s">
        <v>114</v>
      </c>
      <c r="C18" s="0" t="s">
        <v>115</v>
      </c>
      <c r="D18" s="17" t="n">
        <f aca="false">D17/(D14*D16/1000)</f>
        <v>1.10428571428571</v>
      </c>
      <c r="E18" s="17" t="n">
        <f aca="false">E17/(E14*E16/1000)</f>
        <v>1.10428571428571</v>
      </c>
      <c r="F18" s="17" t="n">
        <f aca="false">F17/(F14*F16/1000)</f>
        <v>1.10428571428571</v>
      </c>
      <c r="G18" s="15" t="s">
        <v>80</v>
      </c>
      <c r="H18" s="15" t="s">
        <v>80</v>
      </c>
      <c r="I18" s="2" t="s">
        <v>116</v>
      </c>
    </row>
    <row r="19" customFormat="false" ht="17.15" hidden="false" customHeight="false" outlineLevel="0" collapsed="false">
      <c r="A19" s="0" t="s">
        <v>117</v>
      </c>
      <c r="B19" s="0" t="s">
        <v>118</v>
      </c>
      <c r="C19" s="0" t="s">
        <v>111</v>
      </c>
      <c r="D19" s="14" t="n">
        <v>12.67</v>
      </c>
      <c r="E19" s="14" t="n">
        <v>12.67</v>
      </c>
      <c r="F19" s="14" t="n">
        <v>12.67</v>
      </c>
      <c r="G19" s="15" t="s">
        <v>119</v>
      </c>
      <c r="H19" s="15" t="s">
        <v>99</v>
      </c>
      <c r="I19" s="15"/>
    </row>
    <row r="20" customFormat="false" ht="17.15" hidden="false" customHeight="false" outlineLevel="0" collapsed="false">
      <c r="A20" s="0" t="s">
        <v>120</v>
      </c>
      <c r="B20" s="0" t="s">
        <v>121</v>
      </c>
      <c r="C20" s="0" t="s">
        <v>122</v>
      </c>
      <c r="D20" s="14" t="n">
        <v>12.2254710045841</v>
      </c>
      <c r="E20" s="14" t="n">
        <v>12.2254710045841</v>
      </c>
      <c r="F20" s="14" t="n">
        <v>12.2254710045841</v>
      </c>
      <c r="G20" s="15" t="s">
        <v>123</v>
      </c>
      <c r="H20" s="15" t="s">
        <v>99</v>
      </c>
      <c r="I20" s="2" t="s">
        <v>124</v>
      </c>
    </row>
    <row r="21" customFormat="false" ht="17.15" hidden="false" customHeight="false" outlineLevel="0" collapsed="false">
      <c r="A21" s="0" t="s">
        <v>125</v>
      </c>
      <c r="B21" s="0" t="s">
        <v>126</v>
      </c>
      <c r="C21" s="0" t="s">
        <v>122</v>
      </c>
      <c r="D21" s="14" t="n">
        <v>8.9923042149807</v>
      </c>
      <c r="E21" s="14" t="n">
        <v>8.9923042149807</v>
      </c>
      <c r="F21" s="14" t="n">
        <v>8.9923042149807</v>
      </c>
      <c r="G21" s="15" t="s">
        <v>127</v>
      </c>
      <c r="H21" s="15" t="s">
        <v>99</v>
      </c>
      <c r="I21" s="15"/>
    </row>
    <row r="22" customFormat="false" ht="17.15" hidden="false" customHeight="false" outlineLevel="0" collapsed="false">
      <c r="A22" s="0" t="s">
        <v>128</v>
      </c>
      <c r="B22" s="0" t="s">
        <v>129</v>
      </c>
      <c r="C22" s="0" t="s">
        <v>122</v>
      </c>
      <c r="D22" s="14" t="n">
        <v>6.264392</v>
      </c>
      <c r="E22" s="14" t="n">
        <v>6.264392</v>
      </c>
      <c r="F22" s="14" t="n">
        <v>6.264392</v>
      </c>
      <c r="G22" s="15" t="s">
        <v>130</v>
      </c>
      <c r="H22" s="15" t="s">
        <v>99</v>
      </c>
      <c r="I22" s="15"/>
    </row>
    <row r="23" customFormat="false" ht="17.15" hidden="false" customHeight="false" outlineLevel="0" collapsed="false">
      <c r="A23" s="0" t="s">
        <v>131</v>
      </c>
      <c r="B23" s="0" t="s">
        <v>132</v>
      </c>
      <c r="C23" s="0" t="s">
        <v>122</v>
      </c>
      <c r="D23" s="14" t="n">
        <v>0.591045788314028</v>
      </c>
      <c r="E23" s="14" t="n">
        <v>0.591045788314028</v>
      </c>
      <c r="F23" s="14" t="n">
        <v>0.591045788314028</v>
      </c>
      <c r="G23" s="15" t="s">
        <v>133</v>
      </c>
      <c r="H23" s="15" t="s">
        <v>99</v>
      </c>
      <c r="I23" s="15"/>
    </row>
    <row r="24" customFormat="false" ht="17.15" hidden="false" customHeight="false" outlineLevel="0" collapsed="false">
      <c r="A24" s="0" t="s">
        <v>134</v>
      </c>
      <c r="B24" s="0" t="s">
        <v>135</v>
      </c>
      <c r="C24" s="0" t="s">
        <v>122</v>
      </c>
      <c r="D24" s="14" t="n">
        <v>0.25128176</v>
      </c>
      <c r="E24" s="14" t="n">
        <v>0.25128176</v>
      </c>
      <c r="F24" s="14" t="n">
        <v>0.25128176</v>
      </c>
      <c r="G24" s="15" t="s">
        <v>136</v>
      </c>
      <c r="H24" s="15" t="s">
        <v>99</v>
      </c>
      <c r="I24" s="15"/>
    </row>
    <row r="25" customFormat="false" ht="17.15" hidden="false" customHeight="false" outlineLevel="0" collapsed="false">
      <c r="A25" s="0" t="s">
        <v>137</v>
      </c>
      <c r="B25" s="5" t="s">
        <v>138</v>
      </c>
      <c r="C25" s="0" t="s">
        <v>122</v>
      </c>
      <c r="D25" s="0" t="n">
        <f aca="false">D20-D21</f>
        <v>3.2331667896034</v>
      </c>
      <c r="E25" s="0" t="n">
        <f aca="false">E20-E21</f>
        <v>3.2331667896034</v>
      </c>
      <c r="F25" s="0" t="n">
        <f aca="false">F20-F21</f>
        <v>3.2331667896034</v>
      </c>
      <c r="G25" s="15" t="s">
        <v>80</v>
      </c>
      <c r="H25" s="15" t="s">
        <v>80</v>
      </c>
      <c r="I25" s="15"/>
    </row>
    <row r="26" customFormat="false" ht="17.15" hidden="false" customHeight="false" outlineLevel="0" collapsed="false">
      <c r="A26" s="0" t="s">
        <v>139</v>
      </c>
      <c r="B26" s="0" t="s">
        <v>140</v>
      </c>
      <c r="C26" s="0" t="s">
        <v>141</v>
      </c>
      <c r="D26" s="17" t="n">
        <f aca="false">D17/(D17+D19)</f>
        <v>0.747892564904034</v>
      </c>
      <c r="E26" s="17" t="n">
        <f aca="false">E17/(E17+E19)</f>
        <v>0.747892564904034</v>
      </c>
      <c r="F26" s="17" t="n">
        <f aca="false">F17/(F17+F19)</f>
        <v>0.747892564904034</v>
      </c>
      <c r="G26" s="15" t="s">
        <v>80</v>
      </c>
      <c r="H26" s="15" t="s">
        <v>80</v>
      </c>
      <c r="I26" s="15"/>
    </row>
    <row r="27" customFormat="false" ht="17.15" hidden="false" customHeight="false" outlineLevel="0" collapsed="false">
      <c r="A27" s="0" t="s">
        <v>142</v>
      </c>
      <c r="B27" s="5" t="s">
        <v>143</v>
      </c>
      <c r="C27" s="0" t="s">
        <v>122</v>
      </c>
      <c r="D27" s="0" t="n">
        <f aca="false">D22+D23+(D24+D25)*D26</f>
        <v>9.46143095135306</v>
      </c>
      <c r="E27" s="0" t="n">
        <f aca="false">E22+E23+(E24+E25)*E26</f>
        <v>9.46143095135306</v>
      </c>
      <c r="F27" s="0" t="n">
        <f aca="false">F22+F23+(F24+F25)*F26</f>
        <v>9.46143095135306</v>
      </c>
      <c r="G27" s="15" t="s">
        <v>80</v>
      </c>
      <c r="H27" s="15" t="s">
        <v>80</v>
      </c>
      <c r="I27" s="15"/>
    </row>
    <row r="28" customFormat="false" ht="17.15" hidden="false" customHeight="false" outlineLevel="0" collapsed="false">
      <c r="A28" s="0" t="s">
        <v>144</v>
      </c>
      <c r="B28" s="5" t="s">
        <v>145</v>
      </c>
      <c r="C28" s="0" t="s">
        <v>141</v>
      </c>
      <c r="D28" s="17" t="n">
        <f aca="false">D27/D20</f>
        <v>0.773911364871371</v>
      </c>
      <c r="E28" s="17" t="n">
        <f aca="false">E27/E20</f>
        <v>0.773911364871371</v>
      </c>
      <c r="F28" s="17" t="n">
        <f aca="false">F27/F20</f>
        <v>0.773911364871371</v>
      </c>
      <c r="G28" s="15" t="s">
        <v>80</v>
      </c>
      <c r="H28" s="15" t="s">
        <v>80</v>
      </c>
      <c r="I28" s="2" t="s">
        <v>146</v>
      </c>
    </row>
    <row r="29" customFormat="false" ht="17.15" hidden="false" customHeight="false" outlineLevel="0" collapsed="false">
      <c r="A29" s="11" t="s">
        <v>147</v>
      </c>
      <c r="B29" s="12"/>
      <c r="C29" s="12"/>
      <c r="D29" s="12"/>
      <c r="E29" s="12"/>
      <c r="F29" s="12"/>
      <c r="G29" s="13"/>
      <c r="H29" s="13"/>
      <c r="I29" s="13"/>
    </row>
    <row r="30" customFormat="false" ht="17.15" hidden="false" customHeight="false" outlineLevel="0" collapsed="false">
      <c r="A30" s="0" t="s">
        <v>148</v>
      </c>
      <c r="B30" s="0" t="s">
        <v>149</v>
      </c>
      <c r="C30" s="0" t="s">
        <v>69</v>
      </c>
      <c r="D30" s="16" t="n">
        <v>136</v>
      </c>
      <c r="E30" s="16" t="n">
        <v>136</v>
      </c>
      <c r="F30" s="16" t="n">
        <v>136</v>
      </c>
      <c r="G30" s="15" t="s">
        <v>150</v>
      </c>
      <c r="H30" s="15" t="s">
        <v>151</v>
      </c>
      <c r="I30" s="15"/>
    </row>
    <row r="31" customFormat="false" ht="17.15" hidden="false" customHeight="false" outlineLevel="0" collapsed="false">
      <c r="A31" s="0" t="s">
        <v>152</v>
      </c>
      <c r="B31" s="0" t="s">
        <v>153</v>
      </c>
      <c r="C31" s="5" t="s">
        <v>75</v>
      </c>
      <c r="D31" s="14" t="n">
        <v>72</v>
      </c>
      <c r="E31" s="14" t="n">
        <v>72</v>
      </c>
      <c r="F31" s="14" t="n">
        <v>72</v>
      </c>
      <c r="G31" s="15" t="s">
        <v>154</v>
      </c>
      <c r="H31" s="15" t="s">
        <v>77</v>
      </c>
      <c r="I31" s="15"/>
    </row>
    <row r="32" customFormat="false" ht="17.15" hidden="false" customHeight="false" outlineLevel="0" collapsed="false">
      <c r="A32" s="0" t="s">
        <v>155</v>
      </c>
      <c r="B32" s="0" t="s">
        <v>156</v>
      </c>
      <c r="C32" s="0" t="s">
        <v>157</v>
      </c>
      <c r="D32" s="14" t="n">
        <v>1400</v>
      </c>
      <c r="E32" s="14" t="n">
        <v>1400</v>
      </c>
      <c r="F32" s="14" t="n">
        <v>1400</v>
      </c>
      <c r="G32" s="15" t="s">
        <v>158</v>
      </c>
      <c r="H32" s="15" t="s">
        <v>71</v>
      </c>
      <c r="I32" s="15"/>
    </row>
    <row r="33" customFormat="false" ht="17.15" hidden="false" customHeight="false" outlineLevel="0" collapsed="false">
      <c r="A33" s="0" t="s">
        <v>159</v>
      </c>
      <c r="B33" s="0" t="s">
        <v>160</v>
      </c>
      <c r="C33" s="0" t="s">
        <v>115</v>
      </c>
      <c r="D33" s="17" t="n">
        <f aca="false">D30*1000/(D31*D32)</f>
        <v>1.34920634920635</v>
      </c>
      <c r="E33" s="17" t="n">
        <f aca="false">E30*1000/(E31*E32)</f>
        <v>1.34920634920635</v>
      </c>
      <c r="F33" s="17" t="n">
        <f aca="false">F30*1000/(F31*F32)</f>
        <v>1.34920634920635</v>
      </c>
      <c r="G33" s="15" t="s">
        <v>80</v>
      </c>
      <c r="H33" s="15" t="s">
        <v>80</v>
      </c>
      <c r="I33" s="15" t="s">
        <v>161</v>
      </c>
    </row>
    <row r="34" customFormat="false" ht="17.15" hidden="false" customHeight="false" outlineLevel="0" collapsed="false">
      <c r="A34" s="0" t="s">
        <v>162</v>
      </c>
      <c r="B34" s="0" t="s">
        <v>163</v>
      </c>
      <c r="C34" s="0" t="s">
        <v>141</v>
      </c>
      <c r="D34" s="16" t="n">
        <v>0.693216239743152</v>
      </c>
      <c r="E34" s="16" t="n">
        <v>0.665656345719338</v>
      </c>
      <c r="F34" s="16" t="n">
        <v>0.563845155935545</v>
      </c>
      <c r="G34" s="15" t="s">
        <v>164</v>
      </c>
      <c r="H34" s="15" t="s">
        <v>99</v>
      </c>
      <c r="I34" s="2" t="s">
        <v>165</v>
      </c>
    </row>
    <row r="35" customFormat="false" ht="17.15" hidden="false" customHeight="false" outlineLevel="0" collapsed="false">
      <c r="A35" s="0" t="s">
        <v>166</v>
      </c>
      <c r="B35" s="0" t="s">
        <v>167</v>
      </c>
      <c r="C35" s="0" t="s">
        <v>141</v>
      </c>
      <c r="D35" s="17" t="n">
        <f aca="false">AVERAGE(D34:F34)</f>
        <v>0.640905913799345</v>
      </c>
      <c r="E35" s="17" t="n">
        <f aca="false">AVERAGE(D34:F34)</f>
        <v>0.640905913799345</v>
      </c>
      <c r="F35" s="17" t="n">
        <f aca="false">AVERAGE(D34:F34)</f>
        <v>0.640905913799345</v>
      </c>
      <c r="G35" s="15" t="s">
        <v>80</v>
      </c>
      <c r="H35" s="15" t="s">
        <v>80</v>
      </c>
      <c r="I35" s="15" t="s">
        <v>168</v>
      </c>
    </row>
    <row r="36" customFormat="false" ht="32.8" hidden="false" customHeight="false" outlineLevel="0" collapsed="false">
      <c r="A36" s="0" t="s">
        <v>169</v>
      </c>
      <c r="B36" s="0" t="s">
        <v>170</v>
      </c>
      <c r="C36" s="0" t="s">
        <v>171</v>
      </c>
      <c r="D36" s="14" t="n">
        <v>15998</v>
      </c>
      <c r="E36" s="14" t="n">
        <v>15998</v>
      </c>
      <c r="F36" s="14" t="n">
        <v>15998</v>
      </c>
      <c r="G36" s="15" t="s">
        <v>172</v>
      </c>
      <c r="H36" s="2" t="s">
        <v>173</v>
      </c>
      <c r="I36" s="15" t="s">
        <v>174</v>
      </c>
    </row>
    <row r="37" customFormat="false" ht="17.15" hidden="false" customHeight="false" outlineLevel="0" collapsed="false">
      <c r="A37" s="0" t="s">
        <v>175</v>
      </c>
      <c r="B37" s="0" t="s">
        <v>176</v>
      </c>
      <c r="C37" s="0" t="s">
        <v>177</v>
      </c>
      <c r="D37" s="0" t="n">
        <f aca="false">D36/(D30/D31)</f>
        <v>8469.52941176471</v>
      </c>
      <c r="E37" s="0" t="n">
        <f aca="false">E36/(E30/E31)</f>
        <v>8469.52941176471</v>
      </c>
      <c r="F37" s="0" t="n">
        <f aca="false">F36/(F30/F31)</f>
        <v>8469.52941176471</v>
      </c>
      <c r="G37" s="15" t="s">
        <v>80</v>
      </c>
      <c r="H37" s="15" t="s">
        <v>80</v>
      </c>
      <c r="I37" s="15"/>
    </row>
    <row r="38" customFormat="false" ht="17.15" hidden="false" customHeight="false" outlineLevel="0" collapsed="false">
      <c r="A38" s="0" t="s">
        <v>178</v>
      </c>
      <c r="B38" s="0" t="s">
        <v>179</v>
      </c>
      <c r="C38" s="0" t="s">
        <v>115</v>
      </c>
      <c r="D38" s="17" t="n">
        <f aca="false">AVERAGE(132/(72*1.2),136/(72*1.4),227/(72*1.8),188/(72*1.8))</f>
        <v>1.51978615520282</v>
      </c>
      <c r="E38" s="17" t="n">
        <f aca="false">AVERAGE(132/(72*1.2),136/(72*1.4),227/(72*1.8),188/(72*1.8))</f>
        <v>1.51978615520282</v>
      </c>
      <c r="F38" s="17" t="n">
        <f aca="false">AVERAGE(132/(72*1.2),136/(72*1.4),227/(72*1.8),188/(72*1.8))</f>
        <v>1.51978615520282</v>
      </c>
      <c r="G38" s="15" t="s">
        <v>180</v>
      </c>
      <c r="H38" s="15" t="s">
        <v>80</v>
      </c>
      <c r="I38" s="15" t="s">
        <v>181</v>
      </c>
    </row>
    <row r="39" customFormat="false" ht="17.15" hidden="false" customHeight="false" outlineLevel="0" collapsed="false">
      <c r="A39" s="11" t="s">
        <v>182</v>
      </c>
      <c r="B39" s="12"/>
      <c r="C39" s="12"/>
      <c r="D39" s="12"/>
      <c r="E39" s="12"/>
      <c r="F39" s="12"/>
      <c r="G39" s="13"/>
      <c r="H39" s="13"/>
      <c r="I39" s="13"/>
    </row>
    <row r="40" customFormat="false" ht="17.15" hidden="false" customHeight="false" outlineLevel="0" collapsed="false">
      <c r="A40" s="0" t="s">
        <v>183</v>
      </c>
      <c r="B40" s="5" t="s">
        <v>184</v>
      </c>
      <c r="C40" s="0" t="s">
        <v>64</v>
      </c>
      <c r="D40" s="14" t="n">
        <v>12.5</v>
      </c>
      <c r="E40" s="14" t="n">
        <v>12.5</v>
      </c>
      <c r="F40" s="14" t="n">
        <v>12.5</v>
      </c>
      <c r="G40" s="15" t="s">
        <v>185</v>
      </c>
      <c r="H40" s="2" t="s">
        <v>186</v>
      </c>
      <c r="I40" s="15" t="s">
        <v>187</v>
      </c>
    </row>
    <row r="41" customFormat="false" ht="32.8" hidden="false" customHeight="false" outlineLevel="0" collapsed="false">
      <c r="A41" s="0" t="s">
        <v>188</v>
      </c>
      <c r="B41" s="5" t="s">
        <v>189</v>
      </c>
      <c r="C41" s="0" t="s">
        <v>69</v>
      </c>
      <c r="D41" s="16" t="n">
        <v>27</v>
      </c>
      <c r="E41" s="16" t="n">
        <v>23</v>
      </c>
      <c r="F41" s="16" t="n">
        <v>23</v>
      </c>
      <c r="G41" s="2" t="s">
        <v>190</v>
      </c>
      <c r="H41" s="2" t="s">
        <v>191</v>
      </c>
      <c r="I41" s="2" t="s">
        <v>192</v>
      </c>
    </row>
    <row r="42" customFormat="false" ht="17.15" hidden="false" customHeight="false" outlineLevel="0" collapsed="false">
      <c r="A42" s="0" t="s">
        <v>193</v>
      </c>
      <c r="B42" s="5" t="s">
        <v>194</v>
      </c>
      <c r="C42" s="0" t="s">
        <v>83</v>
      </c>
      <c r="D42" s="4" t="n">
        <f aca="false">D40/D41</f>
        <v>0.462962962962963</v>
      </c>
      <c r="E42" s="4" t="n">
        <f aca="false">E40/E41</f>
        <v>0.543478260869565</v>
      </c>
      <c r="F42" s="4" t="n">
        <f aca="false">F40/F41</f>
        <v>0.543478260869565</v>
      </c>
      <c r="G42" s="15" t="s">
        <v>80</v>
      </c>
      <c r="H42" s="15" t="s">
        <v>80</v>
      </c>
      <c r="I42" s="15"/>
    </row>
    <row r="43" customFormat="false" ht="17.15" hidden="false" customHeight="false" outlineLevel="0" collapsed="false">
      <c r="A43" s="0" t="s">
        <v>195</v>
      </c>
      <c r="B43" s="0" t="s">
        <v>196</v>
      </c>
      <c r="C43" s="0" t="s">
        <v>141</v>
      </c>
      <c r="D43" s="17" t="n">
        <f aca="false">D42/D10</f>
        <v>0.0417034097589653</v>
      </c>
      <c r="E43" s="17" t="n">
        <f aca="false">E42/E10</f>
        <v>0.048956176673568</v>
      </c>
      <c r="F43" s="17" t="n">
        <f aca="false">F42/F10</f>
        <v>0.048956176673568</v>
      </c>
      <c r="G43" s="15" t="s">
        <v>80</v>
      </c>
      <c r="H43" s="15" t="s">
        <v>80</v>
      </c>
      <c r="I43" s="15" t="s">
        <v>197</v>
      </c>
    </row>
    <row r="44" customFormat="false" ht="17.15" hidden="false" customHeight="false" outlineLevel="0" collapsed="false">
      <c r="A44" s="0" t="s">
        <v>198</v>
      </c>
      <c r="B44" s="0" t="s">
        <v>199</v>
      </c>
      <c r="C44" s="0" t="s">
        <v>141</v>
      </c>
      <c r="D44" s="17" t="n">
        <f aca="false">D42/(D12/D9)</f>
        <v>0.364904835390947</v>
      </c>
      <c r="E44" s="17" t="n">
        <f aca="false">E42/(E12/E9)</f>
        <v>0.42836654589372</v>
      </c>
      <c r="F44" s="17" t="n">
        <f aca="false">F42/(F12/F9)</f>
        <v>0.42836654589372</v>
      </c>
      <c r="G44" s="15" t="s">
        <v>80</v>
      </c>
      <c r="H44" s="15" t="s">
        <v>80</v>
      </c>
      <c r="I44" s="15" t="s">
        <v>200</v>
      </c>
    </row>
    <row r="45" customFormat="false" ht="17.15" hidden="false" customHeight="false" outlineLevel="0" collapsed="false">
      <c r="A45" s="0" t="s">
        <v>201</v>
      </c>
      <c r="B45" s="5" t="s">
        <v>202</v>
      </c>
      <c r="C45" s="0" t="s">
        <v>93</v>
      </c>
      <c r="D45" s="14" t="n">
        <v>44</v>
      </c>
      <c r="E45" s="14" t="n">
        <v>44</v>
      </c>
      <c r="F45" s="14" t="n">
        <v>44</v>
      </c>
      <c r="G45" s="15" t="s">
        <v>203</v>
      </c>
      <c r="H45" s="15" t="s">
        <v>71</v>
      </c>
      <c r="I45" s="2" t="s">
        <v>204</v>
      </c>
    </row>
    <row r="46" customFormat="false" ht="32.8" hidden="false" customHeight="false" outlineLevel="0" collapsed="false">
      <c r="A46" s="0" t="s">
        <v>205</v>
      </c>
      <c r="B46" s="5" t="s">
        <v>206</v>
      </c>
      <c r="C46" s="0" t="s">
        <v>141</v>
      </c>
      <c r="D46" s="17" t="n">
        <f aca="false">(D45/D41)/(D13*D8/D7)</f>
        <v>0.0178397919524463</v>
      </c>
      <c r="E46" s="17" t="n">
        <f aca="false">(E45/E41)/(E13*E8/E7)</f>
        <v>0.0209423644659152</v>
      </c>
      <c r="F46" s="17" t="n">
        <f aca="false">(F45/F41)/(F13*F8/F7)</f>
        <v>0.0209423644659152</v>
      </c>
      <c r="G46" s="15" t="s">
        <v>80</v>
      </c>
      <c r="H46" s="15" t="s">
        <v>80</v>
      </c>
      <c r="I46" s="2" t="s">
        <v>207</v>
      </c>
    </row>
    <row r="47" customFormat="false" ht="17.15" hidden="false" customHeight="false" outlineLevel="0" collapsed="false">
      <c r="A47" s="0" t="s">
        <v>208</v>
      </c>
      <c r="B47" s="0" t="s">
        <v>209</v>
      </c>
      <c r="C47" s="0" t="s">
        <v>210</v>
      </c>
      <c r="D47" s="14" t="n">
        <v>40000000</v>
      </c>
      <c r="E47" s="14" t="n">
        <v>40000000</v>
      </c>
      <c r="F47" s="14" t="n">
        <v>40000000</v>
      </c>
      <c r="G47" s="15" t="s">
        <v>211</v>
      </c>
      <c r="H47" s="15" t="s">
        <v>212</v>
      </c>
      <c r="I47" s="2" t="s">
        <v>213</v>
      </c>
    </row>
    <row r="48" customFormat="false" ht="17.15" hidden="false" customHeight="false" outlineLevel="0" collapsed="false">
      <c r="A48" s="0" t="s">
        <v>214</v>
      </c>
      <c r="B48" s="5" t="s">
        <v>215</v>
      </c>
      <c r="C48" s="5" t="s">
        <v>216</v>
      </c>
      <c r="D48" s="14" t="n">
        <v>3000</v>
      </c>
      <c r="E48" s="14" t="n">
        <v>2000</v>
      </c>
      <c r="F48" s="14" t="n">
        <v>1000</v>
      </c>
      <c r="G48" s="15" t="s">
        <v>217</v>
      </c>
      <c r="H48" s="15" t="s">
        <v>218</v>
      </c>
      <c r="I48" s="2" t="s">
        <v>219</v>
      </c>
    </row>
    <row r="49" customFormat="false" ht="15" hidden="false" customHeight="false" outlineLevel="0" collapsed="false">
      <c r="A49" s="0" t="s">
        <v>220</v>
      </c>
      <c r="B49" s="5" t="s">
        <v>221</v>
      </c>
      <c r="C49" s="0" t="s">
        <v>210</v>
      </c>
      <c r="D49" s="0" t="n">
        <f aca="false">D47/D48</f>
        <v>13333.3333333333</v>
      </c>
      <c r="E49" s="0" t="n">
        <f aca="false">E47/E48</f>
        <v>20000</v>
      </c>
      <c r="F49" s="0" t="n">
        <f aca="false">F47/F48</f>
        <v>40000</v>
      </c>
      <c r="G49" s="15" t="s">
        <v>80</v>
      </c>
      <c r="H49" s="15" t="s">
        <v>80</v>
      </c>
      <c r="I49" s="15"/>
    </row>
    <row r="50" customFormat="false" ht="17.15" hidden="false" customHeight="false" outlineLevel="0" collapsed="false">
      <c r="A50" s="0" t="s">
        <v>222</v>
      </c>
      <c r="B50" s="5" t="s">
        <v>223</v>
      </c>
      <c r="C50" s="0" t="s">
        <v>177</v>
      </c>
      <c r="D50" s="0" t="n">
        <f aca="false">D49/D41</f>
        <v>493.827160493827</v>
      </c>
      <c r="E50" s="0" t="n">
        <f aca="false">E49/E41</f>
        <v>869.565217391304</v>
      </c>
      <c r="F50" s="0" t="n">
        <f aca="false">F49/F41</f>
        <v>1739.13043478261</v>
      </c>
      <c r="G50" s="15" t="s">
        <v>80</v>
      </c>
      <c r="H50" s="15" t="s">
        <v>80</v>
      </c>
      <c r="I50" s="15"/>
    </row>
    <row r="51" customFormat="false" ht="17.15" hidden="false" customHeight="false" outlineLevel="0" collapsed="false">
      <c r="A51" s="0" t="s">
        <v>224</v>
      </c>
      <c r="B51" s="0" t="s">
        <v>225</v>
      </c>
      <c r="C51" s="0" t="s">
        <v>141</v>
      </c>
      <c r="D51" s="17" t="n">
        <f aca="false">D50/D37</f>
        <v>0.0583063280715302</v>
      </c>
      <c r="E51" s="17" t="n">
        <f aca="false">E50/E37</f>
        <v>0.102669838560738</v>
      </c>
      <c r="F51" s="17" t="n">
        <f aca="false">F50/F37</f>
        <v>0.205339677121476</v>
      </c>
      <c r="G51" s="15" t="s">
        <v>80</v>
      </c>
      <c r="H51" s="15" t="s">
        <v>226</v>
      </c>
      <c r="I51" s="15" t="s">
        <v>227</v>
      </c>
    </row>
    <row r="52" customFormat="false" ht="32.8" hidden="false" customHeight="false" outlineLevel="0" collapsed="false">
      <c r="A52" s="0" t="s">
        <v>228</v>
      </c>
      <c r="B52" s="5" t="s">
        <v>229</v>
      </c>
      <c r="C52" s="0" t="s">
        <v>141</v>
      </c>
      <c r="D52" s="17" t="n">
        <f aca="false">D51*D35</f>
        <v>0.0373688704729685</v>
      </c>
      <c r="E52" s="17" t="n">
        <f aca="false">E51*E35</f>
        <v>0.065801706702401</v>
      </c>
      <c r="F52" s="17" t="n">
        <f aca="false">F51*F35</f>
        <v>0.131603413404802</v>
      </c>
      <c r="G52" s="15" t="s">
        <v>80</v>
      </c>
      <c r="H52" s="15" t="s">
        <v>230</v>
      </c>
      <c r="I52" s="2" t="s">
        <v>231</v>
      </c>
    </row>
    <row r="53" customFormat="false" ht="17.15" hidden="false" customHeight="false" outlineLevel="0" collapsed="false">
      <c r="A53" s="0" t="s">
        <v>232</v>
      </c>
      <c r="B53" s="0" t="s">
        <v>233</v>
      </c>
      <c r="C53" s="0" t="s">
        <v>141</v>
      </c>
      <c r="D53" s="4" t="n">
        <f aca="false">0.2/D44</f>
        <v>0.548088105726872</v>
      </c>
      <c r="E53" s="4" t="n">
        <f aca="false">0.4/E44</f>
        <v>0.93377973568282</v>
      </c>
      <c r="F53" s="4" t="n">
        <f aca="false">0.8/F44</f>
        <v>1.86755947136564</v>
      </c>
      <c r="G53" s="15" t="s">
        <v>80</v>
      </c>
      <c r="H53" s="15" t="s">
        <v>80</v>
      </c>
      <c r="I53" s="15" t="s">
        <v>234</v>
      </c>
    </row>
    <row r="54" customFormat="false" ht="32.8" hidden="false" customHeight="false" outlineLevel="0" collapsed="false">
      <c r="A54" s="0" t="s">
        <v>235</v>
      </c>
      <c r="B54" s="5" t="s">
        <v>236</v>
      </c>
      <c r="C54" s="0" t="s">
        <v>106</v>
      </c>
      <c r="D54" s="14" t="n">
        <v>2.5</v>
      </c>
      <c r="E54" s="14" t="n">
        <v>3.2</v>
      </c>
      <c r="F54" s="14" t="n">
        <v>4</v>
      </c>
      <c r="G54" s="15" t="s">
        <v>237</v>
      </c>
      <c r="H54" s="2" t="s">
        <v>238</v>
      </c>
      <c r="I54" s="2" t="s">
        <v>239</v>
      </c>
    </row>
    <row r="55" customFormat="false" ht="17.15" hidden="false" customHeight="false" outlineLevel="0" collapsed="false">
      <c r="A55" s="0" t="s">
        <v>240</v>
      </c>
      <c r="B55" s="5" t="s">
        <v>241</v>
      </c>
      <c r="C55" s="5" t="s">
        <v>216</v>
      </c>
      <c r="D55" s="0" t="n">
        <f aca="false">D15*1000/$E$41</f>
        <v>39991.4782608696</v>
      </c>
      <c r="E55" s="0" t="n">
        <f aca="false">E15*1000/$E$41</f>
        <v>39991.4782608696</v>
      </c>
      <c r="F55" s="0" t="n">
        <f aca="false">F15*1000/$E$41</f>
        <v>39991.4782608696</v>
      </c>
      <c r="G55" s="15" t="s">
        <v>80</v>
      </c>
      <c r="H55" s="15" t="s">
        <v>80</v>
      </c>
      <c r="I55" s="15" t="s">
        <v>242</v>
      </c>
    </row>
    <row r="56" customFormat="false" ht="17.15" hidden="false" customHeight="false" outlineLevel="0" collapsed="false">
      <c r="A56" s="0" t="s">
        <v>243</v>
      </c>
      <c r="B56" s="5" t="s">
        <v>244</v>
      </c>
      <c r="C56" s="0" t="s">
        <v>111</v>
      </c>
      <c r="D56" s="0" t="n">
        <f aca="false">D55*D54/1000*D18</f>
        <v>110.405045341615</v>
      </c>
      <c r="E56" s="0" t="n">
        <f aca="false">E55*E54/1000*E18</f>
        <v>141.318458037267</v>
      </c>
      <c r="F56" s="0" t="n">
        <f aca="false">F55*F54/1000*F18</f>
        <v>176.648072546584</v>
      </c>
      <c r="G56" s="15" t="s">
        <v>80</v>
      </c>
      <c r="H56" s="15" t="s">
        <v>80</v>
      </c>
      <c r="I56" s="15"/>
    </row>
    <row r="57" customFormat="false" ht="17.15" hidden="false" customHeight="false" outlineLevel="0" collapsed="false">
      <c r="A57" s="0" t="s">
        <v>245</v>
      </c>
      <c r="B57" s="0" t="s">
        <v>246</v>
      </c>
      <c r="C57" s="0" t="s">
        <v>141</v>
      </c>
      <c r="D57" s="4" t="n">
        <f aca="false">D56/D17</f>
        <v>2.93737060041408</v>
      </c>
      <c r="E57" s="4" t="n">
        <f aca="false">E56/E17</f>
        <v>3.75983436853002</v>
      </c>
      <c r="F57" s="4" t="n">
        <f aca="false">F56/F17</f>
        <v>4.69979296066253</v>
      </c>
      <c r="G57" s="15" t="s">
        <v>80</v>
      </c>
      <c r="H57" s="15" t="s">
        <v>80</v>
      </c>
      <c r="I57" s="15"/>
    </row>
    <row r="58" customFormat="false" ht="17.15" hidden="false" customHeight="false" outlineLevel="0" collapsed="false">
      <c r="A58" s="0" t="s">
        <v>247</v>
      </c>
      <c r="B58" s="0" t="s">
        <v>248</v>
      </c>
      <c r="C58" s="0" t="s">
        <v>141</v>
      </c>
      <c r="D58" s="17" t="n">
        <f aca="false">1-D28*(1-D57)</f>
        <v>2.49935312562813</v>
      </c>
      <c r="E58" s="17" t="n">
        <f aca="false">1-E28*(1-E57)</f>
        <v>3.13586718296799</v>
      </c>
      <c r="F58" s="17" t="n">
        <f aca="false">1-F28*(1-F57)</f>
        <v>3.86331181992783</v>
      </c>
      <c r="G58" s="15" t="s">
        <v>80</v>
      </c>
      <c r="H58" s="15" t="s">
        <v>249</v>
      </c>
      <c r="I58" s="15"/>
    </row>
    <row r="59" customFormat="false" ht="17.15" hidden="false" customHeight="false" outlineLevel="0" collapsed="false">
      <c r="A59" s="0" t="s">
        <v>250</v>
      </c>
      <c r="B59" s="0" t="s">
        <v>251</v>
      </c>
      <c r="C59" s="0" t="s">
        <v>111</v>
      </c>
      <c r="D59" s="14" t="n">
        <v>20</v>
      </c>
      <c r="E59" s="14" t="n">
        <v>20</v>
      </c>
      <c r="F59" s="14" t="n">
        <v>20</v>
      </c>
      <c r="G59" s="15" t="s">
        <v>252</v>
      </c>
      <c r="H59" s="15" t="s">
        <v>212</v>
      </c>
      <c r="I59" s="2" t="s">
        <v>253</v>
      </c>
    </row>
    <row r="60" customFormat="false" ht="17.15" hidden="false" customHeight="false" outlineLevel="0" collapsed="false">
      <c r="A60" s="0" t="s">
        <v>254</v>
      </c>
      <c r="B60" s="5" t="s">
        <v>255</v>
      </c>
      <c r="C60" s="0" t="s">
        <v>102</v>
      </c>
      <c r="D60" s="14" t="n">
        <v>750</v>
      </c>
      <c r="E60" s="14" t="n">
        <v>750</v>
      </c>
      <c r="F60" s="14" t="n">
        <v>750</v>
      </c>
      <c r="G60" s="15" t="s">
        <v>256</v>
      </c>
      <c r="H60" s="15" t="s">
        <v>71</v>
      </c>
      <c r="I60" s="2" t="s">
        <v>257</v>
      </c>
    </row>
    <row r="61" customFormat="false" ht="17.15" hidden="false" customHeight="false" outlineLevel="0" collapsed="false">
      <c r="A61" s="0" t="s">
        <v>258</v>
      </c>
      <c r="B61" s="5" t="s">
        <v>259</v>
      </c>
      <c r="C61" s="5" t="s">
        <v>260</v>
      </c>
      <c r="D61" s="14" t="n">
        <v>4</v>
      </c>
      <c r="E61" s="14" t="n">
        <v>3.5</v>
      </c>
      <c r="F61" s="14" t="n">
        <v>3</v>
      </c>
      <c r="G61" s="15" t="s">
        <v>261</v>
      </c>
      <c r="H61" s="15" t="s">
        <v>262</v>
      </c>
      <c r="I61" s="2" t="s">
        <v>263</v>
      </c>
    </row>
    <row r="62" customFormat="false" ht="17.15" hidden="false" customHeight="false" outlineLevel="0" collapsed="false">
      <c r="A62" s="0" t="s">
        <v>264</v>
      </c>
      <c r="B62" s="5" t="s">
        <v>265</v>
      </c>
      <c r="C62" s="0" t="s">
        <v>122</v>
      </c>
      <c r="D62" s="0" t="n">
        <f aca="false">D59/(D60/1000)/D61</f>
        <v>6.66666666666667</v>
      </c>
      <c r="E62" s="0" t="n">
        <f aca="false">E59/(E60/1000)/E61</f>
        <v>7.61904761904762</v>
      </c>
      <c r="F62" s="0" t="n">
        <f aca="false">F59/(F60/1000)/F61</f>
        <v>8.88888888888889</v>
      </c>
      <c r="G62" s="15" t="s">
        <v>80</v>
      </c>
      <c r="H62" s="15" t="s">
        <v>80</v>
      </c>
      <c r="I62" s="2" t="s">
        <v>266</v>
      </c>
    </row>
    <row r="63" customFormat="false" ht="17.15" hidden="false" customHeight="false" outlineLevel="0" collapsed="false">
      <c r="A63" s="0" t="s">
        <v>267</v>
      </c>
      <c r="B63" s="0" t="s">
        <v>268</v>
      </c>
      <c r="C63" s="0" t="s">
        <v>141</v>
      </c>
      <c r="D63" s="17" t="n">
        <f aca="false">D62/D20</f>
        <v>0.545309597001777</v>
      </c>
      <c r="E63" s="17" t="n">
        <f aca="false">E62/E20</f>
        <v>0.623210968002031</v>
      </c>
      <c r="F63" s="17" t="n">
        <f aca="false">F62/F20</f>
        <v>0.727079462669036</v>
      </c>
      <c r="G63" s="15" t="s">
        <v>80</v>
      </c>
      <c r="H63" s="15" t="s">
        <v>269</v>
      </c>
      <c r="I63" s="2" t="s">
        <v>270</v>
      </c>
    </row>
    <row r="64" customFormat="false" ht="17.15" hidden="false" customHeight="false" outlineLevel="0" collapsed="false">
      <c r="A64" s="0" t="s">
        <v>271</v>
      </c>
      <c r="B64" s="5" t="s">
        <v>272</v>
      </c>
      <c r="C64" s="0" t="s">
        <v>115</v>
      </c>
      <c r="D64" s="18" t="n">
        <f aca="false">D58/F63</f>
        <v>3.43752403135312</v>
      </c>
      <c r="E64" s="18" t="n">
        <f aca="false">E58/E63</f>
        <v>5.03179074819776</v>
      </c>
      <c r="F64" s="18" t="n">
        <f aca="false">F58/D63</f>
        <v>7.08462099542921</v>
      </c>
      <c r="G64" s="15" t="s">
        <v>80</v>
      </c>
      <c r="H64" s="15" t="s">
        <v>80</v>
      </c>
      <c r="I64" s="2" t="s">
        <v>273</v>
      </c>
    </row>
    <row r="65" customFormat="false" ht="17.15" hidden="false" customHeight="false" outlineLevel="0" collapsed="false">
      <c r="A65" s="11" t="s">
        <v>274</v>
      </c>
      <c r="B65" s="12"/>
      <c r="C65" s="12"/>
      <c r="D65" s="12"/>
      <c r="E65" s="12"/>
      <c r="F65" s="12"/>
      <c r="G65" s="13"/>
      <c r="H65" s="13"/>
      <c r="I65" s="13"/>
    </row>
    <row r="66" customFormat="false" ht="17.15" hidden="false" customHeight="false" outlineLevel="0" collapsed="false">
      <c r="A66" s="0" t="s">
        <v>275</v>
      </c>
      <c r="B66" s="5" t="s">
        <v>276</v>
      </c>
      <c r="C66" s="0" t="s">
        <v>64</v>
      </c>
      <c r="D66" s="14" t="n">
        <v>13.4</v>
      </c>
      <c r="E66" s="14" t="n">
        <v>13.4</v>
      </c>
      <c r="F66" s="14" t="n">
        <v>13.4</v>
      </c>
      <c r="G66" s="15" t="s">
        <v>277</v>
      </c>
      <c r="H66" s="15" t="s">
        <v>278</v>
      </c>
      <c r="I66" s="15"/>
    </row>
    <row r="67" customFormat="false" ht="17.15" hidden="false" customHeight="false" outlineLevel="0" collapsed="false">
      <c r="A67" s="0" t="s">
        <v>279</v>
      </c>
      <c r="B67" s="5" t="s">
        <v>280</v>
      </c>
      <c r="C67" s="0" t="s">
        <v>64</v>
      </c>
      <c r="D67" s="14" t="n">
        <v>3.4</v>
      </c>
      <c r="E67" s="14" t="n">
        <v>3.4</v>
      </c>
      <c r="F67" s="14" t="n">
        <v>3.4</v>
      </c>
      <c r="G67" s="15" t="s">
        <v>277</v>
      </c>
      <c r="H67" s="15" t="s">
        <v>278</v>
      </c>
      <c r="I67" s="15" t="s">
        <v>281</v>
      </c>
    </row>
    <row r="68" customFormat="false" ht="17.15" hidden="false" customHeight="false" outlineLevel="0" collapsed="false">
      <c r="A68" s="0" t="s">
        <v>282</v>
      </c>
      <c r="B68" s="5" t="s">
        <v>283</v>
      </c>
      <c r="C68" s="0" t="s">
        <v>64</v>
      </c>
      <c r="D68" s="0" t="n">
        <f aca="false">2*D67</f>
        <v>6.8</v>
      </c>
      <c r="E68" s="0" t="n">
        <f aca="false">2*E67</f>
        <v>6.8</v>
      </c>
      <c r="F68" s="0" t="n">
        <f aca="false">2*F67</f>
        <v>6.8</v>
      </c>
      <c r="G68" s="15" t="s">
        <v>80</v>
      </c>
      <c r="H68" s="15" t="s">
        <v>80</v>
      </c>
      <c r="I68" s="2" t="s">
        <v>284</v>
      </c>
    </row>
    <row r="69" customFormat="false" ht="17.15" hidden="false" customHeight="false" outlineLevel="0" collapsed="false">
      <c r="A69" s="0" t="s">
        <v>285</v>
      </c>
      <c r="B69" s="5" t="s">
        <v>286</v>
      </c>
      <c r="C69" s="0" t="s">
        <v>69</v>
      </c>
      <c r="D69" s="16" t="n">
        <v>0.7</v>
      </c>
      <c r="E69" s="16" t="n">
        <v>0.7</v>
      </c>
      <c r="F69" s="16" t="n">
        <v>0.7</v>
      </c>
      <c r="G69" s="15" t="s">
        <v>287</v>
      </c>
      <c r="H69" s="15" t="s">
        <v>278</v>
      </c>
      <c r="I69" s="2" t="s">
        <v>288</v>
      </c>
    </row>
    <row r="70" customFormat="false" ht="17.15" hidden="false" customHeight="false" outlineLevel="0" collapsed="false">
      <c r="A70" s="0" t="s">
        <v>289</v>
      </c>
      <c r="B70" s="5" t="s">
        <v>290</v>
      </c>
      <c r="C70" s="0" t="s">
        <v>115</v>
      </c>
      <c r="D70" s="16" t="n">
        <v>1.75</v>
      </c>
      <c r="E70" s="17" t="n">
        <f aca="false">E38</f>
        <v>1.51978615520282</v>
      </c>
      <c r="F70" s="16" t="n">
        <v>1.35</v>
      </c>
      <c r="G70" s="15" t="s">
        <v>291</v>
      </c>
      <c r="H70" s="15" t="s">
        <v>292</v>
      </c>
      <c r="I70" s="2" t="s">
        <v>293</v>
      </c>
    </row>
    <row r="71" customFormat="false" ht="15" hidden="false" customHeight="false" outlineLevel="0" collapsed="false">
      <c r="A71" s="0" t="s">
        <v>294</v>
      </c>
      <c r="B71" s="5" t="s">
        <v>295</v>
      </c>
      <c r="C71" s="0" t="s">
        <v>69</v>
      </c>
      <c r="D71" s="17" t="n">
        <f aca="false">D69*D70</f>
        <v>1.225</v>
      </c>
      <c r="E71" s="17" t="n">
        <f aca="false">E69*E70</f>
        <v>1.06385030864198</v>
      </c>
      <c r="F71" s="17" t="n">
        <f aca="false">F69*F70</f>
        <v>0.945</v>
      </c>
      <c r="G71" s="15" t="s">
        <v>80</v>
      </c>
      <c r="H71" s="15" t="s">
        <v>80</v>
      </c>
      <c r="I71" s="15"/>
    </row>
    <row r="72" customFormat="false" ht="17.15" hidden="false" customHeight="false" outlineLevel="0" collapsed="false">
      <c r="A72" s="0" t="s">
        <v>296</v>
      </c>
      <c r="B72" s="0" t="s">
        <v>297</v>
      </c>
      <c r="C72" s="0" t="s">
        <v>141</v>
      </c>
      <c r="D72" s="17" t="n">
        <f aca="false">(D66/D71)/D10</f>
        <v>0.985357952704892</v>
      </c>
      <c r="E72" s="17" t="n">
        <f aca="false">(E66/E71)/E10</f>
        <v>1.13461779562233</v>
      </c>
      <c r="F72" s="17" t="n">
        <f aca="false">(F66/F71)/F10</f>
        <v>1.27731586461745</v>
      </c>
      <c r="G72" s="15" t="s">
        <v>80</v>
      </c>
      <c r="H72" s="15" t="s">
        <v>80</v>
      </c>
      <c r="I72" s="15"/>
    </row>
    <row r="73" customFormat="false" ht="17.15" hidden="false" customHeight="false" outlineLevel="0" collapsed="false">
      <c r="A73" s="0" t="s">
        <v>298</v>
      </c>
      <c r="B73" s="0" t="s">
        <v>299</v>
      </c>
      <c r="C73" s="0" t="s">
        <v>141</v>
      </c>
      <c r="D73" s="17" t="n">
        <f aca="false">(D68/D71)/D10</f>
        <v>0.500032393909945</v>
      </c>
      <c r="E73" s="17" t="n">
        <f aca="false">(E68/E71)/E10</f>
        <v>0.575776194793421</v>
      </c>
      <c r="F73" s="17" t="n">
        <f aca="false">(F68/F71)/F10</f>
        <v>0.648190140253632</v>
      </c>
      <c r="G73" s="15" t="s">
        <v>80</v>
      </c>
      <c r="H73" s="15" t="s">
        <v>80</v>
      </c>
      <c r="I73" s="15"/>
    </row>
    <row r="74" customFormat="false" ht="17.15" hidden="false" customHeight="false" outlineLevel="0" collapsed="false">
      <c r="A74" s="0" t="s">
        <v>300</v>
      </c>
      <c r="B74" s="0" t="s">
        <v>301</v>
      </c>
      <c r="C74" s="0" t="s">
        <v>141</v>
      </c>
      <c r="D74" s="17" t="n">
        <f aca="false">(D67/D71)/(D11/D9)</f>
        <v>0.500032393909945</v>
      </c>
      <c r="E74" s="17" t="n">
        <f aca="false">(E67/E71)/(E11/E9)</f>
        <v>0.575776194793421</v>
      </c>
      <c r="F74" s="17" t="n">
        <f aca="false">(F67/F71)/(F11/F9)</f>
        <v>0.648190140253632</v>
      </c>
      <c r="G74" s="15" t="s">
        <v>80</v>
      </c>
      <c r="H74" s="15" t="s">
        <v>80</v>
      </c>
      <c r="I74" s="2" t="s">
        <v>302</v>
      </c>
    </row>
    <row r="75" customFormat="false" ht="32.8" hidden="false" customHeight="false" outlineLevel="0" collapsed="false">
      <c r="A75" s="0" t="s">
        <v>303</v>
      </c>
      <c r="B75" s="5" t="s">
        <v>304</v>
      </c>
      <c r="C75" s="0" t="s">
        <v>141</v>
      </c>
      <c r="D75" s="16" t="n">
        <v>0.5</v>
      </c>
      <c r="E75" s="16" t="n">
        <v>0.75</v>
      </c>
      <c r="F75" s="16" t="n">
        <v>1</v>
      </c>
      <c r="G75" s="2" t="s">
        <v>305</v>
      </c>
      <c r="H75" s="15" t="s">
        <v>218</v>
      </c>
      <c r="I75" s="15"/>
    </row>
    <row r="76" customFormat="false" ht="17.15" hidden="false" customHeight="false" outlineLevel="0" collapsed="false">
      <c r="A76" s="0" t="s">
        <v>306</v>
      </c>
      <c r="B76" s="5" t="s">
        <v>307</v>
      </c>
      <c r="C76" s="0" t="s">
        <v>141</v>
      </c>
      <c r="D76" s="17" t="n">
        <f aca="false">D72*D75</f>
        <v>0.492678976352446</v>
      </c>
      <c r="E76" s="17" t="n">
        <f aca="false">E72*E75</f>
        <v>0.850963346716747</v>
      </c>
      <c r="F76" s="17" t="n">
        <f aca="false">F72*F75</f>
        <v>1.27731586461745</v>
      </c>
      <c r="G76" s="15" t="s">
        <v>80</v>
      </c>
      <c r="H76" s="15" t="s">
        <v>308</v>
      </c>
      <c r="I76" s="15"/>
    </row>
    <row r="77" customFormat="false" ht="17.15" hidden="false" customHeight="false" outlineLevel="0" collapsed="false">
      <c r="A77" s="0" t="s">
        <v>309</v>
      </c>
      <c r="B77" s="5" t="s">
        <v>310</v>
      </c>
      <c r="C77" s="0" t="s">
        <v>141</v>
      </c>
      <c r="D77" s="17" t="n">
        <f aca="false">D73*D75</f>
        <v>0.250016196954972</v>
      </c>
      <c r="E77" s="17" t="n">
        <f aca="false">E73*E75</f>
        <v>0.431832146095065</v>
      </c>
      <c r="F77" s="17" t="n">
        <f aca="false">F73*F75</f>
        <v>0.648190140253632</v>
      </c>
      <c r="G77" s="15" t="s">
        <v>80</v>
      </c>
      <c r="H77" s="15" t="s">
        <v>308</v>
      </c>
      <c r="I77" s="15"/>
    </row>
    <row r="78" customFormat="false" ht="17.15" hidden="false" customHeight="false" outlineLevel="0" collapsed="false">
      <c r="A78" s="0" t="s">
        <v>311</v>
      </c>
      <c r="B78" s="0" t="s">
        <v>312</v>
      </c>
      <c r="C78" s="0" t="s">
        <v>177</v>
      </c>
      <c r="D78" s="14" t="n">
        <v>19641</v>
      </c>
      <c r="E78" s="14" t="n">
        <v>19641</v>
      </c>
      <c r="F78" s="14" t="n">
        <v>19641</v>
      </c>
      <c r="G78" s="15" t="s">
        <v>313</v>
      </c>
      <c r="H78" s="15" t="s">
        <v>278</v>
      </c>
      <c r="I78" s="15"/>
    </row>
    <row r="79" customFormat="false" ht="17.15" hidden="false" customHeight="false" outlineLevel="0" collapsed="false">
      <c r="A79" s="0" t="s">
        <v>314</v>
      </c>
      <c r="B79" s="5" t="s">
        <v>315</v>
      </c>
      <c r="C79" s="0" t="s">
        <v>177</v>
      </c>
      <c r="D79" s="14" t="n">
        <v>11781</v>
      </c>
      <c r="E79" s="14" t="n">
        <v>11781</v>
      </c>
      <c r="F79" s="14" t="n">
        <v>11781</v>
      </c>
      <c r="G79" s="15" t="s">
        <v>313</v>
      </c>
      <c r="H79" s="15" t="s">
        <v>278</v>
      </c>
      <c r="I79" s="15"/>
    </row>
    <row r="80" customFormat="false" ht="17.15" hidden="false" customHeight="false" outlineLevel="0" collapsed="false">
      <c r="A80" s="0" t="s">
        <v>316</v>
      </c>
      <c r="B80" s="0" t="s">
        <v>317</v>
      </c>
      <c r="C80" s="0" t="s">
        <v>177</v>
      </c>
      <c r="D80" s="14" t="n">
        <v>18195</v>
      </c>
      <c r="E80" s="14" t="n">
        <v>18195</v>
      </c>
      <c r="F80" s="14" t="n">
        <v>18195</v>
      </c>
      <c r="G80" s="15" t="s">
        <v>313</v>
      </c>
      <c r="H80" s="15" t="s">
        <v>278</v>
      </c>
      <c r="I80" s="15"/>
    </row>
    <row r="81" customFormat="false" ht="17.15" hidden="false" customHeight="false" outlineLevel="0" collapsed="false">
      <c r="A81" s="0" t="s">
        <v>318</v>
      </c>
      <c r="B81" s="5" t="s">
        <v>315</v>
      </c>
      <c r="C81" s="0" t="s">
        <v>177</v>
      </c>
      <c r="D81" s="14" t="n">
        <v>11862</v>
      </c>
      <c r="E81" s="14" t="n">
        <v>11862</v>
      </c>
      <c r="F81" s="14" t="n">
        <v>11862</v>
      </c>
      <c r="G81" s="15" t="s">
        <v>313</v>
      </c>
      <c r="H81" s="15" t="s">
        <v>278</v>
      </c>
      <c r="I81" s="15"/>
    </row>
    <row r="82" customFormat="false" ht="17.15" hidden="false" customHeight="false" outlineLevel="0" collapsed="false">
      <c r="A82" s="0" t="s">
        <v>319</v>
      </c>
      <c r="B82" s="5" t="s">
        <v>320</v>
      </c>
      <c r="C82" s="0" t="s">
        <v>115</v>
      </c>
      <c r="D82" s="16" t="n">
        <v>1.5</v>
      </c>
      <c r="E82" s="16" t="n">
        <v>1.5</v>
      </c>
      <c r="F82" s="16" t="n">
        <v>1.5</v>
      </c>
      <c r="G82" s="15" t="s">
        <v>321</v>
      </c>
      <c r="H82" s="2" t="s">
        <v>322</v>
      </c>
      <c r="I82" s="15"/>
    </row>
    <row r="83" customFormat="false" ht="32.8" hidden="false" customHeight="false" outlineLevel="0" collapsed="false">
      <c r="A83" s="0" t="s">
        <v>323</v>
      </c>
      <c r="B83" s="5" t="s">
        <v>324</v>
      </c>
      <c r="C83" s="0" t="s">
        <v>115</v>
      </c>
      <c r="D83" s="4" t="n">
        <f aca="false">MIN(E82,E80/E81)</f>
        <v>1.5</v>
      </c>
      <c r="E83" s="4" t="n">
        <f aca="false">AVERAGE(E78/E79,E80/E81)</f>
        <v>1.60053284660533</v>
      </c>
      <c r="F83" s="4" t="n">
        <f aca="false">E78/E79</f>
        <v>1.66717596129361</v>
      </c>
      <c r="G83" s="2" t="s">
        <v>325</v>
      </c>
      <c r="H83" s="15" t="s">
        <v>326</v>
      </c>
      <c r="I83" s="15" t="s">
        <v>327</v>
      </c>
    </row>
    <row r="84" customFormat="false" ht="17.15" hidden="false" customHeight="false" outlineLevel="0" collapsed="false">
      <c r="A84" s="0" t="s">
        <v>328</v>
      </c>
      <c r="B84" s="5" t="s">
        <v>329</v>
      </c>
      <c r="C84" s="0" t="s">
        <v>115</v>
      </c>
      <c r="D84" s="4" t="n">
        <f aca="false">D83*E33/D70</f>
        <v>1.15646258503401</v>
      </c>
      <c r="E84" s="4" t="n">
        <f aca="false">E83*E33/E70</f>
        <v>1.42089008467447</v>
      </c>
      <c r="F84" s="4" t="n">
        <f aca="false">F83*E33/F70</f>
        <v>1.66619584609003</v>
      </c>
      <c r="G84" s="15" t="s">
        <v>80</v>
      </c>
      <c r="H84" s="15" t="s">
        <v>80</v>
      </c>
      <c r="I84" s="15"/>
    </row>
    <row r="85" customFormat="false" ht="32.8" hidden="false" customHeight="false" outlineLevel="0" collapsed="false">
      <c r="A85" s="0" t="s">
        <v>330</v>
      </c>
      <c r="B85" s="5" t="s">
        <v>331</v>
      </c>
      <c r="C85" s="0" t="s">
        <v>141</v>
      </c>
      <c r="D85" s="17" t="n">
        <f aca="false">D84*E35</f>
        <v>0.741183709835977</v>
      </c>
      <c r="E85" s="17" t="n">
        <f aca="false">E84*E35</f>
        <v>0.910656858126718</v>
      </c>
      <c r="F85" s="17" t="n">
        <f aca="false">F84*E35</f>
        <v>1.067874771307</v>
      </c>
      <c r="G85" s="15" t="s">
        <v>80</v>
      </c>
      <c r="H85" s="15" t="s">
        <v>326</v>
      </c>
      <c r="I85" s="2" t="s">
        <v>332</v>
      </c>
    </row>
    <row r="86" customFormat="false" ht="17.15" hidden="false" customHeight="false" outlineLevel="0" collapsed="false">
      <c r="A86" s="0" t="s">
        <v>333</v>
      </c>
      <c r="B86" s="5" t="s">
        <v>334</v>
      </c>
      <c r="C86" s="0" t="s">
        <v>141</v>
      </c>
      <c r="D86" s="4" t="n">
        <f aca="false">E85/E73</f>
        <v>1.58161602782735</v>
      </c>
      <c r="E86" s="4" t="n">
        <f aca="false">E85/E72</f>
        <v>0.802611118598955</v>
      </c>
      <c r="F86" s="6"/>
      <c r="G86" s="15" t="s">
        <v>80</v>
      </c>
      <c r="H86" s="15" t="s">
        <v>80</v>
      </c>
      <c r="I86" s="15" t="s">
        <v>335</v>
      </c>
    </row>
    <row r="87" customFormat="false" ht="32.8" hidden="false" customHeight="false" outlineLevel="0" collapsed="false">
      <c r="A87" s="0" t="s">
        <v>336</v>
      </c>
      <c r="B87" s="5" t="s">
        <v>337</v>
      </c>
      <c r="C87" s="0" t="s">
        <v>141</v>
      </c>
      <c r="D87" s="17" t="n">
        <f aca="false">E77</f>
        <v>0.431832146095065</v>
      </c>
      <c r="E87" s="17" t="n">
        <f aca="false">AVERAGE(E77,E85)</f>
        <v>0.671244502110892</v>
      </c>
      <c r="F87" s="17" t="n">
        <f aca="false">F85</f>
        <v>1.067874771307</v>
      </c>
      <c r="G87" s="2" t="s">
        <v>338</v>
      </c>
      <c r="H87" s="15" t="s">
        <v>218</v>
      </c>
      <c r="I87" s="15" t="s">
        <v>339</v>
      </c>
    </row>
    <row r="88" customFormat="false" ht="17.15" hidden="false" customHeight="false" outlineLevel="0" collapsed="false">
      <c r="A88" s="0" t="s">
        <v>340</v>
      </c>
      <c r="B88" s="0" t="s">
        <v>341</v>
      </c>
      <c r="C88" s="0" t="s">
        <v>111</v>
      </c>
      <c r="D88" s="14" t="n">
        <v>20</v>
      </c>
      <c r="E88" s="14" t="n">
        <v>25</v>
      </c>
      <c r="F88" s="14" t="n">
        <v>30</v>
      </c>
      <c r="G88" s="15" t="s">
        <v>342</v>
      </c>
      <c r="H88" s="15" t="s">
        <v>343</v>
      </c>
      <c r="I88" s="15"/>
    </row>
    <row r="89" customFormat="false" ht="17.15" hidden="false" customHeight="false" outlineLevel="0" collapsed="false">
      <c r="A89" s="0" t="s">
        <v>344</v>
      </c>
      <c r="B89" s="5" t="s">
        <v>345</v>
      </c>
      <c r="C89" s="0" t="s">
        <v>115</v>
      </c>
      <c r="D89" s="16" t="n">
        <v>1</v>
      </c>
      <c r="E89" s="16" t="n">
        <v>1.15</v>
      </c>
      <c r="F89" s="16" t="n">
        <v>1.35</v>
      </c>
      <c r="G89" s="15" t="s">
        <v>346</v>
      </c>
      <c r="H89" s="15" t="s">
        <v>218</v>
      </c>
      <c r="I89" s="15"/>
    </row>
    <row r="90" customFormat="false" ht="17.15" hidden="false" customHeight="false" outlineLevel="0" collapsed="false">
      <c r="A90" s="0" t="s">
        <v>347</v>
      </c>
      <c r="B90" s="0" t="s">
        <v>348</v>
      </c>
      <c r="C90" s="0" t="s">
        <v>115</v>
      </c>
      <c r="D90" s="16" t="n">
        <v>1</v>
      </c>
      <c r="E90" s="16" t="n">
        <v>1</v>
      </c>
      <c r="F90" s="16" t="n">
        <v>1.25</v>
      </c>
      <c r="G90" s="15" t="s">
        <v>349</v>
      </c>
      <c r="H90" s="15" t="s">
        <v>24</v>
      </c>
      <c r="I90" s="15"/>
    </row>
    <row r="91" customFormat="false" ht="17.15" hidden="false" customHeight="false" outlineLevel="0" collapsed="false">
      <c r="A91" s="0" t="s">
        <v>350</v>
      </c>
      <c r="B91" s="5" t="s">
        <v>351</v>
      </c>
      <c r="C91" s="0" t="s">
        <v>111</v>
      </c>
      <c r="D91" s="0" t="n">
        <f aca="false">D88*D89*D90</f>
        <v>20</v>
      </c>
      <c r="E91" s="0" t="n">
        <f aca="false">E88*E89*E90</f>
        <v>28.75</v>
      </c>
      <c r="F91" s="0" t="n">
        <f aca="false">F88*F89*F90</f>
        <v>50.625</v>
      </c>
      <c r="G91" s="15" t="s">
        <v>80</v>
      </c>
      <c r="H91" s="15" t="s">
        <v>80</v>
      </c>
      <c r="I91" s="15"/>
    </row>
    <row r="92" customFormat="false" ht="17.15" hidden="false" customHeight="false" outlineLevel="0" collapsed="false">
      <c r="A92" s="0" t="s">
        <v>352</v>
      </c>
      <c r="B92" s="0" t="s">
        <v>353</v>
      </c>
      <c r="C92" s="0" t="s">
        <v>141</v>
      </c>
      <c r="D92" s="4" t="n">
        <f aca="false">D91/D17</f>
        <v>0.532108037513191</v>
      </c>
      <c r="E92" s="4" t="n">
        <f aca="false">E91/E17</f>
        <v>0.764905303925212</v>
      </c>
      <c r="F92" s="4" t="n">
        <f aca="false">F91/F17</f>
        <v>1.34689846995526</v>
      </c>
      <c r="G92" s="15" t="s">
        <v>80</v>
      </c>
      <c r="H92" s="15" t="s">
        <v>80</v>
      </c>
      <c r="I92" s="15"/>
    </row>
    <row r="93" customFormat="false" ht="17.15" hidden="false" customHeight="false" outlineLevel="0" collapsed="false">
      <c r="A93" s="0" t="s">
        <v>354</v>
      </c>
      <c r="B93" s="5" t="s">
        <v>355</v>
      </c>
      <c r="C93" s="0" t="s">
        <v>141</v>
      </c>
      <c r="D93" s="17" t="n">
        <f aca="false">1-D28*(1-D92)</f>
        <v>0.637893092699489</v>
      </c>
      <c r="E93" s="17" t="n">
        <f aca="false">1-E28*(1-E92)</f>
        <v>0.818057542886741</v>
      </c>
      <c r="F93" s="17" t="n">
        <f aca="false">1-F28*(1-F92)</f>
        <v>1.26846866835487</v>
      </c>
      <c r="G93" s="15" t="s">
        <v>80</v>
      </c>
      <c r="H93" s="15" t="s">
        <v>356</v>
      </c>
      <c r="I93" s="15" t="s">
        <v>357</v>
      </c>
    </row>
    <row r="94" customFormat="false" ht="17.15" hidden="false" customHeight="false" outlineLevel="0" collapsed="false">
      <c r="A94" s="0" t="s">
        <v>358</v>
      </c>
      <c r="B94" s="5" t="s">
        <v>359</v>
      </c>
      <c r="C94" s="0" t="s">
        <v>141</v>
      </c>
      <c r="D94" s="17" t="n">
        <f aca="false">1-D28*(1-11.5/D17)</f>
        <v>0.462876198231873</v>
      </c>
      <c r="E94" s="17" t="n">
        <f aca="false">1-E28*(1-11.5/E17)</f>
        <v>0.462876198231873</v>
      </c>
      <c r="F94" s="17" t="n">
        <f aca="false">1-F28*(1-11.5/F17)</f>
        <v>0.462876198231873</v>
      </c>
      <c r="G94" s="15" t="s">
        <v>360</v>
      </c>
      <c r="H94" s="2" t="s">
        <v>361</v>
      </c>
      <c r="I94" s="15"/>
    </row>
    <row r="95" customFormat="false" ht="17.15" hidden="false" customHeight="false" outlineLevel="0" collapsed="false">
      <c r="A95" s="11" t="s">
        <v>362</v>
      </c>
      <c r="B95" s="12"/>
      <c r="C95" s="12"/>
      <c r="D95" s="12"/>
      <c r="E95" s="12"/>
      <c r="F95" s="12"/>
      <c r="G95" s="13"/>
      <c r="H95" s="13"/>
      <c r="I95" s="13"/>
    </row>
    <row r="96" customFormat="false" ht="17.15" hidden="false" customHeight="false" outlineLevel="0" collapsed="false">
      <c r="A96" s="0" t="s">
        <v>363</v>
      </c>
      <c r="B96" s="0" t="s">
        <v>364</v>
      </c>
      <c r="C96" s="5" t="s">
        <v>365</v>
      </c>
      <c r="D96" s="17" t="n">
        <f aca="false">25.4/(E60/1000)/D61/E20</f>
        <v>0.692543188192257</v>
      </c>
      <c r="E96" s="17" t="n">
        <f aca="false">25.4/(E60/1000)/E61/E20</f>
        <v>0.791477929362579</v>
      </c>
      <c r="F96" s="17" t="n">
        <f aca="false">25.4/(E60/1000)/F61/E20</f>
        <v>0.923390917589676</v>
      </c>
      <c r="G96" s="15" t="s">
        <v>366</v>
      </c>
      <c r="H96" s="15" t="s">
        <v>80</v>
      </c>
      <c r="I96" s="15" t="s">
        <v>367</v>
      </c>
    </row>
    <row r="97" customFormat="false" ht="17.15" hidden="false" customHeight="false" outlineLevel="0" collapsed="false">
      <c r="A97" s="0" t="s">
        <v>368</v>
      </c>
      <c r="B97" s="0" t="s">
        <v>369</v>
      </c>
      <c r="C97" s="5" t="s">
        <v>370</v>
      </c>
      <c r="D97" s="17" t="n">
        <f aca="false">E44*0.5</f>
        <v>0.21418327294686</v>
      </c>
      <c r="E97" s="17" t="n">
        <f aca="false">E44*0.75</f>
        <v>0.32127490942029</v>
      </c>
      <c r="F97" s="17" t="n">
        <f aca="false">E44*1</f>
        <v>0.42836654589372</v>
      </c>
      <c r="G97" s="15" t="s">
        <v>80</v>
      </c>
      <c r="H97" s="15" t="s">
        <v>80</v>
      </c>
      <c r="I97" s="15" t="s">
        <v>371</v>
      </c>
    </row>
    <row r="98" customFormat="false" ht="17.15" hidden="false" customHeight="false" outlineLevel="0" collapsed="false">
      <c r="A98" s="0" t="s">
        <v>372</v>
      </c>
      <c r="B98" s="0" t="s">
        <v>373</v>
      </c>
      <c r="C98" s="5" t="s">
        <v>374</v>
      </c>
      <c r="D98" s="17" t="n">
        <f aca="false">E83*E33/2*E35</f>
        <v>0.692001842560743</v>
      </c>
      <c r="E98" s="17" t="n">
        <f aca="false">E83*E33/2*E35</f>
        <v>0.692001842560743</v>
      </c>
      <c r="F98" s="17" t="n">
        <f aca="false">E83*E33/2*E35</f>
        <v>0.692001842560743</v>
      </c>
      <c r="G98" s="15" t="s">
        <v>80</v>
      </c>
      <c r="H98" s="15" t="s">
        <v>80</v>
      </c>
      <c r="I98" s="15" t="s">
        <v>375</v>
      </c>
    </row>
    <row r="99" customFormat="false" ht="17.15" hidden="false" customHeight="false" outlineLevel="0" collapsed="false">
      <c r="A99" s="0" t="s">
        <v>376</v>
      </c>
      <c r="B99" s="0" t="s">
        <v>377</v>
      </c>
      <c r="C99" s="5" t="s">
        <v>374</v>
      </c>
      <c r="D99" s="17" t="n">
        <f aca="false">E84*F34</f>
        <v>0.801161991360544</v>
      </c>
      <c r="E99" s="17" t="n">
        <f aca="false">E84*F34</f>
        <v>0.801161991360544</v>
      </c>
      <c r="F99" s="17" t="n">
        <f aca="false">E84*F34</f>
        <v>0.801161991360544</v>
      </c>
      <c r="G99" s="15" t="s">
        <v>80</v>
      </c>
      <c r="H99" s="15" t="s">
        <v>80</v>
      </c>
      <c r="I99" s="15"/>
    </row>
    <row r="100" customFormat="false" ht="17.15" hidden="false" customHeight="false" outlineLevel="0" collapsed="false">
      <c r="A100" s="0" t="s">
        <v>378</v>
      </c>
      <c r="B100" s="0" t="s">
        <v>379</v>
      </c>
      <c r="C100" s="5" t="s">
        <v>380</v>
      </c>
      <c r="D100" s="17" t="n">
        <f aca="false">(E68/(0.55*E70))/E10*E75</f>
        <v>0.549604549575538</v>
      </c>
      <c r="E100" s="17" t="n">
        <f aca="false">(E68/(0.55*E70))/E10*E75</f>
        <v>0.549604549575538</v>
      </c>
      <c r="F100" s="17" t="n">
        <f aca="false">(E68/(0.55*E70))/E10*E75</f>
        <v>0.549604549575538</v>
      </c>
      <c r="G100" s="15" t="s">
        <v>277</v>
      </c>
      <c r="H100" s="15" t="s">
        <v>80</v>
      </c>
      <c r="I100" s="15" t="s">
        <v>381</v>
      </c>
    </row>
    <row r="101" customFormat="false" ht="17.15" hidden="false" customHeight="false" outlineLevel="0" collapsed="false">
      <c r="A101" s="0" t="s">
        <v>382</v>
      </c>
      <c r="B101" s="0" t="s">
        <v>383</v>
      </c>
      <c r="C101" s="5" t="s">
        <v>374</v>
      </c>
      <c r="D101" s="17" t="n">
        <f aca="false">E85*1.25</f>
        <v>1.1383210726584</v>
      </c>
      <c r="E101" s="17" t="n">
        <f aca="false">E85*1.25</f>
        <v>1.1383210726584</v>
      </c>
      <c r="F101" s="17" t="n">
        <f aca="false">E85*1.25</f>
        <v>1.1383210726584</v>
      </c>
      <c r="G101" s="15" t="s">
        <v>384</v>
      </c>
      <c r="H101" s="15" t="s">
        <v>71</v>
      </c>
      <c r="I101" s="2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56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24"/>
    <col collapsed="false" customWidth="true" hidden="false" outlineLevel="0" max="10" min="10" style="0" width="52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3" t="s">
        <v>53</v>
      </c>
      <c r="B1" s="3" t="s">
        <v>386</v>
      </c>
      <c r="C1" s="3" t="s">
        <v>387</v>
      </c>
      <c r="D1" s="3" t="s">
        <v>55</v>
      </c>
      <c r="E1" s="3" t="s">
        <v>388</v>
      </c>
      <c r="F1" s="3" t="s">
        <v>389</v>
      </c>
      <c r="G1" s="3" t="s">
        <v>390</v>
      </c>
      <c r="H1" s="3" t="s">
        <v>391</v>
      </c>
      <c r="I1" s="3" t="s">
        <v>12</v>
      </c>
      <c r="J1" s="3" t="s">
        <v>392</v>
      </c>
      <c r="K1" s="3" t="s">
        <v>393</v>
      </c>
    </row>
    <row r="2" customFormat="false" ht="79.85" hidden="false" customHeight="false" outlineLevel="0" collapsed="false">
      <c r="A2" s="15" t="s">
        <v>203</v>
      </c>
      <c r="B2" s="15" t="s">
        <v>394</v>
      </c>
      <c r="C2" s="15" t="s">
        <v>395</v>
      </c>
      <c r="D2" s="15" t="s">
        <v>396</v>
      </c>
      <c r="E2" s="2" t="s">
        <v>397</v>
      </c>
      <c r="F2" s="15" t="s">
        <v>398</v>
      </c>
      <c r="G2" s="15" t="s">
        <v>399</v>
      </c>
      <c r="H2" s="2" t="s">
        <v>400</v>
      </c>
      <c r="I2" s="2" t="s">
        <v>401</v>
      </c>
      <c r="J2" s="2" t="s">
        <v>402</v>
      </c>
      <c r="K2" s="15" t="s">
        <v>403</v>
      </c>
    </row>
    <row r="3" customFormat="false" ht="48.5" hidden="false" customHeight="false" outlineLevel="0" collapsed="false">
      <c r="A3" s="15" t="s">
        <v>404</v>
      </c>
      <c r="B3" s="15" t="s">
        <v>405</v>
      </c>
      <c r="C3" s="15" t="s">
        <v>406</v>
      </c>
      <c r="D3" s="15" t="s">
        <v>407</v>
      </c>
      <c r="E3" s="2" t="s">
        <v>408</v>
      </c>
      <c r="F3" s="15" t="s">
        <v>409</v>
      </c>
      <c r="G3" s="15" t="s">
        <v>410</v>
      </c>
      <c r="H3" s="2" t="s">
        <v>411</v>
      </c>
      <c r="I3" s="2" t="s">
        <v>412</v>
      </c>
      <c r="J3" s="2" t="s">
        <v>413</v>
      </c>
      <c r="K3" s="15" t="s">
        <v>414</v>
      </c>
    </row>
    <row r="4" customFormat="false" ht="64.15" hidden="false" customHeight="false" outlineLevel="0" collapsed="false">
      <c r="A4" s="15" t="s">
        <v>415</v>
      </c>
      <c r="B4" s="15" t="s">
        <v>416</v>
      </c>
      <c r="C4" s="15" t="s">
        <v>417</v>
      </c>
      <c r="D4" s="15" t="s">
        <v>418</v>
      </c>
      <c r="E4" s="2" t="s">
        <v>419</v>
      </c>
      <c r="F4" s="15" t="s">
        <v>420</v>
      </c>
      <c r="G4" s="15" t="s">
        <v>421</v>
      </c>
      <c r="H4" s="2" t="s">
        <v>400</v>
      </c>
      <c r="I4" s="2" t="s">
        <v>422</v>
      </c>
      <c r="J4" s="2" t="s">
        <v>423</v>
      </c>
      <c r="K4" s="15" t="s">
        <v>424</v>
      </c>
    </row>
    <row r="5" customFormat="false" ht="79.85" hidden="false" customHeight="false" outlineLevel="0" collapsed="false">
      <c r="A5" s="15" t="s">
        <v>425</v>
      </c>
      <c r="B5" s="15" t="s">
        <v>426</v>
      </c>
      <c r="C5" s="15" t="s">
        <v>427</v>
      </c>
      <c r="D5" s="15" t="s">
        <v>428</v>
      </c>
      <c r="E5" s="2" t="s">
        <v>429</v>
      </c>
      <c r="F5" s="15" t="s">
        <v>430</v>
      </c>
      <c r="G5" s="15" t="s">
        <v>431</v>
      </c>
      <c r="H5" s="2" t="s">
        <v>400</v>
      </c>
      <c r="I5" s="2" t="s">
        <v>322</v>
      </c>
      <c r="J5" s="2" t="s">
        <v>432</v>
      </c>
      <c r="K5" s="15" t="s">
        <v>433</v>
      </c>
    </row>
    <row r="6" customFormat="false" ht="95.5" hidden="false" customHeight="false" outlineLevel="0" collapsed="false">
      <c r="A6" s="15" t="s">
        <v>434</v>
      </c>
      <c r="B6" s="15" t="s">
        <v>435</v>
      </c>
      <c r="C6" s="15" t="s">
        <v>436</v>
      </c>
      <c r="D6" s="15" t="s">
        <v>437</v>
      </c>
      <c r="E6" s="2" t="s">
        <v>438</v>
      </c>
      <c r="F6" s="15" t="s">
        <v>439</v>
      </c>
      <c r="G6" s="15" t="s">
        <v>440</v>
      </c>
      <c r="H6" s="2" t="s">
        <v>400</v>
      </c>
      <c r="I6" s="15" t="s">
        <v>212</v>
      </c>
      <c r="J6" s="2" t="s">
        <v>441</v>
      </c>
      <c r="K6" s="15" t="s">
        <v>250</v>
      </c>
    </row>
    <row r="7" customFormat="false" ht="93.25" hidden="false" customHeight="false" outlineLevel="0" collapsed="false">
      <c r="A7" s="15" t="s">
        <v>366</v>
      </c>
      <c r="B7" s="15" t="s">
        <v>442</v>
      </c>
      <c r="C7" s="15" t="s">
        <v>443</v>
      </c>
      <c r="D7" s="15" t="s">
        <v>444</v>
      </c>
      <c r="E7" s="2" t="s">
        <v>445</v>
      </c>
      <c r="F7" s="15" t="s">
        <v>446</v>
      </c>
      <c r="G7" s="15" t="s">
        <v>447</v>
      </c>
      <c r="H7" s="2" t="s">
        <v>400</v>
      </c>
      <c r="I7" s="15" t="s">
        <v>212</v>
      </c>
      <c r="J7" s="2" t="s">
        <v>448</v>
      </c>
      <c r="K7" s="15" t="s">
        <v>449</v>
      </c>
    </row>
    <row r="8" customFormat="false" ht="79.85" hidden="false" customHeight="false" outlineLevel="0" collapsed="false">
      <c r="A8" s="15" t="s">
        <v>211</v>
      </c>
      <c r="B8" s="15" t="s">
        <v>450</v>
      </c>
      <c r="C8" s="15" t="s">
        <v>451</v>
      </c>
      <c r="D8" s="15" t="s">
        <v>452</v>
      </c>
      <c r="E8" s="2" t="s">
        <v>453</v>
      </c>
      <c r="F8" s="15" t="s">
        <v>454</v>
      </c>
      <c r="G8" s="15" t="s">
        <v>455</v>
      </c>
      <c r="H8" s="2" t="s">
        <v>456</v>
      </c>
      <c r="I8" s="15" t="s">
        <v>212</v>
      </c>
      <c r="J8" s="2" t="s">
        <v>457</v>
      </c>
      <c r="K8" s="15" t="s">
        <v>458</v>
      </c>
    </row>
    <row r="9" customFormat="false" ht="79.85" hidden="false" customHeight="false" outlineLevel="0" collapsed="false">
      <c r="A9" s="15" t="s">
        <v>459</v>
      </c>
      <c r="B9" s="15" t="s">
        <v>460</v>
      </c>
      <c r="C9" s="15" t="s">
        <v>461</v>
      </c>
      <c r="D9" s="2" t="s">
        <v>462</v>
      </c>
      <c r="E9" s="2" t="s">
        <v>463</v>
      </c>
      <c r="F9" s="15" t="s">
        <v>464</v>
      </c>
      <c r="G9" s="15" t="s">
        <v>465</v>
      </c>
      <c r="H9" s="2" t="s">
        <v>466</v>
      </c>
      <c r="I9" s="15" t="s">
        <v>212</v>
      </c>
      <c r="J9" s="2" t="s">
        <v>467</v>
      </c>
      <c r="K9" s="15" t="s">
        <v>468</v>
      </c>
    </row>
    <row r="10" customFormat="false" ht="48.5" hidden="false" customHeight="false" outlineLevel="0" collapsed="false">
      <c r="A10" s="15" t="s">
        <v>469</v>
      </c>
      <c r="B10" s="15" t="s">
        <v>470</v>
      </c>
      <c r="C10" s="15" t="s">
        <v>471</v>
      </c>
      <c r="D10" s="15" t="s">
        <v>472</v>
      </c>
      <c r="E10" s="2" t="s">
        <v>473</v>
      </c>
      <c r="F10" s="15" t="s">
        <v>474</v>
      </c>
      <c r="G10" s="15" t="s">
        <v>475</v>
      </c>
      <c r="H10" s="2" t="s">
        <v>476</v>
      </c>
      <c r="I10" s="2" t="s">
        <v>477</v>
      </c>
      <c r="J10" s="2" t="s">
        <v>478</v>
      </c>
      <c r="K10" s="2" t="s">
        <v>479</v>
      </c>
    </row>
    <row r="11" customFormat="false" ht="48.5" hidden="false" customHeight="false" outlineLevel="0" collapsed="false">
      <c r="A11" s="15" t="s">
        <v>208</v>
      </c>
      <c r="B11" s="15" t="s">
        <v>480</v>
      </c>
      <c r="C11" s="15" t="s">
        <v>481</v>
      </c>
      <c r="D11" s="15" t="s">
        <v>482</v>
      </c>
      <c r="E11" s="2" t="s">
        <v>483</v>
      </c>
      <c r="F11" s="15" t="s">
        <v>484</v>
      </c>
      <c r="G11" s="15" t="s">
        <v>485</v>
      </c>
      <c r="H11" s="2" t="s">
        <v>486</v>
      </c>
      <c r="I11" s="2" t="s">
        <v>487</v>
      </c>
      <c r="J11" s="2" t="s">
        <v>488</v>
      </c>
      <c r="K11" s="2" t="s">
        <v>489</v>
      </c>
    </row>
    <row r="12" customFormat="false" ht="64.15" hidden="false" customHeight="false" outlineLevel="0" collapsed="false">
      <c r="A12" s="15" t="s">
        <v>490</v>
      </c>
      <c r="B12" s="15" t="s">
        <v>491</v>
      </c>
      <c r="C12" s="15" t="s">
        <v>492</v>
      </c>
      <c r="D12" s="15" t="s">
        <v>493</v>
      </c>
      <c r="E12" s="2" t="s">
        <v>494</v>
      </c>
      <c r="F12" s="15" t="s">
        <v>495</v>
      </c>
      <c r="G12" s="15" t="s">
        <v>465</v>
      </c>
      <c r="H12" s="2" t="s">
        <v>400</v>
      </c>
      <c r="I12" s="15" t="s">
        <v>496</v>
      </c>
      <c r="J12" s="2" t="s">
        <v>497</v>
      </c>
      <c r="K12" s="2" t="s">
        <v>498</v>
      </c>
    </row>
    <row r="13" customFormat="false" ht="64.15" hidden="false" customHeight="false" outlineLevel="0" collapsed="false">
      <c r="A13" s="15" t="s">
        <v>499</v>
      </c>
      <c r="B13" s="15" t="s">
        <v>500</v>
      </c>
      <c r="C13" s="15" t="s">
        <v>141</v>
      </c>
      <c r="D13" s="15" t="s">
        <v>141</v>
      </c>
      <c r="E13" s="15" t="s">
        <v>141</v>
      </c>
      <c r="F13" s="15" t="s">
        <v>501</v>
      </c>
      <c r="G13" s="15" t="s">
        <v>465</v>
      </c>
      <c r="H13" s="2" t="s">
        <v>400</v>
      </c>
      <c r="I13" s="15" t="s">
        <v>278</v>
      </c>
      <c r="J13" s="2" t="s">
        <v>497</v>
      </c>
      <c r="K13" s="2" t="s">
        <v>498</v>
      </c>
    </row>
    <row r="14" customFormat="false" ht="95.5" hidden="false" customHeight="false" outlineLevel="0" collapsed="false">
      <c r="A14" s="15" t="s">
        <v>277</v>
      </c>
      <c r="B14" s="15" t="s">
        <v>502</v>
      </c>
      <c r="C14" s="15" t="s">
        <v>503</v>
      </c>
      <c r="D14" s="15" t="s">
        <v>504</v>
      </c>
      <c r="E14" s="2" t="s">
        <v>505</v>
      </c>
      <c r="F14" s="15" t="s">
        <v>506</v>
      </c>
      <c r="G14" s="15" t="s">
        <v>507</v>
      </c>
      <c r="H14" s="2" t="s">
        <v>400</v>
      </c>
      <c r="I14" s="15" t="s">
        <v>278</v>
      </c>
      <c r="J14" s="2" t="s">
        <v>508</v>
      </c>
      <c r="K14" s="15" t="s">
        <v>509</v>
      </c>
    </row>
    <row r="15" customFormat="false" ht="111.15" hidden="false" customHeight="false" outlineLevel="0" collapsed="false">
      <c r="A15" s="15" t="s">
        <v>313</v>
      </c>
      <c r="B15" s="15" t="s">
        <v>510</v>
      </c>
      <c r="C15" s="15" t="s">
        <v>511</v>
      </c>
      <c r="D15" s="15" t="s">
        <v>512</v>
      </c>
      <c r="E15" s="2" t="s">
        <v>513</v>
      </c>
      <c r="F15" s="15" t="s">
        <v>514</v>
      </c>
      <c r="G15" s="15" t="s">
        <v>515</v>
      </c>
      <c r="H15" s="2" t="s">
        <v>400</v>
      </c>
      <c r="I15" s="15" t="s">
        <v>516</v>
      </c>
      <c r="J15" s="2" t="s">
        <v>517</v>
      </c>
      <c r="K15" s="15" t="s">
        <v>323</v>
      </c>
    </row>
    <row r="16" customFormat="false" ht="64.15" hidden="false" customHeight="false" outlineLevel="0" collapsed="false">
      <c r="A16" s="15" t="s">
        <v>321</v>
      </c>
      <c r="B16" s="15" t="s">
        <v>518</v>
      </c>
      <c r="C16" s="15" t="s">
        <v>519</v>
      </c>
      <c r="D16" s="2" t="s">
        <v>520</v>
      </c>
      <c r="E16" s="2" t="s">
        <v>322</v>
      </c>
      <c r="F16" s="15" t="s">
        <v>521</v>
      </c>
      <c r="G16" s="15" t="s">
        <v>431</v>
      </c>
      <c r="H16" s="2" t="s">
        <v>522</v>
      </c>
      <c r="I16" s="2" t="s">
        <v>322</v>
      </c>
      <c r="J16" s="2" t="s">
        <v>523</v>
      </c>
      <c r="K16" s="15" t="s">
        <v>524</v>
      </c>
    </row>
    <row r="17" customFormat="false" ht="126.85" hidden="false" customHeight="false" outlineLevel="0" collapsed="false">
      <c r="A17" s="15" t="s">
        <v>360</v>
      </c>
      <c r="B17" s="15" t="s">
        <v>525</v>
      </c>
      <c r="C17" s="15" t="s">
        <v>526</v>
      </c>
      <c r="D17" s="15" t="s">
        <v>527</v>
      </c>
      <c r="E17" s="15" t="s">
        <v>528</v>
      </c>
      <c r="F17" s="15" t="s">
        <v>529</v>
      </c>
      <c r="G17" s="15" t="s">
        <v>530</v>
      </c>
      <c r="H17" s="2" t="s">
        <v>400</v>
      </c>
      <c r="I17" s="15" t="s">
        <v>531</v>
      </c>
      <c r="J17" s="2" t="s">
        <v>532</v>
      </c>
      <c r="K17" s="15" t="s">
        <v>340</v>
      </c>
    </row>
    <row r="18" customFormat="false" ht="64.15" hidden="false" customHeight="false" outlineLevel="0" collapsed="false">
      <c r="A18" s="15" t="s">
        <v>533</v>
      </c>
      <c r="B18" s="15" t="s">
        <v>534</v>
      </c>
      <c r="C18" s="15" t="s">
        <v>535</v>
      </c>
      <c r="D18" s="2" t="s">
        <v>536</v>
      </c>
      <c r="E18" s="2" t="s">
        <v>537</v>
      </c>
      <c r="F18" s="15" t="s">
        <v>538</v>
      </c>
      <c r="G18" s="15" t="s">
        <v>539</v>
      </c>
      <c r="H18" s="2" t="s">
        <v>498</v>
      </c>
      <c r="I18" s="2" t="s">
        <v>540</v>
      </c>
      <c r="J18" s="2" t="s">
        <v>541</v>
      </c>
      <c r="K18" s="15" t="s">
        <v>542</v>
      </c>
    </row>
    <row r="19" customFormat="false" ht="64.15" hidden="false" customHeight="false" outlineLevel="0" collapsed="false">
      <c r="A19" s="15" t="s">
        <v>543</v>
      </c>
      <c r="B19" s="2" t="s">
        <v>544</v>
      </c>
      <c r="C19" s="15" t="s">
        <v>141</v>
      </c>
      <c r="D19" s="15" t="s">
        <v>141</v>
      </c>
      <c r="E19" s="15" t="s">
        <v>141</v>
      </c>
      <c r="F19" s="15" t="s">
        <v>141</v>
      </c>
      <c r="G19" s="15" t="s">
        <v>141</v>
      </c>
      <c r="H19" s="15" t="s">
        <v>141</v>
      </c>
      <c r="I19" s="15" t="s">
        <v>141</v>
      </c>
      <c r="J19" s="2" t="s">
        <v>545</v>
      </c>
      <c r="K19" s="2" t="s">
        <v>546</v>
      </c>
    </row>
    <row r="20" customFormat="false" ht="64.15" hidden="false" customHeight="false" outlineLevel="0" collapsed="false">
      <c r="A20" s="15" t="s">
        <v>214</v>
      </c>
      <c r="B20" s="2" t="s">
        <v>547</v>
      </c>
      <c r="C20" s="15" t="s">
        <v>141</v>
      </c>
      <c r="D20" s="15" t="s">
        <v>141</v>
      </c>
      <c r="E20" s="15" t="s">
        <v>141</v>
      </c>
      <c r="F20" s="15" t="s">
        <v>141</v>
      </c>
      <c r="G20" s="15" t="s">
        <v>141</v>
      </c>
      <c r="H20" s="15" t="s">
        <v>141</v>
      </c>
      <c r="I20" s="15" t="s">
        <v>141</v>
      </c>
      <c r="J20" s="2" t="s">
        <v>545</v>
      </c>
      <c r="K20" s="2" t="s"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4" min="3" style="0" width="55"/>
    <col collapsed="false" customWidth="true" hidden="false" outlineLevel="0" max="5" min="5" style="0" width="36"/>
  </cols>
  <sheetData>
    <row r="1" customFormat="false" ht="15" hidden="false" customHeight="false" outlineLevel="0" collapsed="false">
      <c r="A1" s="3" t="s">
        <v>53</v>
      </c>
      <c r="B1" s="3" t="s">
        <v>548</v>
      </c>
      <c r="C1" s="3" t="s">
        <v>549</v>
      </c>
      <c r="D1" s="3" t="s">
        <v>550</v>
      </c>
      <c r="E1" s="3" t="s">
        <v>551</v>
      </c>
    </row>
    <row r="2" customFormat="false" ht="111.15" hidden="false" customHeight="false" outlineLevel="0" collapsed="false">
      <c r="A2" s="15" t="s">
        <v>552</v>
      </c>
      <c r="B2" s="15" t="s">
        <v>553</v>
      </c>
      <c r="C2" s="2" t="s">
        <v>554</v>
      </c>
      <c r="D2" s="15" t="s">
        <v>555</v>
      </c>
      <c r="E2" s="2" t="s">
        <v>556</v>
      </c>
    </row>
    <row r="3" customFormat="false" ht="111.15" hidden="false" customHeight="false" outlineLevel="0" collapsed="false">
      <c r="A3" s="15" t="s">
        <v>557</v>
      </c>
      <c r="B3" s="15" t="s">
        <v>558</v>
      </c>
      <c r="C3" s="2" t="s">
        <v>559</v>
      </c>
      <c r="D3" s="15" t="s">
        <v>560</v>
      </c>
      <c r="E3" s="2" t="s">
        <v>561</v>
      </c>
    </row>
    <row r="4" customFormat="false" ht="64.15" hidden="false" customHeight="false" outlineLevel="0" collapsed="false">
      <c r="A4" s="15" t="s">
        <v>562</v>
      </c>
      <c r="B4" s="15" t="s">
        <v>563</v>
      </c>
      <c r="C4" s="2" t="s">
        <v>564</v>
      </c>
      <c r="D4" s="2" t="s">
        <v>565</v>
      </c>
      <c r="E4" s="2" t="s">
        <v>566</v>
      </c>
    </row>
    <row r="5" customFormat="false" ht="64.15" hidden="false" customHeight="false" outlineLevel="0" collapsed="false">
      <c r="A5" s="15" t="s">
        <v>567</v>
      </c>
      <c r="B5" s="15" t="s">
        <v>568</v>
      </c>
      <c r="C5" s="2" t="s">
        <v>569</v>
      </c>
      <c r="D5" s="15" t="s">
        <v>570</v>
      </c>
      <c r="E5" s="2" t="s">
        <v>571</v>
      </c>
    </row>
    <row r="6" customFormat="false" ht="48.5" hidden="false" customHeight="false" outlineLevel="0" collapsed="false">
      <c r="A6" s="15" t="s">
        <v>572</v>
      </c>
      <c r="B6" s="15" t="s">
        <v>573</v>
      </c>
      <c r="C6" s="15" t="s">
        <v>574</v>
      </c>
      <c r="D6" s="2" t="s">
        <v>575</v>
      </c>
      <c r="E6" s="2" t="s">
        <v>576</v>
      </c>
    </row>
    <row r="7" customFormat="false" ht="126.85" hidden="false" customHeight="false" outlineLevel="0" collapsed="false">
      <c r="A7" s="15" t="s">
        <v>339</v>
      </c>
      <c r="B7" s="15" t="s">
        <v>577</v>
      </c>
      <c r="C7" s="2" t="s">
        <v>578</v>
      </c>
      <c r="D7" s="15" t="s">
        <v>579</v>
      </c>
      <c r="E7" s="2" t="s">
        <v>580</v>
      </c>
    </row>
    <row r="8" customFormat="false" ht="48.5" hidden="false" customHeight="false" outlineLevel="0" collapsed="false">
      <c r="A8" s="15" t="s">
        <v>581</v>
      </c>
      <c r="B8" s="15" t="s">
        <v>582</v>
      </c>
      <c r="C8" s="2" t="s">
        <v>583</v>
      </c>
      <c r="D8" s="15" t="s">
        <v>584</v>
      </c>
      <c r="E8" s="2" t="s">
        <v>585</v>
      </c>
    </row>
    <row r="9" customFormat="false" ht="64.15" hidden="false" customHeight="false" outlineLevel="0" collapsed="false">
      <c r="A9" s="15" t="s">
        <v>586</v>
      </c>
      <c r="B9" s="15" t="s">
        <v>587</v>
      </c>
      <c r="C9" s="2" t="s">
        <v>588</v>
      </c>
      <c r="D9" s="2" t="s">
        <v>589</v>
      </c>
      <c r="E9" s="2" t="s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2026-10-25T10:05:39Z</dcterms:created>
  <dc:creator>openpyxl</dc:creator>
  <dc:description/>
  <dc:language>en-US</dc:language>
  <cp:lastModifiedBy/>
  <dcterms:modified xsi:type="dcterms:W3CDTF">2026-10-25T10:05:39Z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