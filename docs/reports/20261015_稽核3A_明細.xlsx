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列檢查" sheetId="1" state="visible" r:id="rId1"/>
    <sheet xmlns:r="http://schemas.openxmlformats.org/officeDocument/2006/relationships" name="傳遞強度" sheetId="2" state="visible" r:id="rId2"/>
    <sheet xmlns:r="http://schemas.openxmlformats.org/officeDocument/2006/relationships" name="高嚴重度" sheetId="3" state="visible" r:id="rId3"/>
    <sheet xmlns:r="http://schemas.openxmlformats.org/officeDocument/2006/relationships" name="L9 物理量" sheetId="4" state="visible" r:id="rId4"/>
  </sheets>
  <definedNames>
    <definedName name="_xlnm._FilterDatabase" localSheetId="0" hidden="1">'逐列檢查'!$A$2:$W$512</definedName>
    <definedName name="_xlnm._FilterDatabase" localSheetId="1" hidden="1">'傳遞強度'!$A$2:$F$18</definedName>
    <definedName name="_xlnm._FilterDatabase" localSheetId="2" hidden="1">'高嚴重度'!$A$2:$K$53</definedName>
    <definedName name="_xlnm._FilterDatabase" localSheetId="3" hidden="1">'L9 物理量'!$A$2:$N$17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1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34" customWidth="1" min="3" max="3"/>
    <col width="10" customWidth="1" min="4" max="4"/>
    <col width="7" customWidth="1" min="5" max="5"/>
    <col width="7" customWidth="1" min="6" max="6"/>
    <col width="7" customWidth="1" min="7" max="7"/>
    <col width="50" customWidth="1" min="8" max="8"/>
    <col width="12" customWidth="1" min="9" max="9"/>
    <col width="25" customWidth="1" min="10" max="10"/>
    <col width="40" customWidth="1" min="11" max="11"/>
    <col width="25" customWidth="1" min="12" max="12"/>
    <col width="40" customWidth="1" min="13" max="13"/>
    <col width="40" customWidth="1" min="14" max="14"/>
    <col width="30" customWidth="1" min="15" max="15"/>
    <col width="40" customWidth="1" min="16" max="16"/>
    <col width="30" customWidth="1" min="17" max="17"/>
    <col width="35" customWidth="1" min="18" max="18"/>
    <col width="14" customWidth="1" min="19" max="19"/>
    <col width="10" customWidth="1" min="20" max="20"/>
    <col width="8" customWidth="1" min="21" max="21"/>
    <col width="10" customWidth="1" min="22" max="22"/>
    <col width="10" customWidth="1" min="23" max="23"/>
  </cols>
  <sheetData>
    <row r="1" ht="110" customHeight="1">
      <c r="A1" s="1" t="inlineStr">
        <is>
          <t>規則：第 0 段「C3_核心推導列」扣除「C7_m路徑」後屬 3A 工作表的 510 個頁＋列，逐列檢查 L1–L9。「—」＝沒有發現問題（不等於已證明正確）。L3 以 10_mech.py 機械檢查（世代×層級／成本頁之間同欄對位 0 處不符；Interface 層級常數 3*(世代−1)+k 對列標籤 0 處不符）；L7 以 20_l7_closure.py 在 4 個端點情境重算（文字或 0）；L8「直接」＝本列公式直接引用第 1 段 Y1–Y9 輸入格，「上游」＝依賴圖上游任一處含 Y 類輸入。G 編號對應報告第 3 節。嚴重度：高＝直接作用在下游契約名稱的口徑或閉合問題；中＝其他 L1–L9；低＝結構或顯示；資訊＝只有 L8。只標問題，不判定對錯、不提修法。</t>
        </is>
      </c>
    </row>
    <row r="2">
      <c r="A2" s="2" t="inlineStr">
        <is>
          <t>頁</t>
        </is>
      </c>
      <c r="B2" s="2" t="inlineStr">
        <is>
          <t>列</t>
        </is>
      </c>
      <c r="C2" s="2" t="inlineStr">
        <is>
          <t>列標籤</t>
        </is>
      </c>
      <c r="D2" s="2" t="inlineStr">
        <is>
          <t>單位</t>
        </is>
      </c>
      <c r="E2" s="2" t="inlineStr">
        <is>
          <t>公式格數</t>
        </is>
      </c>
      <c r="F2" s="2" t="inlineStr">
        <is>
          <t>同列公式結構數（R1C1）</t>
        </is>
      </c>
      <c r="G2" s="2" t="inlineStr">
        <is>
          <t>代表格</t>
        </is>
      </c>
      <c r="H2" s="2" t="inlineStr">
        <is>
          <t>代表公式</t>
        </is>
      </c>
      <c r="I2" s="2" t="inlineStr">
        <is>
          <t>代表值</t>
        </is>
      </c>
      <c r="J2" s="2" t="inlineStr">
        <is>
          <t>L1 量綱</t>
        </is>
      </c>
      <c r="K2" s="2" t="inlineStr">
        <is>
          <t>L2 口徑</t>
        </is>
      </c>
      <c r="L2" s="2" t="inlineStr">
        <is>
          <t>L3 引用對位</t>
        </is>
      </c>
      <c r="M2" s="2" t="inlineStr">
        <is>
          <t>L4 重複／漏算</t>
        </is>
      </c>
      <c r="N2" s="2" t="inlineStr">
        <is>
          <t>L5 恆等式與閉合</t>
        </is>
      </c>
      <c r="O2" s="2" t="inlineStr">
        <is>
          <t>L6 倒推</t>
        </is>
      </c>
      <c r="P2" s="2" t="inlineStr">
        <is>
          <t>L7 條件分支</t>
        </is>
      </c>
      <c r="Q2" s="2" t="inlineStr">
        <is>
          <t>L8 與 Y1–Y9 的連結</t>
        </is>
      </c>
      <c r="R2" s="2" t="inlineStr">
        <is>
          <t>L9 物理合理性</t>
        </is>
      </c>
      <c r="S2" s="2" t="inlineStr">
        <is>
          <t>上游 Y 類</t>
        </is>
      </c>
      <c r="T2" s="2" t="inlineStr">
        <is>
          <t>直接 Y 類</t>
        </is>
      </c>
      <c r="U2" s="2" t="inlineStr">
        <is>
          <t>非治理頁下游格數</t>
        </is>
      </c>
      <c r="V2" s="2" t="inlineStr">
        <is>
          <t>G 編號</t>
        </is>
      </c>
      <c r="W2" s="2" t="inlineStr">
        <is>
          <t>嚴重度</t>
        </is>
      </c>
    </row>
    <row r="3">
      <c r="A3" s="3" t="inlineStr">
        <is>
          <t>Spec_Rack</t>
        </is>
      </c>
      <c r="B3" s="3" t="n">
        <v>33</v>
      </c>
      <c r="C3" s="3" t="inlineStr">
        <is>
          <t>GPU 功率 W/封裝（能量用）</t>
        </is>
      </c>
      <c r="D3" s="3" t="n"/>
      <c r="E3" s="3" t="n">
        <v>4</v>
      </c>
      <c r="F3" s="3" t="n">
        <v>4</v>
      </c>
      <c r="G3" s="3" t="inlineStr">
        <is>
          <t>C33</t>
        </is>
      </c>
      <c r="H3" s="3">
        <f>SRC_HW_056</f>
        <v/>
      </c>
      <c r="I3" s="3" t="n">
        <v>700</v>
      </c>
      <c r="J3" s="3" t="inlineStr">
        <is>
          <t>—</t>
        </is>
      </c>
      <c r="K3" s="3" t="inlineStr">
        <is>
          <t>—</t>
        </is>
      </c>
      <c r="L3" s="3" t="inlineStr">
        <is>
          <t>—</t>
        </is>
      </c>
      <c r="M3" s="3" t="inlineStr">
        <is>
          <t>—</t>
        </is>
      </c>
      <c r="N3" s="3" t="inlineStr">
        <is>
          <t>—</t>
        </is>
      </c>
      <c r="O3" s="3" t="inlineStr">
        <is>
          <t>—</t>
        </is>
      </c>
      <c r="P3" s="3" t="inlineStr">
        <is>
          <t>—</t>
        </is>
      </c>
      <c r="Q3" s="3" t="inlineStr">
        <is>
          <t>—</t>
        </is>
      </c>
      <c r="R3" s="3" t="inlineStr">
        <is>
          <t>[G23] RU 3,600 W／封裝為推估（Interested-party；只進能量下限）；F 欄以 SRC_HW_046×1000，其他欄為單一 SRC</t>
        </is>
      </c>
      <c r="S3" s="3" t="inlineStr"/>
      <c r="T3" s="3" t="inlineStr"/>
      <c r="U3" s="3" t="n">
        <v>64</v>
      </c>
      <c r="V3" s="3" t="inlineStr">
        <is>
          <t>G23</t>
        </is>
      </c>
      <c r="W3" s="3" t="inlineStr">
        <is>
          <t>低</t>
        </is>
      </c>
    </row>
    <row r="4">
      <c r="A4" s="3" t="inlineStr">
        <is>
          <t>Spec_Rack</t>
        </is>
      </c>
      <c r="B4" s="3" t="n">
        <v>34</v>
      </c>
      <c r="C4" s="3" t="inlineStr">
        <is>
          <t>HBM 存取能量 pJ/byte</t>
        </is>
      </c>
      <c r="D4" s="3" t="n"/>
      <c r="E4" s="3" t="n">
        <v>1</v>
      </c>
      <c r="F4" s="3" t="n">
        <v>1</v>
      </c>
      <c r="G4" s="3" t="inlineStr">
        <is>
          <t>F34</t>
        </is>
      </c>
      <c r="H4" s="3">
        <f>SRC_HW_034*8</f>
        <v/>
      </c>
      <c r="I4" s="3" t="n">
        <v>20</v>
      </c>
      <c r="J4" s="3" t="inlineStr">
        <is>
          <t>—</t>
        </is>
      </c>
      <c r="K4" s="3" t="inlineStr">
        <is>
          <t>—</t>
        </is>
      </c>
      <c r="L4" s="3" t="inlineStr">
        <is>
          <t>—</t>
        </is>
      </c>
      <c r="M4" s="3" t="inlineStr">
        <is>
          <t>—</t>
        </is>
      </c>
      <c r="N4" s="3" t="inlineStr">
        <is>
          <t>—</t>
        </is>
      </c>
      <c r="O4" s="3" t="inlineStr">
        <is>
          <t>—</t>
        </is>
      </c>
      <c r="P4" s="3" t="inlineStr">
        <is>
          <t>—</t>
        </is>
      </c>
      <c r="Q4" s="3" t="inlineStr">
        <is>
          <t>—</t>
        </is>
      </c>
      <c r="R4" s="3" t="inlineStr">
        <is>
          <t>—</t>
        </is>
      </c>
      <c r="S4" s="3" t="inlineStr"/>
      <c r="T4" s="3" t="inlineStr"/>
      <c r="U4" s="3" t="n">
        <v>64</v>
      </c>
      <c r="V4" s="3" t="inlineStr"/>
      <c r="W4" s="3" t="inlineStr">
        <is>
          <t>—</t>
        </is>
      </c>
    </row>
    <row r="5">
      <c r="A5" s="3" t="inlineStr">
        <is>
          <t>Spec_Rack</t>
        </is>
      </c>
      <c r="B5" s="3" t="n">
        <v>40</v>
      </c>
      <c r="C5" s="3" t="inlineStr">
        <is>
          <t>FP8 dense PF/GPU（訓練基準，J7）</t>
        </is>
      </c>
      <c r="D5" s="3" t="n"/>
      <c r="E5" s="3" t="n">
        <v>4</v>
      </c>
      <c r="F5" s="3" t="n">
        <v>3</v>
      </c>
      <c r="G5" s="3" t="inlineStr">
        <is>
          <t>C40</t>
        </is>
      </c>
      <c r="H5" s="3">
        <f>SRC_HW_040</f>
        <v/>
      </c>
      <c r="I5" s="3" t="n">
        <v>1.979</v>
      </c>
      <c r="J5" s="3" t="inlineStr">
        <is>
          <t>—</t>
        </is>
      </c>
      <c r="K5" s="3" t="inlineStr">
        <is>
          <t>—</t>
        </is>
      </c>
      <c r="L5" s="3" t="inlineStr">
        <is>
          <t>—</t>
        </is>
      </c>
      <c r="M5" s="3" t="inlineStr">
        <is>
          <t>—</t>
        </is>
      </c>
      <c r="N5" s="3" t="inlineStr">
        <is>
          <t>—</t>
        </is>
      </c>
      <c r="O5" s="3" t="inlineStr">
        <is>
          <t>—</t>
        </is>
      </c>
      <c r="P5" s="3" t="inlineStr">
        <is>
          <t>—</t>
        </is>
      </c>
      <c r="Q5" s="3" t="inlineStr">
        <is>
          <t>—</t>
        </is>
      </c>
      <c r="R5" s="3" t="inlineStr">
        <is>
          <t>—</t>
        </is>
      </c>
      <c r="S5" s="3" t="inlineStr"/>
      <c r="T5" s="3" t="inlineStr"/>
      <c r="U5" s="3" t="n">
        <v>65</v>
      </c>
      <c r="V5" s="3" t="inlineStr"/>
      <c r="W5" s="3" t="inlineStr">
        <is>
          <t>—</t>
        </is>
      </c>
    </row>
    <row r="6">
      <c r="A6" s="3" t="inlineStr">
        <is>
          <t>Serving</t>
        </is>
      </c>
      <c r="B6" s="3" t="n">
        <v>15</v>
      </c>
      <c r="C6" s="3" t="inlineStr">
        <is>
          <t>快取命中 KV 載入頻寬</t>
        </is>
      </c>
      <c r="D6" s="3" t="inlineStr">
        <is>
          <t>TB/s/GPU</t>
        </is>
      </c>
      <c r="E6" s="3" t="n">
        <v>0</v>
      </c>
      <c r="F6" s="3" t="n">
        <v>0</v>
      </c>
      <c r="G6" s="3" t="inlineStr"/>
      <c r="H6" s="3" t="inlineStr"/>
      <c r="I6" s="3" t="inlineStr"/>
      <c r="J6" s="3" t="inlineStr">
        <is>
          <t>—</t>
        </is>
      </c>
      <c r="K6" s="3" t="inlineStr">
        <is>
          <t>—</t>
        </is>
      </c>
      <c r="L6" s="3" t="inlineStr">
        <is>
          <t>—</t>
        </is>
      </c>
      <c r="M6" s="3" t="inlineStr">
        <is>
          <t>—</t>
        </is>
      </c>
      <c r="N6" s="3" t="inlineStr">
        <is>
          <t>—</t>
        </is>
      </c>
      <c r="O6" s="3" t="inlineStr">
        <is>
          <t>—</t>
        </is>
      </c>
      <c r="P6" s="3" t="inlineStr">
        <is>
          <t>—</t>
        </is>
      </c>
      <c r="Q6" s="3" t="inlineStr">
        <is>
          <t>—</t>
        </is>
      </c>
      <c r="R6" s="3" t="inlineStr">
        <is>
          <t>—</t>
        </is>
      </c>
      <c r="S6" s="3" t="inlineStr"/>
      <c r="T6" s="3" t="inlineStr"/>
      <c r="U6" s="3" t="n">
        <v>64</v>
      </c>
      <c r="V6" s="3" t="inlineStr"/>
      <c r="W6" s="3" t="inlineStr">
        <is>
          <t>—</t>
        </is>
      </c>
    </row>
    <row r="7">
      <c r="A7" s="3" t="inlineStr">
        <is>
          <t>Workload</t>
        </is>
      </c>
      <c r="B7" s="3" t="n">
        <v>5</v>
      </c>
      <c r="C7" s="3" t="inlineStr">
        <is>
          <t>輪數 T</t>
        </is>
      </c>
      <c r="D7" s="3" t="inlineStr">
        <is>
          <t>輪</t>
        </is>
      </c>
      <c r="E7" s="3" t="n">
        <v>0</v>
      </c>
      <c r="F7" s="3" t="n">
        <v>0</v>
      </c>
      <c r="G7" s="3" t="inlineStr"/>
      <c r="H7" s="3" t="inlineStr"/>
      <c r="I7" s="3" t="inlineStr"/>
      <c r="J7" s="3" t="inlineStr">
        <is>
          <t>—</t>
        </is>
      </c>
      <c r="K7" s="3" t="inlineStr">
        <is>
          <t>—</t>
        </is>
      </c>
      <c r="L7" s="3" t="inlineStr">
        <is>
          <t>—</t>
        </is>
      </c>
      <c r="M7" s="3" t="inlineStr">
        <is>
          <t>—</t>
        </is>
      </c>
      <c r="N7" s="3" t="inlineStr">
        <is>
          <t>—</t>
        </is>
      </c>
      <c r="O7" s="3" t="inlineStr">
        <is>
          <t>—</t>
        </is>
      </c>
      <c r="P7" s="3" t="inlineStr">
        <is>
          <t>—</t>
        </is>
      </c>
      <c r="Q7" s="3" t="inlineStr">
        <is>
          <t>—</t>
        </is>
      </c>
      <c r="R7" s="3" t="inlineStr">
        <is>
          <t>—</t>
        </is>
      </c>
      <c r="S7" s="3" t="inlineStr"/>
      <c r="T7" s="3" t="inlineStr"/>
      <c r="U7" s="3" t="n">
        <v>32</v>
      </c>
      <c r="V7" s="3" t="inlineStr"/>
      <c r="W7" s="3" t="inlineStr">
        <is>
          <t>—</t>
        </is>
      </c>
    </row>
    <row r="8">
      <c r="A8" s="3" t="inlineStr">
        <is>
          <t>Workload</t>
        </is>
      </c>
      <c r="B8" s="3" t="n">
        <v>6</v>
      </c>
      <c r="C8" s="3" t="inlineStr">
        <is>
          <t>初始上下文 S（系統提示、歷史、工具定義）</t>
        </is>
      </c>
      <c r="D8" s="3" t="inlineStr">
        <is>
          <t>tok</t>
        </is>
      </c>
      <c r="E8" s="3" t="n">
        <v>0</v>
      </c>
      <c r="F8" s="3" t="n">
        <v>0</v>
      </c>
      <c r="G8" s="3" t="inlineStr"/>
      <c r="H8" s="3" t="inlineStr"/>
      <c r="I8" s="3" t="inlineStr"/>
      <c r="J8" s="3" t="inlineStr">
        <is>
          <t>—</t>
        </is>
      </c>
      <c r="K8" s="3" t="inlineStr">
        <is>
          <t>—</t>
        </is>
      </c>
      <c r="L8" s="3" t="inlineStr">
        <is>
          <t>—</t>
        </is>
      </c>
      <c r="M8" s="3" t="inlineStr">
        <is>
          <t>—</t>
        </is>
      </c>
      <c r="N8" s="3" t="inlineStr">
        <is>
          <t>—</t>
        </is>
      </c>
      <c r="O8" s="3" t="inlineStr">
        <is>
          <t>—</t>
        </is>
      </c>
      <c r="P8" s="3" t="inlineStr">
        <is>
          <t>—</t>
        </is>
      </c>
      <c r="Q8" s="3" t="inlineStr">
        <is>
          <t>—</t>
        </is>
      </c>
      <c r="R8" s="3" t="inlineStr">
        <is>
          <t>—</t>
        </is>
      </c>
      <c r="S8" s="3" t="inlineStr"/>
      <c r="T8" s="3" t="inlineStr"/>
      <c r="U8" s="3" t="n">
        <v>69</v>
      </c>
      <c r="V8" s="3" t="inlineStr"/>
      <c r="W8" s="3" t="inlineStr">
        <is>
          <t>—</t>
        </is>
      </c>
    </row>
    <row r="9">
      <c r="A9" s="3" t="inlineStr">
        <is>
          <t>Workload</t>
        </is>
      </c>
      <c r="B9" s="3" t="n">
        <v>7</v>
      </c>
      <c r="C9" s="3" t="inlineStr">
        <is>
          <t>每輪新輸入 u（使用者或工具結果）</t>
        </is>
      </c>
      <c r="D9" s="3" t="inlineStr">
        <is>
          <t>tok</t>
        </is>
      </c>
      <c r="E9" s="3" t="n">
        <v>0</v>
      </c>
      <c r="F9" s="3" t="n">
        <v>0</v>
      </c>
      <c r="G9" s="3" t="inlineStr"/>
      <c r="H9" s="3" t="inlineStr"/>
      <c r="I9" s="3" t="inlineStr"/>
      <c r="J9" s="3" t="inlineStr">
        <is>
          <t>—</t>
        </is>
      </c>
      <c r="K9" s="3" t="inlineStr">
        <is>
          <t>—</t>
        </is>
      </c>
      <c r="L9" s="3" t="inlineStr">
        <is>
          <t>—</t>
        </is>
      </c>
      <c r="M9" s="3" t="inlineStr">
        <is>
          <t>—</t>
        </is>
      </c>
      <c r="N9" s="3" t="inlineStr">
        <is>
          <t>—</t>
        </is>
      </c>
      <c r="O9" s="3" t="inlineStr">
        <is>
          <t>—</t>
        </is>
      </c>
      <c r="P9" s="3" t="inlineStr">
        <is>
          <t>—</t>
        </is>
      </c>
      <c r="Q9" s="3" t="inlineStr">
        <is>
          <t>—</t>
        </is>
      </c>
      <c r="R9" s="3" t="inlineStr">
        <is>
          <t>—</t>
        </is>
      </c>
      <c r="S9" s="3" t="inlineStr"/>
      <c r="T9" s="3" t="inlineStr"/>
      <c r="U9" s="3" t="n">
        <v>69</v>
      </c>
      <c r="V9" s="3" t="inlineStr"/>
      <c r="W9" s="3" t="inlineStr">
        <is>
          <t>—</t>
        </is>
      </c>
    </row>
    <row r="10">
      <c r="A10" s="3" t="inlineStr">
        <is>
          <t>Workload</t>
        </is>
      </c>
      <c r="B10" s="3" t="n">
        <v>8</v>
      </c>
      <c r="C10" s="3" t="inlineStr">
        <is>
          <t>每輪思考 token h</t>
        </is>
      </c>
      <c r="D10" s="3" t="inlineStr">
        <is>
          <t>tok</t>
        </is>
      </c>
      <c r="E10" s="3" t="n">
        <v>0</v>
      </c>
      <c r="F10" s="3" t="n">
        <v>0</v>
      </c>
      <c r="G10" s="3" t="inlineStr"/>
      <c r="H10" s="3" t="inlineStr"/>
      <c r="I10" s="3" t="inlineStr"/>
      <c r="J10" s="3" t="inlineStr">
        <is>
          <t>—</t>
        </is>
      </c>
      <c r="K10" s="3" t="inlineStr">
        <is>
          <t>—</t>
        </is>
      </c>
      <c r="L10" s="3" t="inlineStr">
        <is>
          <t>—</t>
        </is>
      </c>
      <c r="M10" s="3" t="inlineStr">
        <is>
          <t>—</t>
        </is>
      </c>
      <c r="N10" s="3" t="inlineStr">
        <is>
          <t>—</t>
        </is>
      </c>
      <c r="O10" s="3" t="inlineStr">
        <is>
          <t>—</t>
        </is>
      </c>
      <c r="P10" s="3" t="inlineStr">
        <is>
          <t>—</t>
        </is>
      </c>
      <c r="Q10" s="3" t="inlineStr">
        <is>
          <t>直接引用 Y5 類輸入</t>
        </is>
      </c>
      <c r="R10" s="3" t="inlineStr">
        <is>
          <t>—</t>
        </is>
      </c>
      <c r="S10" s="3" t="inlineStr">
        <is>
          <t>Y5</t>
        </is>
      </c>
      <c r="T10" s="3" t="inlineStr">
        <is>
          <t>Y5</t>
        </is>
      </c>
      <c r="U10" s="3" t="n">
        <v>32</v>
      </c>
      <c r="V10" s="3" t="inlineStr"/>
      <c r="W10" s="3" t="inlineStr">
        <is>
          <t>資訊（只有 L8）</t>
        </is>
      </c>
    </row>
    <row r="11">
      <c r="A11" s="3" t="inlineStr">
        <is>
          <t>Workload</t>
        </is>
      </c>
      <c r="B11" s="3" t="n">
        <v>9</v>
      </c>
      <c r="C11" s="3" t="inlineStr">
        <is>
          <t>每輪可見輸出 o</t>
        </is>
      </c>
      <c r="D11" s="3" t="inlineStr">
        <is>
          <t>tok</t>
        </is>
      </c>
      <c r="E11" s="3" t="n">
        <v>0</v>
      </c>
      <c r="F11" s="3" t="n">
        <v>0</v>
      </c>
      <c r="G11" s="3" t="inlineStr"/>
      <c r="H11" s="3" t="inlineStr"/>
      <c r="I11" s="3" t="inlineStr"/>
      <c r="J11" s="3" t="inlineStr">
        <is>
          <t>—</t>
        </is>
      </c>
      <c r="K11" s="3" t="inlineStr">
        <is>
          <t>—</t>
        </is>
      </c>
      <c r="L11" s="3" t="inlineStr">
        <is>
          <t>—</t>
        </is>
      </c>
      <c r="M11" s="3" t="inlineStr">
        <is>
          <t>—</t>
        </is>
      </c>
      <c r="N11" s="3" t="inlineStr">
        <is>
          <t>—</t>
        </is>
      </c>
      <c r="O11" s="3" t="inlineStr">
        <is>
          <t>—</t>
        </is>
      </c>
      <c r="P11" s="3" t="inlineStr">
        <is>
          <t>—</t>
        </is>
      </c>
      <c r="Q11" s="3" t="inlineStr">
        <is>
          <t>—</t>
        </is>
      </c>
      <c r="R11" s="3" t="inlineStr">
        <is>
          <t>—</t>
        </is>
      </c>
      <c r="S11" s="3" t="inlineStr"/>
      <c r="T11" s="3" t="inlineStr"/>
      <c r="U11" s="3" t="n">
        <v>74</v>
      </c>
      <c r="V11" s="3" t="inlineStr"/>
      <c r="W11" s="3" t="inlineStr">
        <is>
          <t>—</t>
        </is>
      </c>
    </row>
    <row r="12">
      <c r="A12" s="3" t="inlineStr">
        <is>
          <t>Workload</t>
        </is>
      </c>
      <c r="B12" s="3" t="n">
        <v>10</v>
      </c>
      <c r="C12" s="3" t="inlineStr">
        <is>
          <t>思考保留於上下文比例 ρ</t>
        </is>
      </c>
      <c r="D12" s="3" t="inlineStr">
        <is>
          <t>%</t>
        </is>
      </c>
      <c r="E12" s="3" t="n">
        <v>0</v>
      </c>
      <c r="F12" s="3" t="n">
        <v>0</v>
      </c>
      <c r="G12" s="3" t="inlineStr"/>
      <c r="H12" s="3" t="inlineStr"/>
      <c r="I12" s="3" t="inlineStr"/>
      <c r="J12" s="3" t="inlineStr">
        <is>
          <t>—</t>
        </is>
      </c>
      <c r="K12" s="3" t="inlineStr">
        <is>
          <t>—</t>
        </is>
      </c>
      <c r="L12" s="3" t="inlineStr">
        <is>
          <t>—</t>
        </is>
      </c>
      <c r="M12" s="3" t="inlineStr">
        <is>
          <t>—</t>
        </is>
      </c>
      <c r="N12" s="3" t="inlineStr">
        <is>
          <t>—</t>
        </is>
      </c>
      <c r="O12" s="3" t="inlineStr">
        <is>
          <t>—</t>
        </is>
      </c>
      <c r="P12" s="3" t="inlineStr">
        <is>
          <t>—</t>
        </is>
      </c>
      <c r="Q12" s="3" t="inlineStr">
        <is>
          <t>—</t>
        </is>
      </c>
      <c r="R12" s="3" t="inlineStr">
        <is>
          <t>—</t>
        </is>
      </c>
      <c r="S12" s="3" t="inlineStr"/>
      <c r="T12" s="3" t="inlineStr"/>
      <c r="U12" s="3" t="n">
        <v>10</v>
      </c>
      <c r="V12" s="3" t="inlineStr"/>
      <c r="W12" s="3" t="inlineStr">
        <is>
          <t>—</t>
        </is>
      </c>
    </row>
    <row r="13">
      <c r="A13" s="3" t="inlineStr">
        <is>
          <t>Workload</t>
        </is>
      </c>
      <c r="B13" s="3" t="n">
        <v>11</v>
      </c>
      <c r="C13" s="3" t="inlineStr">
        <is>
          <t>歷史快取命中率 χ</t>
        </is>
      </c>
      <c r="D13" s="3" t="inlineStr">
        <is>
          <t>%</t>
        </is>
      </c>
      <c r="E13" s="3" t="n">
        <v>0</v>
      </c>
      <c r="F13" s="3" t="n">
        <v>0</v>
      </c>
      <c r="G13" s="3" t="inlineStr"/>
      <c r="H13" s="3" t="inlineStr"/>
      <c r="I13" s="3" t="inlineStr"/>
      <c r="J13" s="3" t="inlineStr">
        <is>
          <t>—</t>
        </is>
      </c>
      <c r="K13" s="3" t="inlineStr">
        <is>
          <t>—</t>
        </is>
      </c>
      <c r="L13" s="3" t="inlineStr">
        <is>
          <t>—</t>
        </is>
      </c>
      <c r="M13" s="3" t="inlineStr">
        <is>
          <t>—</t>
        </is>
      </c>
      <c r="N13" s="3" t="inlineStr">
        <is>
          <t>—</t>
        </is>
      </c>
      <c r="O13" s="3" t="inlineStr">
        <is>
          <t>—</t>
        </is>
      </c>
      <c r="P13" s="3" t="inlineStr">
        <is>
          <t>—</t>
        </is>
      </c>
      <c r="Q13" s="3" t="inlineStr">
        <is>
          <t>—</t>
        </is>
      </c>
      <c r="R13" s="3" t="inlineStr">
        <is>
          <t>—</t>
        </is>
      </c>
      <c r="S13" s="3" t="inlineStr"/>
      <c r="T13" s="3" t="inlineStr"/>
      <c r="U13" s="3" t="n">
        <v>32</v>
      </c>
      <c r="V13" s="3" t="inlineStr"/>
      <c r="W13" s="3" t="inlineStr">
        <is>
          <t>—</t>
        </is>
      </c>
    </row>
    <row r="14">
      <c r="A14" s="3" t="inlineStr">
        <is>
          <t>Workload</t>
        </is>
      </c>
      <c r="B14" s="3" t="n">
        <v>12</v>
      </c>
      <c r="C14" s="3" t="inlineStr">
        <is>
          <t>並行子代理數 m</t>
        </is>
      </c>
      <c r="D14" s="3" t="inlineStr">
        <is>
          <t>個</t>
        </is>
      </c>
      <c r="E14" s="3" t="n">
        <v>0</v>
      </c>
      <c r="F14" s="3" t="n">
        <v>0</v>
      </c>
      <c r="G14" s="3" t="inlineStr"/>
      <c r="H14" s="3" t="inlineStr"/>
      <c r="I14" s="3" t="inlineStr"/>
      <c r="J14" s="3" t="inlineStr">
        <is>
          <t>—</t>
        </is>
      </c>
      <c r="K14" s="3" t="inlineStr">
        <is>
          <t>—</t>
        </is>
      </c>
      <c r="L14" s="3" t="inlineStr">
        <is>
          <t>—</t>
        </is>
      </c>
      <c r="M14" s="3" t="inlineStr">
        <is>
          <t>—</t>
        </is>
      </c>
      <c r="N14" s="3" t="inlineStr">
        <is>
          <t>—</t>
        </is>
      </c>
      <c r="O14" s="3" t="inlineStr">
        <is>
          <t>—</t>
        </is>
      </c>
      <c r="P14" s="3" t="inlineStr">
        <is>
          <t>—</t>
        </is>
      </c>
      <c r="Q14" s="3" t="inlineStr">
        <is>
          <t>—</t>
        </is>
      </c>
      <c r="R14" s="3" t="inlineStr">
        <is>
          <t>—</t>
        </is>
      </c>
      <c r="S14" s="3" t="inlineStr"/>
      <c r="T14" s="3" t="inlineStr"/>
      <c r="U14" s="3" t="n">
        <v>66</v>
      </c>
      <c r="V14" s="3" t="inlineStr"/>
      <c r="W14" s="3" t="inlineStr">
        <is>
          <t>—</t>
        </is>
      </c>
    </row>
    <row r="15">
      <c r="A15" s="3" t="inlineStr">
        <is>
          <t>Workload</t>
        </is>
      </c>
      <c r="B15" s="3" t="n">
        <v>13</v>
      </c>
      <c r="C15" s="3" t="inlineStr">
        <is>
          <t>harness token 倍數</t>
        </is>
      </c>
      <c r="D15" s="3" t="inlineStr">
        <is>
          <t>x</t>
        </is>
      </c>
      <c r="E15" s="3" t="n">
        <v>0</v>
      </c>
      <c r="F15" s="3" t="n">
        <v>0</v>
      </c>
      <c r="G15" s="3" t="inlineStr"/>
      <c r="H15" s="3" t="inlineStr"/>
      <c r="I15" s="3" t="inlineStr"/>
      <c r="J15" s="3" t="inlineStr">
        <is>
          <t>—</t>
        </is>
      </c>
      <c r="K15" s="3" t="inlineStr">
        <is>
          <t>—</t>
        </is>
      </c>
      <c r="L15" s="3" t="inlineStr">
        <is>
          <t>—</t>
        </is>
      </c>
      <c r="M15" s="3" t="inlineStr">
        <is>
          <t>—</t>
        </is>
      </c>
      <c r="N15" s="3" t="inlineStr">
        <is>
          <t>[G16] harness token 倍數標為「殘差倍數」（基準 1）</t>
        </is>
      </c>
      <c r="O15" s="3" t="inlineStr">
        <is>
          <t>—</t>
        </is>
      </c>
      <c r="P15" s="3" t="inlineStr">
        <is>
          <t>—</t>
        </is>
      </c>
      <c r="Q15" s="3" t="inlineStr">
        <is>
          <t>—</t>
        </is>
      </c>
      <c r="R15" s="3" t="inlineStr">
        <is>
          <t>—</t>
        </is>
      </c>
      <c r="S15" s="3" t="inlineStr"/>
      <c r="T15" s="3" t="inlineStr"/>
      <c r="U15" s="3" t="n">
        <v>66</v>
      </c>
      <c r="V15" s="3" t="inlineStr">
        <is>
          <t>G16</t>
        </is>
      </c>
      <c r="W15" s="3" t="inlineStr">
        <is>
          <t>低</t>
        </is>
      </c>
    </row>
    <row r="16">
      <c r="A16" s="3" t="inlineStr">
        <is>
          <t>Workload</t>
        </is>
      </c>
      <c r="B16" s="3" t="n">
        <v>14</v>
      </c>
      <c r="C16" s="3" t="inlineStr">
        <is>
          <t>歷史保留比 c（壓縮後保留的歷史比例；1＝不壓縮）</t>
        </is>
      </c>
      <c r="D16" s="3" t="inlineStr">
        <is>
          <t>x</t>
        </is>
      </c>
      <c r="E16" s="3" t="n">
        <v>0</v>
      </c>
      <c r="F16" s="3" t="n">
        <v>0</v>
      </c>
      <c r="G16" s="3" t="inlineStr"/>
      <c r="H16" s="3" t="inlineStr"/>
      <c r="I16" s="3" t="inlineStr"/>
      <c r="J16" s="3" t="inlineStr">
        <is>
          <t>—</t>
        </is>
      </c>
      <c r="K16" s="3" t="inlineStr">
        <is>
          <t>—</t>
        </is>
      </c>
      <c r="L16" s="3" t="inlineStr">
        <is>
          <t>—</t>
        </is>
      </c>
      <c r="M16" s="3" t="inlineStr">
        <is>
          <t>—</t>
        </is>
      </c>
      <c r="N16" s="3" t="inlineStr">
        <is>
          <t>—</t>
        </is>
      </c>
      <c r="O16" s="3" t="inlineStr">
        <is>
          <t>—</t>
        </is>
      </c>
      <c r="P16" s="3" t="inlineStr">
        <is>
          <t>—</t>
        </is>
      </c>
      <c r="Q16" s="3" t="inlineStr">
        <is>
          <t>—</t>
        </is>
      </c>
      <c r="R16" s="3" t="inlineStr">
        <is>
          <t>—</t>
        </is>
      </c>
      <c r="S16" s="3" t="inlineStr"/>
      <c r="T16" s="3" t="inlineStr"/>
      <c r="U16" s="3" t="n">
        <v>10</v>
      </c>
      <c r="V16" s="3" t="inlineStr"/>
      <c r="W16" s="3" t="inlineStr">
        <is>
          <t>—</t>
        </is>
      </c>
    </row>
    <row r="17">
      <c r="A17" s="3" t="inlineStr">
        <is>
          <t>Workload</t>
        </is>
      </c>
      <c r="B17" s="3" t="n">
        <v>18</v>
      </c>
      <c r="C17" s="3" t="inlineStr">
        <is>
          <t>有效輪數 T</t>
        </is>
      </c>
      <c r="D17" s="3" t="inlineStr">
        <is>
          <t>輪</t>
        </is>
      </c>
      <c r="E17" s="3" t="n">
        <v>5</v>
      </c>
      <c r="F17" s="3" t="n">
        <v>5</v>
      </c>
      <c r="G17" s="3" t="inlineStr">
        <is>
          <t>C18</t>
        </is>
      </c>
      <c r="H17" s="3">
        <f>C5*(1+B5_W*(INDEX(B5_SelT,1,1)-1))</f>
        <v/>
      </c>
      <c r="I17" s="3" t="n">
        <v>1</v>
      </c>
      <c r="J17" s="3" t="inlineStr">
        <is>
          <t>—</t>
        </is>
      </c>
      <c r="K17" s="3" t="inlineStr">
        <is>
          <t>—</t>
        </is>
      </c>
      <c r="L17" s="3" t="inlineStr">
        <is>
          <t>—</t>
        </is>
      </c>
      <c r="M17" s="3" t="inlineStr">
        <is>
          <t>—</t>
        </is>
      </c>
      <c r="N17" s="3" t="inlineStr">
        <is>
          <t>—</t>
        </is>
      </c>
      <c r="O17" s="3" t="inlineStr">
        <is>
          <t>—</t>
        </is>
      </c>
      <c r="P17" s="3" t="inlineStr">
        <is>
          <t>—</t>
        </is>
      </c>
      <c r="Q17" s="3" t="inlineStr">
        <is>
          <t>—</t>
        </is>
      </c>
      <c r="R17" s="3" t="inlineStr">
        <is>
          <t>—</t>
        </is>
      </c>
      <c r="S17" s="3" t="inlineStr"/>
      <c r="T17" s="3" t="inlineStr"/>
      <c r="U17" s="3" t="n">
        <v>20</v>
      </c>
      <c r="V17" s="3" t="inlineStr"/>
      <c r="W17" s="3" t="inlineStr">
        <is>
          <t>—</t>
        </is>
      </c>
    </row>
    <row r="18">
      <c r="A18" s="3" t="inlineStr">
        <is>
          <t>Workload</t>
        </is>
      </c>
      <c r="B18" s="3" t="n">
        <v>19</v>
      </c>
      <c r="C18" s="3" t="inlineStr">
        <is>
          <t>有效每輪思考 h</t>
        </is>
      </c>
      <c r="D18" s="3" t="inlineStr">
        <is>
          <t>tok</t>
        </is>
      </c>
      <c r="E18" s="3" t="n">
        <v>5</v>
      </c>
      <c r="F18" s="3" t="n">
        <v>5</v>
      </c>
      <c r="G18" s="3" t="inlineStr">
        <is>
          <t>C19</t>
        </is>
      </c>
      <c r="H18" s="3">
        <f>C8*(1+B5_W*(INDEX(B5_SelH,1,1)-1))</f>
        <v/>
      </c>
      <c r="I18" s="3" t="n">
        <v>0</v>
      </c>
      <c r="J18" s="3" t="inlineStr">
        <is>
          <t>—</t>
        </is>
      </c>
      <c r="K18" s="3" t="inlineStr">
        <is>
          <t>—</t>
        </is>
      </c>
      <c r="L18" s="3" t="inlineStr">
        <is>
          <t>—</t>
        </is>
      </c>
      <c r="M18" s="3" t="inlineStr">
        <is>
          <t>—</t>
        </is>
      </c>
      <c r="N18" s="3" t="inlineStr">
        <is>
          <t>—</t>
        </is>
      </c>
      <c r="O18" s="3" t="inlineStr">
        <is>
          <t>—</t>
        </is>
      </c>
      <c r="P18" s="3" t="inlineStr">
        <is>
          <t>—</t>
        </is>
      </c>
      <c r="Q18" s="3" t="inlineStr">
        <is>
          <t>直接引用 Y5 類輸入</t>
        </is>
      </c>
      <c r="R18" s="3" t="inlineStr">
        <is>
          <t>—</t>
        </is>
      </c>
      <c r="S18" s="3" t="inlineStr">
        <is>
          <t>Y5</t>
        </is>
      </c>
      <c r="T18" s="3" t="inlineStr">
        <is>
          <t>Y5</t>
        </is>
      </c>
      <c r="U18" s="3" t="n">
        <v>20</v>
      </c>
      <c r="V18" s="3" t="inlineStr"/>
      <c r="W18" s="3" t="inlineStr">
        <is>
          <t>資訊（只有 L8）</t>
        </is>
      </c>
    </row>
    <row r="19">
      <c r="A19" s="3" t="inlineStr">
        <is>
          <t>Workload</t>
        </is>
      </c>
      <c r="B19" s="3" t="n">
        <v>20</v>
      </c>
      <c r="C19" s="3" t="inlineStr">
        <is>
          <t>有效思考保留 ρ</t>
        </is>
      </c>
      <c r="D19" s="3" t="inlineStr">
        <is>
          <t>%</t>
        </is>
      </c>
      <c r="E19" s="3" t="n">
        <v>5</v>
      </c>
      <c r="F19" s="3" t="n">
        <v>5</v>
      </c>
      <c r="G19" s="3" t="inlineStr">
        <is>
          <t>C20</t>
        </is>
      </c>
      <c r="H19" s="3">
        <f>C10+B5_W*(INDEX(B5_Selrho,1,1)-C10)</f>
        <v/>
      </c>
      <c r="I19" s="3" t="n">
        <v>0</v>
      </c>
      <c r="J19" s="3" t="inlineStr">
        <is>
          <t>—</t>
        </is>
      </c>
      <c r="K19" s="3" t="inlineStr">
        <is>
          <t>—</t>
        </is>
      </c>
      <c r="L19" s="3" t="inlineStr">
        <is>
          <t>—</t>
        </is>
      </c>
      <c r="M19" s="3" t="inlineStr">
        <is>
          <t>—</t>
        </is>
      </c>
      <c r="N19" s="3" t="inlineStr">
        <is>
          <t>—</t>
        </is>
      </c>
      <c r="O19" s="3" t="inlineStr">
        <is>
          <t>—</t>
        </is>
      </c>
      <c r="P19" s="3" t="inlineStr">
        <is>
          <t>—</t>
        </is>
      </c>
      <c r="Q19" s="3" t="inlineStr">
        <is>
          <t>—</t>
        </is>
      </c>
      <c r="R19" s="3" t="inlineStr">
        <is>
          <t>—</t>
        </is>
      </c>
      <c r="S19" s="3" t="inlineStr"/>
      <c r="T19" s="3" t="inlineStr"/>
      <c r="U19" s="3" t="n">
        <v>5</v>
      </c>
      <c r="V19" s="3" t="inlineStr"/>
      <c r="W19" s="3" t="inlineStr">
        <is>
          <t>—</t>
        </is>
      </c>
    </row>
    <row r="20">
      <c r="A20" s="3" t="inlineStr">
        <is>
          <t>Workload</t>
        </is>
      </c>
      <c r="B20" s="3" t="n">
        <v>21</v>
      </c>
      <c r="C20" s="3" t="inlineStr">
        <is>
          <t>有效快取命中 χ</t>
        </is>
      </c>
      <c r="D20" s="3" t="inlineStr">
        <is>
          <t>%</t>
        </is>
      </c>
      <c r="E20" s="3" t="n">
        <v>5</v>
      </c>
      <c r="F20" s="3" t="n">
        <v>5</v>
      </c>
      <c r="G20" s="3" t="inlineStr">
        <is>
          <t>C21</t>
        </is>
      </c>
      <c r="H20" s="3">
        <f>MIN(1,MAX(0,C11+B5_W*INDEX(B5_SelDChi,1,1)))</f>
        <v/>
      </c>
      <c r="I20" s="3" t="n">
        <v>0.5</v>
      </c>
      <c r="J20" s="3" t="inlineStr">
        <is>
          <t>—</t>
        </is>
      </c>
      <c r="K20" s="3" t="inlineStr">
        <is>
          <t>—</t>
        </is>
      </c>
      <c r="L20" s="3" t="inlineStr">
        <is>
          <t>—</t>
        </is>
      </c>
      <c r="M20" s="3" t="inlineStr">
        <is>
          <t>—</t>
        </is>
      </c>
      <c r="N20" s="3" t="inlineStr">
        <is>
          <t>—</t>
        </is>
      </c>
      <c r="O20" s="3" t="inlineStr">
        <is>
          <t>—</t>
        </is>
      </c>
      <c r="P20" s="3" t="inlineStr">
        <is>
          <t>[G16] MIN(1,MAX(0,…)) 截斷：harness 檔案 Δχ 使 χ 超出 0–1 時無提示</t>
        </is>
      </c>
      <c r="Q20" s="3" t="inlineStr">
        <is>
          <t>—</t>
        </is>
      </c>
      <c r="R20" s="3" t="inlineStr">
        <is>
          <t>—</t>
        </is>
      </c>
      <c r="S20" s="3" t="inlineStr"/>
      <c r="T20" s="3" t="inlineStr"/>
      <c r="U20" s="3" t="n">
        <v>5</v>
      </c>
      <c r="V20" s="3" t="inlineStr">
        <is>
          <t>G16</t>
        </is>
      </c>
      <c r="W20" s="3" t="inlineStr">
        <is>
          <t>低</t>
        </is>
      </c>
    </row>
    <row r="21">
      <c r="A21" s="3" t="inlineStr">
        <is>
          <t>Workload</t>
        </is>
      </c>
      <c r="B21" s="3" t="n">
        <v>22</v>
      </c>
      <c r="C21" s="3" t="inlineStr">
        <is>
          <t>有效子代理數 m</t>
        </is>
      </c>
      <c r="D21" s="3" t="inlineStr">
        <is>
          <t>個</t>
        </is>
      </c>
      <c r="E21" s="3" t="n">
        <v>5</v>
      </c>
      <c r="F21" s="3" t="n">
        <v>5</v>
      </c>
      <c r="G21" s="3" t="inlineStr">
        <is>
          <t>C22</t>
        </is>
      </c>
      <c r="H21" s="3">
        <f>C12+B5_W*INDEX(B5_SelDM,1,1)</f>
        <v/>
      </c>
      <c r="I21" s="3" t="n">
        <v>0</v>
      </c>
      <c r="J21" s="3" t="inlineStr">
        <is>
          <t>—</t>
        </is>
      </c>
      <c r="K21" s="3" t="inlineStr">
        <is>
          <t>—</t>
        </is>
      </c>
      <c r="L21" s="3" t="inlineStr">
        <is>
          <t>—</t>
        </is>
      </c>
      <c r="M21" s="3" t="inlineStr">
        <is>
          <t>—</t>
        </is>
      </c>
      <c r="N21" s="3" t="inlineStr">
        <is>
          <t>—</t>
        </is>
      </c>
      <c r="O21" s="3" t="inlineStr">
        <is>
          <t>—</t>
        </is>
      </c>
      <c r="P21" s="3" t="inlineStr">
        <is>
          <t>—</t>
        </is>
      </c>
      <c r="Q21" s="3" t="inlineStr">
        <is>
          <t>—</t>
        </is>
      </c>
      <c r="R21" s="3" t="inlineStr">
        <is>
          <t>—</t>
        </is>
      </c>
      <c r="S21" s="3" t="inlineStr"/>
      <c r="T21" s="3" t="inlineStr"/>
      <c r="U21" s="3" t="n">
        <v>5</v>
      </c>
      <c r="V21" s="3" t="inlineStr"/>
      <c r="W21" s="3" t="inlineStr">
        <is>
          <t>—</t>
        </is>
      </c>
    </row>
    <row r="22">
      <c r="A22" s="3" t="inlineStr">
        <is>
          <t>Workload</t>
        </is>
      </c>
      <c r="B22" s="3" t="n">
        <v>23</v>
      </c>
      <c r="C22" s="3" t="inlineStr">
        <is>
          <t>有效歷史保留比 c</t>
        </is>
      </c>
      <c r="D22" s="3" t="inlineStr">
        <is>
          <t>x</t>
        </is>
      </c>
      <c r="E22" s="3" t="n">
        <v>5</v>
      </c>
      <c r="F22" s="3" t="n">
        <v>5</v>
      </c>
      <c r="G22" s="3" t="inlineStr">
        <is>
          <t>C23</t>
        </is>
      </c>
      <c r="H22" s="3">
        <f>C14+B5_W*(INDEX(B5_SelC,1,1)-C14)</f>
        <v/>
      </c>
      <c r="I22" s="3" t="n">
        <v>1</v>
      </c>
      <c r="J22" s="3" t="inlineStr">
        <is>
          <t>—</t>
        </is>
      </c>
      <c r="K22" s="3" t="inlineStr">
        <is>
          <t>—</t>
        </is>
      </c>
      <c r="L22" s="3" t="inlineStr">
        <is>
          <t>—</t>
        </is>
      </c>
      <c r="M22" s="3" t="inlineStr">
        <is>
          <t>—</t>
        </is>
      </c>
      <c r="N22" s="3" t="inlineStr">
        <is>
          <t>—</t>
        </is>
      </c>
      <c r="O22" s="3" t="inlineStr">
        <is>
          <t>—</t>
        </is>
      </c>
      <c r="P22" s="3" t="inlineStr">
        <is>
          <t>—</t>
        </is>
      </c>
      <c r="Q22" s="3" t="inlineStr">
        <is>
          <t>—</t>
        </is>
      </c>
      <c r="R22" s="3" t="inlineStr">
        <is>
          <t>—</t>
        </is>
      </c>
      <c r="S22" s="3" t="inlineStr"/>
      <c r="T22" s="3" t="inlineStr"/>
      <c r="U22" s="3" t="n">
        <v>15</v>
      </c>
      <c r="V22" s="3" t="inlineStr"/>
      <c r="W22" s="3" t="inlineStr">
        <is>
          <t>—</t>
        </is>
      </c>
    </row>
    <row r="23">
      <c r="A23" s="3" t="inlineStr">
        <is>
          <t>Workload</t>
        </is>
      </c>
      <c r="B23" s="3" t="n">
        <v>26</v>
      </c>
      <c r="C23" s="3" t="inlineStr">
        <is>
          <t>每輪上下文增量 u＋o＋ρh</t>
        </is>
      </c>
      <c r="D23" s="3" t="inlineStr">
        <is>
          <t>tok</t>
        </is>
      </c>
      <c r="E23" s="3" t="n">
        <v>5</v>
      </c>
      <c r="F23" s="3" t="n">
        <v>1</v>
      </c>
      <c r="G23" s="3" t="inlineStr">
        <is>
          <t>C26</t>
        </is>
      </c>
      <c r="H23" s="3">
        <f>C7+C9+C20*C19</f>
        <v/>
      </c>
      <c r="I23" s="3" t="n">
        <v>1000</v>
      </c>
      <c r="J23" s="3" t="inlineStr">
        <is>
          <t>—</t>
        </is>
      </c>
      <c r="K23" s="3" t="inlineStr">
        <is>
          <t>[G16] 任務 token 結構（例：一般聊天輸入 2,500、輸出 500、思考 0）與 Serving 參考請求（Luna ISL 8,192／OSL 1,024 含思考）是兩套獨立定義，分別進每成功任務成本與每 M token 單價（與 Y6 同類）</t>
        </is>
      </c>
      <c r="L23" s="3" t="inlineStr">
        <is>
          <t>—</t>
        </is>
      </c>
      <c r="M23" s="3" t="inlineStr">
        <is>
          <t>—</t>
        </is>
      </c>
      <c r="N23" s="3" t="inlineStr">
        <is>
          <t>—</t>
        </is>
      </c>
      <c r="O23" s="3" t="inlineStr">
        <is>
          <t>—</t>
        </is>
      </c>
      <c r="P23" s="3" t="inlineStr">
        <is>
          <t>—</t>
        </is>
      </c>
      <c r="Q23" s="3" t="inlineStr">
        <is>
          <t>上游含 Y5</t>
        </is>
      </c>
      <c r="R23" s="3" t="inlineStr">
        <is>
          <t>—</t>
        </is>
      </c>
      <c r="S23" s="3" t="inlineStr">
        <is>
          <t>Y5</t>
        </is>
      </c>
      <c r="T23" s="3" t="inlineStr"/>
      <c r="U23" s="3" t="n">
        <v>15</v>
      </c>
      <c r="V23" s="3" t="inlineStr">
        <is>
          <t>G16</t>
        </is>
      </c>
      <c r="W23" s="3" t="inlineStr">
        <is>
          <t>中</t>
        </is>
      </c>
    </row>
    <row r="24">
      <c r="A24" s="3" t="inlineStr">
        <is>
          <t>Workload</t>
        </is>
      </c>
      <c r="B24" s="3" t="n">
        <v>27</v>
      </c>
      <c r="C24" s="3" t="inlineStr">
        <is>
          <t>單代理輸入總量</t>
        </is>
      </c>
      <c r="D24" s="3" t="inlineStr">
        <is>
          <t>tok</t>
        </is>
      </c>
      <c r="E24" s="3" t="n">
        <v>5</v>
      </c>
      <c r="F24" s="3" t="n">
        <v>1</v>
      </c>
      <c r="G24" s="3" t="inlineStr">
        <is>
          <t>C27</t>
        </is>
      </c>
      <c r="H24" s="3">
        <f>C18*(C6+C7)+C23*C26*C18*(C18-1)/2</f>
        <v/>
      </c>
      <c r="I24" s="3" t="n">
        <v>2500</v>
      </c>
      <c r="J24" s="3" t="inlineStr">
        <is>
          <t>—</t>
        </is>
      </c>
      <c r="K24" s="3" t="inlineStr">
        <is>
          <t>[G16] 任務 token 結構（例：一般聊天輸入 2,500、輸出 500、思考 0）與 Serving 參考請求（Luna ISL 8,192／OSL 1,024 含思考）是兩套獨立定義，分別進每成功任務成本與每 M token 單價（與 Y6 同類）</t>
        </is>
      </c>
      <c r="L24" s="3" t="inlineStr">
        <is>
          <t>—</t>
        </is>
      </c>
      <c r="M24" s="3" t="inlineStr">
        <is>
          <t>—</t>
        </is>
      </c>
      <c r="N24" s="3" t="inlineStr">
        <is>
          <t>—</t>
        </is>
      </c>
      <c r="O24" s="3" t="inlineStr">
        <is>
          <t>—</t>
        </is>
      </c>
      <c r="P24" s="3" t="inlineStr">
        <is>
          <t>—</t>
        </is>
      </c>
      <c r="Q24" s="3" t="inlineStr">
        <is>
          <t>上游含 Y5</t>
        </is>
      </c>
      <c r="R24" s="3" t="inlineStr">
        <is>
          <t>—</t>
        </is>
      </c>
      <c r="S24" s="3" t="inlineStr">
        <is>
          <t>Y5</t>
        </is>
      </c>
      <c r="T24" s="3" t="inlineStr"/>
      <c r="U24" s="3" t="n">
        <v>5</v>
      </c>
      <c r="V24" s="3" t="inlineStr">
        <is>
          <t>G16</t>
        </is>
      </c>
      <c r="W24" s="3" t="inlineStr">
        <is>
          <t>中</t>
        </is>
      </c>
    </row>
    <row r="25">
      <c r="A25" s="3" t="inlineStr">
        <is>
          <t>Workload</t>
        </is>
      </c>
      <c r="B25" s="3" t="n">
        <v>28</v>
      </c>
      <c r="C25" s="3" t="inlineStr">
        <is>
          <t>其中可快取（前綴）</t>
        </is>
      </c>
      <c r="D25" s="3" t="inlineStr">
        <is>
          <t>tok</t>
        </is>
      </c>
      <c r="E25" s="3" t="n">
        <v>5</v>
      </c>
      <c r="F25" s="3" t="n">
        <v>1</v>
      </c>
      <c r="G25" s="3" t="inlineStr">
        <is>
          <t>C28</t>
        </is>
      </c>
      <c r="H25" s="3">
        <f>C21*(C18*C6+C23*C26*C18*(C18-1)/2)</f>
        <v/>
      </c>
      <c r="I25" s="3" t="n">
        <v>1000</v>
      </c>
      <c r="J25" s="3" t="inlineStr">
        <is>
          <t>—</t>
        </is>
      </c>
      <c r="K25" s="3" t="inlineStr">
        <is>
          <t>[G16] 任務 token 結構（例：一般聊天輸入 2,500、輸出 500、思考 0）與 Serving 參考請求（Luna ISL 8,192／OSL 1,024 含思考）是兩套獨立定義，分別進每成功任務成本與每 M token 單價（與 Y6 同類）</t>
        </is>
      </c>
      <c r="L25" s="3" t="inlineStr">
        <is>
          <t>—</t>
        </is>
      </c>
      <c r="M25" s="3" t="inlineStr">
        <is>
          <t>—</t>
        </is>
      </c>
      <c r="N25" s="3" t="inlineStr">
        <is>
          <t>—</t>
        </is>
      </c>
      <c r="O25" s="3" t="inlineStr">
        <is>
          <t>—</t>
        </is>
      </c>
      <c r="P25" s="3" t="inlineStr">
        <is>
          <t>—</t>
        </is>
      </c>
      <c r="Q25" s="3" t="inlineStr">
        <is>
          <t>上游含 Y5</t>
        </is>
      </c>
      <c r="R25" s="3" t="inlineStr">
        <is>
          <t>—</t>
        </is>
      </c>
      <c r="S25" s="3" t="inlineStr">
        <is>
          <t>Y5</t>
        </is>
      </c>
      <c r="T25" s="3" t="inlineStr"/>
      <c r="U25" s="3" t="n">
        <v>10</v>
      </c>
      <c r="V25" s="3" t="inlineStr">
        <is>
          <t>G16</t>
        </is>
      </c>
      <c r="W25" s="3" t="inlineStr">
        <is>
          <t>中</t>
        </is>
      </c>
    </row>
    <row r="26">
      <c r="A26" s="3" t="inlineStr">
        <is>
          <t>Workload</t>
        </is>
      </c>
      <c r="B26" s="3" t="n">
        <v>29</v>
      </c>
      <c r="C26" s="3" t="inlineStr">
        <is>
          <t>其中新鮮</t>
        </is>
      </c>
      <c r="D26" s="3" t="inlineStr">
        <is>
          <t>tok</t>
        </is>
      </c>
      <c r="E26" s="3" t="n">
        <v>5</v>
      </c>
      <c r="F26" s="3" t="n">
        <v>1</v>
      </c>
      <c r="G26" s="3" t="inlineStr">
        <is>
          <t>C29</t>
        </is>
      </c>
      <c r="H26" s="3">
        <f>C27-C28</f>
        <v/>
      </c>
      <c r="I26" s="3" t="n">
        <v>1500</v>
      </c>
      <c r="J26" s="3" t="inlineStr">
        <is>
          <t>—</t>
        </is>
      </c>
      <c r="K26" s="3" t="inlineStr">
        <is>
          <t>[G16] 任務 token 結構（例：一般聊天輸入 2,500、輸出 500、思考 0）與 Serving 參考請求（Luna ISL 8,192／OSL 1,024 含思考）是兩套獨立定義，分別進每成功任務成本與每 M token 單價（與 Y6 同類）</t>
        </is>
      </c>
      <c r="L26" s="3" t="inlineStr">
        <is>
          <t>—</t>
        </is>
      </c>
      <c r="M26" s="3" t="inlineStr">
        <is>
          <t>—</t>
        </is>
      </c>
      <c r="N26" s="3" t="inlineStr">
        <is>
          <t>—</t>
        </is>
      </c>
      <c r="O26" s="3" t="inlineStr">
        <is>
          <t>—</t>
        </is>
      </c>
      <c r="P26" s="3" t="inlineStr">
        <is>
          <t>—</t>
        </is>
      </c>
      <c r="Q26" s="3" t="inlineStr">
        <is>
          <t>上游含 Y5</t>
        </is>
      </c>
      <c r="R26" s="3" t="inlineStr">
        <is>
          <t>—</t>
        </is>
      </c>
      <c r="S26" s="3" t="inlineStr">
        <is>
          <t>Y5</t>
        </is>
      </c>
      <c r="T26" s="3" t="inlineStr"/>
      <c r="U26" s="3" t="n">
        <v>5</v>
      </c>
      <c r="V26" s="3" t="inlineStr">
        <is>
          <t>G16</t>
        </is>
      </c>
      <c r="W26" s="3" t="inlineStr">
        <is>
          <t>中</t>
        </is>
      </c>
    </row>
    <row r="27">
      <c r="A27" s="3" t="inlineStr">
        <is>
          <t>Workload</t>
        </is>
      </c>
      <c r="B27" s="3" t="n">
        <v>30</v>
      </c>
      <c r="C27" s="3" t="inlineStr">
        <is>
          <t>單代理 decode（思考＋可見）</t>
        </is>
      </c>
      <c r="D27" s="3" t="inlineStr">
        <is>
          <t>tok</t>
        </is>
      </c>
      <c r="E27" s="3" t="n">
        <v>5</v>
      </c>
      <c r="F27" s="3" t="n">
        <v>1</v>
      </c>
      <c r="G27" s="3" t="inlineStr">
        <is>
          <t>C30</t>
        </is>
      </c>
      <c r="H27" s="3">
        <f>C18*(C19+C9)</f>
        <v/>
      </c>
      <c r="I27" s="3" t="n">
        <v>500</v>
      </c>
      <c r="J27" s="3" t="inlineStr">
        <is>
          <t>—</t>
        </is>
      </c>
      <c r="K27" s="3" t="inlineStr">
        <is>
          <t>[G16] 任務 token 結構（例：一般聊天輸入 2,500、輸出 500、思考 0）與 Serving 參考請求（Luna ISL 8,192／OSL 1,024 含思考）是兩套獨立定義，分別進每成功任務成本與每 M token 單價（與 Y6 同類）</t>
        </is>
      </c>
      <c r="L27" s="3" t="inlineStr">
        <is>
          <t>—</t>
        </is>
      </c>
      <c r="M27" s="3" t="inlineStr">
        <is>
          <t>—</t>
        </is>
      </c>
      <c r="N27" s="3" t="inlineStr">
        <is>
          <t>—</t>
        </is>
      </c>
      <c r="O27" s="3" t="inlineStr">
        <is>
          <t>—</t>
        </is>
      </c>
      <c r="P27" s="3" t="inlineStr">
        <is>
          <t>—</t>
        </is>
      </c>
      <c r="Q27" s="3" t="inlineStr">
        <is>
          <t>上游含 Y5</t>
        </is>
      </c>
      <c r="R27" s="3" t="inlineStr">
        <is>
          <t>—</t>
        </is>
      </c>
      <c r="S27" s="3" t="inlineStr">
        <is>
          <t>Y5</t>
        </is>
      </c>
      <c r="T27" s="3" t="inlineStr"/>
      <c r="U27" s="3" t="n">
        <v>5</v>
      </c>
      <c r="V27" s="3" t="inlineStr">
        <is>
          <t>G16</t>
        </is>
      </c>
      <c r="W27" s="3" t="inlineStr">
        <is>
          <t>中</t>
        </is>
      </c>
    </row>
    <row r="28">
      <c r="A28" s="3" t="inlineStr">
        <is>
          <t>Workload</t>
        </is>
      </c>
      <c r="B28" s="3" t="n">
        <v>31</v>
      </c>
      <c r="C28" s="3" t="inlineStr">
        <is>
          <t>系統倍數（1＋m）× harness 殘差倍數</t>
        </is>
      </c>
      <c r="D28" s="3" t="inlineStr">
        <is>
          <t>x</t>
        </is>
      </c>
      <c r="E28" s="3" t="n">
        <v>5</v>
      </c>
      <c r="F28" s="3" t="n">
        <v>1</v>
      </c>
      <c r="G28" s="3" t="inlineStr">
        <is>
          <t>C31</t>
        </is>
      </c>
      <c r="H28" s="3">
        <f>(1+C22)*C13</f>
        <v/>
      </c>
      <c r="I28" s="3" t="n">
        <v>1</v>
      </c>
      <c r="J28" s="3" t="inlineStr">
        <is>
          <t>—</t>
        </is>
      </c>
      <c r="K28" s="3" t="inlineStr">
        <is>
          <t>—</t>
        </is>
      </c>
      <c r="L28" s="3" t="inlineStr">
        <is>
          <t>—</t>
        </is>
      </c>
      <c r="M28" s="3" t="inlineStr">
        <is>
          <t>—</t>
        </is>
      </c>
      <c r="N28" s="3" t="inlineStr">
        <is>
          <t>—</t>
        </is>
      </c>
      <c r="O28" s="3" t="inlineStr">
        <is>
          <t>—</t>
        </is>
      </c>
      <c r="P28" s="3" t="inlineStr">
        <is>
          <t>—</t>
        </is>
      </c>
      <c r="Q28" s="3" t="inlineStr">
        <is>
          <t>—</t>
        </is>
      </c>
      <c r="R28" s="3" t="inlineStr">
        <is>
          <t>—</t>
        </is>
      </c>
      <c r="S28" s="3" t="inlineStr"/>
      <c r="T28" s="3" t="inlineStr"/>
      <c r="U28" s="3" t="n">
        <v>15</v>
      </c>
      <c r="V28" s="3" t="inlineStr"/>
      <c r="W28" s="3" t="inlineStr">
        <is>
          <t>—</t>
        </is>
      </c>
    </row>
    <row r="29">
      <c r="A29" s="3" t="inlineStr">
        <is>
          <t>Workload</t>
        </is>
      </c>
      <c r="B29" s="3" t="n">
        <v>32</v>
      </c>
      <c r="C29" s="3" t="inlineStr">
        <is>
          <t>任務新鮮 prefill</t>
        </is>
      </c>
      <c r="D29" s="3" t="inlineStr">
        <is>
          <t>tok</t>
        </is>
      </c>
      <c r="E29" s="3" t="n">
        <v>5</v>
      </c>
      <c r="F29" s="3" t="n">
        <v>1</v>
      </c>
      <c r="G29" s="3" t="inlineStr">
        <is>
          <t>C32</t>
        </is>
      </c>
      <c r="H29" s="3">
        <f>C29*C31</f>
        <v/>
      </c>
      <c r="I29" s="3" t="n">
        <v>1500</v>
      </c>
      <c r="J29" s="3" t="inlineStr">
        <is>
          <t>—</t>
        </is>
      </c>
      <c r="K29" s="3" t="inlineStr">
        <is>
          <t>—</t>
        </is>
      </c>
      <c r="L29" s="3" t="inlineStr">
        <is>
          <t>—</t>
        </is>
      </c>
      <c r="M29" s="3" t="inlineStr">
        <is>
          <t>—</t>
        </is>
      </c>
      <c r="N29" s="3" t="inlineStr">
        <is>
          <t>—</t>
        </is>
      </c>
      <c r="O29" s="3" t="inlineStr">
        <is>
          <t>—</t>
        </is>
      </c>
      <c r="P29" s="3" t="inlineStr">
        <is>
          <t>—</t>
        </is>
      </c>
      <c r="Q29" s="3" t="inlineStr">
        <is>
          <t>上游含 Y5</t>
        </is>
      </c>
      <c r="R29" s="3" t="inlineStr">
        <is>
          <t>—</t>
        </is>
      </c>
      <c r="S29" s="3" t="inlineStr">
        <is>
          <t>Y5</t>
        </is>
      </c>
      <c r="T29" s="3" t="inlineStr"/>
      <c r="U29" s="3" t="n">
        <v>55</v>
      </c>
      <c r="V29" s="3" t="inlineStr"/>
      <c r="W29" s="3" t="inlineStr">
        <is>
          <t>資訊（只有 L8）</t>
        </is>
      </c>
    </row>
    <row r="30">
      <c r="A30" s="3" t="inlineStr">
        <is>
          <t>Workload</t>
        </is>
      </c>
      <c r="B30" s="3" t="n">
        <v>33</v>
      </c>
      <c r="C30" s="3" t="inlineStr">
        <is>
          <t>任務快取 prefill</t>
        </is>
      </c>
      <c r="D30" s="3" t="inlineStr">
        <is>
          <t>tok</t>
        </is>
      </c>
      <c r="E30" s="3" t="n">
        <v>5</v>
      </c>
      <c r="F30" s="3" t="n">
        <v>1</v>
      </c>
      <c r="G30" s="3" t="inlineStr">
        <is>
          <t>C33</t>
        </is>
      </c>
      <c r="H30" s="3">
        <f>C28*C31</f>
        <v/>
      </c>
      <c r="I30" s="3" t="n">
        <v>1000</v>
      </c>
      <c r="J30" s="3" t="inlineStr">
        <is>
          <t>—</t>
        </is>
      </c>
      <c r="K30" s="3" t="inlineStr">
        <is>
          <t>—</t>
        </is>
      </c>
      <c r="L30" s="3" t="inlineStr">
        <is>
          <t>—</t>
        </is>
      </c>
      <c r="M30" s="3" t="inlineStr">
        <is>
          <t>—</t>
        </is>
      </c>
      <c r="N30" s="3" t="inlineStr">
        <is>
          <t>—</t>
        </is>
      </c>
      <c r="O30" s="3" t="inlineStr">
        <is>
          <t>—</t>
        </is>
      </c>
      <c r="P30" s="3" t="inlineStr">
        <is>
          <t>—</t>
        </is>
      </c>
      <c r="Q30" s="3" t="inlineStr">
        <is>
          <t>上游含 Y5</t>
        </is>
      </c>
      <c r="R30" s="3" t="inlineStr">
        <is>
          <t>—</t>
        </is>
      </c>
      <c r="S30" s="3" t="inlineStr">
        <is>
          <t>Y5</t>
        </is>
      </c>
      <c r="T30" s="3" t="inlineStr"/>
      <c r="U30" s="3" t="n">
        <v>55</v>
      </c>
      <c r="V30" s="3" t="inlineStr"/>
      <c r="W30" s="3" t="inlineStr">
        <is>
          <t>資訊（只有 L8）</t>
        </is>
      </c>
    </row>
    <row r="31">
      <c r="A31" s="3" t="inlineStr">
        <is>
          <t>Workload</t>
        </is>
      </c>
      <c r="B31" s="3" t="n">
        <v>34</v>
      </c>
      <c r="C31" s="3" t="inlineStr">
        <is>
          <t>任務 decode</t>
        </is>
      </c>
      <c r="D31" s="3" t="inlineStr">
        <is>
          <t>tok</t>
        </is>
      </c>
      <c r="E31" s="3" t="n">
        <v>5</v>
      </c>
      <c r="F31" s="3" t="n">
        <v>1</v>
      </c>
      <c r="G31" s="3" t="inlineStr">
        <is>
          <t>C34</t>
        </is>
      </c>
      <c r="H31" s="3">
        <f>C30*C31</f>
        <v/>
      </c>
      <c r="I31" s="3" t="n">
        <v>500</v>
      </c>
      <c r="J31" s="3" t="inlineStr">
        <is>
          <t>—</t>
        </is>
      </c>
      <c r="K31" s="3" t="inlineStr">
        <is>
          <t>—</t>
        </is>
      </c>
      <c r="L31" s="3" t="inlineStr">
        <is>
          <t>—</t>
        </is>
      </c>
      <c r="M31" s="3" t="inlineStr">
        <is>
          <t>—</t>
        </is>
      </c>
      <c r="N31" s="3" t="inlineStr">
        <is>
          <t>—</t>
        </is>
      </c>
      <c r="O31" s="3" t="inlineStr">
        <is>
          <t>—</t>
        </is>
      </c>
      <c r="P31" s="3" t="inlineStr">
        <is>
          <t>—</t>
        </is>
      </c>
      <c r="Q31" s="3" t="inlineStr">
        <is>
          <t>上游含 Y5</t>
        </is>
      </c>
      <c r="R31" s="3" t="inlineStr">
        <is>
          <t>—</t>
        </is>
      </c>
      <c r="S31" s="3" t="inlineStr">
        <is>
          <t>Y5</t>
        </is>
      </c>
      <c r="T31" s="3" t="inlineStr"/>
      <c r="U31" s="3" t="n">
        <v>55</v>
      </c>
      <c r="V31" s="3" t="inlineStr"/>
      <c r="W31" s="3" t="inlineStr">
        <is>
          <t>資訊（只有 L8）</t>
        </is>
      </c>
    </row>
    <row r="32">
      <c r="A32" s="3" t="inlineStr">
        <is>
          <t>Workload</t>
        </is>
      </c>
      <c r="B32" s="3" t="n">
        <v>35</v>
      </c>
      <c r="C32" s="3" t="inlineStr">
        <is>
          <t>任務總 token</t>
        </is>
      </c>
      <c r="D32" s="3" t="inlineStr">
        <is>
          <t>tok</t>
        </is>
      </c>
      <c r="E32" s="3" t="n">
        <v>5</v>
      </c>
      <c r="F32" s="3" t="n">
        <v>1</v>
      </c>
      <c r="G32" s="3" t="inlineStr">
        <is>
          <t>C35</t>
        </is>
      </c>
      <c r="H32" s="3">
        <f>C32+C33+C34</f>
        <v/>
      </c>
      <c r="I32" s="3" t="n">
        <v>3000</v>
      </c>
      <c r="J32" s="3" t="inlineStr">
        <is>
          <t>—</t>
        </is>
      </c>
      <c r="K32" s="3" t="inlineStr">
        <is>
          <t>[G16] 任務 token 結構（例：一般聊天輸入 2,500、輸出 500、思考 0）與 Serving 參考請求（Luna ISL 8,192／OSL 1,024 含思考）是兩套獨立定義，分別進每成功任務成本與每 M token 單價（與 Y6 同類）</t>
        </is>
      </c>
      <c r="L32" s="3" t="inlineStr">
        <is>
          <t>—</t>
        </is>
      </c>
      <c r="M32" s="3" t="inlineStr">
        <is>
          <t>—</t>
        </is>
      </c>
      <c r="N32" s="3" t="inlineStr">
        <is>
          <t>—</t>
        </is>
      </c>
      <c r="O32" s="3" t="inlineStr">
        <is>
          <t>—</t>
        </is>
      </c>
      <c r="P32" s="3" t="inlineStr">
        <is>
          <t>—</t>
        </is>
      </c>
      <c r="Q32" s="3" t="inlineStr">
        <is>
          <t>上游含 Y5</t>
        </is>
      </c>
      <c r="R32" s="3" t="inlineStr">
        <is>
          <t>—</t>
        </is>
      </c>
      <c r="S32" s="3" t="inlineStr">
        <is>
          <t>Y5</t>
        </is>
      </c>
      <c r="T32" s="3" t="inlineStr"/>
      <c r="U32" s="3" t="n">
        <v>15</v>
      </c>
      <c r="V32" s="3" t="inlineStr">
        <is>
          <t>G16</t>
        </is>
      </c>
      <c r="W32" s="3" t="inlineStr">
        <is>
          <t>中</t>
        </is>
      </c>
    </row>
    <row r="33">
      <c r="A33" s="3" t="inlineStr">
        <is>
          <t>Calib</t>
        </is>
      </c>
      <c r="B33" s="3" t="n">
        <v>26</v>
      </c>
      <c r="C33" s="3" t="inlineStr">
        <is>
          <t>EP 通訊頻寬</t>
        </is>
      </c>
      <c r="D33" s="3" t="inlineStr">
        <is>
          <t>TB/s</t>
        </is>
      </c>
      <c r="E33" s="3" t="n">
        <v>7</v>
      </c>
      <c r="F33" s="3" t="n">
        <v>1</v>
      </c>
      <c r="G33" s="3" t="inlineStr">
        <is>
          <t>C26</t>
        </is>
      </c>
      <c r="H33" s="3">
        <f>INDEX(Spec_Rack!$C$27:$G$27,C10)</f>
        <v/>
      </c>
      <c r="I33" s="3" t="n">
        <v>0.9</v>
      </c>
      <c r="J33" s="3" t="inlineStr">
        <is>
          <t>—</t>
        </is>
      </c>
      <c r="K33" s="3" t="inlineStr">
        <is>
          <t>—</t>
        </is>
      </c>
      <c r="L33" s="3" t="inlineStr">
        <is>
          <t>—</t>
        </is>
      </c>
      <c r="M33" s="3" t="inlineStr">
        <is>
          <t>—</t>
        </is>
      </c>
      <c r="N33" s="3" t="inlineStr">
        <is>
          <t>—</t>
        </is>
      </c>
      <c r="O33" s="3" t="inlineStr">
        <is>
          <t>—</t>
        </is>
      </c>
      <c r="P33" s="3" t="inlineStr">
        <is>
          <t>—</t>
        </is>
      </c>
      <c r="Q33" s="3" t="inlineStr">
        <is>
          <t>—</t>
        </is>
      </c>
      <c r="R33" s="3" t="inlineStr">
        <is>
          <t>—</t>
        </is>
      </c>
      <c r="S33" s="3" t="inlineStr"/>
      <c r="T33" s="3" t="inlineStr"/>
      <c r="U33" s="3" t="n">
        <v>8</v>
      </c>
      <c r="V33" s="3" t="inlineStr"/>
      <c r="W33" s="3" t="inlineStr">
        <is>
          <t>—</t>
        </is>
      </c>
    </row>
    <row r="34">
      <c r="A34" s="3" t="inlineStr">
        <is>
          <t>Calib</t>
        </is>
      </c>
      <c r="B34" s="3" t="n">
        <v>32</v>
      </c>
      <c r="C34" s="3" t="inlineStr">
        <is>
          <t>d_model</t>
        </is>
      </c>
      <c r="D34" s="3" t="n"/>
      <c r="E34" s="3" t="n">
        <v>7</v>
      </c>
      <c r="F34" s="3" t="n">
        <v>1</v>
      </c>
      <c r="G34" s="3" t="inlineStr">
        <is>
          <t>C32</t>
        </is>
      </c>
      <c r="H34" s="3">
        <f>Arch!$D$9</f>
        <v/>
      </c>
      <c r="I34" s="3" t="n">
        <v>7168</v>
      </c>
      <c r="J34" s="3" t="inlineStr">
        <is>
          <t>—</t>
        </is>
      </c>
      <c r="K34" s="3" t="inlineStr">
        <is>
          <t>—</t>
        </is>
      </c>
      <c r="L34" s="3" t="inlineStr">
        <is>
          <t>—</t>
        </is>
      </c>
      <c r="M34" s="3" t="inlineStr">
        <is>
          <t>—</t>
        </is>
      </c>
      <c r="N34" s="3" t="inlineStr">
        <is>
          <t>—</t>
        </is>
      </c>
      <c r="O34" s="3" t="inlineStr">
        <is>
          <t>—</t>
        </is>
      </c>
      <c r="P34" s="3" t="inlineStr">
        <is>
          <t>—</t>
        </is>
      </c>
      <c r="Q34" s="3" t="inlineStr">
        <is>
          <t>—</t>
        </is>
      </c>
      <c r="R34" s="3" t="inlineStr">
        <is>
          <t>—</t>
        </is>
      </c>
      <c r="S34" s="3" t="inlineStr"/>
      <c r="T34" s="3" t="inlineStr"/>
      <c r="U34" s="3" t="n">
        <v>8</v>
      </c>
      <c r="V34" s="3" t="inlineStr"/>
      <c r="W34" s="3" t="inlineStr">
        <is>
          <t>—</t>
        </is>
      </c>
    </row>
    <row r="35">
      <c r="A35" s="3" t="inlineStr">
        <is>
          <t>Calib</t>
        </is>
      </c>
      <c r="B35" s="3" t="n">
        <v>33</v>
      </c>
      <c r="C35" s="3" t="inlineStr">
        <is>
          <t>啟用專家</t>
        </is>
      </c>
      <c r="D35" s="3" t="n"/>
      <c r="E35" s="3" t="n">
        <v>7</v>
      </c>
      <c r="F35" s="3" t="n">
        <v>1</v>
      </c>
      <c r="G35" s="3" t="inlineStr">
        <is>
          <t>C33</t>
        </is>
      </c>
      <c r="H35" s="3">
        <f>Arch!$D$13</f>
        <v/>
      </c>
      <c r="I35" s="3" t="n">
        <v>6</v>
      </c>
      <c r="J35" s="3" t="inlineStr">
        <is>
          <t>—</t>
        </is>
      </c>
      <c r="K35" s="3" t="inlineStr">
        <is>
          <t>—</t>
        </is>
      </c>
      <c r="L35" s="3" t="inlineStr">
        <is>
          <t>—</t>
        </is>
      </c>
      <c r="M35" s="3" t="inlineStr">
        <is>
          <t>—</t>
        </is>
      </c>
      <c r="N35" s="3" t="inlineStr">
        <is>
          <t>—</t>
        </is>
      </c>
      <c r="O35" s="3" t="inlineStr">
        <is>
          <t>—</t>
        </is>
      </c>
      <c r="P35" s="3" t="inlineStr">
        <is>
          <t>—</t>
        </is>
      </c>
      <c r="Q35" s="3" t="inlineStr">
        <is>
          <t>—</t>
        </is>
      </c>
      <c r="R35" s="3" t="inlineStr">
        <is>
          <t>—</t>
        </is>
      </c>
      <c r="S35" s="3" t="inlineStr"/>
      <c r="T35" s="3" t="inlineStr"/>
      <c r="U35" s="3" t="n">
        <v>8</v>
      </c>
      <c r="V35" s="3" t="inlineStr"/>
      <c r="W35" s="3" t="inlineStr">
        <is>
          <t>—</t>
        </is>
      </c>
    </row>
    <row r="36">
      <c r="A36" s="3" t="inlineStr">
        <is>
          <t>Calib</t>
        </is>
      </c>
      <c r="B36" s="3" t="n">
        <v>36</v>
      </c>
      <c r="C36" s="3" t="inlineStr">
        <is>
          <t>KV bytes/token</t>
        </is>
      </c>
      <c r="D36" s="3" t="inlineStr">
        <is>
          <t>B</t>
        </is>
      </c>
      <c r="E36" s="3" t="n">
        <v>7</v>
      </c>
      <c r="F36" s="3" t="n">
        <v>1</v>
      </c>
      <c r="G36" s="3" t="inlineStr">
        <is>
          <t>C36</t>
        </is>
      </c>
      <c r="H36" s="3">
        <f>Arch!$D$25</f>
        <v/>
      </c>
      <c r="I36" s="3" t="n">
        <v>3965</v>
      </c>
      <c r="J36" s="3" t="inlineStr">
        <is>
          <t>—</t>
        </is>
      </c>
      <c r="K36" s="3" t="inlineStr">
        <is>
          <t>—</t>
        </is>
      </c>
      <c r="L36" s="3" t="inlineStr">
        <is>
          <t>—</t>
        </is>
      </c>
      <c r="M36" s="3" t="inlineStr">
        <is>
          <t>—</t>
        </is>
      </c>
      <c r="N36" s="3" t="inlineStr">
        <is>
          <t>—</t>
        </is>
      </c>
      <c r="O36" s="3" t="inlineStr">
        <is>
          <t>—</t>
        </is>
      </c>
      <c r="P36" s="3" t="inlineStr">
        <is>
          <t>—</t>
        </is>
      </c>
      <c r="Q36" s="3" t="inlineStr">
        <is>
          <t>上游含 Y1</t>
        </is>
      </c>
      <c r="R36" s="3" t="inlineStr">
        <is>
          <t>—</t>
        </is>
      </c>
      <c r="S36" s="3" t="inlineStr">
        <is>
          <t>Y1</t>
        </is>
      </c>
      <c r="T36" s="3" t="inlineStr"/>
      <c r="U36" s="3" t="n">
        <v>15</v>
      </c>
      <c r="V36" s="3" t="inlineStr"/>
      <c r="W36" s="3" t="inlineStr">
        <is>
          <t>資訊（只有 L8）</t>
        </is>
      </c>
    </row>
    <row r="37">
      <c r="A37" s="3" t="inlineStr">
        <is>
          <t>Calib</t>
        </is>
      </c>
      <c r="B37" s="3" t="n">
        <v>75</v>
      </c>
      <c r="C37" s="3" t="inlineStr">
        <is>
          <t>η_d（該世代）</t>
        </is>
      </c>
      <c r="D37" s="3" t="inlineStr">
        <is>
          <t>%</t>
        </is>
      </c>
      <c r="E37" s="3" t="n">
        <v>7</v>
      </c>
      <c r="F37" s="3" t="n">
        <v>1</v>
      </c>
      <c r="G37" s="3" t="inlineStr">
        <is>
          <t>C75</t>
        </is>
      </c>
      <c r="H37" s="3">
        <f>INDEX($C$70:$G$70,C10)</f>
        <v/>
      </c>
      <c r="I37" s="3" t="n">
        <v>0.035755</v>
      </c>
      <c r="J37" s="3" t="inlineStr">
        <is>
          <t>—</t>
        </is>
      </c>
      <c r="K37" s="3" t="inlineStr">
        <is>
          <t>—</t>
        </is>
      </c>
      <c r="L37" s="3" t="inlineStr">
        <is>
          <t>—</t>
        </is>
      </c>
      <c r="M37" s="3" t="inlineStr">
        <is>
          <t>—</t>
        </is>
      </c>
      <c r="N37" s="3" t="inlineStr">
        <is>
          <t>—</t>
        </is>
      </c>
      <c r="O37" s="3" t="inlineStr">
        <is>
          <t>[G05] 驗證點以擬合值重算；擬合點本身恆等，樣本外點 E／H／I 為 0.99／1.00／0.88，F／G（舊軟體）2.18／4.11；七點全部同一平台（J19）</t>
        </is>
      </c>
      <c r="P37" s="3" t="inlineStr">
        <is>
          <t>—</t>
        </is>
      </c>
      <c r="Q37" s="3" t="inlineStr">
        <is>
          <t>上游含 Y5,Y8</t>
        </is>
      </c>
      <c r="R37" s="3" t="inlineStr">
        <is>
          <t>—</t>
        </is>
      </c>
      <c r="S37" s="3" t="inlineStr">
        <is>
          <t>Y5,Y8</t>
        </is>
      </c>
      <c r="T37" s="3" t="inlineStr"/>
      <c r="U37" s="3" t="n">
        <v>7</v>
      </c>
      <c r="V37" s="3" t="inlineStr">
        <is>
          <t>G05</t>
        </is>
      </c>
      <c r="W37" s="3" t="inlineStr">
        <is>
          <t>中</t>
        </is>
      </c>
    </row>
    <row r="38">
      <c r="A38" s="3" t="inlineStr">
        <is>
          <t>Calib</t>
        </is>
      </c>
      <c r="B38" s="3" t="n">
        <v>76</v>
      </c>
      <c r="C38" s="3" t="inlineStr">
        <is>
          <t>每層延遲（該世代）</t>
        </is>
      </c>
      <c r="D38" s="3" t="inlineStr">
        <is>
          <t>µs</t>
        </is>
      </c>
      <c r="E38" s="3" t="n">
        <v>7</v>
      </c>
      <c r="F38" s="3" t="n">
        <v>1</v>
      </c>
      <c r="G38" s="3" t="inlineStr">
        <is>
          <t>C76</t>
        </is>
      </c>
      <c r="H38" s="3">
        <f>INDEX($C$71:$G$71,C10)</f>
        <v/>
      </c>
      <c r="I38" s="3" t="n">
        <v>161.185338</v>
      </c>
      <c r="J38" s="3" t="inlineStr">
        <is>
          <t>—</t>
        </is>
      </c>
      <c r="K38" s="3" t="inlineStr">
        <is>
          <t>—</t>
        </is>
      </c>
      <c r="L38" s="3" t="inlineStr">
        <is>
          <t>—</t>
        </is>
      </c>
      <c r="M38" s="3" t="inlineStr">
        <is>
          <t>—</t>
        </is>
      </c>
      <c r="N38" s="3" t="inlineStr">
        <is>
          <t>—</t>
        </is>
      </c>
      <c r="O38" s="3" t="inlineStr">
        <is>
          <t>[G05] 驗證點以擬合值重算；擬合點本身恆等，樣本外點 E／H／I 為 0.99／1.00／0.88，F／G（舊軟體）2.18／4.11；七點全部同一平台（J19）</t>
        </is>
      </c>
      <c r="P38" s="3" t="inlineStr">
        <is>
          <t>—</t>
        </is>
      </c>
      <c r="Q38" s="3" t="inlineStr">
        <is>
          <t>上游含 Y5,Y8</t>
        </is>
      </c>
      <c r="R38" s="3" t="inlineStr">
        <is>
          <t>—</t>
        </is>
      </c>
      <c r="S38" s="3" t="inlineStr">
        <is>
          <t>Y5,Y8</t>
        </is>
      </c>
      <c r="T38" s="3" t="inlineStr"/>
      <c r="U38" s="3" t="n">
        <v>7</v>
      </c>
      <c r="V38" s="3" t="inlineStr">
        <is>
          <t>G05</t>
        </is>
      </c>
      <c r="W38" s="3" t="inlineStr">
        <is>
          <t>中</t>
        </is>
      </c>
    </row>
    <row r="39">
      <c r="A39" s="3" t="inlineStr">
        <is>
          <t>Calib</t>
        </is>
      </c>
      <c r="B39" s="3" t="n">
        <v>77</v>
      </c>
      <c r="C39" s="3" t="inlineStr">
        <is>
          <t>η_p（該世代）</t>
        </is>
      </c>
      <c r="D39" s="3" t="inlineStr">
        <is>
          <t>%</t>
        </is>
      </c>
      <c r="E39" s="3" t="n">
        <v>7</v>
      </c>
      <c r="F39" s="3" t="n">
        <v>1</v>
      </c>
      <c r="G39" s="3" t="inlineStr">
        <is>
          <t>C77</t>
        </is>
      </c>
      <c r="H39" s="3">
        <f>INDEX($C$72:$G$72,C10)</f>
        <v/>
      </c>
      <c r="I39" s="3" t="n">
        <v>0.3</v>
      </c>
      <c r="J39" s="3" t="inlineStr">
        <is>
          <t>—</t>
        </is>
      </c>
      <c r="K39" s="3" t="inlineStr">
        <is>
          <t>—</t>
        </is>
      </c>
      <c r="L39" s="3" t="inlineStr">
        <is>
          <t>—</t>
        </is>
      </c>
      <c r="M39" s="3" t="inlineStr">
        <is>
          <t>—</t>
        </is>
      </c>
      <c r="N39" s="3" t="inlineStr">
        <is>
          <t>—</t>
        </is>
      </c>
      <c r="O39" s="3" t="inlineStr">
        <is>
          <t>[G05] 驗證點以擬合值重算；擬合點本身恆等，樣本外點 E／H／I 為 0.99／1.00／0.88，F／G（舊軟體）2.18／4.11；七點全部同一平台（J19）</t>
        </is>
      </c>
      <c r="P39" s="3" t="inlineStr">
        <is>
          <t>—</t>
        </is>
      </c>
      <c r="Q39" s="3" t="inlineStr">
        <is>
          <t>上游含 Y5,Y8</t>
        </is>
      </c>
      <c r="R39" s="3" t="inlineStr">
        <is>
          <t>—</t>
        </is>
      </c>
      <c r="S39" s="3" t="inlineStr">
        <is>
          <t>Y5,Y8</t>
        </is>
      </c>
      <c r="T39" s="3" t="inlineStr"/>
      <c r="U39" s="3" t="n">
        <v>7</v>
      </c>
      <c r="V39" s="3" t="inlineStr">
        <is>
          <t>G05</t>
        </is>
      </c>
      <c r="W39" s="3" t="inlineStr">
        <is>
          <t>中</t>
        </is>
      </c>
    </row>
    <row r="40">
      <c r="A40" s="3" t="inlineStr">
        <is>
          <t>Calib</t>
        </is>
      </c>
      <c r="B40" s="3" t="n">
        <v>78</v>
      </c>
      <c r="C40" s="3" t="inlineStr">
        <is>
          <t>prefill tok/s/GPU</t>
        </is>
      </c>
      <c r="D40" s="3" t="inlineStr">
        <is>
          <t>tok/s</t>
        </is>
      </c>
      <c r="E40" s="3" t="n">
        <v>7</v>
      </c>
      <c r="F40" s="3" t="n">
        <v>1</v>
      </c>
      <c r="G40" s="3" t="inlineStr">
        <is>
          <t>C78</t>
        </is>
      </c>
      <c r="H40" s="3">
        <f>C77*C23*1000000000000000/(C47*1000000000)</f>
        <v/>
      </c>
      <c r="I40" s="3" t="n">
        <v>34214.061427</v>
      </c>
      <c r="J40" s="3" t="inlineStr">
        <is>
          <t>—</t>
        </is>
      </c>
      <c r="K40" s="3" t="inlineStr">
        <is>
          <t>—</t>
        </is>
      </c>
      <c r="L40" s="3" t="inlineStr">
        <is>
          <t>—</t>
        </is>
      </c>
      <c r="M40" s="3" t="inlineStr">
        <is>
          <t>—</t>
        </is>
      </c>
      <c r="N40" s="3" t="inlineStr">
        <is>
          <t>—</t>
        </is>
      </c>
      <c r="O40" s="3" t="inlineStr">
        <is>
          <t>[G05] 驗證點以擬合值重算；擬合點本身恆等，樣本外點 E／H／I 為 0.99／1.00／0.88，F／G（舊軟體）2.18／4.11；七點全部同一平台（J19）</t>
        </is>
      </c>
      <c r="P40" s="3" t="inlineStr">
        <is>
          <t>—</t>
        </is>
      </c>
      <c r="Q40" s="3" t="inlineStr">
        <is>
          <t>上游含 Y5,Y8</t>
        </is>
      </c>
      <c r="R40" s="3" t="inlineStr">
        <is>
          <t>—</t>
        </is>
      </c>
      <c r="S40" s="3" t="inlineStr">
        <is>
          <t>Y5,Y8</t>
        </is>
      </c>
      <c r="T40" s="3" t="inlineStr"/>
      <c r="U40" s="3" t="n">
        <v>7</v>
      </c>
      <c r="V40" s="3" t="inlineStr">
        <is>
          <t>G05</t>
        </is>
      </c>
      <c r="W40" s="3" t="inlineStr">
        <is>
          <t>中</t>
        </is>
      </c>
    </row>
    <row r="41">
      <c r="A41" s="3" t="inlineStr">
        <is>
          <t>Calib</t>
        </is>
      </c>
      <c r="B41" s="3" t="n">
        <v>79</v>
      </c>
      <c r="C41" s="3" t="inlineStr">
        <is>
          <t>每步固定延遲</t>
        </is>
      </c>
      <c r="D41" s="3" t="inlineStr">
        <is>
          <t>ms</t>
        </is>
      </c>
      <c r="E41" s="3" t="n">
        <v>7</v>
      </c>
      <c r="F41" s="3" t="n">
        <v>1</v>
      </c>
      <c r="G41" s="3" t="inlineStr">
        <is>
          <t>C79</t>
        </is>
      </c>
      <c r="H41" s="3">
        <f>C51/C25+(C31+C52)*C76/1000</f>
        <v/>
      </c>
      <c r="I41" s="3" t="n">
        <v>16.321653</v>
      </c>
      <c r="J41" s="3" t="inlineStr">
        <is>
          <t>—</t>
        </is>
      </c>
      <c r="K41" s="3" t="inlineStr">
        <is>
          <t>—</t>
        </is>
      </c>
      <c r="L41" s="3" t="inlineStr">
        <is>
          <t>—</t>
        </is>
      </c>
      <c r="M41" s="3" t="inlineStr">
        <is>
          <t>—</t>
        </is>
      </c>
      <c r="N41" s="3" t="inlineStr">
        <is>
          <t>—</t>
        </is>
      </c>
      <c r="O41" s="3" t="inlineStr">
        <is>
          <t>[G05] 驗證點以擬合值重算；擬合點本身恆等，樣本外點 E／H／I 為 0.99／1.00／0.88，F／G（舊軟體）2.18／4.11；七點全部同一平台（J19）</t>
        </is>
      </c>
      <c r="P41" s="3" t="inlineStr">
        <is>
          <t>—</t>
        </is>
      </c>
      <c r="Q41" s="3" t="inlineStr">
        <is>
          <t>上游含 Y5,Y8</t>
        </is>
      </c>
      <c r="R41" s="3" t="inlineStr">
        <is>
          <t>—</t>
        </is>
      </c>
      <c r="S41" s="3" t="inlineStr">
        <is>
          <t>Y5,Y8</t>
        </is>
      </c>
      <c r="T41" s="3" t="inlineStr"/>
      <c r="U41" s="3" t="n">
        <v>14</v>
      </c>
      <c r="V41" s="3" t="inlineStr">
        <is>
          <t>G05</t>
        </is>
      </c>
      <c r="W41" s="3" t="inlineStr">
        <is>
          <t>中</t>
        </is>
      </c>
    </row>
    <row r="42">
      <c r="A42" s="3" t="inlineStr">
        <is>
          <t>Calib</t>
        </is>
      </c>
      <c r="B42" s="3" t="n">
        <v>80</v>
      </c>
      <c r="C42" s="3" t="inlineStr">
        <is>
          <t>每序列每步時間</t>
        </is>
      </c>
      <c r="D42" s="3" t="inlineStr">
        <is>
          <t>ms</t>
        </is>
      </c>
      <c r="E42" s="3" t="n">
        <v>7</v>
      </c>
      <c r="F42" s="3" t="n">
        <v>1</v>
      </c>
      <c r="G42" s="3" t="inlineStr">
        <is>
          <t>C80</t>
        </is>
      </c>
      <c r="H42" s="3">
        <f>MAX(C55/C75,C36*C42/(C25*Serving!$C$13)/1000000000,(C52+1)*C31*C33*C32*Serving!$C$12*(C50-1)/C50/(C26*Serving!$C$14)/1000000000)</f>
        <v/>
      </c>
      <c r="I42" s="3" t="n">
        <v>0.990625</v>
      </c>
      <c r="J42" s="3" t="inlineStr">
        <is>
          <t>—</t>
        </is>
      </c>
      <c r="K42" s="3" t="inlineStr">
        <is>
          <t>—</t>
        </is>
      </c>
      <c r="L42" s="3" t="inlineStr">
        <is>
          <t>—</t>
        </is>
      </c>
      <c r="M42" s="3" t="inlineStr">
        <is>
          <t>—</t>
        </is>
      </c>
      <c r="N42" s="3" t="inlineStr">
        <is>
          <t>—</t>
        </is>
      </c>
      <c r="O42" s="3" t="inlineStr">
        <is>
          <t>[G05] 驗證點以擬合值重算；擬合點本身恆等，樣本外點 E／H／I 為 0.99／1.00／0.88，F／G（舊軟體）2.18／4.11；七點全部同一平台（J19）</t>
        </is>
      </c>
      <c r="P42" s="3" t="inlineStr">
        <is>
          <t>—</t>
        </is>
      </c>
      <c r="Q42" s="3" t="inlineStr">
        <is>
          <t>上游含 Y1,Y5,Y8</t>
        </is>
      </c>
      <c r="R42" s="3" t="inlineStr">
        <is>
          <t>—</t>
        </is>
      </c>
      <c r="S42" s="3" t="inlineStr">
        <is>
          <t>Y1,Y5,Y8</t>
        </is>
      </c>
      <c r="T42" s="3" t="inlineStr"/>
      <c r="U42" s="3" t="n">
        <v>14</v>
      </c>
      <c r="V42" s="3" t="inlineStr">
        <is>
          <t>G05</t>
        </is>
      </c>
      <c r="W42" s="3" t="inlineStr">
        <is>
          <t>中</t>
        </is>
      </c>
    </row>
    <row r="43">
      <c r="A43" s="3" t="inlineStr">
        <is>
          <t>Calib</t>
        </is>
      </c>
      <c r="B43" s="3" t="n">
        <v>81</v>
      </c>
      <c r="C43" s="3" t="inlineStr">
        <is>
          <t>SLO 批次上限</t>
        </is>
      </c>
      <c r="D43" s="3" t="inlineStr">
        <is>
          <t>序列</t>
        </is>
      </c>
      <c r="E43" s="3" t="n">
        <v>7</v>
      </c>
      <c r="F43" s="3" t="n">
        <v>1</v>
      </c>
      <c r="G43" s="3" t="inlineStr">
        <is>
          <t>C81</t>
        </is>
      </c>
      <c r="H43" s="3">
        <f>(1000*C53/C14-C79)/C80</f>
        <v/>
      </c>
      <c r="I43" s="3" t="n">
        <v>19.03738</v>
      </c>
      <c r="J43" s="3" t="inlineStr">
        <is>
          <t>—</t>
        </is>
      </c>
      <c r="K43" s="3" t="inlineStr">
        <is>
          <t>—</t>
        </is>
      </c>
      <c r="L43" s="3" t="inlineStr">
        <is>
          <t>—</t>
        </is>
      </c>
      <c r="M43" s="3" t="inlineStr">
        <is>
          <t>—</t>
        </is>
      </c>
      <c r="N43" s="3" t="inlineStr">
        <is>
          <t>—</t>
        </is>
      </c>
      <c r="O43" s="3" t="inlineStr">
        <is>
          <t>[G05] 驗證點以擬合值重算；擬合點本身恆等，樣本外點 E／H／I 為 0.99／1.00／0.88，F／G（舊軟體）2.18／4.11；七點全部同一平台（J19）</t>
        </is>
      </c>
      <c r="P43" s="3" t="inlineStr">
        <is>
          <t>—</t>
        </is>
      </c>
      <c r="Q43" s="3" t="inlineStr">
        <is>
          <t>上游含 Y1,Y5,Y8</t>
        </is>
      </c>
      <c r="R43" s="3" t="inlineStr">
        <is>
          <t>—</t>
        </is>
      </c>
      <c r="S43" s="3" t="inlineStr">
        <is>
          <t>Y1,Y5,Y8</t>
        </is>
      </c>
      <c r="T43" s="3" t="inlineStr"/>
      <c r="U43" s="3" t="n">
        <v>7</v>
      </c>
      <c r="V43" s="3" t="inlineStr">
        <is>
          <t>G05</t>
        </is>
      </c>
      <c r="W43" s="3" t="inlineStr">
        <is>
          <t>中</t>
        </is>
      </c>
    </row>
    <row r="44">
      <c r="A44" s="3" t="inlineStr">
        <is>
          <t>Calib</t>
        </is>
      </c>
      <c r="B44" s="3" t="n">
        <v>82</v>
      </c>
      <c r="C44" s="3" t="inlineStr">
        <is>
          <t>容量批次上限</t>
        </is>
      </c>
      <c r="D44" s="3" t="inlineStr">
        <is>
          <t>序列</t>
        </is>
      </c>
      <c r="E44" s="3" t="n">
        <v>7</v>
      </c>
      <c r="F44" s="3" t="n">
        <v>1</v>
      </c>
      <c r="G44" s="3" t="inlineStr">
        <is>
          <t>C82</t>
        </is>
      </c>
      <c r="H44" s="3">
        <f>(C48-C51)*1000000000/(C36*C42)</f>
        <v/>
      </c>
      <c r="I44" s="3" t="n">
        <v>6118.381528</v>
      </c>
      <c r="J44" s="3" t="inlineStr">
        <is>
          <t>—</t>
        </is>
      </c>
      <c r="K44" s="3" t="inlineStr">
        <is>
          <t>—</t>
        </is>
      </c>
      <c r="L44" s="3" t="inlineStr">
        <is>
          <t>—</t>
        </is>
      </c>
      <c r="M44" s="3" t="inlineStr">
        <is>
          <t>—</t>
        </is>
      </c>
      <c r="N44" s="3" t="inlineStr">
        <is>
          <t>—</t>
        </is>
      </c>
      <c r="O44" s="3" t="inlineStr">
        <is>
          <t>[G05] 驗證點以擬合值重算；擬合點本身恆等，樣本外點 E／H／I 為 0.99／1.00／0.88，F／G（舊軟體）2.18／4.11；七點全部同一平台（J19）</t>
        </is>
      </c>
      <c r="P44" s="3" t="inlineStr">
        <is>
          <t>—</t>
        </is>
      </c>
      <c r="Q44" s="3" t="inlineStr">
        <is>
          <t>上游含 Y1</t>
        </is>
      </c>
      <c r="R44" s="3" t="inlineStr">
        <is>
          <t>—</t>
        </is>
      </c>
      <c r="S44" s="3" t="inlineStr">
        <is>
          <t>Y1</t>
        </is>
      </c>
      <c r="T44" s="3" t="inlineStr"/>
      <c r="U44" s="3" t="n">
        <v>7</v>
      </c>
      <c r="V44" s="3" t="inlineStr">
        <is>
          <t>G05</t>
        </is>
      </c>
      <c r="W44" s="3" t="inlineStr">
        <is>
          <t>中</t>
        </is>
      </c>
    </row>
    <row r="45">
      <c r="A45" s="3" t="inlineStr">
        <is>
          <t>Calib</t>
        </is>
      </c>
      <c r="B45" s="3" t="n">
        <v>83</v>
      </c>
      <c r="C45" s="3" t="inlineStr">
        <is>
          <t>B*</t>
        </is>
      </c>
      <c r="D45" s="3" t="inlineStr">
        <is>
          <t>序列</t>
        </is>
      </c>
      <c r="E45" s="3" t="n">
        <v>7</v>
      </c>
      <c r="F45" s="3" t="n">
        <v>1</v>
      </c>
      <c r="G45" s="3" t="inlineStr">
        <is>
          <t>C83</t>
        </is>
      </c>
      <c r="H45" s="3">
        <f>MAX(0,MIN(C81,C82))</f>
        <v/>
      </c>
      <c r="I45" s="3" t="n">
        <v>19.03738</v>
      </c>
      <c r="J45" s="3" t="inlineStr">
        <is>
          <t>—</t>
        </is>
      </c>
      <c r="K45" s="3" t="inlineStr">
        <is>
          <t>—</t>
        </is>
      </c>
      <c r="L45" s="3" t="inlineStr">
        <is>
          <t>—</t>
        </is>
      </c>
      <c r="M45" s="3" t="inlineStr">
        <is>
          <t>—</t>
        </is>
      </c>
      <c r="N45" s="3" t="inlineStr">
        <is>
          <t>—</t>
        </is>
      </c>
      <c r="O45" s="3" t="inlineStr">
        <is>
          <t>[G05] 驗證點以擬合值重算；擬合點本身恆等，樣本外點 E／H／I 為 0.99／1.00／0.88，F／G（舊軟體）2.18／4.11；七點全部同一平台（J19）</t>
        </is>
      </c>
      <c r="P45" s="3" t="inlineStr">
        <is>
          <t>—</t>
        </is>
      </c>
      <c r="Q45" s="3" t="inlineStr">
        <is>
          <t>上游含 Y1,Y5,Y8</t>
        </is>
      </c>
      <c r="R45" s="3" t="inlineStr">
        <is>
          <t>—</t>
        </is>
      </c>
      <c r="S45" s="3" t="inlineStr">
        <is>
          <t>Y1,Y5,Y8</t>
        </is>
      </c>
      <c r="T45" s="3" t="inlineStr"/>
      <c r="U45" s="3" t="n">
        <v>7</v>
      </c>
      <c r="V45" s="3" t="inlineStr">
        <is>
          <t>G05</t>
        </is>
      </c>
      <c r="W45" s="3" t="inlineStr">
        <is>
          <t>中</t>
        </is>
      </c>
    </row>
    <row r="46">
      <c r="A46" s="3" t="inlineStr">
        <is>
          <t>Calib</t>
        </is>
      </c>
      <c r="B46" s="3" t="n">
        <v>84</v>
      </c>
      <c r="C46" s="3" t="inlineStr">
        <is>
          <t>decode tok/s/GPU</t>
        </is>
      </c>
      <c r="D46" s="3" t="inlineStr">
        <is>
          <t>tok/s</t>
        </is>
      </c>
      <c r="E46" s="3" t="n">
        <v>7</v>
      </c>
      <c r="F46" s="3" t="n">
        <v>1</v>
      </c>
      <c r="G46" s="3" t="inlineStr">
        <is>
          <t>C84</t>
        </is>
      </c>
      <c r="H46" s="3">
        <f>IF(C83&gt;0,C83*C53/((C79+C83*C80)/1000),0)</f>
        <v/>
      </c>
      <c r="I46" s="3" t="n">
        <v>1370.691376</v>
      </c>
      <c r="J46" s="3" t="inlineStr">
        <is>
          <t>—</t>
        </is>
      </c>
      <c r="K46" s="3" t="inlineStr">
        <is>
          <t>—</t>
        </is>
      </c>
      <c r="L46" s="3" t="inlineStr">
        <is>
          <t>—</t>
        </is>
      </c>
      <c r="M46" s="3" t="inlineStr">
        <is>
          <t>—</t>
        </is>
      </c>
      <c r="N46" s="3" t="inlineStr">
        <is>
          <t>—</t>
        </is>
      </c>
      <c r="O46" s="3" t="inlineStr">
        <is>
          <t>[G05] 驗證點以擬合值重算；擬合點本身恆等，樣本外點 E／H／I 為 0.99／1.00／0.88，F／G（舊軟體）2.18／4.11；七點全部同一平台（J19）</t>
        </is>
      </c>
      <c r="P46" s="3" t="inlineStr">
        <is>
          <t>—</t>
        </is>
      </c>
      <c r="Q46" s="3" t="inlineStr">
        <is>
          <t>上游含 Y1,Y5,Y8</t>
        </is>
      </c>
      <c r="R46" s="3" t="inlineStr">
        <is>
          <t>—</t>
        </is>
      </c>
      <c r="S46" s="3" t="inlineStr">
        <is>
          <t>Y1,Y5,Y8</t>
        </is>
      </c>
      <c r="T46" s="3" t="inlineStr"/>
      <c r="U46" s="3" t="n">
        <v>7</v>
      </c>
      <c r="V46" s="3" t="inlineStr">
        <is>
          <t>G05</t>
        </is>
      </c>
      <c r="W46" s="3" t="inlineStr">
        <is>
          <t>中</t>
        </is>
      </c>
    </row>
    <row r="47">
      <c r="A47" s="3" t="inlineStr">
        <is>
          <t>Calib</t>
        </is>
      </c>
      <c r="B47" s="3" t="n">
        <v>85</v>
      </c>
      <c r="C47" s="3" t="inlineStr">
        <is>
          <t>模型 tok/s/GPU（總 token）</t>
        </is>
      </c>
      <c r="D47" s="3" t="inlineStr">
        <is>
          <t>tok/s</t>
        </is>
      </c>
      <c r="E47" s="3" t="n">
        <v>7</v>
      </c>
      <c r="F47" s="3" t="n">
        <v>1</v>
      </c>
      <c r="G47" s="3" t="inlineStr">
        <is>
          <t>C85</t>
        </is>
      </c>
      <c r="H47" s="3">
        <f>IF(C84&gt;0,(C15+C16)/(C15/C78+C16/C84),0)</f>
        <v/>
      </c>
      <c r="I47" s="3" t="n">
        <v>9342.1</v>
      </c>
      <c r="J47" s="3" t="inlineStr">
        <is>
          <t>—</t>
        </is>
      </c>
      <c r="K47" s="3" t="inlineStr">
        <is>
          <t>—</t>
        </is>
      </c>
      <c r="L47" s="3" t="inlineStr">
        <is>
          <t>—</t>
        </is>
      </c>
      <c r="M47" s="3" t="inlineStr">
        <is>
          <t>—</t>
        </is>
      </c>
      <c r="N47" s="3" t="inlineStr">
        <is>
          <t>—</t>
        </is>
      </c>
      <c r="O47" s="3" t="inlineStr">
        <is>
          <t>[G05] 驗證點以擬合值重算；擬合點本身恆等，樣本外點 E／H／I 為 0.99／1.00／0.88，F／G（舊軟體）2.18／4.11；七點全部同一平台（J19）</t>
        </is>
      </c>
      <c r="P47" s="3" t="inlineStr">
        <is>
          <t>—</t>
        </is>
      </c>
      <c r="Q47" s="3" t="inlineStr">
        <is>
          <t>上游含 Y1,Y5,Y8</t>
        </is>
      </c>
      <c r="R47" s="3" t="inlineStr">
        <is>
          <t>—</t>
        </is>
      </c>
      <c r="S47" s="3" t="inlineStr">
        <is>
          <t>Y1,Y5,Y8</t>
        </is>
      </c>
      <c r="T47" s="3" t="inlineStr"/>
      <c r="U47" s="3" t="n">
        <v>7</v>
      </c>
      <c r="V47" s="3" t="inlineStr">
        <is>
          <t>G05</t>
        </is>
      </c>
      <c r="W47" s="3" t="inlineStr">
        <is>
          <t>中</t>
        </is>
      </c>
    </row>
    <row r="48">
      <c r="A48" s="3" t="inlineStr">
        <is>
          <t>Calib</t>
        </is>
      </c>
      <c r="B48" s="3" t="n">
        <v>86</v>
      </c>
      <c r="C48" s="3" t="inlineStr">
        <is>
          <t>模型 ÷ 實測</t>
        </is>
      </c>
      <c r="D48" s="3" t="inlineStr">
        <is>
          <t>x</t>
        </is>
      </c>
      <c r="E48" s="3" t="n">
        <v>7</v>
      </c>
      <c r="F48" s="3" t="n">
        <v>1</v>
      </c>
      <c r="G48" s="3" t="inlineStr">
        <is>
          <t>C86</t>
        </is>
      </c>
      <c r="H48" s="3">
        <f>C85/C17</f>
        <v/>
      </c>
      <c r="I48" s="3" t="n">
        <v>1</v>
      </c>
      <c r="J48" s="3" t="inlineStr">
        <is>
          <t>—</t>
        </is>
      </c>
      <c r="K48" s="3" t="inlineStr">
        <is>
          <t>—</t>
        </is>
      </c>
      <c r="L48" s="3" t="inlineStr">
        <is>
          <t>—</t>
        </is>
      </c>
      <c r="M48" s="3" t="inlineStr">
        <is>
          <t>—</t>
        </is>
      </c>
      <c r="N48" s="3" t="inlineStr">
        <is>
          <t>[G05] Calib D 節以兩個擬合點聯立解兩個未知數（η_d、每層延遲），F 節擬合點「模型 ÷ 實測」恆為 1.00（Checks B14），是代數恆等，不是驗證。η_d＝3.58% 是吸收未建模開銷的擬合係數，比一般 GEMM 達成率低一個數量級以上（L9）。J5 說明「擬合結果對 η_p 不敏感」，但 G 節顯示 η_p 0.15／0.3／0.45 → η_d 0.055／0.036／0.032、每層延遲 175／161／157 µs；S3：η_p 端點 → IF_CostPre_Sol（VR200）+100%／−33%、IF_CostDec_Sol −33%／+11%、IFW_RevGWFleet_Prod（Hopper）−30%／+8%</t>
        </is>
      </c>
      <c r="O48" s="3" t="inlineStr">
        <is>
          <t>—</t>
        </is>
      </c>
      <c r="P48" s="3" t="inlineStr">
        <is>
          <t>—</t>
        </is>
      </c>
      <c r="Q48" s="3" t="inlineStr">
        <is>
          <t>上游含 Y1,Y5,Y8</t>
        </is>
      </c>
      <c r="R48" s="3" t="inlineStr">
        <is>
          <t>[G05] 擬合 η_d 3.58%（GB300、Sol）；Perf 推出的 decode 有效 MFU（含草稿驗證）全部 15 欄 1.0–2.5%</t>
        </is>
      </c>
      <c r="S48" s="3" t="inlineStr">
        <is>
          <t>Y1,Y5,Y8</t>
        </is>
      </c>
      <c r="T48" s="3" t="inlineStr"/>
      <c r="U48" s="3" t="n">
        <v>0</v>
      </c>
      <c r="V48" s="3" t="inlineStr">
        <is>
          <t>G05</t>
        </is>
      </c>
      <c r="W48" s="3" t="inlineStr">
        <is>
          <t>高</t>
        </is>
      </c>
    </row>
    <row r="49">
      <c r="A49" s="3" t="inlineStr">
        <is>
          <t>Calib</t>
        </is>
      </c>
      <c r="B49" s="3" t="n">
        <v>100</v>
      </c>
      <c r="C49" s="3" t="inlineStr">
        <is>
          <t>總參數</t>
        </is>
      </c>
      <c r="D49" s="3" t="inlineStr">
        <is>
          <t>B</t>
        </is>
      </c>
      <c r="E49" s="3" t="n">
        <v>1</v>
      </c>
      <c r="F49" s="3" t="n">
        <v>1</v>
      </c>
      <c r="G49" s="3" t="inlineStr">
        <is>
          <t>C100</t>
        </is>
      </c>
      <c r="H49" s="3">
        <f>SRC_MOD_020</f>
        <v/>
      </c>
      <c r="I49" s="3" t="n">
        <v>671</v>
      </c>
      <c r="J49" s="3" t="inlineStr">
        <is>
          <t>—</t>
        </is>
      </c>
      <c r="K49" s="3" t="inlineStr">
        <is>
          <t>—</t>
        </is>
      </c>
      <c r="L49" s="3" t="inlineStr">
        <is>
          <t>—</t>
        </is>
      </c>
      <c r="M49" s="3" t="inlineStr">
        <is>
          <t>—</t>
        </is>
      </c>
      <c r="N49" s="3" t="inlineStr">
        <is>
          <t>—</t>
        </is>
      </c>
      <c r="O49" s="3" t="inlineStr">
        <is>
          <t>—</t>
        </is>
      </c>
      <c r="P49" s="3" t="inlineStr">
        <is>
          <t>—</t>
        </is>
      </c>
      <c r="Q49" s="3" t="inlineStr">
        <is>
          <t>—</t>
        </is>
      </c>
      <c r="R49" s="3" t="inlineStr">
        <is>
          <t>—</t>
        </is>
      </c>
      <c r="S49" s="3" t="inlineStr"/>
      <c r="T49" s="3" t="inlineStr"/>
      <c r="U49" s="3" t="n">
        <v>2</v>
      </c>
      <c r="V49" s="3" t="inlineStr"/>
      <c r="W49" s="3" t="inlineStr">
        <is>
          <t>—</t>
        </is>
      </c>
    </row>
    <row r="50">
      <c r="A50" s="3" t="inlineStr">
        <is>
          <t>Calib</t>
        </is>
      </c>
      <c r="B50" s="3" t="n">
        <v>101</v>
      </c>
      <c r="C50" s="3" t="inlineStr">
        <is>
          <t>啟用參數</t>
        </is>
      </c>
      <c r="D50" s="3" t="inlineStr">
        <is>
          <t>B</t>
        </is>
      </c>
      <c r="E50" s="3" t="n">
        <v>1</v>
      </c>
      <c r="F50" s="3" t="n">
        <v>1</v>
      </c>
      <c r="G50" s="3" t="inlineStr">
        <is>
          <t>C101</t>
        </is>
      </c>
      <c r="H50" s="3">
        <f>SRC_MOD_021</f>
        <v/>
      </c>
      <c r="I50" s="3" t="n">
        <v>37</v>
      </c>
      <c r="J50" s="3" t="inlineStr">
        <is>
          <t>—</t>
        </is>
      </c>
      <c r="K50" s="3" t="inlineStr">
        <is>
          <t>—</t>
        </is>
      </c>
      <c r="L50" s="3" t="inlineStr">
        <is>
          <t>—</t>
        </is>
      </c>
      <c r="M50" s="3" t="inlineStr">
        <is>
          <t>—</t>
        </is>
      </c>
      <c r="N50" s="3" t="inlineStr">
        <is>
          <t>—</t>
        </is>
      </c>
      <c r="O50" s="3" t="inlineStr">
        <is>
          <t>—</t>
        </is>
      </c>
      <c r="P50" s="3" t="inlineStr">
        <is>
          <t>—</t>
        </is>
      </c>
      <c r="Q50" s="3" t="inlineStr">
        <is>
          <t>—</t>
        </is>
      </c>
      <c r="R50" s="3" t="inlineStr">
        <is>
          <t>—</t>
        </is>
      </c>
      <c r="S50" s="3" t="inlineStr"/>
      <c r="T50" s="3" t="inlineStr"/>
      <c r="U50" s="3" t="n">
        <v>10</v>
      </c>
      <c r="V50" s="3" t="inlineStr"/>
      <c r="W50" s="3" t="inlineStr">
        <is>
          <t>—</t>
        </is>
      </c>
    </row>
    <row r="51">
      <c r="A51" s="3" t="inlineStr">
        <is>
          <t>Calib</t>
        </is>
      </c>
      <c r="B51" s="3" t="n">
        <v>102</v>
      </c>
      <c r="C51" s="3" t="inlineStr">
        <is>
          <t>層數</t>
        </is>
      </c>
      <c r="D51" s="3" t="n"/>
      <c r="E51" s="3" t="n">
        <v>1</v>
      </c>
      <c r="F51" s="3" t="n">
        <v>1</v>
      </c>
      <c r="G51" s="3" t="inlineStr">
        <is>
          <t>C102</t>
        </is>
      </c>
      <c r="H51" s="3">
        <f>SRC_MOD_022</f>
        <v/>
      </c>
      <c r="I51" s="3" t="n">
        <v>61</v>
      </c>
      <c r="J51" s="3" t="inlineStr">
        <is>
          <t>—</t>
        </is>
      </c>
      <c r="K51" s="3" t="inlineStr">
        <is>
          <t>—</t>
        </is>
      </c>
      <c r="L51" s="3" t="inlineStr">
        <is>
          <t>—</t>
        </is>
      </c>
      <c r="M51" s="3" t="inlineStr">
        <is>
          <t>—</t>
        </is>
      </c>
      <c r="N51" s="3" t="inlineStr">
        <is>
          <t>—</t>
        </is>
      </c>
      <c r="O51" s="3" t="inlineStr">
        <is>
          <t>—</t>
        </is>
      </c>
      <c r="P51" s="3" t="inlineStr">
        <is>
          <t>—</t>
        </is>
      </c>
      <c r="Q51" s="3" t="inlineStr">
        <is>
          <t>—</t>
        </is>
      </c>
      <c r="R51" s="3" t="inlineStr">
        <is>
          <t>—</t>
        </is>
      </c>
      <c r="S51" s="3" t="inlineStr"/>
      <c r="T51" s="3" t="inlineStr"/>
      <c r="U51" s="3" t="n">
        <v>10</v>
      </c>
      <c r="V51" s="3" t="inlineStr"/>
      <c r="W51" s="3" t="inlineStr">
        <is>
          <t>—</t>
        </is>
      </c>
    </row>
    <row r="52">
      <c r="A52" s="3" t="inlineStr">
        <is>
          <t>Calib</t>
        </is>
      </c>
      <c r="B52" s="3" t="n">
        <v>103</v>
      </c>
      <c r="C52" s="3" t="inlineStr">
        <is>
          <t>d_model</t>
        </is>
      </c>
      <c r="D52" s="3" t="n"/>
      <c r="E52" s="3" t="n">
        <v>1</v>
      </c>
      <c r="F52" s="3" t="n">
        <v>1</v>
      </c>
      <c r="G52" s="3" t="inlineStr">
        <is>
          <t>C103</t>
        </is>
      </c>
      <c r="H52" s="3">
        <f>SRC_MOD_023</f>
        <v/>
      </c>
      <c r="I52" s="3" t="n">
        <v>7168</v>
      </c>
      <c r="J52" s="3" t="inlineStr">
        <is>
          <t>—</t>
        </is>
      </c>
      <c r="K52" s="3" t="inlineStr">
        <is>
          <t>—</t>
        </is>
      </c>
      <c r="L52" s="3" t="inlineStr">
        <is>
          <t>—</t>
        </is>
      </c>
      <c r="M52" s="3" t="inlineStr">
        <is>
          <t>—</t>
        </is>
      </c>
      <c r="N52" s="3" t="inlineStr">
        <is>
          <t>—</t>
        </is>
      </c>
      <c r="O52" s="3" t="inlineStr">
        <is>
          <t>—</t>
        </is>
      </c>
      <c r="P52" s="3" t="inlineStr">
        <is>
          <t>—</t>
        </is>
      </c>
      <c r="Q52" s="3" t="inlineStr">
        <is>
          <t>—</t>
        </is>
      </c>
      <c r="R52" s="3" t="inlineStr">
        <is>
          <t>—</t>
        </is>
      </c>
      <c r="S52" s="3" t="inlineStr"/>
      <c r="T52" s="3" t="inlineStr"/>
      <c r="U52" s="3" t="n">
        <v>4</v>
      </c>
      <c r="V52" s="3" t="inlineStr"/>
      <c r="W52" s="3" t="inlineStr">
        <is>
          <t>—</t>
        </is>
      </c>
    </row>
    <row r="53">
      <c r="A53" s="3" t="inlineStr">
        <is>
          <t>Calib</t>
        </is>
      </c>
      <c r="B53" s="3" t="n">
        <v>104</v>
      </c>
      <c r="C53" s="3" t="inlineStr">
        <is>
          <t>routed experts</t>
        </is>
      </c>
      <c r="D53" s="3" t="n"/>
      <c r="E53" s="3" t="n">
        <v>1</v>
      </c>
      <c r="F53" s="3" t="n">
        <v>1</v>
      </c>
      <c r="G53" s="3" t="inlineStr">
        <is>
          <t>C104</t>
        </is>
      </c>
      <c r="H53" s="3">
        <f>SRC_MOD_024</f>
        <v/>
      </c>
      <c r="I53" s="3" t="n">
        <v>256</v>
      </c>
      <c r="J53" s="3" t="inlineStr">
        <is>
          <t>—</t>
        </is>
      </c>
      <c r="K53" s="3" t="inlineStr">
        <is>
          <t>—</t>
        </is>
      </c>
      <c r="L53" s="3" t="inlineStr">
        <is>
          <t>—</t>
        </is>
      </c>
      <c r="M53" s="3" t="inlineStr">
        <is>
          <t>—</t>
        </is>
      </c>
      <c r="N53" s="3" t="inlineStr">
        <is>
          <t>—</t>
        </is>
      </c>
      <c r="O53" s="3" t="inlineStr">
        <is>
          <t>—</t>
        </is>
      </c>
      <c r="P53" s="3" t="inlineStr">
        <is>
          <t>—</t>
        </is>
      </c>
      <c r="Q53" s="3" t="inlineStr">
        <is>
          <t>—</t>
        </is>
      </c>
      <c r="R53" s="3" t="inlineStr">
        <is>
          <t>—</t>
        </is>
      </c>
      <c r="S53" s="3" t="inlineStr"/>
      <c r="T53" s="3" t="inlineStr"/>
      <c r="U53" s="3" t="n">
        <v>1</v>
      </c>
      <c r="V53" s="3" t="inlineStr"/>
      <c r="W53" s="3" t="inlineStr">
        <is>
          <t>—</t>
        </is>
      </c>
    </row>
    <row r="54">
      <c r="A54" s="3" t="inlineStr">
        <is>
          <t>Calib</t>
        </is>
      </c>
      <c r="B54" s="3" t="n">
        <v>105</v>
      </c>
      <c r="C54" s="3" t="inlineStr">
        <is>
          <t>啟用 experts</t>
        </is>
      </c>
      <c r="D54" s="3" t="n"/>
      <c r="E54" s="3" t="n">
        <v>1</v>
      </c>
      <c r="F54" s="3" t="n">
        <v>1</v>
      </c>
      <c r="G54" s="3" t="inlineStr">
        <is>
          <t>C105</t>
        </is>
      </c>
      <c r="H54" s="3">
        <f>SRC_MOD_025</f>
        <v/>
      </c>
      <c r="I54" s="3" t="n">
        <v>8</v>
      </c>
      <c r="J54" s="3" t="inlineStr">
        <is>
          <t>—</t>
        </is>
      </c>
      <c r="K54" s="3" t="inlineStr">
        <is>
          <t>—</t>
        </is>
      </c>
      <c r="L54" s="3" t="inlineStr">
        <is>
          <t>—</t>
        </is>
      </c>
      <c r="M54" s="3" t="inlineStr">
        <is>
          <t>—</t>
        </is>
      </c>
      <c r="N54" s="3" t="inlineStr">
        <is>
          <t>—</t>
        </is>
      </c>
      <c r="O54" s="3" t="inlineStr">
        <is>
          <t>—</t>
        </is>
      </c>
      <c r="P54" s="3" t="inlineStr">
        <is>
          <t>—</t>
        </is>
      </c>
      <c r="Q54" s="3" t="inlineStr">
        <is>
          <t>—</t>
        </is>
      </c>
      <c r="R54" s="3" t="inlineStr">
        <is>
          <t>—</t>
        </is>
      </c>
      <c r="S54" s="3" t="inlineStr"/>
      <c r="T54" s="3" t="inlineStr"/>
      <c r="U54" s="3" t="n">
        <v>6</v>
      </c>
      <c r="V54" s="3" t="inlineStr"/>
      <c r="W54" s="3" t="inlineStr">
        <is>
          <t>—</t>
        </is>
      </c>
    </row>
    <row r="55">
      <c r="A55" s="3" t="inlineStr">
        <is>
          <t>Calib</t>
        </is>
      </c>
      <c r="B55" s="3" t="n">
        <v>106</v>
      </c>
      <c r="C55" s="3" t="inlineStr">
        <is>
          <t>shared experts</t>
        </is>
      </c>
      <c r="D55" s="3" t="n"/>
      <c r="E55" s="3" t="n">
        <v>1</v>
      </c>
      <c r="F55" s="3" t="n">
        <v>1</v>
      </c>
      <c r="G55" s="3" t="inlineStr">
        <is>
          <t>C106</t>
        </is>
      </c>
      <c r="H55" s="3">
        <f>SRC_MOD_026</f>
        <v/>
      </c>
      <c r="I55" s="3" t="n">
        <v>1</v>
      </c>
      <c r="J55" s="3" t="inlineStr">
        <is>
          <t>—</t>
        </is>
      </c>
      <c r="K55" s="3" t="inlineStr">
        <is>
          <t>—</t>
        </is>
      </c>
      <c r="L55" s="3" t="inlineStr">
        <is>
          <t>—</t>
        </is>
      </c>
      <c r="M55" s="3" t="inlineStr">
        <is>
          <t>—</t>
        </is>
      </c>
      <c r="N55" s="3" t="inlineStr">
        <is>
          <t>—</t>
        </is>
      </c>
      <c r="O55" s="3" t="inlineStr">
        <is>
          <t>—</t>
        </is>
      </c>
      <c r="P55" s="3" t="inlineStr">
        <is>
          <t>—</t>
        </is>
      </c>
      <c r="Q55" s="3" t="inlineStr">
        <is>
          <t>—</t>
        </is>
      </c>
      <c r="R55" s="3" t="inlineStr">
        <is>
          <t>—</t>
        </is>
      </c>
      <c r="S55" s="3" t="inlineStr"/>
      <c r="T55" s="3" t="inlineStr"/>
      <c r="U55" s="3" t="n">
        <v>1</v>
      </c>
      <c r="V55" s="3" t="inlineStr"/>
      <c r="W55" s="3" t="inlineStr">
        <is>
          <t>—</t>
        </is>
      </c>
    </row>
    <row r="56">
      <c r="A56" s="3" t="inlineStr">
        <is>
          <t>Calib</t>
        </is>
      </c>
      <c r="B56" s="3" t="n">
        <v>108</v>
      </c>
      <c r="C56" s="3" t="inlineStr">
        <is>
          <t>KV bytes/token（MLA 576 × 61 層，FP8）</t>
        </is>
      </c>
      <c r="D56" s="3" t="inlineStr">
        <is>
          <t>B</t>
        </is>
      </c>
      <c r="E56" s="3" t="n">
        <v>1</v>
      </c>
      <c r="F56" s="3" t="n">
        <v>1</v>
      </c>
      <c r="G56" s="3" t="inlineStr">
        <is>
          <t>C108</t>
        </is>
      </c>
      <c r="H56" s="3">
        <f>SRC_MOD_028*SRC_MOD_022</f>
        <v/>
      </c>
      <c r="I56" s="3" t="n">
        <v>35136</v>
      </c>
      <c r="J56" s="3" t="inlineStr">
        <is>
          <t>—</t>
        </is>
      </c>
      <c r="K56" s="3" t="inlineStr">
        <is>
          <t>—</t>
        </is>
      </c>
      <c r="L56" s="3" t="inlineStr">
        <is>
          <t>—</t>
        </is>
      </c>
      <c r="M56" s="3" t="inlineStr">
        <is>
          <t>—</t>
        </is>
      </c>
      <c r="N56" s="3" t="inlineStr">
        <is>
          <t>—</t>
        </is>
      </c>
      <c r="O56" s="3" t="inlineStr">
        <is>
          <t>—</t>
        </is>
      </c>
      <c r="P56" s="3" t="inlineStr">
        <is>
          <t>—</t>
        </is>
      </c>
      <c r="Q56" s="3" t="inlineStr">
        <is>
          <t>—</t>
        </is>
      </c>
      <c r="R56" s="3" t="inlineStr">
        <is>
          <t>—</t>
        </is>
      </c>
      <c r="S56" s="3" t="inlineStr"/>
      <c r="T56" s="3" t="inlineStr"/>
      <c r="U56" s="3" t="n">
        <v>8</v>
      </c>
      <c r="V56" s="3" t="inlineStr"/>
      <c r="W56" s="3" t="inlineStr">
        <is>
          <t>—</t>
        </is>
      </c>
    </row>
    <row r="57">
      <c r="A57" s="3" t="inlineStr">
        <is>
          <t>Calib</t>
        </is>
      </c>
      <c r="B57" s="3" t="n">
        <v>109</v>
      </c>
      <c r="C57" s="3" t="inlineStr">
        <is>
          <t>注意力 FLOPs／被注意 token（MLA：2×128×192＋2×128×128，× 61）</t>
        </is>
      </c>
      <c r="D57" s="3" t="inlineStr">
        <is>
          <t>FLOP</t>
        </is>
      </c>
      <c r="E57" s="3" t="n">
        <v>1</v>
      </c>
      <c r="F57" s="3" t="n">
        <v>1</v>
      </c>
      <c r="G57" s="3" t="inlineStr">
        <is>
          <t>C109</t>
        </is>
      </c>
      <c r="H57" s="3">
        <f>(2*SRC_MOD_049*SRC_MOD_050+2*SRC_MOD_049*SRC_MOD_051)*SRC_MOD_022</f>
        <v/>
      </c>
      <c r="I57" s="3" t="n">
        <v>4997120</v>
      </c>
      <c r="J57" s="3" t="inlineStr">
        <is>
          <t>—</t>
        </is>
      </c>
      <c r="K57" s="3" t="inlineStr">
        <is>
          <t>—</t>
        </is>
      </c>
      <c r="L57" s="3" t="inlineStr">
        <is>
          <t>—</t>
        </is>
      </c>
      <c r="M57" s="3" t="inlineStr">
        <is>
          <t>—</t>
        </is>
      </c>
      <c r="N57" s="3" t="inlineStr">
        <is>
          <t>—</t>
        </is>
      </c>
      <c r="O57" s="3" t="inlineStr">
        <is>
          <t>—</t>
        </is>
      </c>
      <c r="P57" s="3" t="inlineStr">
        <is>
          <t>—</t>
        </is>
      </c>
      <c r="Q57" s="3" t="inlineStr">
        <is>
          <t>—</t>
        </is>
      </c>
      <c r="R57" s="3" t="inlineStr">
        <is>
          <t>—</t>
        </is>
      </c>
      <c r="S57" s="3" t="inlineStr"/>
      <c r="T57" s="3" t="inlineStr"/>
      <c r="U57" s="3" t="n">
        <v>8</v>
      </c>
      <c r="V57" s="3" t="inlineStr"/>
      <c r="W57" s="3" t="inlineStr">
        <is>
          <t>—</t>
        </is>
      </c>
    </row>
    <row r="58">
      <c r="A58" s="3" t="inlineStr">
        <is>
          <t>Calib</t>
        </is>
      </c>
      <c r="B58" s="3" t="n">
        <v>110</v>
      </c>
      <c r="C58" s="3" t="inlineStr">
        <is>
          <t>平均 ISL（MLCommons 資料集）</t>
        </is>
      </c>
      <c r="D58" s="3" t="inlineStr">
        <is>
          <t>tok</t>
        </is>
      </c>
      <c r="E58" s="3" t="n">
        <v>1</v>
      </c>
      <c r="F58" s="3" t="n">
        <v>1</v>
      </c>
      <c r="G58" s="3" t="inlineStr">
        <is>
          <t>C110</t>
        </is>
      </c>
      <c r="H58" s="3">
        <f>SRC_PERF_029</f>
        <v/>
      </c>
      <c r="I58" s="3" t="n">
        <v>800</v>
      </c>
      <c r="J58" s="3" t="inlineStr">
        <is>
          <t>—</t>
        </is>
      </c>
      <c r="K58" s="3" t="inlineStr">
        <is>
          <t>—</t>
        </is>
      </c>
      <c r="L58" s="3" t="inlineStr">
        <is>
          <t>—</t>
        </is>
      </c>
      <c r="M58" s="3" t="inlineStr">
        <is>
          <t>—</t>
        </is>
      </c>
      <c r="N58" s="3" t="inlineStr">
        <is>
          <t>—</t>
        </is>
      </c>
      <c r="O58" s="3" t="inlineStr">
        <is>
          <t>—</t>
        </is>
      </c>
      <c r="P58" s="3" t="inlineStr">
        <is>
          <t>—</t>
        </is>
      </c>
      <c r="Q58" s="3" t="inlineStr">
        <is>
          <t>—</t>
        </is>
      </c>
      <c r="R58" s="3" t="inlineStr">
        <is>
          <t>—</t>
        </is>
      </c>
      <c r="S58" s="3" t="inlineStr"/>
      <c r="T58" s="3" t="inlineStr"/>
      <c r="U58" s="3" t="n">
        <v>12</v>
      </c>
      <c r="V58" s="3" t="inlineStr"/>
      <c r="W58" s="3" t="inlineStr">
        <is>
          <t>—</t>
        </is>
      </c>
    </row>
    <row r="59">
      <c r="A59" s="3" t="inlineStr">
        <is>
          <t>Calib</t>
        </is>
      </c>
      <c r="B59" s="3" t="n">
        <v>111</v>
      </c>
      <c r="C59" s="3" t="inlineStr">
        <is>
          <t>平均 OSL</t>
        </is>
      </c>
      <c r="D59" s="3" t="inlineStr">
        <is>
          <t>tok</t>
        </is>
      </c>
      <c r="E59" s="3" t="n">
        <v>1</v>
      </c>
      <c r="F59" s="3" t="n">
        <v>1</v>
      </c>
      <c r="G59" s="3" t="inlineStr">
        <is>
          <t>C111</t>
        </is>
      </c>
      <c r="H59" s="3">
        <f>SRC_PERF_030</f>
        <v/>
      </c>
      <c r="I59" s="3" t="n">
        <v>3880</v>
      </c>
      <c r="J59" s="3" t="inlineStr">
        <is>
          <t>—</t>
        </is>
      </c>
      <c r="K59" s="3" t="inlineStr">
        <is>
          <t>—</t>
        </is>
      </c>
      <c r="L59" s="3" t="inlineStr">
        <is>
          <t>—</t>
        </is>
      </c>
      <c r="M59" s="3" t="inlineStr">
        <is>
          <t>—</t>
        </is>
      </c>
      <c r="N59" s="3" t="inlineStr">
        <is>
          <t>—</t>
        </is>
      </c>
      <c r="O59" s="3" t="inlineStr">
        <is>
          <t>—</t>
        </is>
      </c>
      <c r="P59" s="3" t="inlineStr">
        <is>
          <t>—</t>
        </is>
      </c>
      <c r="Q59" s="3" t="inlineStr">
        <is>
          <t>—</t>
        </is>
      </c>
      <c r="R59" s="3" t="inlineStr">
        <is>
          <t>—</t>
        </is>
      </c>
      <c r="S59" s="3" t="inlineStr"/>
      <c r="T59" s="3" t="inlineStr"/>
      <c r="U59" s="3" t="n">
        <v>8</v>
      </c>
      <c r="V59" s="3" t="inlineStr"/>
      <c r="W59" s="3" t="inlineStr">
        <is>
          <t>—</t>
        </is>
      </c>
    </row>
    <row r="60">
      <c r="A60" s="3" t="inlineStr">
        <is>
          <t>Calib</t>
        </is>
      </c>
      <c r="B60" s="3" t="n">
        <v>112</v>
      </c>
      <c r="C60" s="3" t="inlineStr">
        <is>
          <t>每 routed expert 參數</t>
        </is>
      </c>
      <c r="D60" s="3" t="inlineStr">
        <is>
          <t>B</t>
        </is>
      </c>
      <c r="E60" s="3" t="n">
        <v>1</v>
      </c>
      <c r="F60" s="3" t="n">
        <v>1</v>
      </c>
      <c r="G60" s="3" t="inlineStr">
        <is>
          <t>C112</t>
        </is>
      </c>
      <c r="H60" s="3">
        <f>(C100-C101)/(C102*(C104-C105))</f>
        <v/>
      </c>
      <c r="I60" s="3" t="n">
        <v>0.041909</v>
      </c>
      <c r="J60" s="3" t="inlineStr">
        <is>
          <t>[G21] 每專家參數＝（總 − 啟用）÷（層數 ×（routed − 啟用））假設 61 層全為 MoE 層；DeepSeek-R1 前 3 層為 dense。只影響 H 節 MLPerf 對照</t>
        </is>
      </c>
      <c r="K60" s="3" t="inlineStr">
        <is>
          <t>—</t>
        </is>
      </c>
      <c r="L60" s="3" t="inlineStr">
        <is>
          <t>—</t>
        </is>
      </c>
      <c r="M60" s="3" t="inlineStr">
        <is>
          <t>—</t>
        </is>
      </c>
      <c r="N60" s="3" t="inlineStr">
        <is>
          <t>—</t>
        </is>
      </c>
      <c r="O60" s="3" t="inlineStr">
        <is>
          <t>—</t>
        </is>
      </c>
      <c r="P60" s="3" t="inlineStr">
        <is>
          <t>—</t>
        </is>
      </c>
      <c r="Q60" s="3" t="inlineStr">
        <is>
          <t>—</t>
        </is>
      </c>
      <c r="R60" s="3" t="inlineStr">
        <is>
          <t>—</t>
        </is>
      </c>
      <c r="S60" s="3" t="inlineStr"/>
      <c r="T60" s="3" t="inlineStr"/>
      <c r="U60" s="3" t="n">
        <v>1</v>
      </c>
      <c r="V60" s="3" t="inlineStr">
        <is>
          <t>G21</t>
        </is>
      </c>
      <c r="W60" s="3" t="inlineStr">
        <is>
          <t>低</t>
        </is>
      </c>
    </row>
    <row r="61">
      <c r="A61" s="3" t="inlineStr">
        <is>
          <t>Calib</t>
        </is>
      </c>
      <c r="B61" s="3" t="n">
        <v>113</v>
      </c>
      <c r="C61" s="3" t="inlineStr">
        <is>
          <t>非專家參數</t>
        </is>
      </c>
      <c r="D61" s="3" t="inlineStr">
        <is>
          <t>B</t>
        </is>
      </c>
      <c r="E61" s="3" t="n">
        <v>1</v>
      </c>
      <c r="F61" s="3" t="n">
        <v>1</v>
      </c>
      <c r="G61" s="3" t="inlineStr">
        <is>
          <t>C113</t>
        </is>
      </c>
      <c r="H61" s="3">
        <f>C101-C102*(C105+C106)*C112</f>
        <v/>
      </c>
      <c r="I61" s="3" t="n">
        <v>13.991935</v>
      </c>
      <c r="J61" s="3" t="inlineStr">
        <is>
          <t>[G21] 每專家參數＝（總 − 啟用）÷（層數 ×（routed − 啟用））假設 61 層全為 MoE 層；DeepSeek-R1 前 3 層為 dense。只影響 H 節 MLPerf 對照</t>
        </is>
      </c>
      <c r="K61" s="3" t="inlineStr">
        <is>
          <t>—</t>
        </is>
      </c>
      <c r="L61" s="3" t="inlineStr">
        <is>
          <t>—</t>
        </is>
      </c>
      <c r="M61" s="3" t="inlineStr">
        <is>
          <t>—</t>
        </is>
      </c>
      <c r="N61" s="3" t="inlineStr">
        <is>
          <t>—</t>
        </is>
      </c>
      <c r="O61" s="3" t="inlineStr">
        <is>
          <t>—</t>
        </is>
      </c>
      <c r="P61" s="3" t="inlineStr">
        <is>
          <t>—</t>
        </is>
      </c>
      <c r="Q61" s="3" t="inlineStr">
        <is>
          <t>—</t>
        </is>
      </c>
      <c r="R61" s="3" t="inlineStr">
        <is>
          <t>—</t>
        </is>
      </c>
      <c r="S61" s="3" t="inlineStr"/>
      <c r="T61" s="3" t="inlineStr"/>
      <c r="U61" s="3" t="n">
        <v>9</v>
      </c>
      <c r="V61" s="3" t="inlineStr">
        <is>
          <t>G21</t>
        </is>
      </c>
      <c r="W61" s="3" t="inlineStr">
        <is>
          <t>低</t>
        </is>
      </c>
    </row>
    <row r="62">
      <c r="A62" s="3" t="inlineStr">
        <is>
          <t>Calib</t>
        </is>
      </c>
      <c r="B62" s="3" t="n">
        <v>114</v>
      </c>
      <c r="C62" s="3" t="inlineStr">
        <is>
          <t>專家參數</t>
        </is>
      </c>
      <c r="D62" s="3" t="inlineStr">
        <is>
          <t>B</t>
        </is>
      </c>
      <c r="E62" s="3" t="n">
        <v>1</v>
      </c>
      <c r="F62" s="3" t="n">
        <v>1</v>
      </c>
      <c r="G62" s="3" t="inlineStr">
        <is>
          <t>C114</t>
        </is>
      </c>
      <c r="H62" s="3">
        <f>C100-C113</f>
        <v/>
      </c>
      <c r="I62" s="3" t="n">
        <v>657.008065</v>
      </c>
      <c r="J62" s="3" t="inlineStr">
        <is>
          <t>—</t>
        </is>
      </c>
      <c r="K62" s="3" t="inlineStr">
        <is>
          <t>—</t>
        </is>
      </c>
      <c r="L62" s="3" t="inlineStr">
        <is>
          <t>—</t>
        </is>
      </c>
      <c r="M62" s="3" t="inlineStr">
        <is>
          <t>—</t>
        </is>
      </c>
      <c r="N62" s="3" t="inlineStr">
        <is>
          <t>—</t>
        </is>
      </c>
      <c r="O62" s="3" t="inlineStr">
        <is>
          <t>—</t>
        </is>
      </c>
      <c r="P62" s="3" t="inlineStr">
        <is>
          <t>—</t>
        </is>
      </c>
      <c r="Q62" s="3" t="inlineStr">
        <is>
          <t>—</t>
        </is>
      </c>
      <c r="R62" s="3" t="inlineStr">
        <is>
          <t>—</t>
        </is>
      </c>
      <c r="S62" s="3" t="inlineStr"/>
      <c r="T62" s="3" t="inlineStr"/>
      <c r="U62" s="3" t="n">
        <v>8</v>
      </c>
      <c r="V62" s="3" t="inlineStr"/>
      <c r="W62" s="3" t="inlineStr">
        <is>
          <t>—</t>
        </is>
      </c>
    </row>
    <row r="63">
      <c r="A63" s="3" t="inlineStr">
        <is>
          <t>Calib</t>
        </is>
      </c>
      <c r="B63" s="3" t="n">
        <v>117</v>
      </c>
      <c r="C63" s="3" t="inlineStr">
        <is>
          <t>世代索引</t>
        </is>
      </c>
      <c r="D63" s="3" t="n"/>
      <c r="E63" s="3" t="n">
        <v>0</v>
      </c>
      <c r="F63" s="3" t="n">
        <v>0</v>
      </c>
      <c r="G63" s="3" t="inlineStr"/>
      <c r="H63" s="3" t="inlineStr"/>
      <c r="I63" s="3" t="inlineStr"/>
      <c r="J63" s="3" t="inlineStr">
        <is>
          <t>—</t>
        </is>
      </c>
      <c r="K63" s="3" t="inlineStr">
        <is>
          <t>—</t>
        </is>
      </c>
      <c r="L63" s="3" t="inlineStr">
        <is>
          <t>—</t>
        </is>
      </c>
      <c r="M63" s="3" t="inlineStr">
        <is>
          <t>—</t>
        </is>
      </c>
      <c r="N63" s="3" t="inlineStr">
        <is>
          <t>—</t>
        </is>
      </c>
      <c r="O63" s="3" t="inlineStr">
        <is>
          <t>—</t>
        </is>
      </c>
      <c r="P63" s="3" t="inlineStr">
        <is>
          <t>—</t>
        </is>
      </c>
      <c r="Q63" s="3" t="inlineStr">
        <is>
          <t>—</t>
        </is>
      </c>
      <c r="R63" s="3" t="inlineStr">
        <is>
          <t>—</t>
        </is>
      </c>
      <c r="S63" s="3" t="inlineStr"/>
      <c r="T63" s="3" t="inlineStr"/>
      <c r="U63" s="3" t="n">
        <v>44</v>
      </c>
      <c r="V63" s="3" t="inlineStr"/>
      <c r="W63" s="3" t="inlineStr">
        <is>
          <t>—</t>
        </is>
      </c>
    </row>
    <row r="64">
      <c r="A64" s="3" t="inlineStr">
        <is>
          <t>Calib</t>
        </is>
      </c>
      <c r="B64" s="3" t="n">
        <v>118</v>
      </c>
      <c r="C64" s="3" t="inlineStr">
        <is>
          <t>每用戶速度下限（1000 ÷ TPOT）</t>
        </is>
      </c>
      <c r="D64" s="3" t="inlineStr">
        <is>
          <t>tok/s</t>
        </is>
      </c>
      <c r="E64" s="3" t="n">
        <v>4</v>
      </c>
      <c r="F64" s="3" t="n">
        <v>2</v>
      </c>
      <c r="G64" s="3" t="inlineStr">
        <is>
          <t>C118</t>
        </is>
      </c>
      <c r="H64" s="3">
        <f>1000/SRC_PERF_031</f>
        <v/>
      </c>
      <c r="I64" s="3" t="n">
        <v>66.666667</v>
      </c>
      <c r="J64" s="3" t="inlineStr">
        <is>
          <t>—</t>
        </is>
      </c>
      <c r="K64" s="3" t="inlineStr">
        <is>
          <t>—</t>
        </is>
      </c>
      <c r="L64" s="3" t="inlineStr">
        <is>
          <t>—</t>
        </is>
      </c>
      <c r="M64" s="3" t="inlineStr">
        <is>
          <t>—</t>
        </is>
      </c>
      <c r="N64" s="3" t="inlineStr">
        <is>
          <t>—</t>
        </is>
      </c>
      <c r="O64" s="3" t="inlineStr">
        <is>
          <t>—</t>
        </is>
      </c>
      <c r="P64" s="3" t="inlineStr">
        <is>
          <t>—</t>
        </is>
      </c>
      <c r="Q64" s="3" t="inlineStr">
        <is>
          <t>—</t>
        </is>
      </c>
      <c r="R64" s="3" t="inlineStr">
        <is>
          <t>—</t>
        </is>
      </c>
      <c r="S64" s="3" t="inlineStr"/>
      <c r="T64" s="3" t="inlineStr"/>
      <c r="U64" s="3" t="n">
        <v>4</v>
      </c>
      <c r="V64" s="3" t="inlineStr"/>
      <c r="W64" s="3" t="inlineStr">
        <is>
          <t>—</t>
        </is>
      </c>
    </row>
    <row r="65">
      <c r="A65" s="3" t="inlineStr">
        <is>
          <t>Calib</t>
        </is>
      </c>
      <c r="B65" s="3" t="n">
        <v>119</v>
      </c>
      <c r="C65" s="3" t="inlineStr">
        <is>
          <t>推測解碼（1＝有）</t>
        </is>
      </c>
      <c r="D65" s="3" t="n"/>
      <c r="E65" s="3" t="n">
        <v>0</v>
      </c>
      <c r="F65" s="3" t="n">
        <v>0</v>
      </c>
      <c r="G65" s="3" t="inlineStr"/>
      <c r="H65" s="3" t="inlineStr"/>
      <c r="I65" s="3" t="inlineStr"/>
      <c r="J65" s="3" t="inlineStr">
        <is>
          <t>—</t>
        </is>
      </c>
      <c r="K65" s="3" t="inlineStr">
        <is>
          <t>—</t>
        </is>
      </c>
      <c r="L65" s="3" t="inlineStr">
        <is>
          <t>—</t>
        </is>
      </c>
      <c r="M65" s="3" t="inlineStr">
        <is>
          <t>—</t>
        </is>
      </c>
      <c r="N65" s="3" t="inlineStr">
        <is>
          <t>—</t>
        </is>
      </c>
      <c r="O65" s="3" t="inlineStr">
        <is>
          <t>—</t>
        </is>
      </c>
      <c r="P65" s="3" t="inlineStr">
        <is>
          <t>—</t>
        </is>
      </c>
      <c r="Q65" s="3" t="inlineStr">
        <is>
          <t>—</t>
        </is>
      </c>
      <c r="R65" s="3" t="inlineStr">
        <is>
          <t>—</t>
        </is>
      </c>
      <c r="S65" s="3" t="inlineStr"/>
      <c r="T65" s="3" t="inlineStr"/>
      <c r="U65" s="3" t="n">
        <v>8</v>
      </c>
      <c r="V65" s="3" t="inlineStr"/>
      <c r="W65" s="3" t="inlineStr">
        <is>
          <t>—</t>
        </is>
      </c>
    </row>
    <row r="66">
      <c r="A66" s="3" t="inlineStr">
        <is>
          <t>Calib</t>
        </is>
      </c>
      <c r="B66" s="3" t="n">
        <v>120</v>
      </c>
      <c r="C66" s="3" t="inlineStr">
        <is>
          <t>MLPerf 實測輸出 tok/s/GPU（總量 ÷ 72）</t>
        </is>
      </c>
      <c r="D66" s="3" t="inlineStr">
        <is>
          <t>tok/s/GPU</t>
        </is>
      </c>
      <c r="E66" s="3" t="n">
        <v>4</v>
      </c>
      <c r="F66" s="3" t="n">
        <v>4</v>
      </c>
      <c r="G66" s="3" t="inlineStr">
        <is>
          <t>C120</t>
        </is>
      </c>
      <c r="H66" s="3">
        <f>SRC_PERF_028/SRC_HW_047</f>
        <v/>
      </c>
      <c r="I66" s="3" t="n">
        <v>3520.916667</v>
      </c>
      <c r="J66" s="3" t="inlineStr">
        <is>
          <t>—</t>
        </is>
      </c>
      <c r="K66" s="3" t="inlineStr">
        <is>
          <t>[G07] MLPerf 對照混用不同輪次：GB300 interactive v6.1（2026-09）、GB200 interactive v6.0（2026-04）、VR200 v6.1 預覽類、GB300 server v6.0；Calib D152「GB300 ÷ GB200＝1.055」是 v6.1 對 v6.0</t>
        </is>
      </c>
      <c r="L66" s="3" t="inlineStr">
        <is>
          <t>—</t>
        </is>
      </c>
      <c r="M66" s="3" t="inlineStr">
        <is>
          <t>—</t>
        </is>
      </c>
      <c r="N66" s="3" t="inlineStr">
        <is>
          <t>—</t>
        </is>
      </c>
      <c r="O66" s="3" t="inlineStr">
        <is>
          <t>—</t>
        </is>
      </c>
      <c r="P66" s="3" t="inlineStr">
        <is>
          <t>—</t>
        </is>
      </c>
      <c r="Q66" s="3" t="inlineStr">
        <is>
          <t>—</t>
        </is>
      </c>
      <c r="R66" s="3" t="inlineStr">
        <is>
          <t>—</t>
        </is>
      </c>
      <c r="S66" s="3" t="inlineStr"/>
      <c r="T66" s="3" t="inlineStr"/>
      <c r="U66" s="3" t="n">
        <v>6</v>
      </c>
      <c r="V66" s="3" t="inlineStr">
        <is>
          <t>G07</t>
        </is>
      </c>
      <c r="W66" s="3" t="inlineStr">
        <is>
          <t>中</t>
        </is>
      </c>
    </row>
    <row r="67">
      <c r="A67" s="3" t="inlineStr">
        <is>
          <t>Calib</t>
        </is>
      </c>
      <c r="B67" s="3" t="n">
        <v>124</v>
      </c>
      <c r="C67" s="3" t="inlineStr">
        <is>
          <t>計算用峰值</t>
        </is>
      </c>
      <c r="D67" s="3" t="inlineStr">
        <is>
          <t>PF</t>
        </is>
      </c>
      <c r="E67" s="3" t="n">
        <v>4</v>
      </c>
      <c r="F67" s="3" t="n">
        <v>1</v>
      </c>
      <c r="G67" s="3" t="inlineStr">
        <is>
          <t>C124</t>
        </is>
      </c>
      <c r="H67" s="3">
        <f>INDEX(Spec_Rack!$C$35:$G$35,C117)</f>
        <v/>
      </c>
      <c r="I67" s="3" t="n">
        <v>15</v>
      </c>
      <c r="J67" s="3" t="inlineStr">
        <is>
          <t>—</t>
        </is>
      </c>
      <c r="K67" s="3" t="inlineStr">
        <is>
          <t>—</t>
        </is>
      </c>
      <c r="L67" s="3" t="inlineStr">
        <is>
          <t>—</t>
        </is>
      </c>
      <c r="M67" s="3" t="inlineStr">
        <is>
          <t>—</t>
        </is>
      </c>
      <c r="N67" s="3" t="inlineStr">
        <is>
          <t>—</t>
        </is>
      </c>
      <c r="O67" s="3" t="inlineStr">
        <is>
          <t>—</t>
        </is>
      </c>
      <c r="P67" s="3" t="inlineStr">
        <is>
          <t>—</t>
        </is>
      </c>
      <c r="Q67" s="3" t="inlineStr">
        <is>
          <t>—</t>
        </is>
      </c>
      <c r="R67" s="3" t="inlineStr">
        <is>
          <t>—</t>
        </is>
      </c>
      <c r="S67" s="3" t="inlineStr"/>
      <c r="T67" s="3" t="inlineStr"/>
      <c r="U67" s="3" t="n">
        <v>8</v>
      </c>
      <c r="V67" s="3" t="inlineStr"/>
      <c r="W67" s="3" t="inlineStr">
        <is>
          <t>—</t>
        </is>
      </c>
    </row>
    <row r="68">
      <c r="A68" s="3" t="inlineStr">
        <is>
          <t>Calib</t>
        </is>
      </c>
      <c r="B68" s="3" t="n">
        <v>125</v>
      </c>
      <c r="C68" s="3" t="inlineStr">
        <is>
          <t>HBM</t>
        </is>
      </c>
      <c r="D68" s="3" t="inlineStr">
        <is>
          <t>GB</t>
        </is>
      </c>
      <c r="E68" s="3" t="n">
        <v>4</v>
      </c>
      <c r="F68" s="3" t="n">
        <v>1</v>
      </c>
      <c r="G68" s="3" t="inlineStr">
        <is>
          <t>C125</t>
        </is>
      </c>
      <c r="H68" s="3">
        <f>INDEX(Spec_Rack!$C$25:$G$25,C117)</f>
        <v/>
      </c>
      <c r="I68" s="3" t="n">
        <v>288</v>
      </c>
      <c r="J68" s="3" t="inlineStr">
        <is>
          <t>—</t>
        </is>
      </c>
      <c r="K68" s="3" t="inlineStr">
        <is>
          <t>—</t>
        </is>
      </c>
      <c r="L68" s="3" t="inlineStr">
        <is>
          <t>—</t>
        </is>
      </c>
      <c r="M68" s="3" t="inlineStr">
        <is>
          <t>—</t>
        </is>
      </c>
      <c r="N68" s="3" t="inlineStr">
        <is>
          <t>—</t>
        </is>
      </c>
      <c r="O68" s="3" t="inlineStr">
        <is>
          <t>—</t>
        </is>
      </c>
      <c r="P68" s="3" t="inlineStr">
        <is>
          <t>—</t>
        </is>
      </c>
      <c r="Q68" s="3" t="inlineStr">
        <is>
          <t>—</t>
        </is>
      </c>
      <c r="R68" s="3" t="inlineStr">
        <is>
          <t>—</t>
        </is>
      </c>
      <c r="S68" s="3" t="inlineStr"/>
      <c r="T68" s="3" t="inlineStr"/>
      <c r="U68" s="3" t="n">
        <v>4</v>
      </c>
      <c r="V68" s="3" t="inlineStr"/>
      <c r="W68" s="3" t="inlineStr">
        <is>
          <t>—</t>
        </is>
      </c>
    </row>
    <row r="69">
      <c r="A69" s="3" t="inlineStr">
        <is>
          <t>Calib</t>
        </is>
      </c>
      <c r="B69" s="3" t="n">
        <v>126</v>
      </c>
      <c r="C69" s="3" t="inlineStr">
        <is>
          <t>HBM 頻寬</t>
        </is>
      </c>
      <c r="D69" s="3" t="inlineStr">
        <is>
          <t>TB/s</t>
        </is>
      </c>
      <c r="E69" s="3" t="n">
        <v>4</v>
      </c>
      <c r="F69" s="3" t="n">
        <v>1</v>
      </c>
      <c r="G69" s="3" t="inlineStr">
        <is>
          <t>C126</t>
        </is>
      </c>
      <c r="H69" s="3">
        <f>INDEX(Spec_Rack!$C$26:$G$26,C117)</f>
        <v/>
      </c>
      <c r="I69" s="3" t="n">
        <v>8</v>
      </c>
      <c r="J69" s="3" t="inlineStr">
        <is>
          <t>—</t>
        </is>
      </c>
      <c r="K69" s="3" t="inlineStr">
        <is>
          <t>—</t>
        </is>
      </c>
      <c r="L69" s="3" t="inlineStr">
        <is>
          <t>—</t>
        </is>
      </c>
      <c r="M69" s="3" t="inlineStr">
        <is>
          <t>—</t>
        </is>
      </c>
      <c r="N69" s="3" t="inlineStr">
        <is>
          <t>—</t>
        </is>
      </c>
      <c r="O69" s="3" t="inlineStr">
        <is>
          <t>—</t>
        </is>
      </c>
      <c r="P69" s="3" t="inlineStr">
        <is>
          <t>—</t>
        </is>
      </c>
      <c r="Q69" s="3" t="inlineStr">
        <is>
          <t>—</t>
        </is>
      </c>
      <c r="R69" s="3" t="inlineStr">
        <is>
          <t>—</t>
        </is>
      </c>
      <c r="S69" s="3" t="inlineStr"/>
      <c r="T69" s="3" t="inlineStr"/>
      <c r="U69" s="3" t="n">
        <v>8</v>
      </c>
      <c r="V69" s="3" t="inlineStr"/>
      <c r="W69" s="3" t="inlineStr">
        <is>
          <t>—</t>
        </is>
      </c>
    </row>
    <row r="70">
      <c r="A70" s="3" t="inlineStr">
        <is>
          <t>Calib</t>
        </is>
      </c>
      <c r="B70" s="3" t="n">
        <v>127</v>
      </c>
      <c r="C70" s="3" t="inlineStr">
        <is>
          <t>EP 頻寬</t>
        </is>
      </c>
      <c r="D70" s="3" t="inlineStr">
        <is>
          <t>TB/s</t>
        </is>
      </c>
      <c r="E70" s="3" t="n">
        <v>4</v>
      </c>
      <c r="F70" s="3" t="n">
        <v>1</v>
      </c>
      <c r="G70" s="3" t="inlineStr">
        <is>
          <t>C127</t>
        </is>
      </c>
      <c r="H70" s="3">
        <f>INDEX(Spec_Rack!$C$27:$G$27,C117)</f>
        <v/>
      </c>
      <c r="I70" s="3" t="n">
        <v>0.9</v>
      </c>
      <c r="J70" s="3" t="inlineStr">
        <is>
          <t>—</t>
        </is>
      </c>
      <c r="K70" s="3" t="inlineStr">
        <is>
          <t>—</t>
        </is>
      </c>
      <c r="L70" s="3" t="inlineStr">
        <is>
          <t>—</t>
        </is>
      </c>
      <c r="M70" s="3" t="inlineStr">
        <is>
          <t>—</t>
        </is>
      </c>
      <c r="N70" s="3" t="inlineStr">
        <is>
          <t>—</t>
        </is>
      </c>
      <c r="O70" s="3" t="inlineStr">
        <is>
          <t>—</t>
        </is>
      </c>
      <c r="P70" s="3" t="inlineStr">
        <is>
          <t>—</t>
        </is>
      </c>
      <c r="Q70" s="3" t="inlineStr">
        <is>
          <t>—</t>
        </is>
      </c>
      <c r="R70" s="3" t="inlineStr">
        <is>
          <t>—</t>
        </is>
      </c>
      <c r="S70" s="3" t="inlineStr"/>
      <c r="T70" s="3" t="inlineStr"/>
      <c r="U70" s="3" t="n">
        <v>4</v>
      </c>
      <c r="V70" s="3" t="inlineStr"/>
      <c r="W70" s="3" t="inlineStr">
        <is>
          <t>—</t>
        </is>
      </c>
    </row>
    <row r="71">
      <c r="A71" s="3" t="inlineStr">
        <is>
          <t>Calib</t>
        </is>
      </c>
      <c r="B71" s="3" t="n">
        <v>128</v>
      </c>
      <c r="C71" s="3" t="inlineStr">
        <is>
          <t>EP 基準</t>
        </is>
      </c>
      <c r="D71" s="3" t="n"/>
      <c r="E71" s="3" t="n">
        <v>4</v>
      </c>
      <c r="F71" s="3" t="n">
        <v>1</v>
      </c>
      <c r="G71" s="3" t="inlineStr">
        <is>
          <t>C128</t>
        </is>
      </c>
      <c r="H71" s="3">
        <f>INDEX(Spec_Rack!$C$29:$G$29,C117)</f>
        <v/>
      </c>
      <c r="I71" s="3" t="n">
        <v>32</v>
      </c>
      <c r="J71" s="3" t="inlineStr">
        <is>
          <t>—</t>
        </is>
      </c>
      <c r="K71" s="3" t="inlineStr">
        <is>
          <t>—</t>
        </is>
      </c>
      <c r="L71" s="3" t="inlineStr">
        <is>
          <t>—</t>
        </is>
      </c>
      <c r="M71" s="3" t="inlineStr">
        <is>
          <t>—</t>
        </is>
      </c>
      <c r="N71" s="3" t="inlineStr">
        <is>
          <t>—</t>
        </is>
      </c>
      <c r="O71" s="3" t="inlineStr">
        <is>
          <t>—</t>
        </is>
      </c>
      <c r="P71" s="3" t="inlineStr">
        <is>
          <t>—</t>
        </is>
      </c>
      <c r="Q71" s="3" t="inlineStr">
        <is>
          <t>—</t>
        </is>
      </c>
      <c r="R71" s="3" t="inlineStr">
        <is>
          <t>—</t>
        </is>
      </c>
      <c r="S71" s="3" t="inlineStr"/>
      <c r="T71" s="3" t="inlineStr"/>
      <c r="U71" s="3" t="n">
        <v>4</v>
      </c>
      <c r="V71" s="3" t="inlineStr"/>
      <c r="W71" s="3" t="inlineStr">
        <is>
          <t>—</t>
        </is>
      </c>
    </row>
    <row r="72">
      <c r="A72" s="3" t="inlineStr">
        <is>
          <t>Calib</t>
        </is>
      </c>
      <c r="B72" s="3" t="n">
        <v>129</v>
      </c>
      <c r="C72" s="3" t="inlineStr">
        <is>
          <t>專家 B/param</t>
        </is>
      </c>
      <c r="D72" s="3" t="n"/>
      <c r="E72" s="3" t="n">
        <v>4</v>
      </c>
      <c r="F72" s="3" t="n">
        <v>1</v>
      </c>
      <c r="G72" s="3" t="inlineStr">
        <is>
          <t>C129</t>
        </is>
      </c>
      <c r="H72" s="3">
        <f>INDEX(Spec_Rack!$C$30:$G$30,C117)</f>
        <v/>
      </c>
      <c r="I72" s="3" t="n">
        <v>0.5625</v>
      </c>
      <c r="J72" s="3" t="inlineStr">
        <is>
          <t>—</t>
        </is>
      </c>
      <c r="K72" s="3" t="inlineStr">
        <is>
          <t>—</t>
        </is>
      </c>
      <c r="L72" s="3" t="inlineStr">
        <is>
          <t>—</t>
        </is>
      </c>
      <c r="M72" s="3" t="inlineStr">
        <is>
          <t>—</t>
        </is>
      </c>
      <c r="N72" s="3" t="inlineStr">
        <is>
          <t>—</t>
        </is>
      </c>
      <c r="O72" s="3" t="inlineStr">
        <is>
          <t>—</t>
        </is>
      </c>
      <c r="P72" s="3" t="inlineStr">
        <is>
          <t>—</t>
        </is>
      </c>
      <c r="Q72" s="3" t="inlineStr">
        <is>
          <t>—</t>
        </is>
      </c>
      <c r="R72" s="3" t="inlineStr">
        <is>
          <t>—</t>
        </is>
      </c>
      <c r="S72" s="3" t="inlineStr"/>
      <c r="T72" s="3" t="inlineStr"/>
      <c r="U72" s="3" t="n">
        <v>8</v>
      </c>
      <c r="V72" s="3" t="inlineStr"/>
      <c r="W72" s="3" t="inlineStr">
        <is>
          <t>—</t>
        </is>
      </c>
    </row>
    <row r="73">
      <c r="A73" s="3" t="inlineStr">
        <is>
          <t>Calib</t>
        </is>
      </c>
      <c r="B73" s="3" t="n">
        <v>130</v>
      </c>
      <c r="C73" s="3" t="inlineStr">
        <is>
          <t>非專家 B/param</t>
        </is>
      </c>
      <c r="D73" s="3" t="n"/>
      <c r="E73" s="3" t="n">
        <v>4</v>
      </c>
      <c r="F73" s="3" t="n">
        <v>1</v>
      </c>
      <c r="G73" s="3" t="inlineStr">
        <is>
          <t>C130</t>
        </is>
      </c>
      <c r="H73" s="3">
        <f>INDEX(Spec_Rack!$C$31:$G$31,C117)</f>
        <v/>
      </c>
      <c r="I73" s="3" t="n">
        <v>1</v>
      </c>
      <c r="J73" s="3" t="inlineStr">
        <is>
          <t>—</t>
        </is>
      </c>
      <c r="K73" s="3" t="inlineStr">
        <is>
          <t>—</t>
        </is>
      </c>
      <c r="L73" s="3" t="inlineStr">
        <is>
          <t>—</t>
        </is>
      </c>
      <c r="M73" s="3" t="inlineStr">
        <is>
          <t>—</t>
        </is>
      </c>
      <c r="N73" s="3" t="inlineStr">
        <is>
          <t>—</t>
        </is>
      </c>
      <c r="O73" s="3" t="inlineStr">
        <is>
          <t>—</t>
        </is>
      </c>
      <c r="P73" s="3" t="inlineStr">
        <is>
          <t>—</t>
        </is>
      </c>
      <c r="Q73" s="3" t="inlineStr">
        <is>
          <t>—</t>
        </is>
      </c>
      <c r="R73" s="3" t="inlineStr">
        <is>
          <t>—</t>
        </is>
      </c>
      <c r="S73" s="3" t="inlineStr"/>
      <c r="T73" s="3" t="inlineStr"/>
      <c r="U73" s="3" t="n">
        <v>8</v>
      </c>
      <c r="V73" s="3" t="inlineStr"/>
      <c r="W73" s="3" t="inlineStr">
        <is>
          <t>—</t>
        </is>
      </c>
    </row>
    <row r="74">
      <c r="A74" s="3" t="inlineStr">
        <is>
          <t>Calib</t>
        </is>
      </c>
      <c r="B74" s="3" t="n">
        <v>131</v>
      </c>
      <c r="C74" s="3" t="inlineStr">
        <is>
          <t>可用 HBM</t>
        </is>
      </c>
      <c r="D74" s="3" t="inlineStr">
        <is>
          <t>GB</t>
        </is>
      </c>
      <c r="E74" s="3" t="n">
        <v>4</v>
      </c>
      <c r="F74" s="3" t="n">
        <v>1</v>
      </c>
      <c r="G74" s="3" t="inlineStr">
        <is>
          <t>C131</t>
        </is>
      </c>
      <c r="H74" s="3">
        <f>C125*(1-Serving!$C$9)</f>
        <v/>
      </c>
      <c r="I74" s="3" t="n">
        <v>259.2</v>
      </c>
      <c r="J74" s="3" t="inlineStr">
        <is>
          <t>—</t>
        </is>
      </c>
      <c r="K74" s="3" t="inlineStr">
        <is>
          <t>—</t>
        </is>
      </c>
      <c r="L74" s="3" t="inlineStr">
        <is>
          <t>—</t>
        </is>
      </c>
      <c r="M74" s="3" t="inlineStr">
        <is>
          <t>—</t>
        </is>
      </c>
      <c r="N74" s="3" t="inlineStr">
        <is>
          <t>—</t>
        </is>
      </c>
      <c r="O74" s="3" t="inlineStr">
        <is>
          <t>—</t>
        </is>
      </c>
      <c r="P74" s="3" t="inlineStr">
        <is>
          <t>—</t>
        </is>
      </c>
      <c r="Q74" s="3" t="inlineStr">
        <is>
          <t>—</t>
        </is>
      </c>
      <c r="R74" s="3" t="inlineStr">
        <is>
          <t>—</t>
        </is>
      </c>
      <c r="S74" s="3" t="inlineStr"/>
      <c r="T74" s="3" t="inlineStr"/>
      <c r="U74" s="3" t="n">
        <v>12</v>
      </c>
      <c r="V74" s="3" t="inlineStr"/>
      <c r="W74" s="3" t="inlineStr">
        <is>
          <t>—</t>
        </is>
      </c>
    </row>
    <row r="75">
      <c r="A75" s="3" t="inlineStr">
        <is>
          <t>Calib</t>
        </is>
      </c>
      <c r="B75" s="3" t="n">
        <v>132</v>
      </c>
      <c r="C75" s="3" t="inlineStr">
        <is>
          <t>注意力 TP</t>
        </is>
      </c>
      <c r="D75" s="3" t="n"/>
      <c r="E75" s="3" t="n">
        <v>4</v>
      </c>
      <c r="F75" s="3" t="n">
        <v>1</v>
      </c>
      <c r="G75" s="3" t="inlineStr">
        <is>
          <t>C132</t>
        </is>
      </c>
      <c r="H75" s="3">
        <f>MAX(1,CEILING($C$113*C130/(Serving!$C$10*C131),1))</f>
        <v/>
      </c>
      <c r="I75" s="3" t="n">
        <v>1</v>
      </c>
      <c r="J75" s="3" t="inlineStr">
        <is>
          <t>—</t>
        </is>
      </c>
      <c r="K75" s="3" t="inlineStr">
        <is>
          <t>—</t>
        </is>
      </c>
      <c r="L75" s="3" t="inlineStr">
        <is>
          <t>—</t>
        </is>
      </c>
      <c r="M75" s="3" t="inlineStr">
        <is>
          <t>—</t>
        </is>
      </c>
      <c r="N75" s="3" t="inlineStr">
        <is>
          <t>—</t>
        </is>
      </c>
      <c r="O75" s="3" t="inlineStr">
        <is>
          <t>—</t>
        </is>
      </c>
      <c r="P75" s="3" t="inlineStr">
        <is>
          <t>—</t>
        </is>
      </c>
      <c r="Q75" s="3" t="inlineStr">
        <is>
          <t>—</t>
        </is>
      </c>
      <c r="R75" s="3" t="inlineStr">
        <is>
          <t>—</t>
        </is>
      </c>
      <c r="S75" s="3" t="inlineStr"/>
      <c r="T75" s="3" t="inlineStr"/>
      <c r="U75" s="3" t="n">
        <v>4</v>
      </c>
      <c r="V75" s="3" t="inlineStr"/>
      <c r="W75" s="3" t="inlineStr">
        <is>
          <t>—</t>
        </is>
      </c>
    </row>
    <row r="76">
      <c r="A76" s="3" t="inlineStr">
        <is>
          <t>Calib</t>
        </is>
      </c>
      <c r="B76" s="3" t="n">
        <v>133</v>
      </c>
      <c r="C76" s="3" t="inlineStr">
        <is>
          <t>EP 寬度</t>
        </is>
      </c>
      <c r="D76" s="3" t="n"/>
      <c r="E76" s="3" t="n">
        <v>4</v>
      </c>
      <c r="F76" s="3" t="n">
        <v>1</v>
      </c>
      <c r="G76" s="3" t="inlineStr">
        <is>
          <t>C133</t>
        </is>
      </c>
      <c r="H76" s="3">
        <f>MAX(C128,CEILING($C$114*C129/(Serving!$C$11*C131),1))</f>
        <v/>
      </c>
      <c r="I76" s="3" t="n">
        <v>32</v>
      </c>
      <c r="J76" s="3" t="inlineStr">
        <is>
          <t>—</t>
        </is>
      </c>
      <c r="K76" s="3" t="inlineStr">
        <is>
          <t>—</t>
        </is>
      </c>
      <c r="L76" s="3" t="inlineStr">
        <is>
          <t>—</t>
        </is>
      </c>
      <c r="M76" s="3" t="inlineStr">
        <is>
          <t>—</t>
        </is>
      </c>
      <c r="N76" s="3" t="inlineStr">
        <is>
          <t>—</t>
        </is>
      </c>
      <c r="O76" s="3" t="inlineStr">
        <is>
          <t>—</t>
        </is>
      </c>
      <c r="P76" s="3" t="inlineStr">
        <is>
          <t>—</t>
        </is>
      </c>
      <c r="Q76" s="3" t="inlineStr">
        <is>
          <t>—</t>
        </is>
      </c>
      <c r="R76" s="3" t="inlineStr">
        <is>
          <t>—</t>
        </is>
      </c>
      <c r="S76" s="3" t="inlineStr"/>
      <c r="T76" s="3" t="inlineStr"/>
      <c r="U76" s="3" t="n">
        <v>8</v>
      </c>
      <c r="V76" s="3" t="inlineStr"/>
      <c r="W76" s="3" t="inlineStr">
        <is>
          <t>—</t>
        </is>
      </c>
    </row>
    <row r="77">
      <c r="A77" s="3" t="inlineStr">
        <is>
          <t>Calib</t>
        </is>
      </c>
      <c r="B77" s="3" t="n">
        <v>134</v>
      </c>
      <c r="C77" s="3" t="inlineStr">
        <is>
          <t>每 GPU 權重</t>
        </is>
      </c>
      <c r="D77" s="3" t="inlineStr">
        <is>
          <t>GB</t>
        </is>
      </c>
      <c r="E77" s="3" t="n">
        <v>4</v>
      </c>
      <c r="F77" s="3" t="n">
        <v>1</v>
      </c>
      <c r="G77" s="3" t="inlineStr">
        <is>
          <t>C134</t>
        </is>
      </c>
      <c r="H77" s="3">
        <f>$C$113*C130/C132+$C$114*C129/C133</f>
        <v/>
      </c>
      <c r="I77" s="3" t="n">
        <v>25.540905</v>
      </c>
      <c r="J77" s="3" t="inlineStr">
        <is>
          <t>—</t>
        </is>
      </c>
      <c r="K77" s="3" t="inlineStr">
        <is>
          <t>—</t>
        </is>
      </c>
      <c r="L77" s="3" t="inlineStr">
        <is>
          <t>—</t>
        </is>
      </c>
      <c r="M77" s="3" t="inlineStr">
        <is>
          <t>—</t>
        </is>
      </c>
      <c r="N77" s="3" t="inlineStr">
        <is>
          <t>—</t>
        </is>
      </c>
      <c r="O77" s="3" t="inlineStr">
        <is>
          <t>—</t>
        </is>
      </c>
      <c r="P77" s="3" t="inlineStr">
        <is>
          <t>—</t>
        </is>
      </c>
      <c r="Q77" s="3" t="inlineStr">
        <is>
          <t>—</t>
        </is>
      </c>
      <c r="R77" s="3" t="inlineStr">
        <is>
          <t>—</t>
        </is>
      </c>
      <c r="S77" s="3" t="inlineStr"/>
      <c r="T77" s="3" t="inlineStr"/>
      <c r="U77" s="3" t="n">
        <v>8</v>
      </c>
      <c r="V77" s="3" t="inlineStr"/>
      <c r="W77" s="3" t="inlineStr">
        <is>
          <t>—</t>
        </is>
      </c>
    </row>
    <row r="78">
      <c r="A78" s="3" t="inlineStr">
        <is>
          <t>Calib</t>
        </is>
      </c>
      <c r="B78" s="3" t="n">
        <v>135</v>
      </c>
      <c r="C78" s="3" t="inlineStr">
        <is>
          <t>decode 平均上下文</t>
        </is>
      </c>
      <c r="D78" s="3" t="inlineStr">
        <is>
          <t>tok</t>
        </is>
      </c>
      <c r="E78" s="3" t="n">
        <v>4</v>
      </c>
      <c r="F78" s="3" t="n">
        <v>1</v>
      </c>
      <c r="G78" s="3" t="inlineStr">
        <is>
          <t>C135</t>
        </is>
      </c>
      <c r="H78" s="3">
        <f>$C$110+$C$111/2</f>
        <v/>
      </c>
      <c r="I78" s="3" t="n">
        <v>2740</v>
      </c>
      <c r="J78" s="3" t="inlineStr">
        <is>
          <t>—</t>
        </is>
      </c>
      <c r="K78" s="3" t="inlineStr">
        <is>
          <t>—</t>
        </is>
      </c>
      <c r="L78" s="3" t="inlineStr">
        <is>
          <t>—</t>
        </is>
      </c>
      <c r="M78" s="3" t="inlineStr">
        <is>
          <t>—</t>
        </is>
      </c>
      <c r="N78" s="3" t="inlineStr">
        <is>
          <t>—</t>
        </is>
      </c>
      <c r="O78" s="3" t="inlineStr">
        <is>
          <t>—</t>
        </is>
      </c>
      <c r="P78" s="3" t="inlineStr">
        <is>
          <t>—</t>
        </is>
      </c>
      <c r="Q78" s="3" t="inlineStr">
        <is>
          <t>—</t>
        </is>
      </c>
      <c r="R78" s="3" t="inlineStr">
        <is>
          <t>—</t>
        </is>
      </c>
      <c r="S78" s="3" t="inlineStr"/>
      <c r="T78" s="3" t="inlineStr"/>
      <c r="U78" s="3" t="n">
        <v>12</v>
      </c>
      <c r="V78" s="3" t="inlineStr"/>
      <c r="W78" s="3" t="inlineStr">
        <is>
          <t>—</t>
        </is>
      </c>
    </row>
    <row r="79">
      <c r="A79" s="3" t="inlineStr">
        <is>
          <t>Calib</t>
        </is>
      </c>
      <c r="B79" s="3" t="n">
        <v>136</v>
      </c>
      <c r="C79" s="3" t="inlineStr">
        <is>
          <t>decode FLOPs/token</t>
        </is>
      </c>
      <c r="D79" s="3" t="inlineStr">
        <is>
          <t>GFLOP</t>
        </is>
      </c>
      <c r="E79" s="3" t="n">
        <v>4</v>
      </c>
      <c r="F79" s="3" t="n">
        <v>1</v>
      </c>
      <c r="G79" s="3" t="inlineStr">
        <is>
          <t>C136</t>
        </is>
      </c>
      <c r="H79" s="3">
        <f>(2*$C$101*1000000000+$C$109*C135)/1000000000</f>
        <v/>
      </c>
      <c r="I79" s="3" t="n">
        <v>87.692109</v>
      </c>
      <c r="J79" s="3" t="inlineStr">
        <is>
          <t>—</t>
        </is>
      </c>
      <c r="K79" s="3" t="inlineStr">
        <is>
          <t>—</t>
        </is>
      </c>
      <c r="L79" s="3" t="inlineStr">
        <is>
          <t>—</t>
        </is>
      </c>
      <c r="M79" s="3" t="inlineStr">
        <is>
          <t>—</t>
        </is>
      </c>
      <c r="N79" s="3" t="inlineStr">
        <is>
          <t>—</t>
        </is>
      </c>
      <c r="O79" s="3" t="inlineStr">
        <is>
          <t>—</t>
        </is>
      </c>
      <c r="P79" s="3" t="inlineStr">
        <is>
          <t>—</t>
        </is>
      </c>
      <c r="Q79" s="3" t="inlineStr">
        <is>
          <t>—</t>
        </is>
      </c>
      <c r="R79" s="3" t="inlineStr">
        <is>
          <t>—</t>
        </is>
      </c>
      <c r="S79" s="3" t="inlineStr"/>
      <c r="T79" s="3" t="inlineStr"/>
      <c r="U79" s="3" t="n">
        <v>4</v>
      </c>
      <c r="V79" s="3" t="inlineStr"/>
      <c r="W79" s="3" t="inlineStr">
        <is>
          <t>—</t>
        </is>
      </c>
    </row>
    <row r="80">
      <c r="A80" s="3" t="inlineStr">
        <is>
          <t>Calib</t>
        </is>
      </c>
      <c r="B80" s="3" t="n">
        <v>137</v>
      </c>
      <c r="C80" s="3" t="inlineStr">
        <is>
          <t>prefill FLOPs/token</t>
        </is>
      </c>
      <c r="D80" s="3" t="inlineStr">
        <is>
          <t>GFLOP</t>
        </is>
      </c>
      <c r="E80" s="3" t="n">
        <v>4</v>
      </c>
      <c r="F80" s="3" t="n">
        <v>1</v>
      </c>
      <c r="G80" s="3" t="inlineStr">
        <is>
          <t>C137</t>
        </is>
      </c>
      <c r="H80" s="3">
        <f>(2*$C$101*1000000000+$C$109*$C$110/2)/1000000000</f>
        <v/>
      </c>
      <c r="I80" s="3" t="n">
        <v>75.998848</v>
      </c>
      <c r="J80" s="3" t="inlineStr">
        <is>
          <t>—</t>
        </is>
      </c>
      <c r="K80" s="3" t="inlineStr">
        <is>
          <t>—</t>
        </is>
      </c>
      <c r="L80" s="3" t="inlineStr">
        <is>
          <t>—</t>
        </is>
      </c>
      <c r="M80" s="3" t="inlineStr">
        <is>
          <t>—</t>
        </is>
      </c>
      <c r="N80" s="3" t="inlineStr">
        <is>
          <t>—</t>
        </is>
      </c>
      <c r="O80" s="3" t="inlineStr">
        <is>
          <t>—</t>
        </is>
      </c>
      <c r="P80" s="3" t="inlineStr">
        <is>
          <t>—</t>
        </is>
      </c>
      <c r="Q80" s="3" t="inlineStr">
        <is>
          <t>—</t>
        </is>
      </c>
      <c r="R80" s="3" t="inlineStr">
        <is>
          <t>—</t>
        </is>
      </c>
      <c r="S80" s="3" t="inlineStr"/>
      <c r="T80" s="3" t="inlineStr"/>
      <c r="U80" s="3" t="n">
        <v>4</v>
      </c>
      <c r="V80" s="3" t="inlineStr"/>
      <c r="W80" s="3" t="inlineStr">
        <is>
          <t>—</t>
        </is>
      </c>
    </row>
    <row r="81">
      <c r="A81" s="3" t="inlineStr">
        <is>
          <t>Calib</t>
        </is>
      </c>
      <c r="B81" s="3" t="n">
        <v>138</v>
      </c>
      <c r="C81" s="3" t="inlineStr">
        <is>
          <t>草稿數</t>
        </is>
      </c>
      <c r="D81" s="3" t="n"/>
      <c r="E81" s="3" t="n">
        <v>4</v>
      </c>
      <c r="F81" s="3" t="n">
        <v>1</v>
      </c>
      <c r="G81" s="3" t="inlineStr">
        <is>
          <t>C138</t>
        </is>
      </c>
      <c r="H81" s="3">
        <f>Serving!$C$6*C119</f>
        <v/>
      </c>
      <c r="I81" s="3" t="n">
        <v>3</v>
      </c>
      <c r="J81" s="3" t="inlineStr">
        <is>
          <t>—</t>
        </is>
      </c>
      <c r="K81" s="3" t="inlineStr">
        <is>
          <t>—</t>
        </is>
      </c>
      <c r="L81" s="3" t="inlineStr">
        <is>
          <t>—</t>
        </is>
      </c>
      <c r="M81" s="3" t="inlineStr">
        <is>
          <t>—</t>
        </is>
      </c>
      <c r="N81" s="3" t="inlineStr">
        <is>
          <t>—</t>
        </is>
      </c>
      <c r="O81" s="3" t="inlineStr">
        <is>
          <t>—</t>
        </is>
      </c>
      <c r="P81" s="3" t="inlineStr">
        <is>
          <t>—</t>
        </is>
      </c>
      <c r="Q81" s="3" t="inlineStr">
        <is>
          <t>—</t>
        </is>
      </c>
      <c r="R81" s="3" t="inlineStr">
        <is>
          <t>—</t>
        </is>
      </c>
      <c r="S81" s="3" t="inlineStr"/>
      <c r="T81" s="3" t="inlineStr"/>
      <c r="U81" s="3" t="n">
        <v>8</v>
      </c>
      <c r="V81" s="3" t="inlineStr"/>
      <c r="W81" s="3" t="inlineStr">
        <is>
          <t>—</t>
        </is>
      </c>
    </row>
    <row r="82">
      <c r="A82" s="3" t="inlineStr">
        <is>
          <t>Calib</t>
        </is>
      </c>
      <c r="B82" s="3" t="n">
        <v>139</v>
      </c>
      <c r="C82" s="3" t="inlineStr">
        <is>
          <t>每步接受</t>
        </is>
      </c>
      <c r="D82" s="3" t="n"/>
      <c r="E82" s="3" t="n">
        <v>4</v>
      </c>
      <c r="F82" s="3" t="n">
        <v>1</v>
      </c>
      <c r="G82" s="3" t="inlineStr">
        <is>
          <t>C139</t>
        </is>
      </c>
      <c r="H82" s="3">
        <f>IF(C119=1,Serving!$C$8,1)</f>
        <v/>
      </c>
      <c r="I82" s="3" t="n">
        <v>2.533</v>
      </c>
      <c r="J82" s="3" t="inlineStr">
        <is>
          <t>—</t>
        </is>
      </c>
      <c r="K82" s="3" t="inlineStr">
        <is>
          <t>—</t>
        </is>
      </c>
      <c r="L82" s="3" t="inlineStr">
        <is>
          <t>—</t>
        </is>
      </c>
      <c r="M82" s="3" t="inlineStr">
        <is>
          <t>—</t>
        </is>
      </c>
      <c r="N82" s="3" t="inlineStr">
        <is>
          <t>—</t>
        </is>
      </c>
      <c r="O82" s="3" t="inlineStr">
        <is>
          <t>—</t>
        </is>
      </c>
      <c r="P82" s="3" t="inlineStr">
        <is>
          <t>—</t>
        </is>
      </c>
      <c r="Q82" s="3" t="inlineStr">
        <is>
          <t>—</t>
        </is>
      </c>
      <c r="R82" s="3" t="inlineStr">
        <is>
          <t>—</t>
        </is>
      </c>
      <c r="S82" s="3" t="inlineStr"/>
      <c r="T82" s="3" t="inlineStr"/>
      <c r="U82" s="3" t="n">
        <v>8</v>
      </c>
      <c r="V82" s="3" t="inlineStr"/>
      <c r="W82" s="3" t="inlineStr">
        <is>
          <t>—</t>
        </is>
      </c>
    </row>
    <row r="83">
      <c r="A83" s="3" t="inlineStr">
        <is>
          <t>Calib</t>
        </is>
      </c>
      <c r="B83" s="3" t="n">
        <v>140</v>
      </c>
      <c r="C83" s="3" t="inlineStr">
        <is>
          <t>η_d（該世代）</t>
        </is>
      </c>
      <c r="D83" s="3" t="inlineStr">
        <is>
          <t>%</t>
        </is>
      </c>
      <c r="E83" s="3" t="n">
        <v>4</v>
      </c>
      <c r="F83" s="3" t="n">
        <v>1</v>
      </c>
      <c r="G83" s="3" t="inlineStr">
        <is>
          <t>C140</t>
        </is>
      </c>
      <c r="H83" s="3">
        <f>INDEX($C$70:$G$70,C117)</f>
        <v/>
      </c>
      <c r="I83" s="3" t="n">
        <v>0.035755</v>
      </c>
      <c r="J83" s="3" t="inlineStr">
        <is>
          <t>—</t>
        </is>
      </c>
      <c r="K83" s="3" t="inlineStr">
        <is>
          <t>—</t>
        </is>
      </c>
      <c r="L83" s="3" t="inlineStr">
        <is>
          <t>—</t>
        </is>
      </c>
      <c r="M83" s="3" t="inlineStr">
        <is>
          <t>—</t>
        </is>
      </c>
      <c r="N83" s="3" t="inlineStr">
        <is>
          <t>—</t>
        </is>
      </c>
      <c r="O83" s="3" t="inlineStr">
        <is>
          <t>—</t>
        </is>
      </c>
      <c r="P83" s="3" t="inlineStr">
        <is>
          <t>—</t>
        </is>
      </c>
      <c r="Q83" s="3" t="inlineStr">
        <is>
          <t>上游含 Y5,Y8</t>
        </is>
      </c>
      <c r="R83" s="3" t="inlineStr">
        <is>
          <t>—</t>
        </is>
      </c>
      <c r="S83" s="3" t="inlineStr">
        <is>
          <t>Y5,Y8</t>
        </is>
      </c>
      <c r="T83" s="3" t="inlineStr"/>
      <c r="U83" s="3" t="n">
        <v>4</v>
      </c>
      <c r="V83" s="3" t="inlineStr"/>
      <c r="W83" s="3" t="inlineStr">
        <is>
          <t>資訊（只有 L8）</t>
        </is>
      </c>
    </row>
    <row r="84">
      <c r="A84" s="3" t="inlineStr">
        <is>
          <t>Calib</t>
        </is>
      </c>
      <c r="B84" s="3" t="n">
        <v>141</v>
      </c>
      <c r="C84" s="3" t="inlineStr">
        <is>
          <t>每層延遲（該世代）</t>
        </is>
      </c>
      <c r="D84" s="3" t="inlineStr">
        <is>
          <t>µs</t>
        </is>
      </c>
      <c r="E84" s="3" t="n">
        <v>4</v>
      </c>
      <c r="F84" s="3" t="n">
        <v>1</v>
      </c>
      <c r="G84" s="3" t="inlineStr">
        <is>
          <t>C141</t>
        </is>
      </c>
      <c r="H84" s="3">
        <f>INDEX($C$71:$G$71,C117)</f>
        <v/>
      </c>
      <c r="I84" s="3" t="n">
        <v>161.185338</v>
      </c>
      <c r="J84" s="3" t="inlineStr">
        <is>
          <t>—</t>
        </is>
      </c>
      <c r="K84" s="3" t="inlineStr">
        <is>
          <t>—</t>
        </is>
      </c>
      <c r="L84" s="3" t="inlineStr">
        <is>
          <t>—</t>
        </is>
      </c>
      <c r="M84" s="3" t="inlineStr">
        <is>
          <t>—</t>
        </is>
      </c>
      <c r="N84" s="3" t="inlineStr">
        <is>
          <t>—</t>
        </is>
      </c>
      <c r="O84" s="3" t="inlineStr">
        <is>
          <t>—</t>
        </is>
      </c>
      <c r="P84" s="3" t="inlineStr">
        <is>
          <t>—</t>
        </is>
      </c>
      <c r="Q84" s="3" t="inlineStr">
        <is>
          <t>上游含 Y5,Y8</t>
        </is>
      </c>
      <c r="R84" s="3" t="inlineStr">
        <is>
          <t>—</t>
        </is>
      </c>
      <c r="S84" s="3" t="inlineStr">
        <is>
          <t>Y5,Y8</t>
        </is>
      </c>
      <c r="T84" s="3" t="inlineStr"/>
      <c r="U84" s="3" t="n">
        <v>4</v>
      </c>
      <c r="V84" s="3" t="inlineStr"/>
      <c r="W84" s="3" t="inlineStr">
        <is>
          <t>資訊（只有 L8）</t>
        </is>
      </c>
    </row>
    <row r="85">
      <c r="A85" s="3" t="inlineStr">
        <is>
          <t>Calib</t>
        </is>
      </c>
      <c r="B85" s="3" t="n">
        <v>142</v>
      </c>
      <c r="C85" s="3" t="inlineStr">
        <is>
          <t>η_p（該世代）</t>
        </is>
      </c>
      <c r="D85" s="3" t="inlineStr">
        <is>
          <t>%</t>
        </is>
      </c>
      <c r="E85" s="3" t="n">
        <v>4</v>
      </c>
      <c r="F85" s="3" t="n">
        <v>1</v>
      </c>
      <c r="G85" s="3" t="inlineStr">
        <is>
          <t>C142</t>
        </is>
      </c>
      <c r="H85" s="3">
        <f>INDEX($C$72:$G$72,C117)</f>
        <v/>
      </c>
      <c r="I85" s="3" t="n">
        <v>0.3</v>
      </c>
      <c r="J85" s="3" t="inlineStr">
        <is>
          <t>—</t>
        </is>
      </c>
      <c r="K85" s="3" t="inlineStr">
        <is>
          <t>—</t>
        </is>
      </c>
      <c r="L85" s="3" t="inlineStr">
        <is>
          <t>—</t>
        </is>
      </c>
      <c r="M85" s="3" t="inlineStr">
        <is>
          <t>—</t>
        </is>
      </c>
      <c r="N85" s="3" t="inlineStr">
        <is>
          <t>—</t>
        </is>
      </c>
      <c r="O85" s="3" t="inlineStr">
        <is>
          <t>—</t>
        </is>
      </c>
      <c r="P85" s="3" t="inlineStr">
        <is>
          <t>—</t>
        </is>
      </c>
      <c r="Q85" s="3" t="inlineStr">
        <is>
          <t>上游含 Y5,Y8</t>
        </is>
      </c>
      <c r="R85" s="3" t="inlineStr">
        <is>
          <t>—</t>
        </is>
      </c>
      <c r="S85" s="3" t="inlineStr">
        <is>
          <t>Y5,Y8</t>
        </is>
      </c>
      <c r="T85" s="3" t="inlineStr"/>
      <c r="U85" s="3" t="n">
        <v>4</v>
      </c>
      <c r="V85" s="3" t="inlineStr"/>
      <c r="W85" s="3" t="inlineStr">
        <is>
          <t>資訊（只有 L8）</t>
        </is>
      </c>
    </row>
    <row r="86">
      <c r="A86" s="3" t="inlineStr">
        <is>
          <t>Calib</t>
        </is>
      </c>
      <c r="B86" s="3" t="n">
        <v>143</v>
      </c>
      <c r="C86" s="3" t="inlineStr">
        <is>
          <t>prefill tok/s/GPU</t>
        </is>
      </c>
      <c r="D86" s="3" t="inlineStr">
        <is>
          <t>tok/s</t>
        </is>
      </c>
      <c r="E86" s="3" t="n">
        <v>4</v>
      </c>
      <c r="F86" s="3" t="n">
        <v>1</v>
      </c>
      <c r="G86" s="3" t="inlineStr">
        <is>
          <t>C143</t>
        </is>
      </c>
      <c r="H86" s="3">
        <f>C142*C124*1000000000000000/(C137*1000000000)</f>
        <v/>
      </c>
      <c r="I86" s="3" t="n">
        <v>59211.423836</v>
      </c>
      <c r="J86" s="3" t="inlineStr">
        <is>
          <t>—</t>
        </is>
      </c>
      <c r="K86" s="3" t="inlineStr">
        <is>
          <t>—</t>
        </is>
      </c>
      <c r="L86" s="3" t="inlineStr">
        <is>
          <t>—</t>
        </is>
      </c>
      <c r="M86" s="3" t="inlineStr">
        <is>
          <t>—</t>
        </is>
      </c>
      <c r="N86" s="3" t="inlineStr">
        <is>
          <t>—</t>
        </is>
      </c>
      <c r="O86" s="3" t="inlineStr">
        <is>
          <t>—</t>
        </is>
      </c>
      <c r="P86" s="3" t="inlineStr">
        <is>
          <t>—</t>
        </is>
      </c>
      <c r="Q86" s="3" t="inlineStr">
        <is>
          <t>上游含 Y5,Y8</t>
        </is>
      </c>
      <c r="R86" s="3" t="inlineStr">
        <is>
          <t>—</t>
        </is>
      </c>
      <c r="S86" s="3" t="inlineStr">
        <is>
          <t>Y5,Y8</t>
        </is>
      </c>
      <c r="T86" s="3" t="inlineStr"/>
      <c r="U86" s="3" t="n">
        <v>4</v>
      </c>
      <c r="V86" s="3" t="inlineStr"/>
      <c r="W86" s="3" t="inlineStr">
        <is>
          <t>資訊（只有 L8）</t>
        </is>
      </c>
    </row>
    <row r="87">
      <c r="A87" s="3" t="inlineStr">
        <is>
          <t>Calib</t>
        </is>
      </c>
      <c r="B87" s="3" t="n">
        <v>144</v>
      </c>
      <c r="C87" s="3" t="inlineStr">
        <is>
          <t>每步固定延遲</t>
        </is>
      </c>
      <c r="D87" s="3" t="inlineStr">
        <is>
          <t>ms</t>
        </is>
      </c>
      <c r="E87" s="3" t="n">
        <v>4</v>
      </c>
      <c r="F87" s="3" t="n">
        <v>1</v>
      </c>
      <c r="G87" s="3" t="inlineStr">
        <is>
          <t>C144</t>
        </is>
      </c>
      <c r="H87" s="3">
        <f>C134/C126+($C$102+C138)*C141/1000</f>
        <v/>
      </c>
      <c r="I87" s="3" t="n">
        <v>13.508475</v>
      </c>
      <c r="J87" s="3" t="inlineStr">
        <is>
          <t>—</t>
        </is>
      </c>
      <c r="K87" s="3" t="inlineStr">
        <is>
          <t>—</t>
        </is>
      </c>
      <c r="L87" s="3" t="inlineStr">
        <is>
          <t>—</t>
        </is>
      </c>
      <c r="M87" s="3" t="inlineStr">
        <is>
          <t>—</t>
        </is>
      </c>
      <c r="N87" s="3" t="inlineStr">
        <is>
          <t>—</t>
        </is>
      </c>
      <c r="O87" s="3" t="inlineStr">
        <is>
          <t>—</t>
        </is>
      </c>
      <c r="P87" s="3" t="inlineStr">
        <is>
          <t>—</t>
        </is>
      </c>
      <c r="Q87" s="3" t="inlineStr">
        <is>
          <t>上游含 Y5,Y8</t>
        </is>
      </c>
      <c r="R87" s="3" t="inlineStr">
        <is>
          <t>—</t>
        </is>
      </c>
      <c r="S87" s="3" t="inlineStr">
        <is>
          <t>Y5,Y8</t>
        </is>
      </c>
      <c r="T87" s="3" t="inlineStr"/>
      <c r="U87" s="3" t="n">
        <v>8</v>
      </c>
      <c r="V87" s="3" t="inlineStr"/>
      <c r="W87" s="3" t="inlineStr">
        <is>
          <t>資訊（只有 L8）</t>
        </is>
      </c>
    </row>
    <row r="88">
      <c r="A88" s="3" t="inlineStr">
        <is>
          <t>Calib</t>
        </is>
      </c>
      <c r="B88" s="3" t="n">
        <v>145</v>
      </c>
      <c r="C88" s="3" t="inlineStr">
        <is>
          <t>每序列每步時間</t>
        </is>
      </c>
      <c r="D88" s="3" t="inlineStr">
        <is>
          <t>ms</t>
        </is>
      </c>
      <c r="E88" s="3" t="n">
        <v>4</v>
      </c>
      <c r="F88" s="3" t="n">
        <v>1</v>
      </c>
      <c r="G88" s="3" t="inlineStr">
        <is>
          <t>C145</t>
        </is>
      </c>
      <c r="H88" s="3">
        <f>MAX((C138+1)*C136/(C124*C140)/1000,$C$108*C135/(C126*Serving!$C$13)/1000000000,(C138+1)*$C$102*$C$105*$C$103*Serving!$C$12*(C133-1)/C133/(C127*Serving!$C$14)/1000000000)</f>
        <v/>
      </c>
      <c r="I88" s="3" t="n">
        <v>0.654022</v>
      </c>
      <c r="J88" s="3" t="inlineStr">
        <is>
          <t>—</t>
        </is>
      </c>
      <c r="K88" s="3" t="inlineStr">
        <is>
          <t>—</t>
        </is>
      </c>
      <c r="L88" s="3" t="inlineStr">
        <is>
          <t>—</t>
        </is>
      </c>
      <c r="M88" s="3" t="inlineStr">
        <is>
          <t>—</t>
        </is>
      </c>
      <c r="N88" s="3" t="inlineStr">
        <is>
          <t>—</t>
        </is>
      </c>
      <c r="O88" s="3" t="inlineStr">
        <is>
          <t>—</t>
        </is>
      </c>
      <c r="P88" s="3" t="inlineStr">
        <is>
          <t>—</t>
        </is>
      </c>
      <c r="Q88" s="3" t="inlineStr">
        <is>
          <t>上游含 Y5,Y8</t>
        </is>
      </c>
      <c r="R88" s="3" t="inlineStr">
        <is>
          <t>—</t>
        </is>
      </c>
      <c r="S88" s="3" t="inlineStr">
        <is>
          <t>Y5,Y8</t>
        </is>
      </c>
      <c r="T88" s="3" t="inlineStr"/>
      <c r="U88" s="3" t="n">
        <v>8</v>
      </c>
      <c r="V88" s="3" t="inlineStr"/>
      <c r="W88" s="3" t="inlineStr">
        <is>
          <t>資訊（只有 L8）</t>
        </is>
      </c>
    </row>
    <row r="89">
      <c r="A89" s="3" t="inlineStr">
        <is>
          <t>Calib</t>
        </is>
      </c>
      <c r="B89" s="3" t="n">
        <v>146</v>
      </c>
      <c r="C89" s="3" t="inlineStr">
        <is>
          <t>B*</t>
        </is>
      </c>
      <c r="D89" s="3" t="inlineStr">
        <is>
          <t>序列</t>
        </is>
      </c>
      <c r="E89" s="3" t="n">
        <v>4</v>
      </c>
      <c r="F89" s="3" t="n">
        <v>1</v>
      </c>
      <c r="G89" s="3" t="inlineStr">
        <is>
          <t>C146</t>
        </is>
      </c>
      <c r="H89" s="3">
        <f>MAX(0,MIN((1000*C139/C118-C144)/C145,(C131-C134)*1000000000/($C$108*C135)))</f>
        <v/>
      </c>
      <c r="I89" s="3" t="n">
        <v>37.439936</v>
      </c>
      <c r="J89" s="3" t="inlineStr">
        <is>
          <t>—</t>
        </is>
      </c>
      <c r="K89" s="3" t="inlineStr">
        <is>
          <t>—</t>
        </is>
      </c>
      <c r="L89" s="3" t="inlineStr">
        <is>
          <t>—</t>
        </is>
      </c>
      <c r="M89" s="3" t="inlineStr">
        <is>
          <t>—</t>
        </is>
      </c>
      <c r="N89" s="3" t="inlineStr">
        <is>
          <t>—</t>
        </is>
      </c>
      <c r="O89" s="3" t="inlineStr">
        <is>
          <t>—</t>
        </is>
      </c>
      <c r="P89" s="3" t="inlineStr">
        <is>
          <t>—</t>
        </is>
      </c>
      <c r="Q89" s="3" t="inlineStr">
        <is>
          <t>上游含 Y5,Y8</t>
        </is>
      </c>
      <c r="R89" s="3" t="inlineStr">
        <is>
          <t>—</t>
        </is>
      </c>
      <c r="S89" s="3" t="inlineStr">
        <is>
          <t>Y5,Y8</t>
        </is>
      </c>
      <c r="T89" s="3" t="inlineStr"/>
      <c r="U89" s="3" t="n">
        <v>4</v>
      </c>
      <c r="V89" s="3" t="inlineStr"/>
      <c r="W89" s="3" t="inlineStr">
        <is>
          <t>資訊（只有 L8）</t>
        </is>
      </c>
    </row>
    <row r="90">
      <c r="A90" s="3" t="inlineStr">
        <is>
          <t>Calib</t>
        </is>
      </c>
      <c r="B90" s="3" t="n">
        <v>147</v>
      </c>
      <c r="C90" s="3" t="inlineStr">
        <is>
          <t>decode tok/s/GPU</t>
        </is>
      </c>
      <c r="D90" s="3" t="inlineStr">
        <is>
          <t>tok/s</t>
        </is>
      </c>
      <c r="E90" s="3" t="n">
        <v>4</v>
      </c>
      <c r="F90" s="3" t="n">
        <v>1</v>
      </c>
      <c r="G90" s="3" t="inlineStr">
        <is>
          <t>C147</t>
        </is>
      </c>
      <c r="H90" s="3">
        <f>IF(C146&gt;0,C146*C139/((C144+C146*C145)/1000),0)</f>
        <v/>
      </c>
      <c r="I90" s="3" t="n">
        <v>2495.995764</v>
      </c>
      <c r="J90" s="3" t="inlineStr">
        <is>
          <t>—</t>
        </is>
      </c>
      <c r="K90" s="3" t="inlineStr">
        <is>
          <t>—</t>
        </is>
      </c>
      <c r="L90" s="3" t="inlineStr">
        <is>
          <t>—</t>
        </is>
      </c>
      <c r="M90" s="3" t="inlineStr">
        <is>
          <t>—</t>
        </is>
      </c>
      <c r="N90" s="3" t="inlineStr">
        <is>
          <t>—</t>
        </is>
      </c>
      <c r="O90" s="3" t="inlineStr">
        <is>
          <t>—</t>
        </is>
      </c>
      <c r="P90" s="3" t="inlineStr">
        <is>
          <t>—</t>
        </is>
      </c>
      <c r="Q90" s="3" t="inlineStr">
        <is>
          <t>上游含 Y5,Y8</t>
        </is>
      </c>
      <c r="R90" s="3" t="inlineStr">
        <is>
          <t>—</t>
        </is>
      </c>
      <c r="S90" s="3" t="inlineStr">
        <is>
          <t>Y5,Y8</t>
        </is>
      </c>
      <c r="T90" s="3" t="inlineStr"/>
      <c r="U90" s="3" t="n">
        <v>4</v>
      </c>
      <c r="V90" s="3" t="inlineStr"/>
      <c r="W90" s="3" t="inlineStr">
        <is>
          <t>資訊（只有 L8）</t>
        </is>
      </c>
    </row>
    <row r="91">
      <c r="A91" s="3" t="inlineStr">
        <is>
          <t>Calib</t>
        </is>
      </c>
      <c r="B91" s="3" t="n">
        <v>148</v>
      </c>
      <c r="C91" s="3" t="inlineStr">
        <is>
          <t>模型輸出 tok/s/GPU（含 prefill 分攤）</t>
        </is>
      </c>
      <c r="D91" s="3" t="inlineStr">
        <is>
          <t>tok/s</t>
        </is>
      </c>
      <c r="E91" s="3" t="n">
        <v>4</v>
      </c>
      <c r="F91" s="3" t="n">
        <v>1</v>
      </c>
      <c r="G91" s="3" t="inlineStr">
        <is>
          <t>C148</t>
        </is>
      </c>
      <c r="H91" s="3">
        <f>IF(C147&gt;0,$C$111/($C$110/C143+$C$111/C147),0)</f>
        <v/>
      </c>
      <c r="I91" s="3" t="n">
        <v>2474.488653</v>
      </c>
      <c r="J91" s="3" t="inlineStr">
        <is>
          <t>—</t>
        </is>
      </c>
      <c r="K91" s="3" t="inlineStr">
        <is>
          <t>—</t>
        </is>
      </c>
      <c r="L91" s="3" t="inlineStr">
        <is>
          <t>—</t>
        </is>
      </c>
      <c r="M91" s="3" t="inlineStr">
        <is>
          <t>—</t>
        </is>
      </c>
      <c r="N91" s="3" t="inlineStr">
        <is>
          <t>—</t>
        </is>
      </c>
      <c r="O91" s="3" t="inlineStr">
        <is>
          <t>—</t>
        </is>
      </c>
      <c r="P91" s="3" t="inlineStr">
        <is>
          <t>—</t>
        </is>
      </c>
      <c r="Q91" s="3" t="inlineStr">
        <is>
          <t>上游含 Y5,Y8</t>
        </is>
      </c>
      <c r="R91" s="3" t="inlineStr">
        <is>
          <t>—</t>
        </is>
      </c>
      <c r="S91" s="3" t="inlineStr">
        <is>
          <t>Y5,Y8</t>
        </is>
      </c>
      <c r="T91" s="3" t="inlineStr"/>
      <c r="U91" s="3" t="n">
        <v>6</v>
      </c>
      <c r="V91" s="3" t="inlineStr"/>
      <c r="W91" s="3" t="inlineStr">
        <is>
          <t>資訊（只有 L8）</t>
        </is>
      </c>
    </row>
    <row r="92">
      <c r="A92" s="3" t="inlineStr">
        <is>
          <t>Calib</t>
        </is>
      </c>
      <c r="B92" s="3" t="n">
        <v>149</v>
      </c>
      <c r="C92" s="3" t="inlineStr">
        <is>
          <t>模型 ÷ MLPerf</t>
        </is>
      </c>
      <c r="D92" s="3" t="inlineStr">
        <is>
          <t>x</t>
        </is>
      </c>
      <c r="E92" s="3" t="n">
        <v>4</v>
      </c>
      <c r="F92" s="3" t="n">
        <v>1</v>
      </c>
      <c r="G92" s="3" t="inlineStr">
        <is>
          <t>C149</t>
        </is>
      </c>
      <c r="H92" s="3">
        <f>C148/C120</f>
        <v/>
      </c>
      <c r="I92" s="3" t="n">
        <v>0.702797</v>
      </c>
      <c r="J92" s="3" t="inlineStr">
        <is>
          <t>—</t>
        </is>
      </c>
      <c r="K92" s="3" t="inlineStr">
        <is>
          <t>—</t>
        </is>
      </c>
      <c r="L92" s="3" t="inlineStr">
        <is>
          <t>—</t>
        </is>
      </c>
      <c r="M92" s="3" t="inlineStr">
        <is>
          <t>—</t>
        </is>
      </c>
      <c r="N92" s="3" t="inlineStr">
        <is>
          <t>—</t>
        </is>
      </c>
      <c r="O92" s="3" t="inlineStr">
        <is>
          <t>—</t>
        </is>
      </c>
      <c r="P92" s="3" t="inlineStr">
        <is>
          <t>—</t>
        </is>
      </c>
      <c r="Q92" s="3" t="inlineStr">
        <is>
          <t>上游含 Y5,Y8</t>
        </is>
      </c>
      <c r="R92" s="3" t="inlineStr">
        <is>
          <t>[G07] 模型 ÷ MLPerf＝0.70／0.49／0.69／0.62：服務產能用的同一套效率，比稽核過的基準低 30–51%；Checks B23 只顯示</t>
        </is>
      </c>
      <c r="S92" s="3" t="inlineStr">
        <is>
          <t>Y5,Y8</t>
        </is>
      </c>
      <c r="T92" s="3" t="inlineStr"/>
      <c r="U92" s="3" t="n">
        <v>0</v>
      </c>
      <c r="V92" s="3" t="inlineStr">
        <is>
          <t>G07</t>
        </is>
      </c>
      <c r="W92" s="3" t="inlineStr">
        <is>
          <t>中</t>
        </is>
      </c>
    </row>
    <row r="93">
      <c r="A93" s="3" t="inlineStr">
        <is>
          <t>Calib</t>
        </is>
      </c>
      <c r="B93" s="3" t="n">
        <v>150</v>
      </c>
      <c r="C93" s="3" t="inlineStr">
        <is>
          <t>VR200 ÷ GB300（interactive）：模型</t>
        </is>
      </c>
      <c r="D93" s="3" t="n"/>
      <c r="E93" s="3" t="n">
        <v>1</v>
      </c>
      <c r="F93" s="3" t="n">
        <v>1</v>
      </c>
      <c r="G93" s="3" t="inlineStr">
        <is>
          <t>C150</t>
        </is>
      </c>
      <c r="H93" s="3">
        <f>E148/C148</f>
        <v/>
      </c>
      <c r="I93" s="3" t="n">
        <v>2.525126</v>
      </c>
      <c r="J93" s="3" t="inlineStr">
        <is>
          <t>—</t>
        </is>
      </c>
      <c r="K93" s="3" t="inlineStr">
        <is>
          <t>—</t>
        </is>
      </c>
      <c r="L93" s="3" t="inlineStr">
        <is>
          <t>—</t>
        </is>
      </c>
      <c r="M93" s="3" t="inlineStr">
        <is>
          <t>—</t>
        </is>
      </c>
      <c r="N93" s="3" t="inlineStr">
        <is>
          <t>[G07] VR200 ÷ GB300 模型 2.525 對 MLPerf 2.575：VR200 用預覽類提交（利害關係方）</t>
        </is>
      </c>
      <c r="O93" s="3" t="inlineStr">
        <is>
          <t>—</t>
        </is>
      </c>
      <c r="P93" s="3" t="inlineStr">
        <is>
          <t>—</t>
        </is>
      </c>
      <c r="Q93" s="3" t="inlineStr">
        <is>
          <t>上游含 Y5,Y8</t>
        </is>
      </c>
      <c r="R93" s="3" t="inlineStr">
        <is>
          <t>—</t>
        </is>
      </c>
      <c r="S93" s="3" t="inlineStr">
        <is>
          <t>Y5,Y8</t>
        </is>
      </c>
      <c r="T93" s="3" t="inlineStr"/>
      <c r="U93" s="3" t="n">
        <v>0</v>
      </c>
      <c r="V93" s="3" t="inlineStr">
        <is>
          <t>G07</t>
        </is>
      </c>
      <c r="W93" s="3" t="inlineStr">
        <is>
          <t>低</t>
        </is>
      </c>
    </row>
    <row r="94">
      <c r="A94" s="3" t="inlineStr">
        <is>
          <t>Calib</t>
        </is>
      </c>
      <c r="B94" s="3" t="n">
        <v>151</v>
      </c>
      <c r="C94" s="3" t="inlineStr">
        <is>
          <t>VR200 ÷ GB300（interactive）：MLPerf v6.1</t>
        </is>
      </c>
      <c r="D94" s="3" t="n"/>
      <c r="E94" s="3" t="n">
        <v>1</v>
      </c>
      <c r="F94" s="3" t="n">
        <v>1</v>
      </c>
      <c r="G94" s="3" t="inlineStr">
        <is>
          <t>C151</t>
        </is>
      </c>
      <c r="H94" s="3">
        <f>E120/C120</f>
        <v/>
      </c>
      <c r="I94" s="3" t="n">
        <v>2.57489</v>
      </c>
      <c r="J94" s="3" t="inlineStr">
        <is>
          <t>—</t>
        </is>
      </c>
      <c r="K94" s="3" t="inlineStr">
        <is>
          <t>[G07] MLPerf 對照混用不同輪次：GB300 interactive v6.1（2026-09）、GB200 interactive v6.0（2026-04）、VR200 v6.1 預覽類、GB300 server v6.0；Calib D152「GB300 ÷ GB200＝1.055」是 v6.1 對 v6.0</t>
        </is>
      </c>
      <c r="L94" s="3" t="inlineStr">
        <is>
          <t>—</t>
        </is>
      </c>
      <c r="M94" s="3" t="inlineStr">
        <is>
          <t>—</t>
        </is>
      </c>
      <c r="N94" s="3" t="inlineStr">
        <is>
          <t>—</t>
        </is>
      </c>
      <c r="O94" s="3" t="inlineStr">
        <is>
          <t>—</t>
        </is>
      </c>
      <c r="P94" s="3" t="inlineStr">
        <is>
          <t>—</t>
        </is>
      </c>
      <c r="Q94" s="3" t="inlineStr">
        <is>
          <t>—</t>
        </is>
      </c>
      <c r="R94" s="3" t="inlineStr">
        <is>
          <t>—</t>
        </is>
      </c>
      <c r="S94" s="3" t="inlineStr"/>
      <c r="T94" s="3" t="inlineStr"/>
      <c r="U94" s="3" t="n">
        <v>0</v>
      </c>
      <c r="V94" s="3" t="inlineStr">
        <is>
          <t>G07</t>
        </is>
      </c>
      <c r="W94" s="3" t="inlineStr">
        <is>
          <t>中</t>
        </is>
      </c>
    </row>
    <row r="95">
      <c r="A95" s="3" t="inlineStr">
        <is>
          <t>Calib</t>
        </is>
      </c>
      <c r="B95" s="3" t="n">
        <v>152</v>
      </c>
      <c r="C95" s="3" t="inlineStr">
        <is>
          <t>GB300 ÷ GB200（interactive）：模型 ／ MLPerf</t>
        </is>
      </c>
      <c r="D95" s="3" t="n"/>
      <c r="E95" s="3" t="n">
        <v>2</v>
      </c>
      <c r="F95" s="3" t="n">
        <v>2</v>
      </c>
      <c r="G95" s="3" t="inlineStr">
        <is>
          <t>C152</t>
        </is>
      </c>
      <c r="H95" s="3">
        <f>C148/D148</f>
        <v/>
      </c>
      <c r="I95" s="3" t="n">
        <v>1.5</v>
      </c>
      <c r="J95" s="3" t="inlineStr">
        <is>
          <t>—</t>
        </is>
      </c>
      <c r="K95" s="3" t="inlineStr">
        <is>
          <t>[G07] MLPerf 對照混用不同輪次：GB300 interactive v6.1（2026-09）、GB200 interactive v6.0（2026-04）、VR200 v6.1 預覽類、GB300 server v6.0；Calib D152「GB300 ÷ GB200＝1.055」是 v6.1 對 v6.0</t>
        </is>
      </c>
      <c r="L95" s="3" t="inlineStr">
        <is>
          <t>—</t>
        </is>
      </c>
      <c r="M95" s="3" t="inlineStr">
        <is>
          <t>—</t>
        </is>
      </c>
      <c r="N95" s="3" t="inlineStr">
        <is>
          <t>—</t>
        </is>
      </c>
      <c r="O95" s="3" t="inlineStr">
        <is>
          <t>—</t>
        </is>
      </c>
      <c r="P95" s="3" t="inlineStr">
        <is>
          <t>—</t>
        </is>
      </c>
      <c r="Q95" s="3" t="inlineStr">
        <is>
          <t>上游含 Y5,Y8</t>
        </is>
      </c>
      <c r="R95" s="3" t="inlineStr">
        <is>
          <t>—</t>
        </is>
      </c>
      <c r="S95" s="3" t="inlineStr">
        <is>
          <t>Y5,Y8</t>
        </is>
      </c>
      <c r="T95" s="3" t="inlineStr"/>
      <c r="U95" s="3" t="n">
        <v>0</v>
      </c>
      <c r="V95" s="3" t="inlineStr">
        <is>
          <t>G07</t>
        </is>
      </c>
      <c r="W95" s="3" t="inlineStr">
        <is>
          <t>中</t>
        </is>
      </c>
    </row>
    <row r="96">
      <c r="A96" s="3" t="inlineStr">
        <is>
          <t>Calib</t>
        </is>
      </c>
      <c r="B96" s="3" t="n">
        <v>156</v>
      </c>
      <c r="C96" s="3" t="inlineStr">
        <is>
          <t>批次口徑 η_d 倍數（X10；CAL_BatchEtaD）</t>
        </is>
      </c>
      <c r="D96" s="3" t="inlineStr">
        <is>
          <t>x</t>
        </is>
      </c>
      <c r="E96" s="3" t="n">
        <v>0</v>
      </c>
      <c r="F96" s="3" t="n">
        <v>0</v>
      </c>
      <c r="G96" s="3" t="inlineStr"/>
      <c r="H96" s="3" t="inlineStr"/>
      <c r="I96" s="3" t="inlineStr"/>
      <c r="J96" s="3" t="inlineStr">
        <is>
          <t>—</t>
        </is>
      </c>
      <c r="K96" s="3" t="inlineStr">
        <is>
          <t>—</t>
        </is>
      </c>
      <c r="L96" s="3" t="inlineStr">
        <is>
          <t>—</t>
        </is>
      </c>
      <c r="M96" s="3" t="inlineStr">
        <is>
          <t>—</t>
        </is>
      </c>
      <c r="N96" s="3" t="inlineStr">
        <is>
          <t>—</t>
        </is>
      </c>
      <c r="O96" s="3" t="inlineStr">
        <is>
          <t>[G08] VR200 0.75＝MLPerf v6.1 Offline 比值（1.62–1.74）÷ 模型高批次比值（2.33）：由目標比值反推的校準值；其餘世代為 1（說明自述「無批次口徑實測」）。S3：0.7／1.0 → IF_ProgCost_Sol（VR200）+2.8%／−9.8%</t>
        </is>
      </c>
      <c r="P96" s="3" t="inlineStr">
        <is>
          <t>—</t>
        </is>
      </c>
      <c r="Q96" s="3" t="inlineStr">
        <is>
          <t>—</t>
        </is>
      </c>
      <c r="R96" s="3" t="inlineStr">
        <is>
          <t>—</t>
        </is>
      </c>
      <c r="S96" s="3" t="inlineStr"/>
      <c r="T96" s="3" t="inlineStr"/>
      <c r="U96" s="3" t="n">
        <v>45</v>
      </c>
      <c r="V96" s="3" t="inlineStr">
        <is>
          <t>G08</t>
        </is>
      </c>
      <c r="W96" s="3" t="inlineStr">
        <is>
          <t>中</t>
        </is>
      </c>
    </row>
    <row r="97">
      <c r="A97" s="3" t="inlineStr">
        <is>
          <t>Tech_Registry</t>
        </is>
      </c>
      <c r="B97" s="3" t="n">
        <v>25</v>
      </c>
      <c r="C97" s="3" t="inlineStr">
        <is>
          <t>H_TPK</t>
        </is>
      </c>
      <c r="D97" s="3" t="inlineStr">
        <is>
          <t>訓練峰值倍數</t>
        </is>
      </c>
      <c r="E97" s="3" t="n">
        <v>1</v>
      </c>
      <c r="F97" s="3" t="n">
        <v>1</v>
      </c>
      <c r="G97" s="3" t="inlineStr">
        <is>
          <t>E25</t>
        </is>
      </c>
      <c r="H97" s="3">
        <f>EXP(SUMPRODUCT(($C$5:$C$16="H_TPK")*LN($P$5:$P$16)))</f>
        <v/>
      </c>
      <c r="I97" s="3" t="n">
        <v>1</v>
      </c>
      <c r="J97" s="3" t="inlineStr">
        <is>
          <t>—</t>
        </is>
      </c>
      <c r="K97" s="3" t="inlineStr">
        <is>
          <t>—</t>
        </is>
      </c>
      <c r="L97" s="3" t="inlineStr">
        <is>
          <t>—</t>
        </is>
      </c>
      <c r="M97" s="3" t="inlineStr">
        <is>
          <t>—</t>
        </is>
      </c>
      <c r="N97" s="3" t="inlineStr">
        <is>
          <t>—</t>
        </is>
      </c>
      <c r="O97" s="3" t="inlineStr">
        <is>
          <t>—</t>
        </is>
      </c>
      <c r="P97" s="3" t="inlineStr">
        <is>
          <t>[G22] EXP(SUMPRODUCT(LN(P)))：任一 P ≤ 0 即 #NUM!；基準 P 全為 1</t>
        </is>
      </c>
      <c r="Q97" s="3" t="inlineStr">
        <is>
          <t>—</t>
        </is>
      </c>
      <c r="R97" s="3" t="inlineStr">
        <is>
          <t>—</t>
        </is>
      </c>
      <c r="S97" s="3" t="inlineStr"/>
      <c r="T97" s="3" t="inlineStr"/>
      <c r="U97" s="3" t="n">
        <v>47</v>
      </c>
      <c r="V97" s="3" t="inlineStr">
        <is>
          <t>G22</t>
        </is>
      </c>
      <c r="W97" s="3" t="inlineStr">
        <is>
          <t>低</t>
        </is>
      </c>
    </row>
    <row r="98">
      <c r="A98" s="3" t="inlineStr">
        <is>
          <t>Tech_Registry</t>
        </is>
      </c>
      <c r="B98" s="3" t="n">
        <v>26</v>
      </c>
      <c r="C98" s="3" t="inlineStr">
        <is>
          <t>H_MFU</t>
        </is>
      </c>
      <c r="D98" s="3" t="inlineStr">
        <is>
          <t>訓練 MFU 倍數</t>
        </is>
      </c>
      <c r="E98" s="3" t="n">
        <v>1</v>
      </c>
      <c r="F98" s="3" t="n">
        <v>1</v>
      </c>
      <c r="G98" s="3" t="inlineStr">
        <is>
          <t>E26</t>
        </is>
      </c>
      <c r="H98" s="3">
        <f>EXP(SUMPRODUCT(($C$5:$C$16="H_MFU")*LN($P$5:$P$16)))</f>
        <v/>
      </c>
      <c r="I98" s="3" t="n">
        <v>1</v>
      </c>
      <c r="J98" s="3" t="inlineStr">
        <is>
          <t>—</t>
        </is>
      </c>
      <c r="K98" s="3" t="inlineStr">
        <is>
          <t>—</t>
        </is>
      </c>
      <c r="L98" s="3" t="inlineStr">
        <is>
          <t>—</t>
        </is>
      </c>
      <c r="M98" s="3" t="inlineStr">
        <is>
          <t>—</t>
        </is>
      </c>
      <c r="N98" s="3" t="inlineStr">
        <is>
          <t>—</t>
        </is>
      </c>
      <c r="O98" s="3" t="inlineStr">
        <is>
          <t>—</t>
        </is>
      </c>
      <c r="P98" s="3" t="inlineStr">
        <is>
          <t>[G22] EXP(SUMPRODUCT(LN(P)))：任一 P ≤ 0 即 #NUM!；基準 P 全為 1</t>
        </is>
      </c>
      <c r="Q98" s="3" t="inlineStr">
        <is>
          <t>—</t>
        </is>
      </c>
      <c r="R98" s="3" t="inlineStr">
        <is>
          <t>—</t>
        </is>
      </c>
      <c r="S98" s="3" t="inlineStr"/>
      <c r="T98" s="3" t="inlineStr"/>
      <c r="U98" s="3" t="n">
        <v>47</v>
      </c>
      <c r="V98" s="3" t="inlineStr">
        <is>
          <t>G22</t>
        </is>
      </c>
      <c r="W98" s="3" t="inlineStr">
        <is>
          <t>低</t>
        </is>
      </c>
    </row>
    <row r="99">
      <c r="A99" s="3" t="inlineStr">
        <is>
          <t>Tech_Registry</t>
        </is>
      </c>
      <c r="B99" s="3" t="n">
        <v>27</v>
      </c>
      <c r="C99" s="3" t="inlineStr">
        <is>
          <t>H_TOK</t>
        </is>
      </c>
      <c r="D99" s="3" t="inlineStr">
        <is>
          <t>達同等預訓練品質所需 token 倍數</t>
        </is>
      </c>
      <c r="E99" s="3" t="n">
        <v>1</v>
      </c>
      <c r="F99" s="3" t="n">
        <v>1</v>
      </c>
      <c r="G99" s="3" t="inlineStr">
        <is>
          <t>E27</t>
        </is>
      </c>
      <c r="H99" s="3">
        <f>EXP(SUMPRODUCT(($C$5:$C$16="H_TOK")*LN($P$5:$P$16)))</f>
        <v/>
      </c>
      <c r="I99" s="3" t="n">
        <v>1</v>
      </c>
      <c r="J99" s="3" t="inlineStr">
        <is>
          <t>—</t>
        </is>
      </c>
      <c r="K99" s="3" t="inlineStr">
        <is>
          <t>—</t>
        </is>
      </c>
      <c r="L99" s="3" t="inlineStr">
        <is>
          <t>—</t>
        </is>
      </c>
      <c r="M99" s="3" t="inlineStr">
        <is>
          <t>—</t>
        </is>
      </c>
      <c r="N99" s="3" t="inlineStr">
        <is>
          <t>—</t>
        </is>
      </c>
      <c r="O99" s="3" t="inlineStr">
        <is>
          <t>—</t>
        </is>
      </c>
      <c r="P99" s="3" t="inlineStr">
        <is>
          <t>[G22] EXP(SUMPRODUCT(LN(P)))：任一 P ≤ 0 即 #NUM!；基準 P 全為 1</t>
        </is>
      </c>
      <c r="Q99" s="3" t="inlineStr">
        <is>
          <t>—</t>
        </is>
      </c>
      <c r="R99" s="3" t="inlineStr">
        <is>
          <t>—</t>
        </is>
      </c>
      <c r="S99" s="3" t="inlineStr"/>
      <c r="T99" s="3" t="inlineStr"/>
      <c r="U99" s="3" t="n">
        <v>43</v>
      </c>
      <c r="V99" s="3" t="inlineStr">
        <is>
          <t>G22</t>
        </is>
      </c>
      <c r="W99" s="3" t="inlineStr">
        <is>
          <t>低</t>
        </is>
      </c>
    </row>
    <row r="100">
      <c r="A100" s="3" t="inlineStr">
        <is>
          <t>Tech_Registry</t>
        </is>
      </c>
      <c r="B100" s="3" t="n">
        <v>28</v>
      </c>
      <c r="C100" s="3" t="inlineStr">
        <is>
          <t>H_ROLL</t>
        </is>
      </c>
      <c r="D100" s="3" t="inlineStr">
        <is>
          <t>rollout 效率倍數</t>
        </is>
      </c>
      <c r="E100" s="3" t="n">
        <v>1</v>
      </c>
      <c r="F100" s="3" t="n">
        <v>1</v>
      </c>
      <c r="G100" s="3" t="inlineStr">
        <is>
          <t>E28</t>
        </is>
      </c>
      <c r="H100" s="3">
        <f>EXP(SUMPRODUCT(($C$5:$C$16="H_ROLL")*LN($P$5:$P$16)))</f>
        <v/>
      </c>
      <c r="I100" s="3" t="n">
        <v>1</v>
      </c>
      <c r="J100" s="3" t="inlineStr">
        <is>
          <t>—</t>
        </is>
      </c>
      <c r="K100" s="3" t="inlineStr">
        <is>
          <t>—</t>
        </is>
      </c>
      <c r="L100" s="3" t="inlineStr">
        <is>
          <t>—</t>
        </is>
      </c>
      <c r="M100" s="3" t="inlineStr">
        <is>
          <t>—</t>
        </is>
      </c>
      <c r="N100" s="3" t="inlineStr">
        <is>
          <t>—</t>
        </is>
      </c>
      <c r="O100" s="3" t="inlineStr">
        <is>
          <t>—</t>
        </is>
      </c>
      <c r="P100" s="3" t="inlineStr">
        <is>
          <t>[G22] EXP(SUMPRODUCT(LN(P)))：任一 P ≤ 0 即 #NUM!；基準 P 全為 1</t>
        </is>
      </c>
      <c r="Q100" s="3" t="inlineStr">
        <is>
          <t>—</t>
        </is>
      </c>
      <c r="R100" s="3" t="inlineStr">
        <is>
          <t>—</t>
        </is>
      </c>
      <c r="S100" s="3" t="inlineStr"/>
      <c r="T100" s="3" t="inlineStr"/>
      <c r="U100" s="3" t="n">
        <v>47</v>
      </c>
      <c r="V100" s="3" t="inlineStr">
        <is>
          <t>G22</t>
        </is>
      </c>
      <c r="W100" s="3" t="inlineStr">
        <is>
          <t>低</t>
        </is>
      </c>
    </row>
    <row r="101">
      <c r="A101" s="3" t="inlineStr">
        <is>
          <t>Perf</t>
        </is>
      </c>
      <c r="B101" s="3" t="n">
        <v>23</v>
      </c>
      <c r="C101" s="3" t="inlineStr">
        <is>
          <t>GPU 功率</t>
        </is>
      </c>
      <c r="D101" s="3" t="inlineStr">
        <is>
          <t>W</t>
        </is>
      </c>
      <c r="E101" s="3" t="n">
        <v>15</v>
      </c>
      <c r="F101" s="3" t="n">
        <v>1</v>
      </c>
      <c r="G101" s="3" t="inlineStr">
        <is>
          <t>C23</t>
        </is>
      </c>
      <c r="H101" s="3">
        <f>INDEX(Spec_Rack!$C$33:$G$33,C$6)</f>
        <v/>
      </c>
      <c r="I101" s="3" t="n">
        <v>700</v>
      </c>
      <c r="J101" s="3" t="inlineStr">
        <is>
          <t>—</t>
        </is>
      </c>
      <c r="K101" s="3" t="inlineStr">
        <is>
          <t>—</t>
        </is>
      </c>
      <c r="L101" s="3" t="inlineStr">
        <is>
          <t>—</t>
        </is>
      </c>
      <c r="M101" s="3" t="inlineStr">
        <is>
          <t>—</t>
        </is>
      </c>
      <c r="N101" s="3" t="inlineStr">
        <is>
          <t>—</t>
        </is>
      </c>
      <c r="O101" s="3" t="inlineStr">
        <is>
          <t>—</t>
        </is>
      </c>
      <c r="P101" s="3" t="inlineStr">
        <is>
          <t>—</t>
        </is>
      </c>
      <c r="Q101" s="3" t="inlineStr">
        <is>
          <t>—</t>
        </is>
      </c>
      <c r="R101" s="3" t="inlineStr">
        <is>
          <t>—</t>
        </is>
      </c>
      <c r="S101" s="3" t="inlineStr"/>
      <c r="T101" s="3" t="inlineStr"/>
      <c r="U101" s="3" t="n">
        <v>15</v>
      </c>
      <c r="V101" s="3" t="inlineStr"/>
      <c r="W101" s="3" t="inlineStr">
        <is>
          <t>—</t>
        </is>
      </c>
    </row>
    <row r="102">
      <c r="A102" s="3" t="inlineStr">
        <is>
          <t>Perf</t>
        </is>
      </c>
      <c r="B102" s="3" t="n">
        <v>24</v>
      </c>
      <c r="C102" s="3" t="inlineStr">
        <is>
          <t>HBM 存取能量</t>
        </is>
      </c>
      <c r="D102" s="3" t="inlineStr">
        <is>
          <t>pJ/B</t>
        </is>
      </c>
      <c r="E102" s="3" t="n">
        <v>15</v>
      </c>
      <c r="F102" s="3" t="n">
        <v>1</v>
      </c>
      <c r="G102" s="3" t="inlineStr">
        <is>
          <t>C24</t>
        </is>
      </c>
      <c r="H102" s="3">
        <f>INDEX(Spec_Rack!$C$34:$G$34,C$6)</f>
        <v/>
      </c>
      <c r="I102" s="3" t="n">
        <v>31</v>
      </c>
      <c r="J102" s="3" t="inlineStr">
        <is>
          <t>—</t>
        </is>
      </c>
      <c r="K102" s="3" t="inlineStr">
        <is>
          <t>—</t>
        </is>
      </c>
      <c r="L102" s="3" t="inlineStr">
        <is>
          <t>—</t>
        </is>
      </c>
      <c r="M102" s="3" t="inlineStr">
        <is>
          <t>—</t>
        </is>
      </c>
      <c r="N102" s="3" t="inlineStr">
        <is>
          <t>—</t>
        </is>
      </c>
      <c r="O102" s="3" t="inlineStr">
        <is>
          <t>—</t>
        </is>
      </c>
      <c r="P102" s="3" t="inlineStr">
        <is>
          <t>—</t>
        </is>
      </c>
      <c r="Q102" s="3" t="inlineStr">
        <is>
          <t>—</t>
        </is>
      </c>
      <c r="R102" s="3" t="inlineStr">
        <is>
          <t>—</t>
        </is>
      </c>
      <c r="S102" s="3" t="inlineStr"/>
      <c r="T102" s="3" t="inlineStr"/>
      <c r="U102" s="3" t="n">
        <v>15</v>
      </c>
      <c r="V102" s="3" t="inlineStr"/>
      <c r="W102" s="3" t="inlineStr">
        <is>
          <t>—</t>
        </is>
      </c>
    </row>
    <row r="103">
      <c r="A103" s="3" t="inlineStr">
        <is>
          <t>Perf</t>
        </is>
      </c>
      <c r="B103" s="3" t="n">
        <v>26</v>
      </c>
      <c r="C103" s="3" t="inlineStr">
        <is>
          <t>每架配電設計功率</t>
        </is>
      </c>
      <c r="D103" s="3" t="inlineStr">
        <is>
          <t>kW</t>
        </is>
      </c>
      <c r="E103" s="3" t="n">
        <v>15</v>
      </c>
      <c r="F103" s="3" t="n">
        <v>1</v>
      </c>
      <c r="G103" s="3" t="inlineStr">
        <is>
          <t>C26</t>
        </is>
      </c>
      <c r="H103" s="3">
        <f>INDEX(DC_Cost!$C$11:$Q$11,3*(C$6-1)+2)</f>
        <v/>
      </c>
      <c r="I103" s="3" t="n">
        <v>41</v>
      </c>
      <c r="J103" s="3" t="inlineStr">
        <is>
          <t>—</t>
        </is>
      </c>
      <c r="K103" s="3" t="inlineStr">
        <is>
          <t>—</t>
        </is>
      </c>
      <c r="L103" s="3" t="inlineStr">
        <is>
          <t>—</t>
        </is>
      </c>
      <c r="M103" s="3" t="inlineStr">
        <is>
          <t>—</t>
        </is>
      </c>
      <c r="N103" s="3" t="inlineStr">
        <is>
          <t>—</t>
        </is>
      </c>
      <c r="O103" s="3" t="inlineStr">
        <is>
          <t>—</t>
        </is>
      </c>
      <c r="P103" s="3" t="inlineStr">
        <is>
          <t>—</t>
        </is>
      </c>
      <c r="Q103" s="3" t="inlineStr">
        <is>
          <t>—</t>
        </is>
      </c>
      <c r="R103" s="3" t="inlineStr">
        <is>
          <t>—</t>
        </is>
      </c>
      <c r="S103" s="3" t="inlineStr"/>
      <c r="T103" s="3" t="inlineStr"/>
      <c r="U103" s="3" t="n">
        <v>15</v>
      </c>
      <c r="V103" s="3" t="inlineStr"/>
      <c r="W103" s="3" t="inlineStr">
        <is>
          <t>—</t>
        </is>
      </c>
    </row>
    <row r="104">
      <c r="A104" s="3" t="inlineStr">
        <is>
          <t>Perf</t>
        </is>
      </c>
      <c r="B104" s="3" t="n">
        <v>62</v>
      </c>
      <c r="C104" s="3" t="inlineStr">
        <is>
          <t>快取載入頻寬</t>
        </is>
      </c>
      <c r="D104" s="3" t="inlineStr">
        <is>
          <t>TB/s</t>
        </is>
      </c>
      <c r="E104" s="3" t="n">
        <v>15</v>
      </c>
      <c r="F104" s="3" t="n">
        <v>1</v>
      </c>
      <c r="G104" s="3" t="inlineStr">
        <is>
          <t>C62</t>
        </is>
      </c>
      <c r="H104" s="3">
        <f>Serving!$C$15</f>
        <v/>
      </c>
      <c r="I104" s="3" t="n">
        <v>0.1</v>
      </c>
      <c r="J104" s="3" t="inlineStr">
        <is>
          <t>—</t>
        </is>
      </c>
      <c r="K104" s="3" t="inlineStr">
        <is>
          <t>—</t>
        </is>
      </c>
      <c r="L104" s="3" t="inlineStr">
        <is>
          <t>—</t>
        </is>
      </c>
      <c r="M104" s="3" t="inlineStr">
        <is>
          <t>—</t>
        </is>
      </c>
      <c r="N104" s="3" t="inlineStr">
        <is>
          <t>—</t>
        </is>
      </c>
      <c r="O104" s="3" t="inlineStr">
        <is>
          <t>—</t>
        </is>
      </c>
      <c r="P104" s="3" t="inlineStr">
        <is>
          <t>—</t>
        </is>
      </c>
      <c r="Q104" s="3" t="inlineStr">
        <is>
          <t>—</t>
        </is>
      </c>
      <c r="R104" s="3" t="inlineStr">
        <is>
          <t>—</t>
        </is>
      </c>
      <c r="S104" s="3" t="inlineStr"/>
      <c r="T104" s="3" t="inlineStr"/>
      <c r="U104" s="3" t="n">
        <v>15</v>
      </c>
      <c r="V104" s="3" t="inlineStr"/>
      <c r="W104" s="3" t="inlineStr">
        <is>
          <t>—</t>
        </is>
      </c>
    </row>
    <row r="105">
      <c r="A105" s="3" t="inlineStr">
        <is>
          <t>Perf</t>
        </is>
      </c>
      <c r="B105" s="3" t="n">
        <v>84</v>
      </c>
      <c r="C105" s="3" t="inlineStr">
        <is>
          <t>每序列綁定項</t>
        </is>
      </c>
      <c r="D105" s="3" t="n"/>
      <c r="E105" s="3" t="n">
        <v>15</v>
      </c>
      <c r="F105" s="3" t="n">
        <v>1</v>
      </c>
      <c r="G105" s="3" t="inlineStr">
        <is>
          <t>C84</t>
        </is>
      </c>
      <c r="H105" s="3">
        <f>IF(C83=C80,"算力",IF(C83=C81,"KV 頻寬","EP 通訊"))</f>
        <v/>
      </c>
      <c r="I105" s="3" t="inlineStr">
        <is>
          <t>算力</t>
        </is>
      </c>
      <c r="J105" s="3" t="inlineStr">
        <is>
          <t>—</t>
        </is>
      </c>
      <c r="K105" s="3" t="inlineStr">
        <is>
          <t>—</t>
        </is>
      </c>
      <c r="L105" s="3" t="inlineStr">
        <is>
          <t>—</t>
        </is>
      </c>
      <c r="M105" s="3" t="inlineStr">
        <is>
          <t>—</t>
        </is>
      </c>
      <c r="N105" s="3" t="inlineStr">
        <is>
          <t>—</t>
        </is>
      </c>
      <c r="O105" s="3" t="inlineStr">
        <is>
          <t>—</t>
        </is>
      </c>
      <c r="P105" s="3" t="inlineStr">
        <is>
          <t>—</t>
        </is>
      </c>
      <c r="Q105" s="3" t="inlineStr">
        <is>
          <t>上游含 Y1,Y5,Y6,Y8</t>
        </is>
      </c>
      <c r="R105" s="3" t="inlineStr">
        <is>
          <t>[G05] 綁定項 15 欄全部為「算力」；同欄 decode HBM 頻寬利用率只有 1.9–34%（31_l9.json）。綁定判斷取決於擬合 η_d（3.58%），η_d 吸收了權重讀取以外的所有開銷</t>
        </is>
      </c>
      <c r="S105" s="3" t="inlineStr">
        <is>
          <t>Y1,Y5,Y6,Y8</t>
        </is>
      </c>
      <c r="T105" s="3" t="inlineStr"/>
      <c r="U105" s="3" t="n">
        <v>15</v>
      </c>
      <c r="V105" s="3" t="inlineStr">
        <is>
          <t>G05</t>
        </is>
      </c>
      <c r="W105" s="3" t="inlineStr">
        <is>
          <t>中</t>
        </is>
      </c>
    </row>
    <row r="106">
      <c r="A106" s="3" t="inlineStr">
        <is>
          <t>Perf</t>
        </is>
      </c>
      <c r="B106" s="3" t="n">
        <v>90</v>
      </c>
      <c r="C106" s="3" t="inlineStr">
        <is>
          <t>綁定約束</t>
        </is>
      </c>
      <c r="D106" s="3" t="n"/>
      <c r="E106" s="3" t="n">
        <v>15</v>
      </c>
      <c r="F106" s="3" t="n">
        <v>1</v>
      </c>
      <c r="G106" s="3" t="inlineStr">
        <is>
          <t>C90</t>
        </is>
      </c>
      <c r="H106" s="3">
        <f>IF(C87&lt;=0,"SLO 不可達",IF(C85&lt;=C86,"SLO（"&amp;C84&amp;"）","HBM 容量"))</f>
        <v/>
      </c>
      <c r="I106" s="3" t="inlineStr">
        <is>
          <t>SLO（算力）</t>
        </is>
      </c>
      <c r="J106" s="3" t="inlineStr">
        <is>
          <t>—</t>
        </is>
      </c>
      <c r="K106" s="3" t="inlineStr">
        <is>
          <t>—</t>
        </is>
      </c>
      <c r="L106" s="3" t="inlineStr">
        <is>
          <t>—</t>
        </is>
      </c>
      <c r="M106" s="3" t="inlineStr">
        <is>
          <t>—</t>
        </is>
      </c>
      <c r="N106" s="3" t="inlineStr">
        <is>
          <t>—</t>
        </is>
      </c>
      <c r="O106" s="3" t="inlineStr">
        <is>
          <t>—</t>
        </is>
      </c>
      <c r="P106" s="3" t="inlineStr">
        <is>
          <t>—</t>
        </is>
      </c>
      <c r="Q106" s="3" t="inlineStr">
        <is>
          <t>上游含 Y1,Y5,Y6,Y8</t>
        </is>
      </c>
      <c r="R106" s="3" t="inlineStr">
        <is>
          <t>[G05] 綁定項 15 欄全部為「算力」；同欄 decode HBM 頻寬利用率只有 1.9–34%（31_l9.json）。綁定判斷取決於擬合 η_d（3.58%），η_d 吸收了權重讀取以外的所有開銷</t>
        </is>
      </c>
      <c r="S106" s="3" t="inlineStr">
        <is>
          <t>Y1,Y5,Y6,Y8</t>
        </is>
      </c>
      <c r="T106" s="3" t="inlineStr"/>
      <c r="U106" s="3" t="n">
        <v>0</v>
      </c>
      <c r="V106" s="3" t="inlineStr">
        <is>
          <t>G05</t>
        </is>
      </c>
      <c r="W106" s="3" t="inlineStr">
        <is>
          <t>中</t>
        </is>
      </c>
    </row>
    <row r="107">
      <c r="A107" s="3" t="inlineStr">
        <is>
          <t>Perf</t>
        </is>
      </c>
      <c r="B107" s="3" t="n">
        <v>96</v>
      </c>
      <c r="C107" s="3" t="inlineStr">
        <is>
          <t>每架 decode tok/s</t>
        </is>
      </c>
      <c r="D107" s="3" t="inlineStr">
        <is>
          <t>tok/s</t>
        </is>
      </c>
      <c r="E107" s="3" t="n">
        <v>15</v>
      </c>
      <c r="F107" s="3" t="n">
        <v>1</v>
      </c>
      <c r="G107" s="3" t="inlineStr">
        <is>
          <t>C96</t>
        </is>
      </c>
      <c r="H107" s="3">
        <f>C95*C44/(C43+C44)</f>
        <v/>
      </c>
      <c r="I107" s="3" t="n">
        <v>11629.836602</v>
      </c>
      <c r="J107" s="3" t="inlineStr">
        <is>
          <t>—</t>
        </is>
      </c>
      <c r="K107" s="3" t="inlineStr">
        <is>
          <t>—</t>
        </is>
      </c>
      <c r="L107" s="3" t="inlineStr">
        <is>
          <t>—</t>
        </is>
      </c>
      <c r="M107" s="3" t="inlineStr">
        <is>
          <t>—</t>
        </is>
      </c>
      <c r="N107" s="3" t="inlineStr">
        <is>
          <t>—</t>
        </is>
      </c>
      <c r="O107" s="3" t="inlineStr">
        <is>
          <t>—</t>
        </is>
      </c>
      <c r="P107" s="3" t="inlineStr">
        <is>
          <t>[G06] 不可達時本列為 0；tok/J、VR-eq、能量閉合比也變 0，Checks B26（MAX）不受影響</t>
        </is>
      </c>
      <c r="Q107" s="3" t="inlineStr">
        <is>
          <t>上游含 Y1,Y5,Y6,Y8</t>
        </is>
      </c>
      <c r="R107" s="3" t="inlineStr">
        <is>
          <t>—</t>
        </is>
      </c>
      <c r="S107" s="3" t="inlineStr">
        <is>
          <t>Y1,Y5,Y6,Y8</t>
        </is>
      </c>
      <c r="T107" s="3" t="inlineStr"/>
      <c r="U107" s="3" t="n">
        <v>105</v>
      </c>
      <c r="V107" s="3" t="inlineStr">
        <is>
          <t>G06</t>
        </is>
      </c>
      <c r="W107" s="3" t="inlineStr">
        <is>
          <t>中</t>
        </is>
      </c>
    </row>
    <row r="108">
      <c r="A108" s="3" t="inlineStr">
        <is>
          <t>Perf</t>
        </is>
      </c>
      <c r="B108" s="3" t="n">
        <v>97</v>
      </c>
      <c r="C108" s="3" t="inlineStr">
        <is>
          <t>每架 prefill tok/s</t>
        </is>
      </c>
      <c r="D108" s="3" t="inlineStr">
        <is>
          <t>tok/s</t>
        </is>
      </c>
      <c r="E108" s="3" t="n">
        <v>15</v>
      </c>
      <c r="F108" s="3" t="n">
        <v>1</v>
      </c>
      <c r="G108" s="3" t="inlineStr">
        <is>
          <t>C97</t>
        </is>
      </c>
      <c r="H108" s="3">
        <f>C95-C96</f>
        <v/>
      </c>
      <c r="I108" s="3" t="n">
        <v>93038.692819</v>
      </c>
      <c r="J108" s="3" t="inlineStr">
        <is>
          <t>—</t>
        </is>
      </c>
      <c r="K108" s="3" t="inlineStr">
        <is>
          <t>—</t>
        </is>
      </c>
      <c r="L108" s="3" t="inlineStr">
        <is>
          <t>—</t>
        </is>
      </c>
      <c r="M108" s="3" t="inlineStr">
        <is>
          <t>—</t>
        </is>
      </c>
      <c r="N108" s="3" t="inlineStr">
        <is>
          <t>—</t>
        </is>
      </c>
      <c r="O108" s="3" t="inlineStr">
        <is>
          <t>—</t>
        </is>
      </c>
      <c r="P108" s="3" t="inlineStr">
        <is>
          <t>[G06] 不可達時本列為 0；tok/J、VR-eq、能量閉合比也變 0，Checks B26（MAX）不受影響</t>
        </is>
      </c>
      <c r="Q108" s="3" t="inlineStr">
        <is>
          <t>上游含 Y1,Y5,Y6,Y8</t>
        </is>
      </c>
      <c r="R108" s="3" t="inlineStr">
        <is>
          <t>—</t>
        </is>
      </c>
      <c r="S108" s="3" t="inlineStr">
        <is>
          <t>Y1,Y5,Y6,Y8</t>
        </is>
      </c>
      <c r="T108" s="3" t="inlineStr"/>
      <c r="U108" s="3" t="n">
        <v>15</v>
      </c>
      <c r="V108" s="3" t="inlineStr">
        <is>
          <t>G06</t>
        </is>
      </c>
      <c r="W108" s="3" t="inlineStr">
        <is>
          <t>中</t>
        </is>
      </c>
    </row>
    <row r="109">
      <c r="A109" s="3" t="inlineStr">
        <is>
          <t>Perf</t>
        </is>
      </c>
      <c r="B109" s="3" t="n">
        <v>101</v>
      </c>
      <c r="C109" s="3" t="inlineStr">
        <is>
          <t>新鮮 prefill</t>
        </is>
      </c>
      <c r="D109" s="3" t="inlineStr">
        <is>
          <t>GPU-s/M</t>
        </is>
      </c>
      <c r="E109" s="3" t="n">
        <v>15</v>
      </c>
      <c r="F109" s="3" t="n">
        <v>1</v>
      </c>
      <c r="G109" s="3" t="inlineStr">
        <is>
          <t>C101</t>
        </is>
      </c>
      <c r="H109" s="3">
        <f>1000000/C75</f>
        <v/>
      </c>
      <c r="I109" s="3" t="n">
        <v>128.951184</v>
      </c>
      <c r="J109" s="3" t="inlineStr">
        <is>
          <t>—</t>
        </is>
      </c>
      <c r="K109" s="3" t="inlineStr">
        <is>
          <t>—</t>
        </is>
      </c>
      <c r="L109" s="3" t="inlineStr">
        <is>
          <t>—</t>
        </is>
      </c>
      <c r="M109" s="3" t="inlineStr">
        <is>
          <t>—</t>
        </is>
      </c>
      <c r="N109" s="3" t="inlineStr">
        <is>
          <t>—</t>
        </is>
      </c>
      <c r="O109" s="3" t="inlineStr">
        <is>
          <t>—</t>
        </is>
      </c>
      <c r="P109" s="3" t="inlineStr">
        <is>
          <t>—</t>
        </is>
      </c>
      <c r="Q109" s="3" t="inlineStr">
        <is>
          <t>上游含 Y1,Y5,Y6,Y8</t>
        </is>
      </c>
      <c r="R109" s="3" t="inlineStr">
        <is>
          <t>—</t>
        </is>
      </c>
      <c r="S109" s="3" t="inlineStr">
        <is>
          <t>Y1,Y5,Y6,Y8</t>
        </is>
      </c>
      <c r="T109" s="3" t="inlineStr"/>
      <c r="U109" s="3" t="n">
        <v>60</v>
      </c>
      <c r="V109" s="3" t="inlineStr"/>
      <c r="W109" s="3" t="inlineStr">
        <is>
          <t>資訊（只有 L8）</t>
        </is>
      </c>
    </row>
    <row r="110">
      <c r="A110" s="3" t="inlineStr">
        <is>
          <t>Perf</t>
        </is>
      </c>
      <c r="B110" s="3" t="n">
        <v>102</v>
      </c>
      <c r="C110" s="3" t="inlineStr">
        <is>
          <t>快取命中 prefill（KV 載入）</t>
        </is>
      </c>
      <c r="D110" s="3" t="inlineStr">
        <is>
          <t>GPU-s/M</t>
        </is>
      </c>
      <c r="E110" s="3" t="n">
        <v>15</v>
      </c>
      <c r="F110" s="3" t="n">
        <v>1</v>
      </c>
      <c r="G110" s="3" t="inlineStr">
        <is>
          <t>C102</t>
        </is>
      </c>
      <c r="H110" s="3">
        <f>1000000*C34/(C62*1000000000000)</f>
        <v/>
      </c>
      <c r="I110" s="3" t="n">
        <v>0.02795</v>
      </c>
      <c r="J110" s="3" t="inlineStr">
        <is>
          <t>—</t>
        </is>
      </c>
      <c r="K110" s="3" t="inlineStr">
        <is>
          <t>—</t>
        </is>
      </c>
      <c r="L110" s="3" t="inlineStr">
        <is>
          <t>—</t>
        </is>
      </c>
      <c r="M110" s="3" t="inlineStr">
        <is>
          <t>—</t>
        </is>
      </c>
      <c r="N110" s="3" t="inlineStr">
        <is>
          <t>—</t>
        </is>
      </c>
      <c r="O110" s="3" t="inlineStr">
        <is>
          <t>—</t>
        </is>
      </c>
      <c r="P110" s="3" t="inlineStr">
        <is>
          <t>—</t>
        </is>
      </c>
      <c r="Q110" s="3" t="inlineStr">
        <is>
          <t>上游含 Y1</t>
        </is>
      </c>
      <c r="R110" s="3" t="inlineStr">
        <is>
          <t>—</t>
        </is>
      </c>
      <c r="S110" s="3" t="inlineStr">
        <is>
          <t>Y1</t>
        </is>
      </c>
      <c r="T110" s="3" t="inlineStr"/>
      <c r="U110" s="3" t="n">
        <v>45</v>
      </c>
      <c r="V110" s="3" t="inlineStr"/>
      <c r="W110" s="3" t="inlineStr">
        <is>
          <t>資訊（只有 L8）</t>
        </is>
      </c>
    </row>
    <row r="111">
      <c r="A111" s="3" t="inlineStr">
        <is>
          <t>Perf</t>
        </is>
      </c>
      <c r="B111" s="3" t="n">
        <v>103</v>
      </c>
      <c r="C111" s="3" t="inlineStr">
        <is>
          <t>decode（含思考 token；0＝SLO 不可達）</t>
        </is>
      </c>
      <c r="D111" s="3" t="inlineStr">
        <is>
          <t>GPU-s/M</t>
        </is>
      </c>
      <c r="E111" s="3" t="n">
        <v>15</v>
      </c>
      <c r="F111" s="3" t="n">
        <v>1</v>
      </c>
      <c r="G111" s="3" t="inlineStr">
        <is>
          <t>C103</t>
        </is>
      </c>
      <c r="H111" s="3">
        <f>IF(C88&gt;0,1000000/C88,0)</f>
        <v/>
      </c>
      <c r="I111" s="3" t="n">
        <v>1719.933913</v>
      </c>
      <c r="J111" s="3" t="inlineStr">
        <is>
          <t>—</t>
        </is>
      </c>
      <c r="K111" s="3" t="inlineStr">
        <is>
          <t>—</t>
        </is>
      </c>
      <c r="L111" s="3" t="inlineStr">
        <is>
          <t>—</t>
        </is>
      </c>
      <c r="M111" s="3" t="inlineStr">
        <is>
          <t>—</t>
        </is>
      </c>
      <c r="N111" s="3" t="inlineStr">
        <is>
          <t>—</t>
        </is>
      </c>
      <c r="O111" s="3" t="inlineStr">
        <is>
          <t>—</t>
        </is>
      </c>
      <c r="P111" s="3" t="inlineStr">
        <is>
          <t>[G06] 不可達時本列為 0；tok/J、VR-eq、能量閉合比也變 0，Checks B26（MAX）不受影響</t>
        </is>
      </c>
      <c r="Q111" s="3" t="inlineStr">
        <is>
          <t>上游含 Y1,Y5,Y6,Y8</t>
        </is>
      </c>
      <c r="R111" s="3" t="inlineStr">
        <is>
          <t>—</t>
        </is>
      </c>
      <c r="S111" s="3" t="inlineStr">
        <is>
          <t>Y1,Y5,Y6,Y8</t>
        </is>
      </c>
      <c r="T111" s="3" t="inlineStr"/>
      <c r="U111" s="3" t="n">
        <v>60</v>
      </c>
      <c r="V111" s="3" t="inlineStr">
        <is>
          <t>G06</t>
        </is>
      </c>
      <c r="W111" s="3" t="inlineStr">
        <is>
          <t>中</t>
        </is>
      </c>
    </row>
    <row r="112">
      <c r="A112" s="3" t="inlineStr">
        <is>
          <t>Perf</t>
        </is>
      </c>
      <c r="B112" s="3" t="n">
        <v>107</v>
      </c>
      <c r="C112" s="3" t="inlineStr">
        <is>
          <t>運算能量</t>
        </is>
      </c>
      <c r="D112" s="3" t="inlineStr">
        <is>
          <t>pJ/FLOP</t>
        </is>
      </c>
      <c r="E112" s="3" t="n">
        <v>15</v>
      </c>
      <c r="F112" s="3" t="n">
        <v>1</v>
      </c>
      <c r="G112" s="3" t="inlineStr">
        <is>
          <t>C107</t>
        </is>
      </c>
      <c r="H112" s="3">
        <f>C23*Energy!$C$5/(C14*1000000000000000)*1000000000000</f>
        <v/>
      </c>
      <c r="I112" s="3" t="n">
        <v>0.212228</v>
      </c>
      <c r="J112" s="3" t="inlineStr">
        <is>
          <t>—</t>
        </is>
      </c>
      <c r="K112" s="3" t="inlineStr">
        <is>
          <t>[G11] pJ/FLOP＝GPU 功率 × 0.6 ÷ 計算用峰值；Hopper 峰值為 FP8，其他世代為 FP4（第 35 列），跨世代的每 FLOP 能量不同精度</t>
        </is>
      </c>
      <c r="L112" s="3" t="inlineStr">
        <is>
          <t>—</t>
        </is>
      </c>
      <c r="M112" s="3" t="inlineStr">
        <is>
          <t>—</t>
        </is>
      </c>
      <c r="N112" s="3" t="inlineStr">
        <is>
          <t>—</t>
        </is>
      </c>
      <c r="O112" s="3" t="inlineStr">
        <is>
          <t>—</t>
        </is>
      </c>
      <c r="P112" s="3" t="inlineStr">
        <is>
          <t>—</t>
        </is>
      </c>
      <c r="Q112" s="3" t="inlineStr">
        <is>
          <t>—</t>
        </is>
      </c>
      <c r="R112" s="3" t="inlineStr">
        <is>
          <t>—</t>
        </is>
      </c>
      <c r="S112" s="3" t="inlineStr"/>
      <c r="T112" s="3" t="inlineStr"/>
      <c r="U112" s="3" t="n">
        <v>30</v>
      </c>
      <c r="V112" s="3" t="inlineStr">
        <is>
          <t>G11</t>
        </is>
      </c>
      <c r="W112" s="3" t="inlineStr">
        <is>
          <t>低</t>
        </is>
      </c>
    </row>
    <row r="113">
      <c r="A113" s="3" t="inlineStr">
        <is>
          <t>Perf</t>
        </is>
      </c>
      <c r="B113" s="3" t="n">
        <v>108</v>
      </c>
      <c r="C113" s="3" t="inlineStr">
        <is>
          <t>EP 通訊能量</t>
        </is>
      </c>
      <c r="D113" s="3" t="inlineStr">
        <is>
          <t>pJ/B</t>
        </is>
      </c>
      <c r="E113" s="3" t="n">
        <v>15</v>
      </c>
      <c r="F113" s="3" t="n">
        <v>1</v>
      </c>
      <c r="G113" s="3" t="inlineStr">
        <is>
          <t>C108</t>
        </is>
      </c>
      <c r="H113" s="3">
        <f>IF(C$6=1,Energy!$C$7,Energy!$C$6)</f>
        <v/>
      </c>
      <c r="I113" s="3" t="n">
        <v>40</v>
      </c>
      <c r="J113" s="3" t="inlineStr">
        <is>
          <t>—</t>
        </is>
      </c>
      <c r="K113" s="3" t="inlineStr">
        <is>
          <t>—</t>
        </is>
      </c>
      <c r="L113" s="3" t="inlineStr">
        <is>
          <t>—</t>
        </is>
      </c>
      <c r="M113" s="3" t="inlineStr">
        <is>
          <t>—</t>
        </is>
      </c>
      <c r="N113" s="3" t="inlineStr">
        <is>
          <t>—</t>
        </is>
      </c>
      <c r="O113" s="3" t="inlineStr">
        <is>
          <t>—</t>
        </is>
      </c>
      <c r="P113" s="3" t="inlineStr">
        <is>
          <t>—</t>
        </is>
      </c>
      <c r="Q113" s="3" t="inlineStr">
        <is>
          <t>—</t>
        </is>
      </c>
      <c r="R113" s="3" t="inlineStr">
        <is>
          <t>—</t>
        </is>
      </c>
      <c r="S113" s="3" t="inlineStr"/>
      <c r="T113" s="3" t="inlineStr"/>
      <c r="U113" s="3" t="n">
        <v>15</v>
      </c>
      <c r="V113" s="3" t="inlineStr"/>
      <c r="W113" s="3" t="inlineStr">
        <is>
          <t>—</t>
        </is>
      </c>
    </row>
    <row r="114">
      <c r="A114" s="3" t="inlineStr">
        <is>
          <t>Perf</t>
        </is>
      </c>
      <c r="B114" s="3" t="n">
        <v>109</v>
      </c>
      <c r="C114" s="3" t="inlineStr">
        <is>
          <t>decode FLOPs/接受 token（含草稿驗證）</t>
        </is>
      </c>
      <c r="D114" s="3" t="inlineStr">
        <is>
          <t>GFLOP</t>
        </is>
      </c>
      <c r="E114" s="3" t="n">
        <v>15</v>
      </c>
      <c r="F114" s="3" t="n">
        <v>1</v>
      </c>
      <c r="G114" s="3" t="inlineStr">
        <is>
          <t>C109</t>
        </is>
      </c>
      <c r="H114" s="3">
        <f>(C47+1)*C65/C49</f>
        <v/>
      </c>
      <c r="I114" s="3" t="n">
        <v>61.157834</v>
      </c>
      <c r="J114" s="3" t="inlineStr">
        <is>
          <t>—</t>
        </is>
      </c>
      <c r="K114" s="3" t="inlineStr">
        <is>
          <t>—</t>
        </is>
      </c>
      <c r="L114" s="3" t="inlineStr">
        <is>
          <t>—</t>
        </is>
      </c>
      <c r="M114" s="3" t="inlineStr">
        <is>
          <t>—</t>
        </is>
      </c>
      <c r="N114" s="3" t="inlineStr">
        <is>
          <t>—</t>
        </is>
      </c>
      <c r="O114" s="3" t="inlineStr">
        <is>
          <t>—</t>
        </is>
      </c>
      <c r="P114" s="3" t="inlineStr">
        <is>
          <t>—</t>
        </is>
      </c>
      <c r="Q114" s="3" t="inlineStr">
        <is>
          <t>上游含 Y1,Y6</t>
        </is>
      </c>
      <c r="R114" s="3" t="inlineStr">
        <is>
          <t>—</t>
        </is>
      </c>
      <c r="S114" s="3" t="inlineStr">
        <is>
          <t>Y1,Y6</t>
        </is>
      </c>
      <c r="T114" s="3" t="inlineStr"/>
      <c r="U114" s="3" t="n">
        <v>15</v>
      </c>
      <c r="V114" s="3" t="inlineStr"/>
      <c r="W114" s="3" t="inlineStr">
        <is>
          <t>資訊（只有 L8）</t>
        </is>
      </c>
    </row>
    <row r="115">
      <c r="A115" s="3" t="inlineStr">
        <is>
          <t>Perf</t>
        </is>
      </c>
      <c r="B115" s="3" t="n">
        <v>110</v>
      </c>
      <c r="C115" s="3" t="inlineStr">
        <is>
          <t>decode HBM 讀取/接受 token</t>
        </is>
      </c>
      <c r="D115" s="3" t="inlineStr">
        <is>
          <t>GB</t>
        </is>
      </c>
      <c r="E115" s="3" t="n">
        <v>15</v>
      </c>
      <c r="F115" s="3" t="n">
        <v>1</v>
      </c>
      <c r="G115" s="3" t="inlineStr">
        <is>
          <t>C110</t>
        </is>
      </c>
      <c r="H115" s="3">
        <f>IF(C87&gt;0,(C72+C87*C34*C45/1000000000)/(C87*C49),0)</f>
        <v/>
      </c>
      <c r="I115" s="3" t="n">
        <v>0.805264</v>
      </c>
      <c r="J115" s="3" t="inlineStr">
        <is>
          <t>—</t>
        </is>
      </c>
      <c r="K115" s="3" t="inlineStr">
        <is>
          <t>—</t>
        </is>
      </c>
      <c r="L115" s="3" t="inlineStr">
        <is>
          <t>—</t>
        </is>
      </c>
      <c r="M115" s="3" t="inlineStr">
        <is>
          <t>—</t>
        </is>
      </c>
      <c r="N115" s="3" t="inlineStr">
        <is>
          <t>—</t>
        </is>
      </c>
      <c r="O115" s="3" t="inlineStr">
        <is>
          <t>—</t>
        </is>
      </c>
      <c r="P115" s="3" t="inlineStr">
        <is>
          <t>[G06] 不可達時本列為 0；tok/J、VR-eq、能量閉合比也變 0，Checks B26（MAX）不受影響</t>
        </is>
      </c>
      <c r="Q115" s="3" t="inlineStr">
        <is>
          <t>上游含 Y1,Y5,Y6,Y8</t>
        </is>
      </c>
      <c r="R115" s="3" t="inlineStr">
        <is>
          <t>—</t>
        </is>
      </c>
      <c r="S115" s="3" t="inlineStr">
        <is>
          <t>Y1,Y5,Y6,Y8</t>
        </is>
      </c>
      <c r="T115" s="3" t="inlineStr"/>
      <c r="U115" s="3" t="n">
        <v>15</v>
      </c>
      <c r="V115" s="3" t="inlineStr">
        <is>
          <t>G06</t>
        </is>
      </c>
      <c r="W115" s="3" t="inlineStr">
        <is>
          <t>中</t>
        </is>
      </c>
    </row>
    <row r="116">
      <c r="A116" s="3" t="inlineStr">
        <is>
          <t>Perf</t>
        </is>
      </c>
      <c r="B116" s="3" t="n">
        <v>111</v>
      </c>
      <c r="C116" s="3" t="inlineStr">
        <is>
          <t>decode EP 傳輸/接受 token</t>
        </is>
      </c>
      <c r="D116" s="3" t="inlineStr">
        <is>
          <t>GB</t>
        </is>
      </c>
      <c r="E116" s="3" t="n">
        <v>15</v>
      </c>
      <c r="F116" s="3" t="n">
        <v>1</v>
      </c>
      <c r="G116" s="3" t="inlineStr">
        <is>
          <t>C111</t>
        </is>
      </c>
      <c r="H116" s="3">
        <f>(C47+1)*C29*C31*C30*C59/C49/1000000000</f>
        <v/>
      </c>
      <c r="I116" s="3" t="n">
        <v>0.005006</v>
      </c>
      <c r="J116" s="3" t="inlineStr">
        <is>
          <t>—</t>
        </is>
      </c>
      <c r="K116" s="3" t="inlineStr">
        <is>
          <t>—</t>
        </is>
      </c>
      <c r="L116" s="3" t="inlineStr">
        <is>
          <t>—</t>
        </is>
      </c>
      <c r="M116" s="3" t="inlineStr">
        <is>
          <t>—</t>
        </is>
      </c>
      <c r="N116" s="3" t="inlineStr">
        <is>
          <t>—</t>
        </is>
      </c>
      <c r="O116" s="3" t="inlineStr">
        <is>
          <t>—</t>
        </is>
      </c>
      <c r="P116" s="3" t="inlineStr">
        <is>
          <t>—</t>
        </is>
      </c>
      <c r="Q116" s="3" t="inlineStr">
        <is>
          <t>上游含 Y1</t>
        </is>
      </c>
      <c r="R116" s="3" t="inlineStr">
        <is>
          <t>—</t>
        </is>
      </c>
      <c r="S116" s="3" t="inlineStr">
        <is>
          <t>Y1</t>
        </is>
      </c>
      <c r="T116" s="3" t="inlineStr"/>
      <c r="U116" s="3" t="n">
        <v>15</v>
      </c>
      <c r="V116" s="3" t="inlineStr"/>
      <c r="W116" s="3" t="inlineStr">
        <is>
          <t>資訊（只有 L8）</t>
        </is>
      </c>
    </row>
    <row r="117">
      <c r="A117" s="3" t="inlineStr">
        <is>
          <t>Perf</t>
        </is>
      </c>
      <c r="B117" s="3" t="n">
        <v>112</v>
      </c>
      <c r="C117" s="3" t="inlineStr">
        <is>
          <t>decode 物理下限能量</t>
        </is>
      </c>
      <c r="D117" s="3" t="inlineStr">
        <is>
          <t>J/tok</t>
        </is>
      </c>
      <c r="E117" s="3" t="n">
        <v>15</v>
      </c>
      <c r="F117" s="3" t="n">
        <v>1</v>
      </c>
      <c r="G117" s="3" t="inlineStr">
        <is>
          <t>C112</t>
        </is>
      </c>
      <c r="H117" s="3">
        <f>(C109*C107+C110*C24+C111*C108)/1000</f>
        <v/>
      </c>
      <c r="I117" s="3" t="n">
        <v>0.038143</v>
      </c>
      <c r="J117" s="3" t="inlineStr">
        <is>
          <t>—</t>
        </is>
      </c>
      <c r="K117" s="3" t="inlineStr">
        <is>
          <t>—</t>
        </is>
      </c>
      <c r="L117" s="3" t="inlineStr">
        <is>
          <t>—</t>
        </is>
      </c>
      <c r="M117" s="3" t="inlineStr">
        <is>
          <t>—</t>
        </is>
      </c>
      <c r="N117" s="3" t="inlineStr">
        <is>
          <t>—</t>
        </is>
      </c>
      <c r="O117" s="3" t="inlineStr">
        <is>
          <t>—</t>
        </is>
      </c>
      <c r="P117" s="3" t="inlineStr">
        <is>
          <t>—</t>
        </is>
      </c>
      <c r="Q117" s="3" t="inlineStr">
        <is>
          <t>上游含 Y1,Y5,Y6,Y8</t>
        </is>
      </c>
      <c r="R117" s="3" t="inlineStr">
        <is>
          <t>[G11] decode 物理下限能量 × 產出 ÷ 平均用電差一個數量級以上（15–27 倍）；與 decode MFU 1–2.5% 一致。Energy C5 端點對所有契約名稱影響 0（只進閉合檢查）</t>
        </is>
      </c>
      <c r="S117" s="3" t="inlineStr">
        <is>
          <t>Y1,Y5,Y6,Y8</t>
        </is>
      </c>
      <c r="T117" s="3" t="inlineStr"/>
      <c r="U117" s="3" t="n">
        <v>15</v>
      </c>
      <c r="V117" s="3" t="inlineStr">
        <is>
          <t>G11</t>
        </is>
      </c>
      <c r="W117" s="3" t="inlineStr">
        <is>
          <t>中</t>
        </is>
      </c>
    </row>
    <row r="118">
      <c r="A118" s="3" t="inlineStr">
        <is>
          <t>Perf</t>
        </is>
      </c>
      <c r="B118" s="3" t="n">
        <v>113</v>
      </c>
      <c r="C118" s="3" t="inlineStr">
        <is>
          <t>prefill 物理下限能量</t>
        </is>
      </c>
      <c r="D118" s="3" t="inlineStr">
        <is>
          <t>J/tok</t>
        </is>
      </c>
      <c r="E118" s="3" t="n">
        <v>15</v>
      </c>
      <c r="F118" s="3" t="n">
        <v>1</v>
      </c>
      <c r="G118" s="3" t="inlineStr">
        <is>
          <t>C113</t>
        </is>
      </c>
      <c r="H118" s="3">
        <f>C67*C107/1000</f>
        <v/>
      </c>
      <c r="I118" s="3" t="n">
        <v>0.00812</v>
      </c>
      <c r="J118" s="3" t="inlineStr">
        <is>
          <t>—</t>
        </is>
      </c>
      <c r="K118" s="3" t="inlineStr">
        <is>
          <t>—</t>
        </is>
      </c>
      <c r="L118" s="3" t="inlineStr">
        <is>
          <t>—</t>
        </is>
      </c>
      <c r="M118" s="3" t="inlineStr">
        <is>
          <t>—</t>
        </is>
      </c>
      <c r="N118" s="3" t="inlineStr">
        <is>
          <t>—</t>
        </is>
      </c>
      <c r="O118" s="3" t="inlineStr">
        <is>
          <t>—</t>
        </is>
      </c>
      <c r="P118" s="3" t="inlineStr">
        <is>
          <t>—</t>
        </is>
      </c>
      <c r="Q118" s="3" t="inlineStr">
        <is>
          <t>上游含 Y1,Y6</t>
        </is>
      </c>
      <c r="R118" s="3" t="inlineStr">
        <is>
          <t>[G11] decode 物理下限能量 × 產出 ÷ 平均用電差一個數量級以上（15–27 倍）；與 decode MFU 1–2.5% 一致。Energy C5 端點對所有契約名稱影響 0（只進閉合檢查）</t>
        </is>
      </c>
      <c r="S118" s="3" t="inlineStr">
        <is>
          <t>Y1,Y6</t>
        </is>
      </c>
      <c r="T118" s="3" t="inlineStr"/>
      <c r="U118" s="3" t="n">
        <v>15</v>
      </c>
      <c r="V118" s="3" t="inlineStr">
        <is>
          <t>G11</t>
        </is>
      </c>
      <c r="W118" s="3" t="inlineStr">
        <is>
          <t>中</t>
        </is>
      </c>
    </row>
    <row r="119">
      <c r="A119" s="3" t="inlineStr">
        <is>
          <t>Perf</t>
        </is>
      </c>
      <c r="B119" s="3" t="n">
        <v>114</v>
      </c>
      <c r="C119" s="3" t="inlineStr">
        <is>
          <t>物理下限功率（每架）</t>
        </is>
      </c>
      <c r="D119" s="3" t="inlineStr">
        <is>
          <t>kW</t>
        </is>
      </c>
      <c r="E119" s="3" t="n">
        <v>15</v>
      </c>
      <c r="F119" s="3" t="n">
        <v>1</v>
      </c>
      <c r="G119" s="3" t="inlineStr">
        <is>
          <t>C114</t>
        </is>
      </c>
      <c r="H119" s="3">
        <f>(C97*C113+C96*C112)/1000</f>
        <v/>
      </c>
      <c r="I119" s="3" t="n">
        <v>1.199053</v>
      </c>
      <c r="J119" s="3" t="inlineStr">
        <is>
          <t>—</t>
        </is>
      </c>
      <c r="K119" s="3" t="inlineStr">
        <is>
          <t>—</t>
        </is>
      </c>
      <c r="L119" s="3" t="inlineStr">
        <is>
          <t>—</t>
        </is>
      </c>
      <c r="M119" s="3" t="inlineStr">
        <is>
          <t>—</t>
        </is>
      </c>
      <c r="N119" s="3" t="inlineStr">
        <is>
          <t>—</t>
        </is>
      </c>
      <c r="O119" s="3" t="inlineStr">
        <is>
          <t>—</t>
        </is>
      </c>
      <c r="P119" s="3" t="inlineStr">
        <is>
          <t>[G06] 不可達時本列為 0；tok/J、VR-eq、能量閉合比也變 0，Checks B26（MAX）不受影響</t>
        </is>
      </c>
      <c r="Q119" s="3" t="inlineStr">
        <is>
          <t>上游含 Y1,Y5,Y6,Y8</t>
        </is>
      </c>
      <c r="R119" s="3" t="inlineStr">
        <is>
          <t>[G11] decode 物理下限能量 × 產出 ÷ 平均用電差一個數量級以上（15–27 倍）；與 decode MFU 1–2.5% 一致。Energy C5 端點對所有契約名稱影響 0（只進閉合檢查）</t>
        </is>
      </c>
      <c r="S119" s="3" t="inlineStr">
        <is>
          <t>Y1,Y5,Y6,Y8</t>
        </is>
      </c>
      <c r="T119" s="3" t="inlineStr"/>
      <c r="U119" s="3" t="n">
        <v>15</v>
      </c>
      <c r="V119" s="3" t="inlineStr">
        <is>
          <t>G06,G11</t>
        </is>
      </c>
      <c r="W119" s="3" t="inlineStr">
        <is>
          <t>中</t>
        </is>
      </c>
    </row>
    <row r="120">
      <c r="A120" s="3" t="inlineStr">
        <is>
          <t>Perf</t>
        </is>
      </c>
      <c r="B120" s="3" t="n">
        <v>115</v>
      </c>
      <c r="C120" s="3" t="inlineStr">
        <is>
          <t>機架平均用電（Block 1 假設）</t>
        </is>
      </c>
      <c r="D120" s="3" t="inlineStr">
        <is>
          <t>kW</t>
        </is>
      </c>
      <c r="E120" s="3" t="n">
        <v>15</v>
      </c>
      <c r="F120" s="3" t="n">
        <v>1</v>
      </c>
      <c r="G120" s="3" t="inlineStr">
        <is>
          <t>C115</t>
        </is>
      </c>
      <c r="H120" s="3">
        <f>C26*Inputs!$E$10</f>
        <v/>
      </c>
      <c r="I120" s="3" t="n">
        <v>32.8</v>
      </c>
      <c r="J120" s="3" t="inlineStr">
        <is>
          <t>—</t>
        </is>
      </c>
      <c r="K120" s="3" t="inlineStr">
        <is>
          <t>—</t>
        </is>
      </c>
      <c r="L120" s="3" t="inlineStr">
        <is>
          <t>—</t>
        </is>
      </c>
      <c r="M120" s="3" t="inlineStr">
        <is>
          <t>—</t>
        </is>
      </c>
      <c r="N120" s="3" t="inlineStr">
        <is>
          <t>—</t>
        </is>
      </c>
      <c r="O120" s="3" t="inlineStr">
        <is>
          <t>—</t>
        </is>
      </c>
      <c r="P120" s="3" t="inlineStr">
        <is>
          <t>—</t>
        </is>
      </c>
      <c r="Q120" s="3" t="inlineStr">
        <is>
          <t>—</t>
        </is>
      </c>
      <c r="R120" s="3" t="inlineStr">
        <is>
          <t>—</t>
        </is>
      </c>
      <c r="S120" s="3" t="inlineStr"/>
      <c r="T120" s="3" t="inlineStr"/>
      <c r="U120" s="3" t="n">
        <v>45</v>
      </c>
      <c r="V120" s="3" t="inlineStr"/>
      <c r="W120" s="3" t="inlineStr">
        <is>
          <t>—</t>
        </is>
      </c>
    </row>
    <row r="121">
      <c r="A121" s="3" t="inlineStr">
        <is>
          <t>Perf</t>
        </is>
      </c>
      <c r="B121" s="3" t="n">
        <v>116</v>
      </c>
      <c r="C121" s="3" t="inlineStr">
        <is>
          <t>閉合比（下限 ÷ 平均用電；須 ≤ 100%）</t>
        </is>
      </c>
      <c r="D121" s="3" t="inlineStr">
        <is>
          <t>%</t>
        </is>
      </c>
      <c r="E121" s="3" t="n">
        <v>15</v>
      </c>
      <c r="F121" s="3" t="n">
        <v>1</v>
      </c>
      <c r="G121" s="3" t="inlineStr">
        <is>
          <t>C116</t>
        </is>
      </c>
      <c r="H121" s="3">
        <f>IF(C115&gt;0,C114/C115,0)</f>
        <v/>
      </c>
      <c r="I121" s="3" t="n">
        <v>0.036556</v>
      </c>
      <c r="J121" s="3" t="inlineStr">
        <is>
          <t>—</t>
        </is>
      </c>
      <c r="K121" s="3" t="inlineStr">
        <is>
          <t>—</t>
        </is>
      </c>
      <c r="L121" s="3" t="inlineStr">
        <is>
          <t>—</t>
        </is>
      </c>
      <c r="M121" s="3" t="inlineStr">
        <is>
          <t>—</t>
        </is>
      </c>
      <c r="N121" s="3" t="inlineStr">
        <is>
          <t>[G11] 能量閉合比 3.7–6.7%：物理下限只解釋平均用電的 7% 以下；「≤ 100%」檢查實際上無法失敗（Checks B26）</t>
        </is>
      </c>
      <c r="O121" s="3" t="inlineStr">
        <is>
          <t>—</t>
        </is>
      </c>
      <c r="P121" s="3" t="inlineStr">
        <is>
          <t>[G06] 不可達時本列為 0；tok/J、VR-eq、能量閉合比也變 0，Checks B26（MAX）不受影響</t>
        </is>
      </c>
      <c r="Q121" s="3" t="inlineStr">
        <is>
          <t>上游含 Y1,Y5,Y6,Y8</t>
        </is>
      </c>
      <c r="R121" s="3" t="inlineStr">
        <is>
          <t>—</t>
        </is>
      </c>
      <c r="S121" s="3" t="inlineStr">
        <is>
          <t>Y1,Y5,Y6,Y8</t>
        </is>
      </c>
      <c r="T121" s="3" t="inlineStr"/>
      <c r="U121" s="3" t="n">
        <v>0</v>
      </c>
      <c r="V121" s="3" t="inlineStr">
        <is>
          <t>G06,G11</t>
        </is>
      </c>
      <c r="W121" s="3" t="inlineStr">
        <is>
          <t>中</t>
        </is>
      </c>
    </row>
    <row r="122">
      <c r="A122" s="3" t="inlineStr">
        <is>
          <t>Perf</t>
        </is>
      </c>
      <c r="B122" s="3" t="n">
        <v>117</v>
      </c>
      <c r="C122" s="3" t="inlineStr">
        <is>
          <t>tokens／焦耳（總 token，平均用電口徑）</t>
        </is>
      </c>
      <c r="D122" s="3" t="inlineStr">
        <is>
          <t>tok/J</t>
        </is>
      </c>
      <c r="E122" s="3" t="n">
        <v>15</v>
      </c>
      <c r="F122" s="3" t="n">
        <v>1</v>
      </c>
      <c r="G122" s="3" t="inlineStr">
        <is>
          <t>C117</t>
        </is>
      </c>
      <c r="H122" s="3">
        <f>C95/(C115*1000)</f>
        <v/>
      </c>
      <c r="I122" s="3" t="n">
        <v>3.191114</v>
      </c>
      <c r="J122" s="3" t="inlineStr">
        <is>
          <t>—</t>
        </is>
      </c>
      <c r="K122" s="3" t="inlineStr">
        <is>
          <t>[G12] 分子為 100% 利用率的每架產出，分母為平均用電（配電設計 × 0.8，Inputs E10）；第 118 列按 GPU 數比例把機架電力分給 decode</t>
        </is>
      </c>
      <c r="L122" s="3" t="inlineStr">
        <is>
          <t>—</t>
        </is>
      </c>
      <c r="M122" s="3" t="inlineStr">
        <is>
          <t>—</t>
        </is>
      </c>
      <c r="N122" s="3" t="inlineStr">
        <is>
          <t>—</t>
        </is>
      </c>
      <c r="O122" s="3" t="inlineStr">
        <is>
          <t>—</t>
        </is>
      </c>
      <c r="P122" s="3" t="inlineStr">
        <is>
          <t>[G06] 不可達時本列為 0；tok/J、VR-eq、能量閉合比也變 0，Checks B26（MAX）不受影響</t>
        </is>
      </c>
      <c r="Q122" s="3" t="inlineStr">
        <is>
          <t>上游含 Y1,Y5,Y6,Y8</t>
        </is>
      </c>
      <c r="R122" s="3" t="inlineStr">
        <is>
          <t>—</t>
        </is>
      </c>
      <c r="S122" s="3" t="inlineStr">
        <is>
          <t>Y1,Y5,Y6,Y8</t>
        </is>
      </c>
      <c r="T122" s="3" t="inlineStr"/>
      <c r="U122" s="3" t="n">
        <v>45</v>
      </c>
      <c r="V122" s="3" t="inlineStr">
        <is>
          <t>G06,G12</t>
        </is>
      </c>
      <c r="W122" s="3" t="inlineStr">
        <is>
          <t>中</t>
        </is>
      </c>
    </row>
    <row r="123">
      <c r="A123" s="3" t="inlineStr">
        <is>
          <t>Perf</t>
        </is>
      </c>
      <c r="B123" s="3" t="n">
        <v>120</v>
      </c>
      <c r="C123" s="3" t="inlineStr">
        <is>
          <t>VR-eq 係數</t>
        </is>
      </c>
      <c r="D123" s="3" t="inlineStr">
        <is>
          <t>x</t>
        </is>
      </c>
      <c r="E123" s="3" t="n">
        <v>15</v>
      </c>
      <c r="F123" s="3" t="n">
        <v>1</v>
      </c>
      <c r="G123" s="3" t="inlineStr">
        <is>
          <t>C120</t>
        </is>
      </c>
      <c r="H123" s="3">
        <f>IF(INDEX($C$98:$Q$98,9+C$7)&gt;0,C98/INDEX($C$98:$Q$98,9+C$7),0)</f>
        <v/>
      </c>
      <c r="I123" s="3" t="n">
        <v>0.095845</v>
      </c>
      <c r="J123" s="3" t="inlineStr">
        <is>
          <t>—</t>
        </is>
      </c>
      <c r="K123" s="3" t="inlineStr">
        <is>
          <t>—</t>
        </is>
      </c>
      <c r="L123" s="3" t="inlineStr">
        <is>
          <t>—</t>
        </is>
      </c>
      <c r="M123" s="3" t="inlineStr">
        <is>
          <t>—</t>
        </is>
      </c>
      <c r="N123" s="3" t="inlineStr">
        <is>
          <t>—</t>
        </is>
      </c>
      <c r="O123" s="3" t="inlineStr">
        <is>
          <t>—</t>
        </is>
      </c>
      <c r="P123" s="3" t="inlineStr">
        <is>
          <t>[G06] 不可達時本列為 0；tok/J、VR-eq、能量閉合比也變 0，Checks B26（MAX）不受影響</t>
        </is>
      </c>
      <c r="Q123" s="3" t="inlineStr">
        <is>
          <t>上游含 Y1,Y5,Y6,Y8</t>
        </is>
      </c>
      <c r="R123" s="3" t="inlineStr">
        <is>
          <t>—</t>
        </is>
      </c>
      <c r="S123" s="3" t="inlineStr">
        <is>
          <t>Y1,Y5,Y6,Y8</t>
        </is>
      </c>
      <c r="T123" s="3" t="inlineStr"/>
      <c r="U123" s="3" t="n">
        <v>45</v>
      </c>
      <c r="V123" s="3" t="inlineStr">
        <is>
          <t>G06</t>
        </is>
      </c>
      <c r="W123" s="3" t="inlineStr">
        <is>
          <t>中</t>
        </is>
      </c>
    </row>
    <row r="124">
      <c r="A124" s="3" t="inlineStr">
        <is>
          <t>Unit_Cost</t>
        </is>
      </c>
      <c r="B124" s="3" t="n">
        <v>8</v>
      </c>
      <c r="C124" s="3" t="inlineStr">
        <is>
          <t>每 GPU 小時持有成本 — 經濟</t>
        </is>
      </c>
      <c r="D124" s="3" t="inlineStr">
        <is>
          <t>$/GPU-hr</t>
        </is>
      </c>
      <c r="E124" s="3" t="n">
        <v>15</v>
      </c>
      <c r="F124" s="3" t="n">
        <v>1</v>
      </c>
      <c r="G124" s="3" t="inlineStr">
        <is>
          <t>C8</t>
        </is>
      </c>
      <c r="H124" s="3">
        <f>DC_Cost!C58</f>
        <v/>
      </c>
      <c r="I124" s="3" t="n">
        <v>1.079645</v>
      </c>
      <c r="J124" s="3" t="inlineStr">
        <is>
          <t>—</t>
        </is>
      </c>
      <c r="K124" s="3" t="inlineStr">
        <is>
          <t>—</t>
        </is>
      </c>
      <c r="L124" s="3" t="inlineStr">
        <is>
          <t>—</t>
        </is>
      </c>
      <c r="M124" s="3" t="inlineStr">
        <is>
          <t>—</t>
        </is>
      </c>
      <c r="N124" s="3" t="inlineStr">
        <is>
          <t>—</t>
        </is>
      </c>
      <c r="O124" s="3" t="inlineStr">
        <is>
          <t>—</t>
        </is>
      </c>
      <c r="P124" s="3" t="inlineStr">
        <is>
          <t>—</t>
        </is>
      </c>
      <c r="Q124" s="3" t="inlineStr">
        <is>
          <t>上游含 Y4,Y7</t>
        </is>
      </c>
      <c r="R124" s="3" t="inlineStr">
        <is>
          <t>—</t>
        </is>
      </c>
      <c r="S124" s="3" t="inlineStr">
        <is>
          <t>Y4,Y7</t>
        </is>
      </c>
      <c r="T124" s="3" t="inlineStr"/>
      <c r="U124" s="3" t="n">
        <v>510</v>
      </c>
      <c r="V124" s="3" t="inlineStr"/>
      <c r="W124" s="3" t="inlineStr">
        <is>
          <t>資訊（只有 L8）</t>
        </is>
      </c>
    </row>
    <row r="125">
      <c r="A125" s="3" t="inlineStr">
        <is>
          <t>Unit_Cost</t>
        </is>
      </c>
      <c r="B125" s="3" t="n">
        <v>9</v>
      </c>
      <c r="C125" s="3" t="inlineStr">
        <is>
          <t>每 GPU 小時持有成本 — 會計</t>
        </is>
      </c>
      <c r="D125" s="3" t="inlineStr">
        <is>
          <t>$/GPU-hr</t>
        </is>
      </c>
      <c r="E125" s="3" t="n">
        <v>15</v>
      </c>
      <c r="F125" s="3" t="n">
        <v>1</v>
      </c>
      <c r="G125" s="3" t="inlineStr">
        <is>
          <t>C9</t>
        </is>
      </c>
      <c r="H125" s="3">
        <f>DC_Cost!C57</f>
        <v/>
      </c>
      <c r="I125" s="3" t="n">
        <v>0.825107</v>
      </c>
      <c r="J125" s="3" t="inlineStr">
        <is>
          <t>—</t>
        </is>
      </c>
      <c r="K125" s="3" t="inlineStr">
        <is>
          <t>—</t>
        </is>
      </c>
      <c r="L125" s="3" t="inlineStr">
        <is>
          <t>—</t>
        </is>
      </c>
      <c r="M125" s="3" t="inlineStr">
        <is>
          <t>—</t>
        </is>
      </c>
      <c r="N125" s="3" t="inlineStr">
        <is>
          <t>—</t>
        </is>
      </c>
      <c r="O125" s="3" t="inlineStr">
        <is>
          <t>—</t>
        </is>
      </c>
      <c r="P125" s="3" t="inlineStr">
        <is>
          <t>—</t>
        </is>
      </c>
      <c r="Q125" s="3" t="inlineStr">
        <is>
          <t>上游含 Y4,Y7</t>
        </is>
      </c>
      <c r="R125" s="3" t="inlineStr">
        <is>
          <t>—</t>
        </is>
      </c>
      <c r="S125" s="3" t="inlineStr">
        <is>
          <t>Y4,Y7</t>
        </is>
      </c>
      <c r="T125" s="3" t="inlineStr"/>
      <c r="U125" s="3" t="n">
        <v>45</v>
      </c>
      <c r="V125" s="3" t="inlineStr"/>
      <c r="W125" s="3" t="inlineStr">
        <is>
          <t>資訊（只有 L8）</t>
        </is>
      </c>
    </row>
    <row r="126">
      <c r="A126" s="3" t="inlineStr">
        <is>
          <t>Unit_Cost</t>
        </is>
      </c>
      <c r="B126" s="3" t="n">
        <v>10</v>
      </c>
      <c r="C126" s="3" t="inlineStr">
        <is>
          <t>基準利用率</t>
        </is>
      </c>
      <c r="D126" s="3" t="inlineStr">
        <is>
          <t>%</t>
        </is>
      </c>
      <c r="E126" s="3" t="n">
        <v>15</v>
      </c>
      <c r="F126" s="3" t="n">
        <v>1</v>
      </c>
      <c r="G126" s="3" t="inlineStr">
        <is>
          <t>C10</t>
        </is>
      </c>
      <c r="H126" s="3">
        <f>Serving!$C$17</f>
        <v/>
      </c>
      <c r="I126" s="3" t="n">
        <v>0.6</v>
      </c>
      <c r="J126" s="3" t="inlineStr">
        <is>
          <t>—</t>
        </is>
      </c>
      <c r="K126" s="3" t="inlineStr">
        <is>
          <t>—</t>
        </is>
      </c>
      <c r="L126" s="3" t="inlineStr">
        <is>
          <t>—</t>
        </is>
      </c>
      <c r="M126" s="3" t="inlineStr">
        <is>
          <t>—</t>
        </is>
      </c>
      <c r="N126" s="3" t="inlineStr">
        <is>
          <t>—</t>
        </is>
      </c>
      <c r="O126" s="3" t="inlineStr">
        <is>
          <t>—</t>
        </is>
      </c>
      <c r="P126" s="3" t="inlineStr">
        <is>
          <t>—</t>
        </is>
      </c>
      <c r="Q126" s="3" t="inlineStr">
        <is>
          <t>直接引用 Y5 類輸入</t>
        </is>
      </c>
      <c r="R126" s="3" t="inlineStr">
        <is>
          <t>—</t>
        </is>
      </c>
      <c r="S126" s="3" t="inlineStr">
        <is>
          <t>Y5</t>
        </is>
      </c>
      <c r="T126" s="3" t="inlineStr">
        <is>
          <t>Y5</t>
        </is>
      </c>
      <c r="U126" s="3" t="n">
        <v>135</v>
      </c>
      <c r="V126" s="3" t="inlineStr"/>
      <c r="W126" s="3" t="inlineStr">
        <is>
          <t>資訊（只有 L8）</t>
        </is>
      </c>
    </row>
    <row r="127">
      <c r="A127" s="3" t="inlineStr">
        <is>
          <t>Unit_Cost</t>
        </is>
      </c>
      <c r="B127" s="3" t="n">
        <v>13</v>
      </c>
      <c r="C127" s="3" t="inlineStr">
        <is>
          <t>GPU 秒／M 新鮮 prefill</t>
        </is>
      </c>
      <c r="D127" s="3" t="inlineStr">
        <is>
          <t>GPU-s</t>
        </is>
      </c>
      <c r="E127" s="3" t="n">
        <v>15</v>
      </c>
      <c r="F127" s="3" t="n">
        <v>1</v>
      </c>
      <c r="G127" s="3" t="inlineStr">
        <is>
          <t>C13</t>
        </is>
      </c>
      <c r="H127" s="3">
        <f>INDEX(Perf!$C$101:$Q$101,3*(C$6-1)+1)</f>
        <v/>
      </c>
      <c r="I127" s="3" t="n">
        <v>128.951184</v>
      </c>
      <c r="J127" s="3" t="inlineStr">
        <is>
          <t>—</t>
        </is>
      </c>
      <c r="K127" s="3" t="inlineStr">
        <is>
          <t>—</t>
        </is>
      </c>
      <c r="L127" s="3" t="inlineStr">
        <is>
          <t>—</t>
        </is>
      </c>
      <c r="M127" s="3" t="inlineStr">
        <is>
          <t>—</t>
        </is>
      </c>
      <c r="N127" s="3" t="inlineStr">
        <is>
          <t>—</t>
        </is>
      </c>
      <c r="O127" s="3" t="inlineStr">
        <is>
          <t>—</t>
        </is>
      </c>
      <c r="P127" s="3" t="inlineStr">
        <is>
          <t>—</t>
        </is>
      </c>
      <c r="Q127" s="3" t="inlineStr">
        <is>
          <t>上游含 Y1,Y5,Y6,Y8</t>
        </is>
      </c>
      <c r="R127" s="3" t="inlineStr">
        <is>
          <t>—</t>
        </is>
      </c>
      <c r="S127" s="3" t="inlineStr">
        <is>
          <t>Y1,Y5,Y6,Y8</t>
        </is>
      </c>
      <c r="T127" s="3" t="inlineStr"/>
      <c r="U127" s="3" t="n">
        <v>15</v>
      </c>
      <c r="V127" s="3" t="inlineStr"/>
      <c r="W127" s="3" t="inlineStr">
        <is>
          <t>資訊（只有 L8）</t>
        </is>
      </c>
    </row>
    <row r="128">
      <c r="A128" s="3" t="inlineStr">
        <is>
          <t>Unit_Cost</t>
        </is>
      </c>
      <c r="B128" s="3" t="n">
        <v>14</v>
      </c>
      <c r="C128" s="3" t="inlineStr">
        <is>
          <t>GPU 秒／M 快取命中 prefill</t>
        </is>
      </c>
      <c r="D128" s="3" t="inlineStr">
        <is>
          <t>GPU-s</t>
        </is>
      </c>
      <c r="E128" s="3" t="n">
        <v>15</v>
      </c>
      <c r="F128" s="3" t="n">
        <v>1</v>
      </c>
      <c r="G128" s="3" t="inlineStr">
        <is>
          <t>C14</t>
        </is>
      </c>
      <c r="H128" s="3">
        <f>INDEX(Perf!$C$102:$Q$102,3*(C$6-1)+1)</f>
        <v/>
      </c>
      <c r="I128" s="3" t="n">
        <v>0.02795</v>
      </c>
      <c r="J128" s="3" t="inlineStr">
        <is>
          <t>—</t>
        </is>
      </c>
      <c r="K128" s="3" t="inlineStr">
        <is>
          <t>—</t>
        </is>
      </c>
      <c r="L128" s="3" t="inlineStr">
        <is>
          <t>—</t>
        </is>
      </c>
      <c r="M128" s="3" t="inlineStr">
        <is>
          <t>—</t>
        </is>
      </c>
      <c r="N128" s="3" t="inlineStr">
        <is>
          <t>—</t>
        </is>
      </c>
      <c r="O128" s="3" t="inlineStr">
        <is>
          <t>—</t>
        </is>
      </c>
      <c r="P128" s="3" t="inlineStr">
        <is>
          <t>—</t>
        </is>
      </c>
      <c r="Q128" s="3" t="inlineStr">
        <is>
          <t>上游含 Y1</t>
        </is>
      </c>
      <c r="R128" s="3" t="inlineStr">
        <is>
          <t>—</t>
        </is>
      </c>
      <c r="S128" s="3" t="inlineStr">
        <is>
          <t>Y1</t>
        </is>
      </c>
      <c r="T128" s="3" t="inlineStr"/>
      <c r="U128" s="3" t="n">
        <v>15</v>
      </c>
      <c r="V128" s="3" t="inlineStr"/>
      <c r="W128" s="3" t="inlineStr">
        <is>
          <t>資訊（只有 L8）</t>
        </is>
      </c>
    </row>
    <row r="129">
      <c r="A129" s="3" t="inlineStr">
        <is>
          <t>Unit_Cost</t>
        </is>
      </c>
      <c r="B129" s="3" t="n">
        <v>15</v>
      </c>
      <c r="C129" s="3" t="inlineStr">
        <is>
          <t>GPU 秒／M decode（含思考 token；0＝SLO 不可達）</t>
        </is>
      </c>
      <c r="D129" s="3" t="inlineStr">
        <is>
          <t>GPU-s</t>
        </is>
      </c>
      <c r="E129" s="3" t="n">
        <v>15</v>
      </c>
      <c r="F129" s="3" t="n">
        <v>1</v>
      </c>
      <c r="G129" s="3" t="inlineStr">
        <is>
          <t>C15</t>
        </is>
      </c>
      <c r="H129" s="3">
        <f>INDEX(Perf!$C$103:$Q$103,3*(C$6-1)+1)</f>
        <v/>
      </c>
      <c r="I129" s="3" t="n">
        <v>1719.933913</v>
      </c>
      <c r="J129" s="3" t="inlineStr">
        <is>
          <t>—</t>
        </is>
      </c>
      <c r="K129" s="3" t="inlineStr">
        <is>
          <t>—</t>
        </is>
      </c>
      <c r="L129" s="3" t="inlineStr">
        <is>
          <t>—</t>
        </is>
      </c>
      <c r="M129" s="3" t="inlineStr">
        <is>
          <t>—</t>
        </is>
      </c>
      <c r="N129" s="3" t="inlineStr">
        <is>
          <t>—</t>
        </is>
      </c>
      <c r="O129" s="3" t="inlineStr">
        <is>
          <t>—</t>
        </is>
      </c>
      <c r="P129" s="3" t="inlineStr">
        <is>
          <t>[G06] GPU 秒為 0 時，成本列已用 IF(&gt;0) 改為文字；本列本身為 0</t>
        </is>
      </c>
      <c r="Q129" s="3" t="inlineStr">
        <is>
          <t>上游含 Y1,Y5,Y6,Y8</t>
        </is>
      </c>
      <c r="R129" s="3" t="inlineStr">
        <is>
          <t>—</t>
        </is>
      </c>
      <c r="S129" s="3" t="inlineStr">
        <is>
          <t>Y1,Y5,Y6,Y8</t>
        </is>
      </c>
      <c r="T129" s="3" t="inlineStr"/>
      <c r="U129" s="3" t="n">
        <v>30</v>
      </c>
      <c r="V129" s="3" t="inlineStr">
        <is>
          <t>G06</t>
        </is>
      </c>
      <c r="W129" s="3" t="inlineStr">
        <is>
          <t>低</t>
        </is>
      </c>
    </row>
    <row r="130">
      <c r="A130" s="3" t="inlineStr">
        <is>
          <t>Unit_Cost</t>
        </is>
      </c>
      <c r="B130" s="3" t="n">
        <v>16</v>
      </c>
      <c r="C130" s="3" t="inlineStr">
        <is>
          <t>新鮮 prefill $/M — 經濟、100%</t>
        </is>
      </c>
      <c r="D130" s="3" t="inlineStr">
        <is>
          <t>$/M</t>
        </is>
      </c>
      <c r="E130" s="3" t="n">
        <v>15</v>
      </c>
      <c r="F130" s="3" t="n">
        <v>1</v>
      </c>
      <c r="G130" s="3" t="inlineStr">
        <is>
          <t>C16</t>
        </is>
      </c>
      <c r="H130" s="3">
        <f>C$8/3600*C13</f>
        <v/>
      </c>
      <c r="I130" s="3" t="n">
        <v>0.038673</v>
      </c>
      <c r="J130" s="3" t="inlineStr">
        <is>
          <t>—</t>
        </is>
      </c>
      <c r="K130" s="3" t="inlineStr">
        <is>
          <t>—</t>
        </is>
      </c>
      <c r="L130" s="3" t="inlineStr">
        <is>
          <t>—</t>
        </is>
      </c>
      <c r="M130" s="3" t="inlineStr">
        <is>
          <t>—</t>
        </is>
      </c>
      <c r="N130" s="3" t="inlineStr">
        <is>
          <t>—</t>
        </is>
      </c>
      <c r="O130" s="3" t="inlineStr">
        <is>
          <t>—</t>
        </is>
      </c>
      <c r="P130" s="3" t="inlineStr">
        <is>
          <t>—</t>
        </is>
      </c>
      <c r="Q130" s="3" t="inlineStr">
        <is>
          <t>上游含 Y1,Y4,Y5,Y6,Y7,Y8</t>
        </is>
      </c>
      <c r="R130" s="3" t="inlineStr">
        <is>
          <t>—</t>
        </is>
      </c>
      <c r="S130" s="3" t="inlineStr">
        <is>
          <t>Y1,Y4,Y5,Y6,Y7,Y8</t>
        </is>
      </c>
      <c r="T130" s="3" t="inlineStr"/>
      <c r="U130" s="3" t="n">
        <v>45</v>
      </c>
      <c r="V130" s="3" t="inlineStr"/>
      <c r="W130" s="3" t="inlineStr">
        <is>
          <t>資訊（只有 L8）</t>
        </is>
      </c>
    </row>
    <row r="131">
      <c r="A131" s="3" t="inlineStr">
        <is>
          <t>Unit_Cost</t>
        </is>
      </c>
      <c r="B131" s="3" t="n">
        <v>17</v>
      </c>
      <c r="C131" s="3" t="inlineStr">
        <is>
          <t>快取命中 prefill $/M — 經濟、100%</t>
        </is>
      </c>
      <c r="D131" s="3" t="inlineStr">
        <is>
          <t>$/M</t>
        </is>
      </c>
      <c r="E131" s="3" t="n">
        <v>15</v>
      </c>
      <c r="F131" s="3" t="n">
        <v>1</v>
      </c>
      <c r="G131" s="3" t="inlineStr">
        <is>
          <t>C17</t>
        </is>
      </c>
      <c r="H131" s="3">
        <f>C$8/3600*C14</f>
        <v/>
      </c>
      <c r="I131" s="3" t="n">
        <v>8e-06</v>
      </c>
      <c r="J131" s="3" t="inlineStr">
        <is>
          <t>—</t>
        </is>
      </c>
      <c r="K131" s="3" t="inlineStr">
        <is>
          <t>—</t>
        </is>
      </c>
      <c r="L131" s="3" t="inlineStr">
        <is>
          <t>—</t>
        </is>
      </c>
      <c r="M131" s="3" t="inlineStr">
        <is>
          <t>—</t>
        </is>
      </c>
      <c r="N131" s="3" t="inlineStr">
        <is>
          <t>—</t>
        </is>
      </c>
      <c r="O131" s="3" t="inlineStr">
        <is>
          <t>—</t>
        </is>
      </c>
      <c r="P131" s="3" t="inlineStr">
        <is>
          <t>—</t>
        </is>
      </c>
      <c r="Q131" s="3" t="inlineStr">
        <is>
          <t>上游含 Y1,Y4,Y7</t>
        </is>
      </c>
      <c r="R131" s="3" t="inlineStr">
        <is>
          <t>—</t>
        </is>
      </c>
      <c r="S131" s="3" t="inlineStr">
        <is>
          <t>Y1,Y4,Y7</t>
        </is>
      </c>
      <c r="T131" s="3" t="inlineStr"/>
      <c r="U131" s="3" t="n">
        <v>30</v>
      </c>
      <c r="V131" s="3" t="inlineStr"/>
      <c r="W131" s="3" t="inlineStr">
        <is>
          <t>資訊（只有 L8）</t>
        </is>
      </c>
    </row>
    <row r="132">
      <c r="A132" s="3" t="inlineStr">
        <is>
          <t>Unit_Cost</t>
        </is>
      </c>
      <c r="B132" s="3" t="n">
        <v>18</v>
      </c>
      <c r="C132" s="3" t="inlineStr">
        <is>
          <t>decode（含思考 token）$/M — 經濟、100%</t>
        </is>
      </c>
      <c r="D132" s="3" t="inlineStr">
        <is>
          <t>$/M</t>
        </is>
      </c>
      <c r="E132" s="3" t="n">
        <v>15</v>
      </c>
      <c r="F132" s="3" t="n">
        <v>1</v>
      </c>
      <c r="G132" s="3" t="inlineStr">
        <is>
          <t>C18</t>
        </is>
      </c>
      <c r="H132" s="3">
        <f>IF(C15&gt;0,C$8/3600*C15,"SLO 不可達")</f>
        <v/>
      </c>
      <c r="I132" s="3" t="n">
        <v>0.515811</v>
      </c>
      <c r="J132" s="3" t="inlineStr">
        <is>
          <t>—</t>
        </is>
      </c>
      <c r="K132" s="3" t="inlineStr">
        <is>
          <t>—</t>
        </is>
      </c>
      <c r="L132" s="3" t="inlineStr">
        <is>
          <t>—</t>
        </is>
      </c>
      <c r="M132" s="3" t="inlineStr">
        <is>
          <t>—</t>
        </is>
      </c>
      <c r="N132" s="3" t="inlineStr">
        <is>
          <t>—</t>
        </is>
      </c>
      <c r="O132" s="3" t="inlineStr">
        <is>
          <t>—</t>
        </is>
      </c>
      <c r="P132" s="3" t="inlineStr">
        <is>
          <t>—</t>
        </is>
      </c>
      <c r="Q132" s="3" t="inlineStr">
        <is>
          <t>上游含 Y1,Y4,Y5,Y6,Y7,Y8</t>
        </is>
      </c>
      <c r="R132" s="3" t="inlineStr">
        <is>
          <t>—</t>
        </is>
      </c>
      <c r="S132" s="3" t="inlineStr">
        <is>
          <t>Y1,Y4,Y5,Y6,Y7,Y8</t>
        </is>
      </c>
      <c r="T132" s="3" t="inlineStr"/>
      <c r="U132" s="3" t="n">
        <v>45</v>
      </c>
      <c r="V132" s="3" t="inlineStr"/>
      <c r="W132" s="3" t="inlineStr">
        <is>
          <t>資訊（只有 L8）</t>
        </is>
      </c>
    </row>
    <row r="133">
      <c r="A133" s="3" t="inlineStr">
        <is>
          <t>Unit_Cost</t>
        </is>
      </c>
      <c r="B133" s="3" t="n">
        <v>19</v>
      </c>
      <c r="C133" s="3" t="inlineStr">
        <is>
          <t>新鮮 prefill $/M — 經濟、基準利用率</t>
        </is>
      </c>
      <c r="D133" s="3" t="inlineStr">
        <is>
          <t>$/M</t>
        </is>
      </c>
      <c r="E133" s="3" t="n">
        <v>15</v>
      </c>
      <c r="F133" s="3" t="n">
        <v>1</v>
      </c>
      <c r="G133" s="3" t="inlineStr">
        <is>
          <t>C19</t>
        </is>
      </c>
      <c r="H133" s="3">
        <f>C16/C$10</f>
        <v/>
      </c>
      <c r="I133" s="3" t="n">
        <v>0.064454</v>
      </c>
      <c r="J133" s="3" t="inlineStr">
        <is>
          <t>—</t>
        </is>
      </c>
      <c r="K133" s="3" t="inlineStr">
        <is>
          <t>—</t>
        </is>
      </c>
      <c r="L133" s="3" t="inlineStr">
        <is>
          <t>—</t>
        </is>
      </c>
      <c r="M133" s="3" t="inlineStr">
        <is>
          <t>—</t>
        </is>
      </c>
      <c r="N133" s="3" t="inlineStr">
        <is>
          <t>—</t>
        </is>
      </c>
      <c r="O133" s="3" t="inlineStr">
        <is>
          <t>—</t>
        </is>
      </c>
      <c r="P133" s="3" t="inlineStr">
        <is>
          <t>—</t>
        </is>
      </c>
      <c r="Q133" s="3" t="inlineStr">
        <is>
          <t>上游含 Y1,Y4,Y5,Y6,Y7,Y8</t>
        </is>
      </c>
      <c r="R133" s="3" t="inlineStr">
        <is>
          <t>—</t>
        </is>
      </c>
      <c r="S133" s="3" t="inlineStr">
        <is>
          <t>Y1,Y4,Y5,Y6,Y7,Y8</t>
        </is>
      </c>
      <c r="T133" s="3" t="inlineStr"/>
      <c r="U133" s="3" t="n">
        <v>57</v>
      </c>
      <c r="V133" s="3" t="inlineStr"/>
      <c r="W133" s="3" t="inlineStr">
        <is>
          <t>資訊（只有 L8）</t>
        </is>
      </c>
    </row>
    <row r="134">
      <c r="A134" s="3" t="inlineStr">
        <is>
          <t>Unit_Cost</t>
        </is>
      </c>
      <c r="B134" s="3" t="n">
        <v>20</v>
      </c>
      <c r="C134" s="3" t="inlineStr">
        <is>
          <t>快取命中 prefill $/M — 經濟、基準利用率</t>
        </is>
      </c>
      <c r="D134" s="3" t="inlineStr">
        <is>
          <t>$/M</t>
        </is>
      </c>
      <c r="E134" s="3" t="n">
        <v>15</v>
      </c>
      <c r="F134" s="3" t="n">
        <v>1</v>
      </c>
      <c r="G134" s="3" t="inlineStr">
        <is>
          <t>C20</t>
        </is>
      </c>
      <c r="H134" s="3">
        <f>C17/C$10</f>
        <v/>
      </c>
      <c r="I134" s="3" t="n">
        <v>1.4e-05</v>
      </c>
      <c r="J134" s="3" t="inlineStr">
        <is>
          <t>—</t>
        </is>
      </c>
      <c r="K134" s="3" t="inlineStr">
        <is>
          <t>—</t>
        </is>
      </c>
      <c r="L134" s="3" t="inlineStr">
        <is>
          <t>—</t>
        </is>
      </c>
      <c r="M134" s="3" t="inlineStr">
        <is>
          <t>—</t>
        </is>
      </c>
      <c r="N134" s="3" t="inlineStr">
        <is>
          <t>—</t>
        </is>
      </c>
      <c r="O134" s="3" t="inlineStr">
        <is>
          <t>—</t>
        </is>
      </c>
      <c r="P134" s="3" t="inlineStr">
        <is>
          <t>—</t>
        </is>
      </c>
      <c r="Q134" s="3" t="inlineStr">
        <is>
          <t>上游含 Y1,Y4,Y5,Y7</t>
        </is>
      </c>
      <c r="R134" s="3" t="inlineStr">
        <is>
          <t>—</t>
        </is>
      </c>
      <c r="S134" s="3" t="inlineStr">
        <is>
          <t>Y1,Y4,Y5,Y7</t>
        </is>
      </c>
      <c r="T134" s="3" t="inlineStr"/>
      <c r="U134" s="3" t="n">
        <v>57</v>
      </c>
      <c r="V134" s="3" t="inlineStr"/>
      <c r="W134" s="3" t="inlineStr">
        <is>
          <t>資訊（只有 L8）</t>
        </is>
      </c>
    </row>
    <row r="135">
      <c r="A135" s="3" t="inlineStr">
        <is>
          <t>Unit_Cost</t>
        </is>
      </c>
      <c r="B135" s="3" t="n">
        <v>21</v>
      </c>
      <c r="C135" s="3" t="inlineStr">
        <is>
          <t>decode（含思考 token）$/M — 經濟、基準利用率</t>
        </is>
      </c>
      <c r="D135" s="3" t="inlineStr">
        <is>
          <t>$/M</t>
        </is>
      </c>
      <c r="E135" s="3" t="n">
        <v>15</v>
      </c>
      <c r="F135" s="3" t="n">
        <v>1</v>
      </c>
      <c r="G135" s="3" t="inlineStr">
        <is>
          <t>C21</t>
        </is>
      </c>
      <c r="H135" s="3">
        <f>IF(ISNUMBER(C18),C18/C$10,C18)</f>
        <v/>
      </c>
      <c r="I135" s="3" t="n">
        <v>0.859684</v>
      </c>
      <c r="J135" s="3" t="inlineStr">
        <is>
          <t>—</t>
        </is>
      </c>
      <c r="K135" s="3" t="inlineStr">
        <is>
          <t>—</t>
        </is>
      </c>
      <c r="L135" s="3" t="inlineStr">
        <is>
          <t>—</t>
        </is>
      </c>
      <c r="M135" s="3" t="inlineStr">
        <is>
          <t>—</t>
        </is>
      </c>
      <c r="N135" s="3" t="inlineStr">
        <is>
          <t>—</t>
        </is>
      </c>
      <c r="O135" s="3" t="inlineStr">
        <is>
          <t>—</t>
        </is>
      </c>
      <c r="P135" s="3" t="inlineStr">
        <is>
          <t>—</t>
        </is>
      </c>
      <c r="Q135" s="3" t="inlineStr">
        <is>
          <t>上游含 Y1,Y4,Y5,Y6,Y7,Y8</t>
        </is>
      </c>
      <c r="R135" s="3" t="inlineStr">
        <is>
          <t>—</t>
        </is>
      </c>
      <c r="S135" s="3" t="inlineStr">
        <is>
          <t>Y1,Y4,Y5,Y6,Y7,Y8</t>
        </is>
      </c>
      <c r="T135" s="3" t="inlineStr"/>
      <c r="U135" s="3" t="n">
        <v>57</v>
      </c>
      <c r="V135" s="3" t="inlineStr"/>
      <c r="W135" s="3" t="inlineStr">
        <is>
          <t>資訊（只有 L8）</t>
        </is>
      </c>
    </row>
    <row r="136">
      <c r="A136" s="3" t="inlineStr">
        <is>
          <t>Unit_Cost</t>
        </is>
      </c>
      <c r="B136" s="3" t="n">
        <v>22</v>
      </c>
      <c r="C136" s="3" t="inlineStr">
        <is>
          <t>decode（含思考 token）$/M — 會計、100%</t>
        </is>
      </c>
      <c r="D136" s="3" t="inlineStr">
        <is>
          <t>$/M</t>
        </is>
      </c>
      <c r="E136" s="3" t="n">
        <v>15</v>
      </c>
      <c r="F136" s="3" t="n">
        <v>1</v>
      </c>
      <c r="G136" s="3" t="inlineStr">
        <is>
          <t>C22</t>
        </is>
      </c>
      <c r="H136" s="3">
        <f>IF(C15&gt;0,C$9/3600*C15,"SLO 不可達")</f>
        <v/>
      </c>
      <c r="I136" s="3" t="n">
        <v>0.394202</v>
      </c>
      <c r="J136" s="3" t="inlineStr">
        <is>
          <t>—</t>
        </is>
      </c>
      <c r="K136" s="3" t="inlineStr">
        <is>
          <t>—</t>
        </is>
      </c>
      <c r="L136" s="3" t="inlineStr">
        <is>
          <t>—</t>
        </is>
      </c>
      <c r="M136" s="3" t="inlineStr">
        <is>
          <t>—</t>
        </is>
      </c>
      <c r="N136" s="3" t="inlineStr">
        <is>
          <t>—</t>
        </is>
      </c>
      <c r="O136" s="3" t="inlineStr">
        <is>
          <t>—</t>
        </is>
      </c>
      <c r="P136" s="3" t="inlineStr">
        <is>
          <t>—</t>
        </is>
      </c>
      <c r="Q136" s="3" t="inlineStr">
        <is>
          <t>上游含 Y1,Y4,Y5,Y6,Y7,Y8</t>
        </is>
      </c>
      <c r="R136" s="3" t="inlineStr">
        <is>
          <t>—</t>
        </is>
      </c>
      <c r="S136" s="3" t="inlineStr">
        <is>
          <t>Y1,Y4,Y5,Y6,Y7,Y8</t>
        </is>
      </c>
      <c r="T136" s="3" t="inlineStr"/>
      <c r="U136" s="3" t="n">
        <v>15</v>
      </c>
      <c r="V136" s="3" t="inlineStr"/>
      <c r="W136" s="3" t="inlineStr">
        <is>
          <t>資訊（只有 L8）</t>
        </is>
      </c>
    </row>
    <row r="137">
      <c r="A137" s="3" t="inlineStr">
        <is>
          <t>Unit_Cost</t>
        </is>
      </c>
      <c r="B137" s="3" t="n">
        <v>26</v>
      </c>
      <c r="C137" s="3" t="inlineStr">
        <is>
          <t>GPU 秒／M 新鮮 prefill</t>
        </is>
      </c>
      <c r="D137" s="3" t="inlineStr">
        <is>
          <t>GPU-s</t>
        </is>
      </c>
      <c r="E137" s="3" t="n">
        <v>15</v>
      </c>
      <c r="F137" s="3" t="n">
        <v>1</v>
      </c>
      <c r="G137" s="3" t="inlineStr">
        <is>
          <t>C26</t>
        </is>
      </c>
      <c r="H137" s="3">
        <f>INDEX(Perf!$C$101:$Q$101,3*(C$6-1)+2)</f>
        <v/>
      </c>
      <c r="I137" s="3" t="n">
        <v>447.562697</v>
      </c>
      <c r="J137" s="3" t="inlineStr">
        <is>
          <t>—</t>
        </is>
      </c>
      <c r="K137" s="3" t="inlineStr">
        <is>
          <t>—</t>
        </is>
      </c>
      <c r="L137" s="3" t="inlineStr">
        <is>
          <t>—</t>
        </is>
      </c>
      <c r="M137" s="3" t="inlineStr">
        <is>
          <t>—</t>
        </is>
      </c>
      <c r="N137" s="3" t="inlineStr">
        <is>
          <t>—</t>
        </is>
      </c>
      <c r="O137" s="3" t="inlineStr">
        <is>
          <t>—</t>
        </is>
      </c>
      <c r="P137" s="3" t="inlineStr">
        <is>
          <t>—</t>
        </is>
      </c>
      <c r="Q137" s="3" t="inlineStr">
        <is>
          <t>上游含 Y1,Y5,Y6,Y8</t>
        </is>
      </c>
      <c r="R137" s="3" t="inlineStr">
        <is>
          <t>—</t>
        </is>
      </c>
      <c r="S137" s="3" t="inlineStr">
        <is>
          <t>Y1,Y5,Y6,Y8</t>
        </is>
      </c>
      <c r="T137" s="3" t="inlineStr"/>
      <c r="U137" s="3" t="n">
        <v>15</v>
      </c>
      <c r="V137" s="3" t="inlineStr"/>
      <c r="W137" s="3" t="inlineStr">
        <is>
          <t>資訊（只有 L8）</t>
        </is>
      </c>
    </row>
    <row r="138">
      <c r="A138" s="3" t="inlineStr">
        <is>
          <t>Unit_Cost</t>
        </is>
      </c>
      <c r="B138" s="3" t="n">
        <v>27</v>
      </c>
      <c r="C138" s="3" t="inlineStr">
        <is>
          <t>GPU 秒／M 快取命中 prefill</t>
        </is>
      </c>
      <c r="D138" s="3" t="inlineStr">
        <is>
          <t>GPU-s</t>
        </is>
      </c>
      <c r="E138" s="3" t="n">
        <v>15</v>
      </c>
      <c r="F138" s="3" t="n">
        <v>1</v>
      </c>
      <c r="G138" s="3" t="inlineStr">
        <is>
          <t>C27</t>
        </is>
      </c>
      <c r="H138" s="3">
        <f>INDEX(Perf!$C$102:$Q$102,3*(C$6-1)+2)</f>
        <v/>
      </c>
      <c r="I138" s="3" t="n">
        <v>0.03965</v>
      </c>
      <c r="J138" s="3" t="inlineStr">
        <is>
          <t>—</t>
        </is>
      </c>
      <c r="K138" s="3" t="inlineStr">
        <is>
          <t>—</t>
        </is>
      </c>
      <c r="L138" s="3" t="inlineStr">
        <is>
          <t>—</t>
        </is>
      </c>
      <c r="M138" s="3" t="inlineStr">
        <is>
          <t>—</t>
        </is>
      </c>
      <c r="N138" s="3" t="inlineStr">
        <is>
          <t>—</t>
        </is>
      </c>
      <c r="O138" s="3" t="inlineStr">
        <is>
          <t>—</t>
        </is>
      </c>
      <c r="P138" s="3" t="inlineStr">
        <is>
          <t>—</t>
        </is>
      </c>
      <c r="Q138" s="3" t="inlineStr">
        <is>
          <t>上游含 Y1</t>
        </is>
      </c>
      <c r="R138" s="3" t="inlineStr">
        <is>
          <t>—</t>
        </is>
      </c>
      <c r="S138" s="3" t="inlineStr">
        <is>
          <t>Y1</t>
        </is>
      </c>
      <c r="T138" s="3" t="inlineStr"/>
      <c r="U138" s="3" t="n">
        <v>15</v>
      </c>
      <c r="V138" s="3" t="inlineStr"/>
      <c r="W138" s="3" t="inlineStr">
        <is>
          <t>資訊（只有 L8）</t>
        </is>
      </c>
    </row>
    <row r="139">
      <c r="A139" s="3" t="inlineStr">
        <is>
          <t>Unit_Cost</t>
        </is>
      </c>
      <c r="B139" s="3" t="n">
        <v>28</v>
      </c>
      <c r="C139" s="3" t="inlineStr">
        <is>
          <t>GPU 秒／M decode（含思考 token；0＝SLO 不可達）</t>
        </is>
      </c>
      <c r="D139" s="3" t="inlineStr">
        <is>
          <t>GPU-s</t>
        </is>
      </c>
      <c r="E139" s="3" t="n">
        <v>15</v>
      </c>
      <c r="F139" s="3" t="n">
        <v>1</v>
      </c>
      <c r="G139" s="3" t="inlineStr">
        <is>
          <t>C28</t>
        </is>
      </c>
      <c r="H139" s="3">
        <f>INDEX(Perf!$C$103:$Q$103,3*(C$6-1)+2)</f>
        <v/>
      </c>
      <c r="I139" s="3" t="n">
        <v>5902.754853</v>
      </c>
      <c r="J139" s="3" t="inlineStr">
        <is>
          <t>—</t>
        </is>
      </c>
      <c r="K139" s="3" t="inlineStr">
        <is>
          <t>—</t>
        </is>
      </c>
      <c r="L139" s="3" t="inlineStr">
        <is>
          <t>—</t>
        </is>
      </c>
      <c r="M139" s="3" t="inlineStr">
        <is>
          <t>—</t>
        </is>
      </c>
      <c r="N139" s="3" t="inlineStr">
        <is>
          <t>—</t>
        </is>
      </c>
      <c r="O139" s="3" t="inlineStr">
        <is>
          <t>—</t>
        </is>
      </c>
      <c r="P139" s="3" t="inlineStr">
        <is>
          <t>[G06] GPU 秒為 0 時，成本列已用 IF(&gt;0) 改為文字；本列本身為 0</t>
        </is>
      </c>
      <c r="Q139" s="3" t="inlineStr">
        <is>
          <t>上游含 Y1,Y5,Y6,Y8</t>
        </is>
      </c>
      <c r="R139" s="3" t="inlineStr">
        <is>
          <t>—</t>
        </is>
      </c>
      <c r="S139" s="3" t="inlineStr">
        <is>
          <t>Y1,Y5,Y6,Y8</t>
        </is>
      </c>
      <c r="T139" s="3" t="inlineStr"/>
      <c r="U139" s="3" t="n">
        <v>30</v>
      </c>
      <c r="V139" s="3" t="inlineStr">
        <is>
          <t>G06</t>
        </is>
      </c>
      <c r="W139" s="3" t="inlineStr">
        <is>
          <t>低</t>
        </is>
      </c>
    </row>
    <row r="140">
      <c r="A140" s="3" t="inlineStr">
        <is>
          <t>Unit_Cost</t>
        </is>
      </c>
      <c r="B140" s="3" t="n">
        <v>29</v>
      </c>
      <c r="C140" s="3" t="inlineStr">
        <is>
          <t>新鮮 prefill $/M — 經濟、100%</t>
        </is>
      </c>
      <c r="D140" s="3" t="inlineStr">
        <is>
          <t>$/M</t>
        </is>
      </c>
      <c r="E140" s="3" t="n">
        <v>15</v>
      </c>
      <c r="F140" s="3" t="n">
        <v>1</v>
      </c>
      <c r="G140" s="3" t="inlineStr">
        <is>
          <t>C29</t>
        </is>
      </c>
      <c r="H140" s="3">
        <f>C$8/3600*C26</f>
        <v/>
      </c>
      <c r="I140" s="3" t="n">
        <v>0.134225</v>
      </c>
      <c r="J140" s="3" t="inlineStr">
        <is>
          <t>—</t>
        </is>
      </c>
      <c r="K140" s="3" t="inlineStr">
        <is>
          <t>—</t>
        </is>
      </c>
      <c r="L140" s="3" t="inlineStr">
        <is>
          <t>—</t>
        </is>
      </c>
      <c r="M140" s="3" t="inlineStr">
        <is>
          <t>—</t>
        </is>
      </c>
      <c r="N140" s="3" t="inlineStr">
        <is>
          <t>—</t>
        </is>
      </c>
      <c r="O140" s="3" t="inlineStr">
        <is>
          <t>—</t>
        </is>
      </c>
      <c r="P140" s="3" t="inlineStr">
        <is>
          <t>—</t>
        </is>
      </c>
      <c r="Q140" s="3" t="inlineStr">
        <is>
          <t>上游含 Y1,Y4,Y5,Y6,Y7,Y8</t>
        </is>
      </c>
      <c r="R140" s="3" t="inlineStr">
        <is>
          <t>—</t>
        </is>
      </c>
      <c r="S140" s="3" t="inlineStr">
        <is>
          <t>Y1,Y4,Y5,Y6,Y7,Y8</t>
        </is>
      </c>
      <c r="T140" s="3" t="inlineStr"/>
      <c r="U140" s="3" t="n">
        <v>45</v>
      </c>
      <c r="V140" s="3" t="inlineStr"/>
      <c r="W140" s="3" t="inlineStr">
        <is>
          <t>資訊（只有 L8）</t>
        </is>
      </c>
    </row>
    <row r="141">
      <c r="A141" s="3" t="inlineStr">
        <is>
          <t>Unit_Cost</t>
        </is>
      </c>
      <c r="B141" s="3" t="n">
        <v>30</v>
      </c>
      <c r="C141" s="3" t="inlineStr">
        <is>
          <t>快取命中 prefill $/M — 經濟、100%</t>
        </is>
      </c>
      <c r="D141" s="3" t="inlineStr">
        <is>
          <t>$/M</t>
        </is>
      </c>
      <c r="E141" s="3" t="n">
        <v>15</v>
      </c>
      <c r="F141" s="3" t="n">
        <v>1</v>
      </c>
      <c r="G141" s="3" t="inlineStr">
        <is>
          <t>C30</t>
        </is>
      </c>
      <c r="H141" s="3">
        <f>C$8/3600*C27</f>
        <v/>
      </c>
      <c r="I141" s="3" t="n">
        <v>1.2e-05</v>
      </c>
      <c r="J141" s="3" t="inlineStr">
        <is>
          <t>—</t>
        </is>
      </c>
      <c r="K141" s="3" t="inlineStr">
        <is>
          <t>—</t>
        </is>
      </c>
      <c r="L141" s="3" t="inlineStr">
        <is>
          <t>—</t>
        </is>
      </c>
      <c r="M141" s="3" t="inlineStr">
        <is>
          <t>—</t>
        </is>
      </c>
      <c r="N141" s="3" t="inlineStr">
        <is>
          <t>—</t>
        </is>
      </c>
      <c r="O141" s="3" t="inlineStr">
        <is>
          <t>—</t>
        </is>
      </c>
      <c r="P141" s="3" t="inlineStr">
        <is>
          <t>—</t>
        </is>
      </c>
      <c r="Q141" s="3" t="inlineStr">
        <is>
          <t>上游含 Y1,Y4,Y7</t>
        </is>
      </c>
      <c r="R141" s="3" t="inlineStr">
        <is>
          <t>—</t>
        </is>
      </c>
      <c r="S141" s="3" t="inlineStr">
        <is>
          <t>Y1,Y4,Y7</t>
        </is>
      </c>
      <c r="T141" s="3" t="inlineStr"/>
      <c r="U141" s="3" t="n">
        <v>30</v>
      </c>
      <c r="V141" s="3" t="inlineStr"/>
      <c r="W141" s="3" t="inlineStr">
        <is>
          <t>資訊（只有 L8）</t>
        </is>
      </c>
    </row>
    <row r="142">
      <c r="A142" s="3" t="inlineStr">
        <is>
          <t>Unit_Cost</t>
        </is>
      </c>
      <c r="B142" s="3" t="n">
        <v>31</v>
      </c>
      <c r="C142" s="3" t="inlineStr">
        <is>
          <t>decode（含思考 token）$/M — 經濟、100%</t>
        </is>
      </c>
      <c r="D142" s="3" t="inlineStr">
        <is>
          <t>$/M</t>
        </is>
      </c>
      <c r="E142" s="3" t="n">
        <v>15</v>
      </c>
      <c r="F142" s="3" t="n">
        <v>1</v>
      </c>
      <c r="G142" s="3" t="inlineStr">
        <is>
          <t>C31</t>
        </is>
      </c>
      <c r="H142" s="3">
        <f>IF(C28&gt;0,C$8/3600*C28,"SLO 不可達")</f>
        <v/>
      </c>
      <c r="I142" s="3" t="n">
        <v>1.770244</v>
      </c>
      <c r="J142" s="3" t="inlineStr">
        <is>
          <t>—</t>
        </is>
      </c>
      <c r="K142" s="3" t="inlineStr">
        <is>
          <t>—</t>
        </is>
      </c>
      <c r="L142" s="3" t="inlineStr">
        <is>
          <t>—</t>
        </is>
      </c>
      <c r="M142" s="3" t="inlineStr">
        <is>
          <t>—</t>
        </is>
      </c>
      <c r="N142" s="3" t="inlineStr">
        <is>
          <t>—</t>
        </is>
      </c>
      <c r="O142" s="3" t="inlineStr">
        <is>
          <t>—</t>
        </is>
      </c>
      <c r="P142" s="3" t="inlineStr">
        <is>
          <t>—</t>
        </is>
      </c>
      <c r="Q142" s="3" t="inlineStr">
        <is>
          <t>上游含 Y1,Y4,Y5,Y6,Y7,Y8</t>
        </is>
      </c>
      <c r="R142" s="3" t="inlineStr">
        <is>
          <t>—</t>
        </is>
      </c>
      <c r="S142" s="3" t="inlineStr">
        <is>
          <t>Y1,Y4,Y5,Y6,Y7,Y8</t>
        </is>
      </c>
      <c r="T142" s="3" t="inlineStr"/>
      <c r="U142" s="3" t="n">
        <v>45</v>
      </c>
      <c r="V142" s="3" t="inlineStr"/>
      <c r="W142" s="3" t="inlineStr">
        <is>
          <t>資訊（只有 L8）</t>
        </is>
      </c>
    </row>
    <row r="143">
      <c r="A143" s="3" t="inlineStr">
        <is>
          <t>Unit_Cost</t>
        </is>
      </c>
      <c r="B143" s="3" t="n">
        <v>32</v>
      </c>
      <c r="C143" s="3" t="inlineStr">
        <is>
          <t>新鮮 prefill $/M — 經濟、基準利用率</t>
        </is>
      </c>
      <c r="D143" s="3" t="inlineStr">
        <is>
          <t>$/M</t>
        </is>
      </c>
      <c r="E143" s="3" t="n">
        <v>15</v>
      </c>
      <c r="F143" s="3" t="n">
        <v>1</v>
      </c>
      <c r="G143" s="3" t="inlineStr">
        <is>
          <t>C32</t>
        </is>
      </c>
      <c r="H143" s="3">
        <f>C29/C$10</f>
        <v/>
      </c>
      <c r="I143" s="3" t="n">
        <v>0.223708</v>
      </c>
      <c r="J143" s="3" t="inlineStr">
        <is>
          <t>—</t>
        </is>
      </c>
      <c r="K143" s="3" t="inlineStr">
        <is>
          <t>—</t>
        </is>
      </c>
      <c r="L143" s="3" t="inlineStr">
        <is>
          <t>—</t>
        </is>
      </c>
      <c r="M143" s="3" t="inlineStr">
        <is>
          <t>—</t>
        </is>
      </c>
      <c r="N143" s="3" t="inlineStr">
        <is>
          <t>—</t>
        </is>
      </c>
      <c r="O143" s="3" t="inlineStr">
        <is>
          <t>—</t>
        </is>
      </c>
      <c r="P143" s="3" t="inlineStr">
        <is>
          <t>—</t>
        </is>
      </c>
      <c r="Q143" s="3" t="inlineStr">
        <is>
          <t>上游含 Y1,Y4,Y5,Y6,Y7,Y8</t>
        </is>
      </c>
      <c r="R143" s="3" t="inlineStr">
        <is>
          <t>—</t>
        </is>
      </c>
      <c r="S143" s="3" t="inlineStr">
        <is>
          <t>Y1,Y4,Y5,Y6,Y7,Y8</t>
        </is>
      </c>
      <c r="T143" s="3" t="inlineStr"/>
      <c r="U143" s="3" t="n">
        <v>57</v>
      </c>
      <c r="V143" s="3" t="inlineStr"/>
      <c r="W143" s="3" t="inlineStr">
        <is>
          <t>資訊（只有 L8）</t>
        </is>
      </c>
    </row>
    <row r="144">
      <c r="A144" s="3" t="inlineStr">
        <is>
          <t>Unit_Cost</t>
        </is>
      </c>
      <c r="B144" s="3" t="n">
        <v>33</v>
      </c>
      <c r="C144" s="3" t="inlineStr">
        <is>
          <t>快取命中 prefill $/M — 經濟、基準利用率</t>
        </is>
      </c>
      <c r="D144" s="3" t="inlineStr">
        <is>
          <t>$/M</t>
        </is>
      </c>
      <c r="E144" s="3" t="n">
        <v>15</v>
      </c>
      <c r="F144" s="3" t="n">
        <v>1</v>
      </c>
      <c r="G144" s="3" t="inlineStr">
        <is>
          <t>C33</t>
        </is>
      </c>
      <c r="H144" s="3">
        <f>C30/C$10</f>
        <v/>
      </c>
      <c r="I144" s="3" t="n">
        <v>2e-05</v>
      </c>
      <c r="J144" s="3" t="inlineStr">
        <is>
          <t>—</t>
        </is>
      </c>
      <c r="K144" s="3" t="inlineStr">
        <is>
          <t>—</t>
        </is>
      </c>
      <c r="L144" s="3" t="inlineStr">
        <is>
          <t>—</t>
        </is>
      </c>
      <c r="M144" s="3" t="inlineStr">
        <is>
          <t>—</t>
        </is>
      </c>
      <c r="N144" s="3" t="inlineStr">
        <is>
          <t>—</t>
        </is>
      </c>
      <c r="O144" s="3" t="inlineStr">
        <is>
          <t>—</t>
        </is>
      </c>
      <c r="P144" s="3" t="inlineStr">
        <is>
          <t>—</t>
        </is>
      </c>
      <c r="Q144" s="3" t="inlineStr">
        <is>
          <t>上游含 Y1,Y4,Y5,Y7</t>
        </is>
      </c>
      <c r="R144" s="3" t="inlineStr">
        <is>
          <t>—</t>
        </is>
      </c>
      <c r="S144" s="3" t="inlineStr">
        <is>
          <t>Y1,Y4,Y5,Y7</t>
        </is>
      </c>
      <c r="T144" s="3" t="inlineStr"/>
      <c r="U144" s="3" t="n">
        <v>57</v>
      </c>
      <c r="V144" s="3" t="inlineStr"/>
      <c r="W144" s="3" t="inlineStr">
        <is>
          <t>資訊（只有 L8）</t>
        </is>
      </c>
    </row>
    <row r="145">
      <c r="A145" s="3" t="inlineStr">
        <is>
          <t>Unit_Cost</t>
        </is>
      </c>
      <c r="B145" s="3" t="n">
        <v>34</v>
      </c>
      <c r="C145" s="3" t="inlineStr">
        <is>
          <t>decode（含思考 token）$/M — 經濟、基準利用率</t>
        </is>
      </c>
      <c r="D145" s="3" t="inlineStr">
        <is>
          <t>$/M</t>
        </is>
      </c>
      <c r="E145" s="3" t="n">
        <v>15</v>
      </c>
      <c r="F145" s="3" t="n">
        <v>1</v>
      </c>
      <c r="G145" s="3" t="inlineStr">
        <is>
          <t>C34</t>
        </is>
      </c>
      <c r="H145" s="3">
        <f>IF(ISNUMBER(C31),C31/C$10,C31)</f>
        <v/>
      </c>
      <c r="I145" s="3" t="n">
        <v>2.950407</v>
      </c>
      <c r="J145" s="3" t="inlineStr">
        <is>
          <t>—</t>
        </is>
      </c>
      <c r="K145" s="3" t="inlineStr">
        <is>
          <t>—</t>
        </is>
      </c>
      <c r="L145" s="3" t="inlineStr">
        <is>
          <t>—</t>
        </is>
      </c>
      <c r="M145" s="3" t="inlineStr">
        <is>
          <t>—</t>
        </is>
      </c>
      <c r="N145" s="3" t="inlineStr">
        <is>
          <t>—</t>
        </is>
      </c>
      <c r="O145" s="3" t="inlineStr">
        <is>
          <t>—</t>
        </is>
      </c>
      <c r="P145" s="3" t="inlineStr">
        <is>
          <t>—</t>
        </is>
      </c>
      <c r="Q145" s="3" t="inlineStr">
        <is>
          <t>上游含 Y1,Y4,Y5,Y6,Y7,Y8</t>
        </is>
      </c>
      <c r="R145" s="3" t="inlineStr">
        <is>
          <t>—</t>
        </is>
      </c>
      <c r="S145" s="3" t="inlineStr">
        <is>
          <t>Y1,Y4,Y5,Y6,Y7,Y8</t>
        </is>
      </c>
      <c r="T145" s="3" t="inlineStr"/>
      <c r="U145" s="3" t="n">
        <v>57</v>
      </c>
      <c r="V145" s="3" t="inlineStr"/>
      <c r="W145" s="3" t="inlineStr">
        <is>
          <t>資訊（只有 L8）</t>
        </is>
      </c>
    </row>
    <row r="146">
      <c r="A146" s="3" t="inlineStr">
        <is>
          <t>Unit_Cost</t>
        </is>
      </c>
      <c r="B146" s="3" t="n">
        <v>35</v>
      </c>
      <c r="C146" s="3" t="inlineStr">
        <is>
          <t>decode（含思考 token）$/M — 會計、100%</t>
        </is>
      </c>
      <c r="D146" s="3" t="inlineStr">
        <is>
          <t>$/M</t>
        </is>
      </c>
      <c r="E146" s="3" t="n">
        <v>15</v>
      </c>
      <c r="F146" s="3" t="n">
        <v>1</v>
      </c>
      <c r="G146" s="3" t="inlineStr">
        <is>
          <t>C35</t>
        </is>
      </c>
      <c r="H146" s="3">
        <f>IF(C28&gt;0,C$9/3600*C28,"SLO 不可達")</f>
        <v/>
      </c>
      <c r="I146" s="3" t="n">
        <v>1.35289</v>
      </c>
      <c r="J146" s="3" t="inlineStr">
        <is>
          <t>—</t>
        </is>
      </c>
      <c r="K146" s="3" t="inlineStr">
        <is>
          <t>—</t>
        </is>
      </c>
      <c r="L146" s="3" t="inlineStr">
        <is>
          <t>—</t>
        </is>
      </c>
      <c r="M146" s="3" t="inlineStr">
        <is>
          <t>—</t>
        </is>
      </c>
      <c r="N146" s="3" t="inlineStr">
        <is>
          <t>—</t>
        </is>
      </c>
      <c r="O146" s="3" t="inlineStr">
        <is>
          <t>—</t>
        </is>
      </c>
      <c r="P146" s="3" t="inlineStr">
        <is>
          <t>—</t>
        </is>
      </c>
      <c r="Q146" s="3" t="inlineStr">
        <is>
          <t>上游含 Y1,Y4,Y5,Y6,Y7,Y8</t>
        </is>
      </c>
      <c r="R146" s="3" t="inlineStr">
        <is>
          <t>—</t>
        </is>
      </c>
      <c r="S146" s="3" t="inlineStr">
        <is>
          <t>Y1,Y4,Y5,Y6,Y7,Y8</t>
        </is>
      </c>
      <c r="T146" s="3" t="inlineStr"/>
      <c r="U146" s="3" t="n">
        <v>15</v>
      </c>
      <c r="V146" s="3" t="inlineStr"/>
      <c r="W146" s="3" t="inlineStr">
        <is>
          <t>資訊（只有 L8）</t>
        </is>
      </c>
    </row>
    <row r="147">
      <c r="A147" s="3" t="inlineStr">
        <is>
          <t>Unit_Cost</t>
        </is>
      </c>
      <c r="B147" s="3" t="n">
        <v>39</v>
      </c>
      <c r="C147" s="3" t="inlineStr">
        <is>
          <t>GPU 秒／M 新鮮 prefill</t>
        </is>
      </c>
      <c r="D147" s="3" t="inlineStr">
        <is>
          <t>GPU-s</t>
        </is>
      </c>
      <c r="E147" s="3" t="n">
        <v>15</v>
      </c>
      <c r="F147" s="3" t="n">
        <v>1</v>
      </c>
      <c r="G147" s="3" t="inlineStr">
        <is>
          <t>C39</t>
        </is>
      </c>
      <c r="H147" s="3">
        <f>INDEX(Perf!$C$101:$Q$101,3*(C$6-1)+3)</f>
        <v/>
      </c>
      <c r="I147" s="3" t="n">
        <v>1484.767903</v>
      </c>
      <c r="J147" s="3" t="inlineStr">
        <is>
          <t>—</t>
        </is>
      </c>
      <c r="K147" s="3" t="inlineStr">
        <is>
          <t>—</t>
        </is>
      </c>
      <c r="L147" s="3" t="inlineStr">
        <is>
          <t>—</t>
        </is>
      </c>
      <c r="M147" s="3" t="inlineStr">
        <is>
          <t>—</t>
        </is>
      </c>
      <c r="N147" s="3" t="inlineStr">
        <is>
          <t>—</t>
        </is>
      </c>
      <c r="O147" s="3" t="inlineStr">
        <is>
          <t>—</t>
        </is>
      </c>
      <c r="P147" s="3" t="inlineStr">
        <is>
          <t>—</t>
        </is>
      </c>
      <c r="Q147" s="3" t="inlineStr">
        <is>
          <t>上游含 Y1,Y5,Y6,Y8</t>
        </is>
      </c>
      <c r="R147" s="3" t="inlineStr">
        <is>
          <t>—</t>
        </is>
      </c>
      <c r="S147" s="3" t="inlineStr">
        <is>
          <t>Y1,Y5,Y6,Y8</t>
        </is>
      </c>
      <c r="T147" s="3" t="inlineStr"/>
      <c r="U147" s="3" t="n">
        <v>15</v>
      </c>
      <c r="V147" s="3" t="inlineStr"/>
      <c r="W147" s="3" t="inlineStr">
        <is>
          <t>資訊（只有 L8）</t>
        </is>
      </c>
    </row>
    <row r="148">
      <c r="A148" s="3" t="inlineStr">
        <is>
          <t>Unit_Cost</t>
        </is>
      </c>
      <c r="B148" s="3" t="n">
        <v>40</v>
      </c>
      <c r="C148" s="3" t="inlineStr">
        <is>
          <t>GPU 秒／M 快取命中 prefill</t>
        </is>
      </c>
      <c r="D148" s="3" t="inlineStr">
        <is>
          <t>GPU-s</t>
        </is>
      </c>
      <c r="E148" s="3" t="n">
        <v>15</v>
      </c>
      <c r="F148" s="3" t="n">
        <v>1</v>
      </c>
      <c r="G148" s="3" t="inlineStr">
        <is>
          <t>C40</t>
        </is>
      </c>
      <c r="H148" s="3">
        <f>INDEX(Perf!$C$102:$Q$102,3*(C$6-1)+3)</f>
        <v/>
      </c>
      <c r="I148" s="3" t="n">
        <v>0.576</v>
      </c>
      <c r="J148" s="3" t="inlineStr">
        <is>
          <t>—</t>
        </is>
      </c>
      <c r="K148" s="3" t="inlineStr">
        <is>
          <t>—</t>
        </is>
      </c>
      <c r="L148" s="3" t="inlineStr">
        <is>
          <t>—</t>
        </is>
      </c>
      <c r="M148" s="3" t="inlineStr">
        <is>
          <t>—</t>
        </is>
      </c>
      <c r="N148" s="3" t="inlineStr">
        <is>
          <t>—</t>
        </is>
      </c>
      <c r="O148" s="3" t="inlineStr">
        <is>
          <t>—</t>
        </is>
      </c>
      <c r="P148" s="3" t="inlineStr">
        <is>
          <t>—</t>
        </is>
      </c>
      <c r="Q148" s="3" t="inlineStr">
        <is>
          <t>上游含 Y1</t>
        </is>
      </c>
      <c r="R148" s="3" t="inlineStr">
        <is>
          <t>—</t>
        </is>
      </c>
      <c r="S148" s="3" t="inlineStr">
        <is>
          <t>Y1</t>
        </is>
      </c>
      <c r="T148" s="3" t="inlineStr"/>
      <c r="U148" s="3" t="n">
        <v>15</v>
      </c>
      <c r="V148" s="3" t="inlineStr"/>
      <c r="W148" s="3" t="inlineStr">
        <is>
          <t>資訊（只有 L8）</t>
        </is>
      </c>
    </row>
    <row r="149">
      <c r="A149" s="3" t="inlineStr">
        <is>
          <t>Unit_Cost</t>
        </is>
      </c>
      <c r="B149" s="3" t="n">
        <v>41</v>
      </c>
      <c r="C149" s="3" t="inlineStr">
        <is>
          <t>GPU 秒／M decode（含思考 token；0＝SLO 不可達）</t>
        </is>
      </c>
      <c r="D149" s="3" t="inlineStr">
        <is>
          <t>GPU-s</t>
        </is>
      </c>
      <c r="E149" s="3" t="n">
        <v>15</v>
      </c>
      <c r="F149" s="3" t="n">
        <v>1</v>
      </c>
      <c r="G149" s="3" t="inlineStr">
        <is>
          <t>C41</t>
        </is>
      </c>
      <c r="H149" s="3">
        <f>INDEX(Perf!$C$103:$Q$103,3*(C$6-1)+3)</f>
        <v/>
      </c>
      <c r="I149" s="3" t="n">
        <v>40694.614079</v>
      </c>
      <c r="J149" s="3" t="inlineStr">
        <is>
          <t>—</t>
        </is>
      </c>
      <c r="K149" s="3" t="inlineStr">
        <is>
          <t>—</t>
        </is>
      </c>
      <c r="L149" s="3" t="inlineStr">
        <is>
          <t>—</t>
        </is>
      </c>
      <c r="M149" s="3" t="inlineStr">
        <is>
          <t>—</t>
        </is>
      </c>
      <c r="N149" s="3" t="inlineStr">
        <is>
          <t>—</t>
        </is>
      </c>
      <c r="O149" s="3" t="inlineStr">
        <is>
          <t>—</t>
        </is>
      </c>
      <c r="P149" s="3" t="inlineStr">
        <is>
          <t>[G06] GPU 秒為 0 時，成本列已用 IF(&gt;0) 改為文字；本列本身為 0</t>
        </is>
      </c>
      <c r="Q149" s="3" t="inlineStr">
        <is>
          <t>上游含 Y1,Y5,Y6,Y8</t>
        </is>
      </c>
      <c r="R149" s="3" t="inlineStr">
        <is>
          <t>—</t>
        </is>
      </c>
      <c r="S149" s="3" t="inlineStr">
        <is>
          <t>Y1,Y5,Y6,Y8</t>
        </is>
      </c>
      <c r="T149" s="3" t="inlineStr"/>
      <c r="U149" s="3" t="n">
        <v>30</v>
      </c>
      <c r="V149" s="3" t="inlineStr">
        <is>
          <t>G06</t>
        </is>
      </c>
      <c r="W149" s="3" t="inlineStr">
        <is>
          <t>低</t>
        </is>
      </c>
    </row>
    <row r="150">
      <c r="A150" s="3" t="inlineStr">
        <is>
          <t>Unit_Cost</t>
        </is>
      </c>
      <c r="B150" s="3" t="n">
        <v>42</v>
      </c>
      <c r="C150" s="3" t="inlineStr">
        <is>
          <t>新鮮 prefill $/M — 經濟、100%</t>
        </is>
      </c>
      <c r="D150" s="3" t="inlineStr">
        <is>
          <t>$/M</t>
        </is>
      </c>
      <c r="E150" s="3" t="n">
        <v>15</v>
      </c>
      <c r="F150" s="3" t="n">
        <v>1</v>
      </c>
      <c r="G150" s="3" t="inlineStr">
        <is>
          <t>C42</t>
        </is>
      </c>
      <c r="H150" s="3">
        <f>C$8/3600*C39</f>
        <v/>
      </c>
      <c r="I150" s="3" t="n">
        <v>0.445284</v>
      </c>
      <c r="J150" s="3" t="inlineStr">
        <is>
          <t>—</t>
        </is>
      </c>
      <c r="K150" s="3" t="inlineStr">
        <is>
          <t>—</t>
        </is>
      </c>
      <c r="L150" s="3" t="inlineStr">
        <is>
          <t>—</t>
        </is>
      </c>
      <c r="M150" s="3" t="inlineStr">
        <is>
          <t>—</t>
        </is>
      </c>
      <c r="N150" s="3" t="inlineStr">
        <is>
          <t>—</t>
        </is>
      </c>
      <c r="O150" s="3" t="inlineStr">
        <is>
          <t>—</t>
        </is>
      </c>
      <c r="P150" s="3" t="inlineStr">
        <is>
          <t>—</t>
        </is>
      </c>
      <c r="Q150" s="3" t="inlineStr">
        <is>
          <t>上游含 Y1,Y4,Y5,Y6,Y7,Y8</t>
        </is>
      </c>
      <c r="R150" s="3" t="inlineStr">
        <is>
          <t>—</t>
        </is>
      </c>
      <c r="S150" s="3" t="inlineStr">
        <is>
          <t>Y1,Y4,Y5,Y6,Y7,Y8</t>
        </is>
      </c>
      <c r="T150" s="3" t="inlineStr"/>
      <c r="U150" s="3" t="n">
        <v>45</v>
      </c>
      <c r="V150" s="3" t="inlineStr"/>
      <c r="W150" s="3" t="inlineStr">
        <is>
          <t>資訊（只有 L8）</t>
        </is>
      </c>
    </row>
    <row r="151">
      <c r="A151" s="3" t="inlineStr">
        <is>
          <t>Unit_Cost</t>
        </is>
      </c>
      <c r="B151" s="3" t="n">
        <v>43</v>
      </c>
      <c r="C151" s="3" t="inlineStr">
        <is>
          <t>快取命中 prefill $/M — 經濟、100%</t>
        </is>
      </c>
      <c r="D151" s="3" t="inlineStr">
        <is>
          <t>$/M</t>
        </is>
      </c>
      <c r="E151" s="3" t="n">
        <v>15</v>
      </c>
      <c r="F151" s="3" t="n">
        <v>1</v>
      </c>
      <c r="G151" s="3" t="inlineStr">
        <is>
          <t>C43</t>
        </is>
      </c>
      <c r="H151" s="3">
        <f>C$8/3600*C40</f>
        <v/>
      </c>
      <c r="I151" s="3" t="n">
        <v>0.000173</v>
      </c>
      <c r="J151" s="3" t="inlineStr">
        <is>
          <t>—</t>
        </is>
      </c>
      <c r="K151" s="3" t="inlineStr">
        <is>
          <t>—</t>
        </is>
      </c>
      <c r="L151" s="3" t="inlineStr">
        <is>
          <t>—</t>
        </is>
      </c>
      <c r="M151" s="3" t="inlineStr">
        <is>
          <t>—</t>
        </is>
      </c>
      <c r="N151" s="3" t="inlineStr">
        <is>
          <t>—</t>
        </is>
      </c>
      <c r="O151" s="3" t="inlineStr">
        <is>
          <t>—</t>
        </is>
      </c>
      <c r="P151" s="3" t="inlineStr">
        <is>
          <t>—</t>
        </is>
      </c>
      <c r="Q151" s="3" t="inlineStr">
        <is>
          <t>上游含 Y1,Y4,Y7</t>
        </is>
      </c>
      <c r="R151" s="3" t="inlineStr">
        <is>
          <t>—</t>
        </is>
      </c>
      <c r="S151" s="3" t="inlineStr">
        <is>
          <t>Y1,Y4,Y7</t>
        </is>
      </c>
      <c r="T151" s="3" t="inlineStr"/>
      <c r="U151" s="3" t="n">
        <v>30</v>
      </c>
      <c r="V151" s="3" t="inlineStr"/>
      <c r="W151" s="3" t="inlineStr">
        <is>
          <t>資訊（只有 L8）</t>
        </is>
      </c>
    </row>
    <row r="152">
      <c r="A152" s="3" t="inlineStr">
        <is>
          <t>Unit_Cost</t>
        </is>
      </c>
      <c r="B152" s="3" t="n">
        <v>44</v>
      </c>
      <c r="C152" s="3" t="inlineStr">
        <is>
          <t>decode（含思考 token）$/M — 經濟、100%</t>
        </is>
      </c>
      <c r="D152" s="3" t="inlineStr">
        <is>
          <t>$/M</t>
        </is>
      </c>
      <c r="E152" s="3" t="n">
        <v>15</v>
      </c>
      <c r="F152" s="3" t="n">
        <v>1</v>
      </c>
      <c r="G152" s="3" t="inlineStr">
        <is>
          <t>C44</t>
        </is>
      </c>
      <c r="H152" s="3">
        <f>IF(C41&gt;0,C$8/3600*C41,"SLO 不可達")</f>
        <v/>
      </c>
      <c r="I152" s="3" t="n">
        <v>12.20437</v>
      </c>
      <c r="J152" s="3" t="inlineStr">
        <is>
          <t>—</t>
        </is>
      </c>
      <c r="K152" s="3" t="inlineStr">
        <is>
          <t>—</t>
        </is>
      </c>
      <c r="L152" s="3" t="inlineStr">
        <is>
          <t>—</t>
        </is>
      </c>
      <c r="M152" s="3" t="inlineStr">
        <is>
          <t>—</t>
        </is>
      </c>
      <c r="N152" s="3" t="inlineStr">
        <is>
          <t>—</t>
        </is>
      </c>
      <c r="O152" s="3" t="inlineStr">
        <is>
          <t>—</t>
        </is>
      </c>
      <c r="P152" s="3" t="inlineStr">
        <is>
          <t>—</t>
        </is>
      </c>
      <c r="Q152" s="3" t="inlineStr">
        <is>
          <t>上游含 Y1,Y4,Y5,Y6,Y7,Y8</t>
        </is>
      </c>
      <c r="R152" s="3" t="inlineStr">
        <is>
          <t>—</t>
        </is>
      </c>
      <c r="S152" s="3" t="inlineStr">
        <is>
          <t>Y1,Y4,Y5,Y6,Y7,Y8</t>
        </is>
      </c>
      <c r="T152" s="3" t="inlineStr"/>
      <c r="U152" s="3" t="n">
        <v>45</v>
      </c>
      <c r="V152" s="3" t="inlineStr"/>
      <c r="W152" s="3" t="inlineStr">
        <is>
          <t>資訊（只有 L8）</t>
        </is>
      </c>
    </row>
    <row r="153">
      <c r="A153" s="3" t="inlineStr">
        <is>
          <t>Unit_Cost</t>
        </is>
      </c>
      <c r="B153" s="3" t="n">
        <v>45</v>
      </c>
      <c r="C153" s="3" t="inlineStr">
        <is>
          <t>新鮮 prefill $/M — 經濟、基準利用率</t>
        </is>
      </c>
      <c r="D153" s="3" t="inlineStr">
        <is>
          <t>$/M</t>
        </is>
      </c>
      <c r="E153" s="3" t="n">
        <v>15</v>
      </c>
      <c r="F153" s="3" t="n">
        <v>1</v>
      </c>
      <c r="G153" s="3" t="inlineStr">
        <is>
          <t>C45</t>
        </is>
      </c>
      <c r="H153" s="3">
        <f>C42/C$10</f>
        <v/>
      </c>
      <c r="I153" s="3" t="n">
        <v>0.74214</v>
      </c>
      <c r="J153" s="3" t="inlineStr">
        <is>
          <t>—</t>
        </is>
      </c>
      <c r="K153" s="3" t="inlineStr">
        <is>
          <t>—</t>
        </is>
      </c>
      <c r="L153" s="3" t="inlineStr">
        <is>
          <t>—</t>
        </is>
      </c>
      <c r="M153" s="3" t="inlineStr">
        <is>
          <t>—</t>
        </is>
      </c>
      <c r="N153" s="3" t="inlineStr">
        <is>
          <t>—</t>
        </is>
      </c>
      <c r="O153" s="3" t="inlineStr">
        <is>
          <t>—</t>
        </is>
      </c>
      <c r="P153" s="3" t="inlineStr">
        <is>
          <t>—</t>
        </is>
      </c>
      <c r="Q153" s="3" t="inlineStr">
        <is>
          <t>上游含 Y1,Y4,Y5,Y6,Y7,Y8</t>
        </is>
      </c>
      <c r="R153" s="3" t="inlineStr">
        <is>
          <t>—</t>
        </is>
      </c>
      <c r="S153" s="3" t="inlineStr">
        <is>
          <t>Y1,Y4,Y5,Y6,Y7,Y8</t>
        </is>
      </c>
      <c r="T153" s="3" t="inlineStr"/>
      <c r="U153" s="3" t="n">
        <v>57</v>
      </c>
      <c r="V153" s="3" t="inlineStr"/>
      <c r="W153" s="3" t="inlineStr">
        <is>
          <t>資訊（只有 L8）</t>
        </is>
      </c>
    </row>
    <row r="154">
      <c r="A154" s="3" t="inlineStr">
        <is>
          <t>Unit_Cost</t>
        </is>
      </c>
      <c r="B154" s="3" t="n">
        <v>46</v>
      </c>
      <c r="C154" s="3" t="inlineStr">
        <is>
          <t>快取命中 prefill $/M — 經濟、基準利用率</t>
        </is>
      </c>
      <c r="D154" s="3" t="inlineStr">
        <is>
          <t>$/M</t>
        </is>
      </c>
      <c r="E154" s="3" t="n">
        <v>15</v>
      </c>
      <c r="F154" s="3" t="n">
        <v>1</v>
      </c>
      <c r="G154" s="3" t="inlineStr">
        <is>
          <t>C46</t>
        </is>
      </c>
      <c r="H154" s="3">
        <f>C43/C$10</f>
        <v/>
      </c>
      <c r="I154" s="3" t="n">
        <v>0.000288</v>
      </c>
      <c r="J154" s="3" t="inlineStr">
        <is>
          <t>—</t>
        </is>
      </c>
      <c r="K154" s="3" t="inlineStr">
        <is>
          <t>—</t>
        </is>
      </c>
      <c r="L154" s="3" t="inlineStr">
        <is>
          <t>—</t>
        </is>
      </c>
      <c r="M154" s="3" t="inlineStr">
        <is>
          <t>—</t>
        </is>
      </c>
      <c r="N154" s="3" t="inlineStr">
        <is>
          <t>—</t>
        </is>
      </c>
      <c r="O154" s="3" t="inlineStr">
        <is>
          <t>—</t>
        </is>
      </c>
      <c r="P154" s="3" t="inlineStr">
        <is>
          <t>—</t>
        </is>
      </c>
      <c r="Q154" s="3" t="inlineStr">
        <is>
          <t>上游含 Y1,Y4,Y5,Y7</t>
        </is>
      </c>
      <c r="R154" s="3" t="inlineStr">
        <is>
          <t>—</t>
        </is>
      </c>
      <c r="S154" s="3" t="inlineStr">
        <is>
          <t>Y1,Y4,Y5,Y7</t>
        </is>
      </c>
      <c r="T154" s="3" t="inlineStr"/>
      <c r="U154" s="3" t="n">
        <v>57</v>
      </c>
      <c r="V154" s="3" t="inlineStr"/>
      <c r="W154" s="3" t="inlineStr">
        <is>
          <t>資訊（只有 L8）</t>
        </is>
      </c>
    </row>
    <row r="155">
      <c r="A155" s="3" t="inlineStr">
        <is>
          <t>Unit_Cost</t>
        </is>
      </c>
      <c r="B155" s="3" t="n">
        <v>47</v>
      </c>
      <c r="C155" s="3" t="inlineStr">
        <is>
          <t>decode（含思考 token）$/M — 經濟、基準利用率</t>
        </is>
      </c>
      <c r="D155" s="3" t="inlineStr">
        <is>
          <t>$/M</t>
        </is>
      </c>
      <c r="E155" s="3" t="n">
        <v>15</v>
      </c>
      <c r="F155" s="3" t="n">
        <v>1</v>
      </c>
      <c r="G155" s="3" t="inlineStr">
        <is>
          <t>C47</t>
        </is>
      </c>
      <c r="H155" s="3">
        <f>IF(ISNUMBER(C44),C44/C$10,C44)</f>
        <v/>
      </c>
      <c r="I155" s="3" t="n">
        <v>20.340616</v>
      </c>
      <c r="J155" s="3" t="inlineStr">
        <is>
          <t>—</t>
        </is>
      </c>
      <c r="K155" s="3" t="inlineStr">
        <is>
          <t>—</t>
        </is>
      </c>
      <c r="L155" s="3" t="inlineStr">
        <is>
          <t>—</t>
        </is>
      </c>
      <c r="M155" s="3" t="inlineStr">
        <is>
          <t>—</t>
        </is>
      </c>
      <c r="N155" s="3" t="inlineStr">
        <is>
          <t>—</t>
        </is>
      </c>
      <c r="O155" s="3" t="inlineStr">
        <is>
          <t>—</t>
        </is>
      </c>
      <c r="P155" s="3" t="inlineStr">
        <is>
          <t>—</t>
        </is>
      </c>
      <c r="Q155" s="3" t="inlineStr">
        <is>
          <t>上游含 Y1,Y4,Y5,Y6,Y7,Y8</t>
        </is>
      </c>
      <c r="R155" s="3" t="inlineStr">
        <is>
          <t>—</t>
        </is>
      </c>
      <c r="S155" s="3" t="inlineStr">
        <is>
          <t>Y1,Y4,Y5,Y6,Y7,Y8</t>
        </is>
      </c>
      <c r="T155" s="3" t="inlineStr"/>
      <c r="U155" s="3" t="n">
        <v>57</v>
      </c>
      <c r="V155" s="3" t="inlineStr"/>
      <c r="W155" s="3" t="inlineStr">
        <is>
          <t>資訊（只有 L8）</t>
        </is>
      </c>
    </row>
    <row r="156">
      <c r="A156" s="3" t="inlineStr">
        <is>
          <t>Unit_Cost</t>
        </is>
      </c>
      <c r="B156" s="3" t="n">
        <v>48</v>
      </c>
      <c r="C156" s="3" t="inlineStr">
        <is>
          <t>decode（含思考 token）$/M — 會計、100%</t>
        </is>
      </c>
      <c r="D156" s="3" t="inlineStr">
        <is>
          <t>$/M</t>
        </is>
      </c>
      <c r="E156" s="3" t="n">
        <v>15</v>
      </c>
      <c r="F156" s="3" t="n">
        <v>1</v>
      </c>
      <c r="G156" s="3" t="inlineStr">
        <is>
          <t>C48</t>
        </is>
      </c>
      <c r="H156" s="3">
        <f>IF(C41&gt;0,C$9/3600*C41,"SLO 不可達")</f>
        <v/>
      </c>
      <c r="I156" s="3" t="n">
        <v>9.327055</v>
      </c>
      <c r="J156" s="3" t="inlineStr">
        <is>
          <t>—</t>
        </is>
      </c>
      <c r="K156" s="3" t="inlineStr">
        <is>
          <t>—</t>
        </is>
      </c>
      <c r="L156" s="3" t="inlineStr">
        <is>
          <t>—</t>
        </is>
      </c>
      <c r="M156" s="3" t="inlineStr">
        <is>
          <t>—</t>
        </is>
      </c>
      <c r="N156" s="3" t="inlineStr">
        <is>
          <t>—</t>
        </is>
      </c>
      <c r="O156" s="3" t="inlineStr">
        <is>
          <t>—</t>
        </is>
      </c>
      <c r="P156" s="3" t="inlineStr">
        <is>
          <t>—</t>
        </is>
      </c>
      <c r="Q156" s="3" t="inlineStr">
        <is>
          <t>上游含 Y1,Y4,Y5,Y6,Y7,Y8</t>
        </is>
      </c>
      <c r="R156" s="3" t="inlineStr">
        <is>
          <t>—</t>
        </is>
      </c>
      <c r="S156" s="3" t="inlineStr">
        <is>
          <t>Y1,Y4,Y5,Y6,Y7,Y8</t>
        </is>
      </c>
      <c r="T156" s="3" t="inlineStr"/>
      <c r="U156" s="3" t="n">
        <v>15</v>
      </c>
      <c r="V156" s="3" t="inlineStr"/>
      <c r="W156" s="3" t="inlineStr">
        <is>
          <t>資訊（只有 L8）</t>
        </is>
      </c>
    </row>
    <row r="157">
      <c r="A157" s="3" t="inlineStr">
        <is>
          <t>DC_Cost</t>
        </is>
      </c>
      <c r="B157" s="3" t="n">
        <v>16</v>
      </c>
      <c r="C157" s="3" t="inlineStr">
        <is>
          <t>設施電力（IT × PUE）</t>
        </is>
      </c>
      <c r="D157" s="3" t="inlineStr">
        <is>
          <t>MW</t>
        </is>
      </c>
      <c r="E157" s="3" t="n">
        <v>15</v>
      </c>
      <c r="F157" s="3" t="n">
        <v>1</v>
      </c>
      <c r="G157" s="3" t="inlineStr">
        <is>
          <t>C16</t>
        </is>
      </c>
      <c r="H157" s="3">
        <f>C8*C15</f>
        <v/>
      </c>
      <c r="I157" s="3" t="n">
        <v>1100</v>
      </c>
      <c r="J157" s="3" t="inlineStr">
        <is>
          <t>—</t>
        </is>
      </c>
      <c r="K157" s="3" t="inlineStr">
        <is>
          <t>—</t>
        </is>
      </c>
      <c r="L157" s="3" t="inlineStr">
        <is>
          <t>—</t>
        </is>
      </c>
      <c r="M157" s="3" t="inlineStr">
        <is>
          <t>—</t>
        </is>
      </c>
      <c r="N157" s="3" t="inlineStr">
        <is>
          <t>—</t>
        </is>
      </c>
      <c r="O157" s="3" t="inlineStr">
        <is>
          <t>—</t>
        </is>
      </c>
      <c r="P157" s="3" t="inlineStr">
        <is>
          <t>—</t>
        </is>
      </c>
      <c r="Q157" s="3" t="inlineStr">
        <is>
          <t>上游含 Y4</t>
        </is>
      </c>
      <c r="R157" s="3" t="inlineStr">
        <is>
          <t>—</t>
        </is>
      </c>
      <c r="S157" s="3" t="inlineStr">
        <is>
          <t>Y4</t>
        </is>
      </c>
      <c r="T157" s="3" t="inlineStr"/>
      <c r="U157" s="3" t="n">
        <v>15</v>
      </c>
      <c r="V157" s="3" t="inlineStr"/>
      <c r="W157" s="3" t="inlineStr">
        <is>
          <t>資訊（只有 L8）</t>
        </is>
      </c>
    </row>
    <row r="158">
      <c r="A158" s="3" t="inlineStr">
        <is>
          <t>DC_Cost</t>
        </is>
      </c>
      <c r="B158" s="3" t="n">
        <v>36</v>
      </c>
      <c r="C158" s="3" t="inlineStr">
        <is>
          <t>每 MW IT 廠房資本支出</t>
        </is>
      </c>
      <c r="D158" s="3" t="inlineStr">
        <is>
          <t>$M</t>
        </is>
      </c>
      <c r="E158" s="3" t="n">
        <v>15</v>
      </c>
      <c r="F158" s="3" t="n">
        <v>1</v>
      </c>
      <c r="G158" s="3" t="inlineStr">
        <is>
          <t>C36</t>
        </is>
      </c>
      <c r="H158" s="3">
        <f>C32*1000/C8</f>
        <v/>
      </c>
      <c r="I158" s="3" t="n">
        <v>10.212</v>
      </c>
      <c r="J158" s="3" t="inlineStr">
        <is>
          <t>—</t>
        </is>
      </c>
      <c r="K158" s="3" t="inlineStr">
        <is>
          <t>—</t>
        </is>
      </c>
      <c r="L158" s="3" t="inlineStr">
        <is>
          <t>—</t>
        </is>
      </c>
      <c r="M158" s="3" t="inlineStr">
        <is>
          <t>—</t>
        </is>
      </c>
      <c r="N158" s="3" t="inlineStr">
        <is>
          <t>—</t>
        </is>
      </c>
      <c r="O158" s="3" t="inlineStr">
        <is>
          <t>—</t>
        </is>
      </c>
      <c r="P158" s="3" t="inlineStr">
        <is>
          <t>—</t>
        </is>
      </c>
      <c r="Q158" s="3" t="inlineStr">
        <is>
          <t>上游含 Y4</t>
        </is>
      </c>
      <c r="R158" s="3" t="inlineStr">
        <is>
          <t>—</t>
        </is>
      </c>
      <c r="S158" s="3" t="inlineStr">
        <is>
          <t>Y4</t>
        </is>
      </c>
      <c r="T158" s="3" t="inlineStr"/>
      <c r="U158" s="3" t="n">
        <v>3</v>
      </c>
      <c r="V158" s="3" t="inlineStr"/>
      <c r="W158" s="3" t="inlineStr">
        <is>
          <t>資訊（只有 L8）</t>
        </is>
      </c>
    </row>
    <row r="159">
      <c r="A159" s="3" t="inlineStr">
        <is>
          <t>DC_Cost</t>
        </is>
      </c>
      <c r="B159" s="3" t="n">
        <v>39</v>
      </c>
      <c r="C159" s="3" t="inlineStr">
        <is>
          <t>IT 折舊</t>
        </is>
      </c>
      <c r="D159" s="3" t="inlineStr">
        <is>
          <t>$B</t>
        </is>
      </c>
      <c r="E159" s="3" t="n">
        <v>15</v>
      </c>
      <c r="F159" s="3" t="n">
        <v>1</v>
      </c>
      <c r="G159" s="3" t="inlineStr">
        <is>
          <t>C39</t>
        </is>
      </c>
      <c r="H159" s="3">
        <f>C24/C38</f>
        <v/>
      </c>
      <c r="I159" s="3" t="n">
        <v>3.570045</v>
      </c>
      <c r="J159" s="3" t="inlineStr">
        <is>
          <t>—</t>
        </is>
      </c>
      <c r="K159" s="3" t="inlineStr">
        <is>
          <t>—</t>
        </is>
      </c>
      <c r="L159" s="3" t="inlineStr">
        <is>
          <t>—</t>
        </is>
      </c>
      <c r="M159" s="3" t="inlineStr">
        <is>
          <t>—</t>
        </is>
      </c>
      <c r="N159" s="3" t="inlineStr">
        <is>
          <t>—</t>
        </is>
      </c>
      <c r="O159" s="3" t="inlineStr">
        <is>
          <t>—</t>
        </is>
      </c>
      <c r="P159" s="3" t="inlineStr">
        <is>
          <t>—</t>
        </is>
      </c>
      <c r="Q159" s="3" t="inlineStr">
        <is>
          <t>上游含 Y7</t>
        </is>
      </c>
      <c r="R159" s="3" t="inlineStr">
        <is>
          <t>—</t>
        </is>
      </c>
      <c r="S159" s="3" t="inlineStr">
        <is>
          <t>Y7</t>
        </is>
      </c>
      <c r="T159" s="3" t="inlineStr"/>
      <c r="U159" s="3" t="n">
        <v>30</v>
      </c>
      <c r="V159" s="3" t="inlineStr"/>
      <c r="W159" s="3" t="inlineStr">
        <is>
          <t>資訊（只有 L8）</t>
        </is>
      </c>
    </row>
    <row r="160">
      <c r="A160" s="3" t="inlineStr">
        <is>
          <t>DC_Cost</t>
        </is>
      </c>
      <c r="B160" s="3" t="n">
        <v>40</v>
      </c>
      <c r="C160" s="3" t="inlineStr">
        <is>
          <t>廠房折舊（土地不折舊）</t>
        </is>
      </c>
      <c r="D160" s="3" t="inlineStr">
        <is>
          <t>$B</t>
        </is>
      </c>
      <c r="E160" s="3" t="n">
        <v>15</v>
      </c>
      <c r="F160" s="3" t="n">
        <v>5</v>
      </c>
      <c r="G160" s="3" t="inlineStr">
        <is>
          <t>C40</t>
        </is>
      </c>
      <c r="H160" s="3">
        <f>(C26/Inputs!D24+C27/Inputs!D25+C28/Inputs!D26+C29/Inputs!D27)*(1+C30)</f>
        <v/>
      </c>
      <c r="I160" s="3" t="n">
        <v>0.507733</v>
      </c>
      <c r="J160" s="3" t="inlineStr">
        <is>
          <t>—</t>
        </is>
      </c>
      <c r="K160" s="3" t="inlineStr">
        <is>
          <t>—</t>
        </is>
      </c>
      <c r="L160" s="3" t="inlineStr">
        <is>
          <t>—</t>
        </is>
      </c>
      <c r="M160" s="3" t="inlineStr">
        <is>
          <t>—</t>
        </is>
      </c>
      <c r="N160" s="3" t="inlineStr">
        <is>
          <t>—</t>
        </is>
      </c>
      <c r="O160" s="3" t="inlineStr">
        <is>
          <t>—</t>
        </is>
      </c>
      <c r="P160" s="3" t="inlineStr">
        <is>
          <t>—</t>
        </is>
      </c>
      <c r="Q160" s="3" t="inlineStr">
        <is>
          <t>上游含 Y4</t>
        </is>
      </c>
      <c r="R160" s="3" t="inlineStr">
        <is>
          <t>—</t>
        </is>
      </c>
      <c r="S160" s="3" t="inlineStr">
        <is>
          <t>Y4</t>
        </is>
      </c>
      <c r="T160" s="3" t="inlineStr"/>
      <c r="U160" s="3" t="n">
        <v>30</v>
      </c>
      <c r="V160" s="3" t="inlineStr"/>
      <c r="W160" s="3" t="inlineStr">
        <is>
          <t>資訊（只有 L8）</t>
        </is>
      </c>
    </row>
    <row r="161">
      <c r="A161" s="3" t="inlineStr">
        <is>
          <t>DC_Cost</t>
        </is>
      </c>
      <c r="B161" s="3" t="n">
        <v>49</v>
      </c>
      <c r="C161" s="3" t="inlineStr">
        <is>
          <t>年持有成本 — 會計口徑</t>
        </is>
      </c>
      <c r="D161" s="3" t="inlineStr">
        <is>
          <t>$B</t>
        </is>
      </c>
      <c r="E161" s="3" t="n">
        <v>15</v>
      </c>
      <c r="F161" s="3" t="n">
        <v>1</v>
      </c>
      <c r="G161" s="3" t="inlineStr">
        <is>
          <t>C49</t>
        </is>
      </c>
      <c r="H161" s="3">
        <f>C39+C40+C48</f>
        <v/>
      </c>
      <c r="I161" s="3" t="n">
        <v>5.190004</v>
      </c>
      <c r="J161" s="3" t="inlineStr">
        <is>
          <t>—</t>
        </is>
      </c>
      <c r="K161" s="3" t="inlineStr">
        <is>
          <t>—</t>
        </is>
      </c>
      <c r="L161" s="3" t="inlineStr">
        <is>
          <t>—</t>
        </is>
      </c>
      <c r="M161" s="3" t="inlineStr">
        <is>
          <t>—</t>
        </is>
      </c>
      <c r="N161" s="3" t="inlineStr">
        <is>
          <t>—</t>
        </is>
      </c>
      <c r="O161" s="3" t="inlineStr">
        <is>
          <t>—</t>
        </is>
      </c>
      <c r="P161" s="3" t="inlineStr">
        <is>
          <t>—</t>
        </is>
      </c>
      <c r="Q161" s="3" t="inlineStr">
        <is>
          <t>上游含 Y4,Y7</t>
        </is>
      </c>
      <c r="R161" s="3" t="inlineStr">
        <is>
          <t>—</t>
        </is>
      </c>
      <c r="S161" s="3" t="inlineStr">
        <is>
          <t>Y4,Y7</t>
        </is>
      </c>
      <c r="T161" s="3" t="inlineStr"/>
      <c r="U161" s="3" t="n">
        <v>30</v>
      </c>
      <c r="V161" s="3" t="inlineStr"/>
      <c r="W161" s="3" t="inlineStr">
        <is>
          <t>資訊（只有 L8）</t>
        </is>
      </c>
    </row>
    <row r="162">
      <c r="A162" s="3" t="inlineStr">
        <is>
          <t>DC_Cost</t>
        </is>
      </c>
      <c r="B162" s="3" t="n">
        <v>57</v>
      </c>
      <c r="C162" s="3" t="inlineStr">
        <is>
          <t>每 GPU 小時持有成本 — 會計</t>
        </is>
      </c>
      <c r="D162" s="3" t="inlineStr">
        <is>
          <t>$/GPU-hr</t>
        </is>
      </c>
      <c r="E162" s="3" t="n">
        <v>15</v>
      </c>
      <c r="F162" s="3" t="n">
        <v>1</v>
      </c>
      <c r="G162" s="3" t="inlineStr">
        <is>
          <t>C57</t>
        </is>
      </c>
      <c r="H162" s="3">
        <f>C49*1000000000/(C14*8760)</f>
        <v/>
      </c>
      <c r="I162" s="3" t="n">
        <v>0.825107</v>
      </c>
      <c r="J162" s="3" t="inlineStr">
        <is>
          <t>—</t>
        </is>
      </c>
      <c r="K162" s="3" t="inlineStr">
        <is>
          <t>—</t>
        </is>
      </c>
      <c r="L162" s="3" t="inlineStr">
        <is>
          <t>—</t>
        </is>
      </c>
      <c r="M162" s="3" t="inlineStr">
        <is>
          <t>—</t>
        </is>
      </c>
      <c r="N162" s="3" t="inlineStr">
        <is>
          <t>—</t>
        </is>
      </c>
      <c r="O162" s="3" t="inlineStr">
        <is>
          <t>—</t>
        </is>
      </c>
      <c r="P162" s="3" t="inlineStr">
        <is>
          <t>—</t>
        </is>
      </c>
      <c r="Q162" s="3" t="inlineStr">
        <is>
          <t>上游含 Y4,Y7</t>
        </is>
      </c>
      <c r="R162" s="3" t="inlineStr">
        <is>
          <t>—</t>
        </is>
      </c>
      <c r="S162" s="3" t="inlineStr">
        <is>
          <t>Y4,Y7</t>
        </is>
      </c>
      <c r="T162" s="3" t="inlineStr"/>
      <c r="U162" s="3" t="n">
        <v>62</v>
      </c>
      <c r="V162" s="3" t="inlineStr"/>
      <c r="W162" s="3" t="inlineStr">
        <is>
          <t>資訊（只有 L8）</t>
        </is>
      </c>
    </row>
    <row r="163">
      <c r="A163" s="3" t="inlineStr">
        <is>
          <t>DC_Cost</t>
        </is>
      </c>
      <c r="B163" s="3" t="n">
        <v>58</v>
      </c>
      <c r="C163" s="3" t="inlineStr">
        <is>
          <t>每 GPU 小時持有成本 — 經濟</t>
        </is>
      </c>
      <c r="D163" s="3" t="inlineStr">
        <is>
          <t>$/GPU-hr</t>
        </is>
      </c>
      <c r="E163" s="3" t="n">
        <v>15</v>
      </c>
      <c r="F163" s="3" t="n">
        <v>1</v>
      </c>
      <c r="G163" s="3" t="inlineStr">
        <is>
          <t>C58</t>
        </is>
      </c>
      <c r="H163" s="3">
        <f>C55*1000000000/(C14*8760)</f>
        <v/>
      </c>
      <c r="I163" s="3" t="n">
        <v>1.079645</v>
      </c>
      <c r="J163" s="3" t="inlineStr">
        <is>
          <t>—</t>
        </is>
      </c>
      <c r="K163" s="3" t="inlineStr">
        <is>
          <t>—</t>
        </is>
      </c>
      <c r="L163" s="3" t="inlineStr">
        <is>
          <t>—</t>
        </is>
      </c>
      <c r="M163" s="3" t="inlineStr">
        <is>
          <t>—</t>
        </is>
      </c>
      <c r="N163" s="3" t="inlineStr">
        <is>
          <t>—</t>
        </is>
      </c>
      <c r="O163" s="3" t="inlineStr">
        <is>
          <t>—</t>
        </is>
      </c>
      <c r="P163" s="3" t="inlineStr">
        <is>
          <t>—</t>
        </is>
      </c>
      <c r="Q163" s="3" t="inlineStr">
        <is>
          <t>上游含 Y4,Y7</t>
        </is>
      </c>
      <c r="R163" s="3" t="inlineStr">
        <is>
          <t>—</t>
        </is>
      </c>
      <c r="S163" s="3" t="inlineStr">
        <is>
          <t>Y4,Y7</t>
        </is>
      </c>
      <c r="T163" s="3" t="inlineStr"/>
      <c r="U163" s="3" t="n">
        <v>208</v>
      </c>
      <c r="V163" s="3" t="inlineStr"/>
      <c r="W163" s="3" t="inlineStr">
        <is>
          <t>資訊（只有 L8）</t>
        </is>
      </c>
    </row>
    <row r="164">
      <c r="A164" s="3" t="inlineStr">
        <is>
          <t>Perf_Batch</t>
        </is>
      </c>
      <c r="B164" s="3" t="n">
        <v>6</v>
      </c>
      <c r="C164" s="3" t="inlineStr">
        <is>
          <t>世代索引</t>
        </is>
      </c>
      <c r="D164" s="3" t="n"/>
      <c r="E164" s="3" t="n">
        <v>0</v>
      </c>
      <c r="F164" s="3" t="n">
        <v>0</v>
      </c>
      <c r="G164" s="3" t="inlineStr"/>
      <c r="H164" s="3" t="inlineStr"/>
      <c r="I164" s="3" t="inlineStr"/>
      <c r="J164" s="3" t="inlineStr">
        <is>
          <t>—</t>
        </is>
      </c>
      <c r="K164" s="3" t="inlineStr">
        <is>
          <t>—</t>
        </is>
      </c>
      <c r="L164" s="3" t="inlineStr">
        <is>
          <t>—</t>
        </is>
      </c>
      <c r="M164" s="3" t="inlineStr">
        <is>
          <t>—</t>
        </is>
      </c>
      <c r="N164" s="3" t="inlineStr">
        <is>
          <t>—</t>
        </is>
      </c>
      <c r="O164" s="3" t="inlineStr">
        <is>
          <t>—</t>
        </is>
      </c>
      <c r="P164" s="3" t="inlineStr">
        <is>
          <t>—</t>
        </is>
      </c>
      <c r="Q164" s="3" t="inlineStr">
        <is>
          <t>—</t>
        </is>
      </c>
      <c r="R164" s="3" t="inlineStr">
        <is>
          <t>—</t>
        </is>
      </c>
      <c r="S164" s="3" t="inlineStr"/>
      <c r="T164" s="3" t="inlineStr"/>
      <c r="U164" s="3" t="n">
        <v>472</v>
      </c>
      <c r="V164" s="3" t="inlineStr"/>
      <c r="W164" s="3" t="inlineStr">
        <is>
          <t>—</t>
        </is>
      </c>
    </row>
    <row r="165">
      <c r="A165" s="3" t="inlineStr">
        <is>
          <t>Perf_Batch</t>
        </is>
      </c>
      <c r="B165" s="3" t="n">
        <v>7</v>
      </c>
      <c r="C165" s="3" t="inlineStr">
        <is>
          <t>層級索引</t>
        </is>
      </c>
      <c r="D165" s="3" t="n"/>
      <c r="E165" s="3" t="n">
        <v>0</v>
      </c>
      <c r="F165" s="3" t="n">
        <v>0</v>
      </c>
      <c r="G165" s="3" t="inlineStr"/>
      <c r="H165" s="3" t="inlineStr"/>
      <c r="I165" s="3" t="inlineStr"/>
      <c r="J165" s="3" t="inlineStr">
        <is>
          <t>—</t>
        </is>
      </c>
      <c r="K165" s="3" t="inlineStr">
        <is>
          <t>—</t>
        </is>
      </c>
      <c r="L165" s="3" t="inlineStr">
        <is>
          <t>—</t>
        </is>
      </c>
      <c r="M165" s="3" t="inlineStr">
        <is>
          <t>—</t>
        </is>
      </c>
      <c r="N165" s="3" t="inlineStr">
        <is>
          <t>—</t>
        </is>
      </c>
      <c r="O165" s="3" t="inlineStr">
        <is>
          <t>—</t>
        </is>
      </c>
      <c r="P165" s="3" t="inlineStr">
        <is>
          <t>—</t>
        </is>
      </c>
      <c r="Q165" s="3" t="inlineStr">
        <is>
          <t>—</t>
        </is>
      </c>
      <c r="R165" s="3" t="inlineStr">
        <is>
          <t>—</t>
        </is>
      </c>
      <c r="S165" s="3" t="inlineStr"/>
      <c r="T165" s="3" t="inlineStr"/>
      <c r="U165" s="3" t="n">
        <v>320</v>
      </c>
      <c r="V165" s="3" t="inlineStr"/>
      <c r="W165" s="3" t="inlineStr">
        <is>
          <t>—</t>
        </is>
      </c>
    </row>
    <row r="166">
      <c r="A166" s="3" t="inlineStr">
        <is>
          <t>Perf_Batch</t>
        </is>
      </c>
      <c r="B166" s="3" t="n">
        <v>10</v>
      </c>
      <c r="C166" s="3" t="inlineStr">
        <is>
          <t>FLOPs/token 倍數（H_FLOP）</t>
        </is>
      </c>
      <c r="D166" s="3" t="inlineStr">
        <is>
          <t>x</t>
        </is>
      </c>
      <c r="E166" s="3" t="n">
        <v>17</v>
      </c>
      <c r="F166" s="3" t="n">
        <v>1</v>
      </c>
      <c r="G166" s="3" t="inlineStr">
        <is>
          <t>C10</t>
        </is>
      </c>
      <c r="H166" s="3">
        <f>Tech_Registry!$E$22</f>
        <v/>
      </c>
      <c r="I166" s="3" t="n">
        <v>1</v>
      </c>
      <c r="J166" s="3" t="inlineStr">
        <is>
          <t>—</t>
        </is>
      </c>
      <c r="K166" s="3" t="inlineStr">
        <is>
          <t>—</t>
        </is>
      </c>
      <c r="L166" s="3" t="inlineStr">
        <is>
          <t>—</t>
        </is>
      </c>
      <c r="M166" s="3" t="inlineStr">
        <is>
          <t>—</t>
        </is>
      </c>
      <c r="N166" s="3" t="inlineStr">
        <is>
          <t>—</t>
        </is>
      </c>
      <c r="O166" s="3" t="inlineStr">
        <is>
          <t>—</t>
        </is>
      </c>
      <c r="P166" s="3" t="inlineStr">
        <is>
          <t>—</t>
        </is>
      </c>
      <c r="Q166" s="3" t="inlineStr">
        <is>
          <t>—</t>
        </is>
      </c>
      <c r="R166" s="3" t="inlineStr">
        <is>
          <t>—</t>
        </is>
      </c>
      <c r="S166" s="3" t="inlineStr"/>
      <c r="T166" s="3" t="inlineStr"/>
      <c r="U166" s="3" t="n">
        <v>34</v>
      </c>
      <c r="V166" s="3" t="inlineStr"/>
      <c r="W166" s="3" t="inlineStr">
        <is>
          <t>—</t>
        </is>
      </c>
    </row>
    <row r="167">
      <c r="A167" s="3" t="inlineStr">
        <is>
          <t>Perf_Batch</t>
        </is>
      </c>
      <c r="B167" s="3" t="n">
        <v>11</v>
      </c>
      <c r="C167" s="3" t="inlineStr">
        <is>
          <t>KV bytes/token 倍數（H_KV）</t>
        </is>
      </c>
      <c r="D167" s="3" t="inlineStr">
        <is>
          <t>x</t>
        </is>
      </c>
      <c r="E167" s="3" t="n">
        <v>17</v>
      </c>
      <c r="F167" s="3" t="n">
        <v>1</v>
      </c>
      <c r="G167" s="3" t="inlineStr">
        <is>
          <t>C11</t>
        </is>
      </c>
      <c r="H167" s="3">
        <f>Tech_Registry!$E$23</f>
        <v/>
      </c>
      <c r="I167" s="3" t="n">
        <v>1</v>
      </c>
      <c r="J167" s="3" t="inlineStr">
        <is>
          <t>—</t>
        </is>
      </c>
      <c r="K167" s="3" t="inlineStr">
        <is>
          <t>—</t>
        </is>
      </c>
      <c r="L167" s="3" t="inlineStr">
        <is>
          <t>—</t>
        </is>
      </c>
      <c r="M167" s="3" t="inlineStr">
        <is>
          <t>—</t>
        </is>
      </c>
      <c r="N167" s="3" t="inlineStr">
        <is>
          <t>—</t>
        </is>
      </c>
      <c r="O167" s="3" t="inlineStr">
        <is>
          <t>—</t>
        </is>
      </c>
      <c r="P167" s="3" t="inlineStr">
        <is>
          <t>—</t>
        </is>
      </c>
      <c r="Q167" s="3" t="inlineStr">
        <is>
          <t>—</t>
        </is>
      </c>
      <c r="R167" s="3" t="inlineStr">
        <is>
          <t>—</t>
        </is>
      </c>
      <c r="S167" s="3" t="inlineStr"/>
      <c r="T167" s="3" t="inlineStr"/>
      <c r="U167" s="3" t="n">
        <v>17</v>
      </c>
      <c r="V167" s="3" t="inlineStr"/>
      <c r="W167" s="3" t="inlineStr">
        <is>
          <t>—</t>
        </is>
      </c>
    </row>
    <row r="168">
      <c r="A168" s="3" t="inlineStr">
        <is>
          <t>Perf_Batch</t>
        </is>
      </c>
      <c r="B168" s="3" t="n">
        <v>12</v>
      </c>
      <c r="C168" s="3" t="inlineStr">
        <is>
          <t>權重 bytes/param 倍數（H_WB）</t>
        </is>
      </c>
      <c r="D168" s="3" t="inlineStr">
        <is>
          <t>x</t>
        </is>
      </c>
      <c r="E168" s="3" t="n">
        <v>17</v>
      </c>
      <c r="F168" s="3" t="n">
        <v>1</v>
      </c>
      <c r="G168" s="3" t="inlineStr">
        <is>
          <t>C12</t>
        </is>
      </c>
      <c r="H168" s="3">
        <f>Tech_Registry!$E$24</f>
        <v/>
      </c>
      <c r="I168" s="3" t="n">
        <v>1</v>
      </c>
      <c r="J168" s="3" t="inlineStr">
        <is>
          <t>—</t>
        </is>
      </c>
      <c r="K168" s="3" t="inlineStr">
        <is>
          <t>—</t>
        </is>
      </c>
      <c r="L168" s="3" t="inlineStr">
        <is>
          <t>—</t>
        </is>
      </c>
      <c r="M168" s="3" t="inlineStr">
        <is>
          <t>—</t>
        </is>
      </c>
      <c r="N168" s="3" t="inlineStr">
        <is>
          <t>—</t>
        </is>
      </c>
      <c r="O168" s="3" t="inlineStr">
        <is>
          <t>—</t>
        </is>
      </c>
      <c r="P168" s="3" t="inlineStr">
        <is>
          <t>—</t>
        </is>
      </c>
      <c r="Q168" s="3" t="inlineStr">
        <is>
          <t>—</t>
        </is>
      </c>
      <c r="R168" s="3" t="inlineStr">
        <is>
          <t>—</t>
        </is>
      </c>
      <c r="S168" s="3" t="inlineStr"/>
      <c r="T168" s="3" t="inlineStr"/>
      <c r="U168" s="3" t="n">
        <v>30</v>
      </c>
      <c r="V168" s="3" t="inlineStr"/>
      <c r="W168" s="3" t="inlineStr">
        <is>
          <t>—</t>
        </is>
      </c>
    </row>
    <row r="169">
      <c r="A169" s="3" t="inlineStr">
        <is>
          <t>Perf_Batch</t>
        </is>
      </c>
      <c r="B169" s="3" t="n">
        <v>14</v>
      </c>
      <c r="C169" s="3" t="inlineStr">
        <is>
          <t>計算用峰值</t>
        </is>
      </c>
      <c r="D169" s="3" t="inlineStr">
        <is>
          <t>PF/GPU</t>
        </is>
      </c>
      <c r="E169" s="3" t="n">
        <v>17</v>
      </c>
      <c r="F169" s="3" t="n">
        <v>2</v>
      </c>
      <c r="G169" s="3" t="inlineStr">
        <is>
          <t>C14</t>
        </is>
      </c>
      <c r="H169" s="3">
        <f>INDEX(Spec_Rack!$C$35:$G$35,C$6)</f>
        <v/>
      </c>
      <c r="I169" s="3" t="n">
        <v>1.979</v>
      </c>
      <c r="J169" s="3" t="inlineStr">
        <is>
          <t>—</t>
        </is>
      </c>
      <c r="K169" s="3" t="inlineStr">
        <is>
          <t>—</t>
        </is>
      </c>
      <c r="L169" s="3" t="inlineStr">
        <is>
          <t>[G09] R、S 欄峰值改用 Spec_Rack F40（FP8 17.5），C–Q 欄用計算用峰值（第 35 列）；屬情境設計</t>
        </is>
      </c>
      <c r="M169" s="3" t="inlineStr">
        <is>
          <t>—</t>
        </is>
      </c>
      <c r="N169" s="3" t="inlineStr">
        <is>
          <t>—</t>
        </is>
      </c>
      <c r="O169" s="3" t="inlineStr">
        <is>
          <t>—</t>
        </is>
      </c>
      <c r="P169" s="3" t="inlineStr">
        <is>
          <t>—</t>
        </is>
      </c>
      <c r="Q169" s="3" t="inlineStr">
        <is>
          <t>—</t>
        </is>
      </c>
      <c r="R169" s="3" t="inlineStr">
        <is>
          <t>—</t>
        </is>
      </c>
      <c r="S169" s="3" t="inlineStr"/>
      <c r="T169" s="3" t="inlineStr"/>
      <c r="U169" s="3" t="n">
        <v>145</v>
      </c>
      <c r="V169" s="3" t="inlineStr">
        <is>
          <t>G09</t>
        </is>
      </c>
      <c r="W169" s="3" t="inlineStr">
        <is>
          <t>低</t>
        </is>
      </c>
    </row>
    <row r="170">
      <c r="A170" s="3" t="inlineStr">
        <is>
          <t>Perf_Batch</t>
        </is>
      </c>
      <c r="B170" s="3" t="n">
        <v>15</v>
      </c>
      <c r="C170" s="3" t="inlineStr">
        <is>
          <t>HBM 容量</t>
        </is>
      </c>
      <c r="D170" s="3" t="inlineStr">
        <is>
          <t>GB/GPU</t>
        </is>
      </c>
      <c r="E170" s="3" t="n">
        <v>17</v>
      </c>
      <c r="F170" s="3" t="n">
        <v>1</v>
      </c>
      <c r="G170" s="3" t="inlineStr">
        <is>
          <t>C15</t>
        </is>
      </c>
      <c r="H170" s="3">
        <f>INDEX(Spec_Rack!$C$25:$G$25,C$6)</f>
        <v/>
      </c>
      <c r="I170" s="3" t="n">
        <v>80</v>
      </c>
      <c r="J170" s="3" t="inlineStr">
        <is>
          <t>—</t>
        </is>
      </c>
      <c r="K170" s="3" t="inlineStr">
        <is>
          <t>—</t>
        </is>
      </c>
      <c r="L170" s="3" t="inlineStr">
        <is>
          <t>—</t>
        </is>
      </c>
      <c r="M170" s="3" t="inlineStr">
        <is>
          <t>—</t>
        </is>
      </c>
      <c r="N170" s="3" t="inlineStr">
        <is>
          <t>—</t>
        </is>
      </c>
      <c r="O170" s="3" t="inlineStr">
        <is>
          <t>—</t>
        </is>
      </c>
      <c r="P170" s="3" t="inlineStr">
        <is>
          <t>—</t>
        </is>
      </c>
      <c r="Q170" s="3" t="inlineStr">
        <is>
          <t>—</t>
        </is>
      </c>
      <c r="R170" s="3" t="inlineStr">
        <is>
          <t>—</t>
        </is>
      </c>
      <c r="S170" s="3" t="inlineStr"/>
      <c r="T170" s="3" t="inlineStr"/>
      <c r="U170" s="3" t="n">
        <v>17</v>
      </c>
      <c r="V170" s="3" t="inlineStr"/>
      <c r="W170" s="3" t="inlineStr">
        <is>
          <t>—</t>
        </is>
      </c>
    </row>
    <row r="171">
      <c r="A171" s="3" t="inlineStr">
        <is>
          <t>Perf_Batch</t>
        </is>
      </c>
      <c r="B171" s="3" t="n">
        <v>16</v>
      </c>
      <c r="C171" s="3" t="inlineStr">
        <is>
          <t>HBM 頻寬</t>
        </is>
      </c>
      <c r="D171" s="3" t="inlineStr">
        <is>
          <t>TB/s/GPU</t>
        </is>
      </c>
      <c r="E171" s="3" t="n">
        <v>17</v>
      </c>
      <c r="F171" s="3" t="n">
        <v>1</v>
      </c>
      <c r="G171" s="3" t="inlineStr">
        <is>
          <t>C16</t>
        </is>
      </c>
      <c r="H171" s="3">
        <f>INDEX(Spec_Rack!$C$26:$G$26,C$6)</f>
        <v/>
      </c>
      <c r="I171" s="3" t="n">
        <v>3.35</v>
      </c>
      <c r="J171" s="3" t="inlineStr">
        <is>
          <t>—</t>
        </is>
      </c>
      <c r="K171" s="3" t="inlineStr">
        <is>
          <t>—</t>
        </is>
      </c>
      <c r="L171" s="3" t="inlineStr">
        <is>
          <t>—</t>
        </is>
      </c>
      <c r="M171" s="3" t="inlineStr">
        <is>
          <t>—</t>
        </is>
      </c>
      <c r="N171" s="3" t="inlineStr">
        <is>
          <t>—</t>
        </is>
      </c>
      <c r="O171" s="3" t="inlineStr">
        <is>
          <t>—</t>
        </is>
      </c>
      <c r="P171" s="3" t="inlineStr">
        <is>
          <t>—</t>
        </is>
      </c>
      <c r="Q171" s="3" t="inlineStr">
        <is>
          <t>—</t>
        </is>
      </c>
      <c r="R171" s="3" t="inlineStr">
        <is>
          <t>—</t>
        </is>
      </c>
      <c r="S171" s="3" t="inlineStr"/>
      <c r="T171" s="3" t="inlineStr"/>
      <c r="U171" s="3" t="n">
        <v>64</v>
      </c>
      <c r="V171" s="3" t="inlineStr"/>
      <c r="W171" s="3" t="inlineStr">
        <is>
          <t>—</t>
        </is>
      </c>
    </row>
    <row r="172">
      <c r="A172" s="3" t="inlineStr">
        <is>
          <t>Perf_Batch</t>
        </is>
      </c>
      <c r="B172" s="3" t="n">
        <v>17</v>
      </c>
      <c r="C172" s="3" t="inlineStr">
        <is>
          <t>EP 通訊頻寬（單向）</t>
        </is>
      </c>
      <c r="D172" s="3" t="inlineStr">
        <is>
          <t>TB/s/GPU</t>
        </is>
      </c>
      <c r="E172" s="3" t="n">
        <v>17</v>
      </c>
      <c r="F172" s="3" t="n">
        <v>1</v>
      </c>
      <c r="G172" s="3" t="inlineStr">
        <is>
          <t>C17</t>
        </is>
      </c>
      <c r="H172" s="3">
        <f>INDEX(Spec_Rack!$C$27:$G$27,C$6)</f>
        <v/>
      </c>
      <c r="I172" s="3" t="n">
        <v>0.05</v>
      </c>
      <c r="J172" s="3" t="inlineStr">
        <is>
          <t>—</t>
        </is>
      </c>
      <c r="K172" s="3" t="inlineStr">
        <is>
          <t>—</t>
        </is>
      </c>
      <c r="L172" s="3" t="inlineStr">
        <is>
          <t>—</t>
        </is>
      </c>
      <c r="M172" s="3" t="inlineStr">
        <is>
          <t>—</t>
        </is>
      </c>
      <c r="N172" s="3" t="inlineStr">
        <is>
          <t>—</t>
        </is>
      </c>
      <c r="O172" s="3" t="inlineStr">
        <is>
          <t>—</t>
        </is>
      </c>
      <c r="P172" s="3" t="inlineStr">
        <is>
          <t>—</t>
        </is>
      </c>
      <c r="Q172" s="3" t="inlineStr">
        <is>
          <t>—</t>
        </is>
      </c>
      <c r="R172" s="3" t="inlineStr">
        <is>
          <t>—</t>
        </is>
      </c>
      <c r="S172" s="3" t="inlineStr"/>
      <c r="T172" s="3" t="inlineStr"/>
      <c r="U172" s="3" t="n">
        <v>17</v>
      </c>
      <c r="V172" s="3" t="inlineStr"/>
      <c r="W172" s="3" t="inlineStr">
        <is>
          <t>—</t>
        </is>
      </c>
    </row>
    <row r="173">
      <c r="A173" s="3" t="inlineStr">
        <is>
          <t>Perf_Batch</t>
        </is>
      </c>
      <c r="B173" s="3" t="n">
        <v>18</v>
      </c>
      <c r="C173" s="3" t="inlineStr">
        <is>
          <t>decode EP 基準寬度</t>
        </is>
      </c>
      <c r="D173" s="3" t="inlineStr">
        <is>
          <t>GPU</t>
        </is>
      </c>
      <c r="E173" s="3" t="n">
        <v>17</v>
      </c>
      <c r="F173" s="3" t="n">
        <v>1</v>
      </c>
      <c r="G173" s="3" t="inlineStr">
        <is>
          <t>C18</t>
        </is>
      </c>
      <c r="H173" s="3">
        <f>INDEX(Spec_Rack!$C$29:$G$29,C$6)</f>
        <v/>
      </c>
      <c r="I173" s="3" t="n">
        <v>64</v>
      </c>
      <c r="J173" s="3" t="inlineStr">
        <is>
          <t>—</t>
        </is>
      </c>
      <c r="K173" s="3" t="inlineStr">
        <is>
          <t>—</t>
        </is>
      </c>
      <c r="L173" s="3" t="inlineStr">
        <is>
          <t>—</t>
        </is>
      </c>
      <c r="M173" s="3" t="inlineStr">
        <is>
          <t>—</t>
        </is>
      </c>
      <c r="N173" s="3" t="inlineStr">
        <is>
          <t>—</t>
        </is>
      </c>
      <c r="O173" s="3" t="inlineStr">
        <is>
          <t>—</t>
        </is>
      </c>
      <c r="P173" s="3" t="inlineStr">
        <is>
          <t>—</t>
        </is>
      </c>
      <c r="Q173" s="3" t="inlineStr">
        <is>
          <t>—</t>
        </is>
      </c>
      <c r="R173" s="3" t="inlineStr">
        <is>
          <t>—</t>
        </is>
      </c>
      <c r="S173" s="3" t="inlineStr"/>
      <c r="T173" s="3" t="inlineStr"/>
      <c r="U173" s="3" t="n">
        <v>17</v>
      </c>
      <c r="V173" s="3" t="inlineStr"/>
      <c r="W173" s="3" t="inlineStr">
        <is>
          <t>—</t>
        </is>
      </c>
    </row>
    <row r="174">
      <c r="A174" s="3" t="inlineStr">
        <is>
          <t>Perf_Batch</t>
        </is>
      </c>
      <c r="B174" s="3" t="n">
        <v>19</v>
      </c>
      <c r="C174" s="3" t="inlineStr">
        <is>
          <t>專家權重 bytes/param（含 H_WB）</t>
        </is>
      </c>
      <c r="D174" s="3" t="inlineStr">
        <is>
          <t>B</t>
        </is>
      </c>
      <c r="E174" s="3" t="n">
        <v>15</v>
      </c>
      <c r="F174" s="3" t="n">
        <v>1</v>
      </c>
      <c r="G174" s="3" t="inlineStr">
        <is>
          <t>C19</t>
        </is>
      </c>
      <c r="H174" s="3">
        <f>INDEX(Spec_Rack!$C$30:$G$30,C$6)*C12</f>
        <v/>
      </c>
      <c r="I174" s="3" t="n">
        <v>1</v>
      </c>
      <c r="J174" s="3" t="inlineStr">
        <is>
          <t>—</t>
        </is>
      </c>
      <c r="K174" s="3" t="inlineStr">
        <is>
          <t>—</t>
        </is>
      </c>
      <c r="L174" s="3" t="inlineStr">
        <is>
          <t>—</t>
        </is>
      </c>
      <c r="M174" s="3" t="inlineStr">
        <is>
          <t>—</t>
        </is>
      </c>
      <c r="N174" s="3" t="inlineStr">
        <is>
          <t>—</t>
        </is>
      </c>
      <c r="O174" s="3" t="inlineStr">
        <is>
          <t>—</t>
        </is>
      </c>
      <c r="P174" s="3" t="inlineStr">
        <is>
          <t>—</t>
        </is>
      </c>
      <c r="Q174" s="3" t="inlineStr">
        <is>
          <t>—</t>
        </is>
      </c>
      <c r="R174" s="3" t="inlineStr">
        <is>
          <t>—</t>
        </is>
      </c>
      <c r="S174" s="3" t="inlineStr"/>
      <c r="T174" s="3" t="inlineStr"/>
      <c r="U174" s="3" t="n">
        <v>34</v>
      </c>
      <c r="V174" s="3" t="inlineStr"/>
      <c r="W174" s="3" t="inlineStr">
        <is>
          <t>—</t>
        </is>
      </c>
    </row>
    <row r="175">
      <c r="A175" s="3" t="inlineStr">
        <is>
          <t>Perf_Batch</t>
        </is>
      </c>
      <c r="B175" s="3" t="n">
        <v>20</v>
      </c>
      <c r="C175" s="3" t="inlineStr">
        <is>
          <t>非專家權重 bytes/param（含 H_WB）</t>
        </is>
      </c>
      <c r="D175" s="3" t="inlineStr">
        <is>
          <t>B</t>
        </is>
      </c>
      <c r="E175" s="3" t="n">
        <v>15</v>
      </c>
      <c r="F175" s="3" t="n">
        <v>1</v>
      </c>
      <c r="G175" s="3" t="inlineStr">
        <is>
          <t>C20</t>
        </is>
      </c>
      <c r="H175" s="3">
        <f>INDEX(Spec_Rack!$C$31:$G$31,C$6)*C12</f>
        <v/>
      </c>
      <c r="I175" s="3" t="n">
        <v>1</v>
      </c>
      <c r="J175" s="3" t="inlineStr">
        <is>
          <t>—</t>
        </is>
      </c>
      <c r="K175" s="3" t="inlineStr">
        <is>
          <t>—</t>
        </is>
      </c>
      <c r="L175" s="3" t="inlineStr">
        <is>
          <t>—</t>
        </is>
      </c>
      <c r="M175" s="3" t="inlineStr">
        <is>
          <t>—</t>
        </is>
      </c>
      <c r="N175" s="3" t="inlineStr">
        <is>
          <t>—</t>
        </is>
      </c>
      <c r="O175" s="3" t="inlineStr">
        <is>
          <t>—</t>
        </is>
      </c>
      <c r="P175" s="3" t="inlineStr">
        <is>
          <t>—</t>
        </is>
      </c>
      <c r="Q175" s="3" t="inlineStr">
        <is>
          <t>—</t>
        </is>
      </c>
      <c r="R175" s="3" t="inlineStr">
        <is>
          <t>—</t>
        </is>
      </c>
      <c r="S175" s="3" t="inlineStr"/>
      <c r="T175" s="3" t="inlineStr"/>
      <c r="U175" s="3" t="n">
        <v>34</v>
      </c>
      <c r="V175" s="3" t="inlineStr"/>
      <c r="W175" s="3" t="inlineStr">
        <is>
          <t>—</t>
        </is>
      </c>
    </row>
    <row r="176">
      <c r="A176" s="3" t="inlineStr">
        <is>
          <t>Perf_Batch</t>
        </is>
      </c>
      <c r="B176" s="3" t="n">
        <v>28</v>
      </c>
      <c r="C176" s="3" t="inlineStr">
        <is>
          <t>啟用參數</t>
        </is>
      </c>
      <c r="D176" s="3" t="inlineStr">
        <is>
          <t>B</t>
        </is>
      </c>
      <c r="E176" s="3" t="n">
        <v>17</v>
      </c>
      <c r="F176" s="3" t="n">
        <v>1</v>
      </c>
      <c r="G176" s="3" t="inlineStr">
        <is>
          <t>C28</t>
        </is>
      </c>
      <c r="H176" s="3">
        <f>INDEX(Arch!$C$7:$E$7,C$7)</f>
        <v/>
      </c>
      <c r="I176" s="3" t="n">
        <v>13</v>
      </c>
      <c r="J176" s="3" t="inlineStr">
        <is>
          <t>—</t>
        </is>
      </c>
      <c r="K176" s="3" t="inlineStr">
        <is>
          <t>—</t>
        </is>
      </c>
      <c r="L176" s="3" t="inlineStr">
        <is>
          <t>—</t>
        </is>
      </c>
      <c r="M176" s="3" t="inlineStr">
        <is>
          <t>—</t>
        </is>
      </c>
      <c r="N176" s="3" t="inlineStr">
        <is>
          <t>—</t>
        </is>
      </c>
      <c r="O176" s="3" t="inlineStr">
        <is>
          <t>—</t>
        </is>
      </c>
      <c r="P176" s="3" t="inlineStr">
        <is>
          <t>—</t>
        </is>
      </c>
      <c r="Q176" s="3" t="inlineStr">
        <is>
          <t>直接引用 Y1 類輸入</t>
        </is>
      </c>
      <c r="R176" s="3" t="inlineStr">
        <is>
          <t>—</t>
        </is>
      </c>
      <c r="S176" s="3" t="inlineStr">
        <is>
          <t>Y1</t>
        </is>
      </c>
      <c r="T176" s="3" t="inlineStr">
        <is>
          <t>Y1</t>
        </is>
      </c>
      <c r="U176" s="3" t="n">
        <v>34</v>
      </c>
      <c r="V176" s="3" t="inlineStr"/>
      <c r="W176" s="3" t="inlineStr">
        <is>
          <t>資訊（只有 L8）</t>
        </is>
      </c>
    </row>
    <row r="177">
      <c r="A177" s="3" t="inlineStr">
        <is>
          <t>Perf_Batch</t>
        </is>
      </c>
      <c r="B177" s="3" t="n">
        <v>29</v>
      </c>
      <c r="C177" s="3" t="inlineStr">
        <is>
          <t>層數</t>
        </is>
      </c>
      <c r="D177" s="3" t="inlineStr">
        <is>
          <t>層</t>
        </is>
      </c>
      <c r="E177" s="3" t="n">
        <v>17</v>
      </c>
      <c r="F177" s="3" t="n">
        <v>1</v>
      </c>
      <c r="G177" s="3" t="inlineStr">
        <is>
          <t>C29</t>
        </is>
      </c>
      <c r="H177" s="3">
        <f>INDEX(Arch!$C$8:$E$8,C$7)</f>
        <v/>
      </c>
      <c r="I177" s="3" t="n">
        <v>43</v>
      </c>
      <c r="J177" s="3" t="inlineStr">
        <is>
          <t>—</t>
        </is>
      </c>
      <c r="K177" s="3" t="inlineStr">
        <is>
          <t>—</t>
        </is>
      </c>
      <c r="L177" s="3" t="inlineStr">
        <is>
          <t>—</t>
        </is>
      </c>
      <c r="M177" s="3" t="inlineStr">
        <is>
          <t>—</t>
        </is>
      </c>
      <c r="N177" s="3" t="inlineStr">
        <is>
          <t>—</t>
        </is>
      </c>
      <c r="O177" s="3" t="inlineStr">
        <is>
          <t>—</t>
        </is>
      </c>
      <c r="P177" s="3" t="inlineStr">
        <is>
          <t>—</t>
        </is>
      </c>
      <c r="Q177" s="3" t="inlineStr">
        <is>
          <t>直接引用 Y1 類輸入</t>
        </is>
      </c>
      <c r="R177" s="3" t="inlineStr">
        <is>
          <t>—</t>
        </is>
      </c>
      <c r="S177" s="3" t="inlineStr">
        <is>
          <t>Y1</t>
        </is>
      </c>
      <c r="T177" s="3" t="inlineStr">
        <is>
          <t>Y1</t>
        </is>
      </c>
      <c r="U177" s="3" t="n">
        <v>81</v>
      </c>
      <c r="V177" s="3" t="inlineStr"/>
      <c r="W177" s="3" t="inlineStr">
        <is>
          <t>資訊（只有 L8）</t>
        </is>
      </c>
    </row>
    <row r="178">
      <c r="A178" s="3" t="inlineStr">
        <is>
          <t>Perf_Batch</t>
        </is>
      </c>
      <c r="B178" s="3" t="n">
        <v>30</v>
      </c>
      <c r="C178" s="3" t="inlineStr">
        <is>
          <t>d_model</t>
        </is>
      </c>
      <c r="D178" s="3" t="n"/>
      <c r="E178" s="3" t="n">
        <v>17</v>
      </c>
      <c r="F178" s="3" t="n">
        <v>1</v>
      </c>
      <c r="G178" s="3" t="inlineStr">
        <is>
          <t>C30</t>
        </is>
      </c>
      <c r="H178" s="3">
        <f>INDEX(Arch!$C$9:$E$9,C$7)</f>
        <v/>
      </c>
      <c r="I178" s="3" t="n">
        <v>4096</v>
      </c>
      <c r="J178" s="3" t="inlineStr">
        <is>
          <t>—</t>
        </is>
      </c>
      <c r="K178" s="3" t="inlineStr">
        <is>
          <t>—</t>
        </is>
      </c>
      <c r="L178" s="3" t="inlineStr">
        <is>
          <t>—</t>
        </is>
      </c>
      <c r="M178" s="3" t="inlineStr">
        <is>
          <t>—</t>
        </is>
      </c>
      <c r="N178" s="3" t="inlineStr">
        <is>
          <t>—</t>
        </is>
      </c>
      <c r="O178" s="3" t="inlineStr">
        <is>
          <t>—</t>
        </is>
      </c>
      <c r="P178" s="3" t="inlineStr">
        <is>
          <t>—</t>
        </is>
      </c>
      <c r="Q178" s="3" t="inlineStr">
        <is>
          <t>直接引用 Y1 類輸入</t>
        </is>
      </c>
      <c r="R178" s="3" t="inlineStr">
        <is>
          <t>—</t>
        </is>
      </c>
      <c r="S178" s="3" t="inlineStr">
        <is>
          <t>Y1</t>
        </is>
      </c>
      <c r="T178" s="3" t="inlineStr">
        <is>
          <t>Y1</t>
        </is>
      </c>
      <c r="U178" s="3" t="n">
        <v>34</v>
      </c>
      <c r="V178" s="3" t="inlineStr"/>
      <c r="W178" s="3" t="inlineStr">
        <is>
          <t>資訊（只有 L8）</t>
        </is>
      </c>
    </row>
    <row r="179">
      <c r="A179" s="3" t="inlineStr">
        <is>
          <t>Perf_Batch</t>
        </is>
      </c>
      <c r="B179" s="3" t="n">
        <v>31</v>
      </c>
      <c r="C179" s="3" t="inlineStr">
        <is>
          <t>啟用 routed experts</t>
        </is>
      </c>
      <c r="D179" s="3" t="n"/>
      <c r="E179" s="3" t="n">
        <v>17</v>
      </c>
      <c r="F179" s="3" t="n">
        <v>1</v>
      </c>
      <c r="G179" s="3" t="inlineStr">
        <is>
          <t>C31</t>
        </is>
      </c>
      <c r="H179" s="3">
        <f>INDEX(Arch!$C$13:$E$13,C$7)</f>
        <v/>
      </c>
      <c r="I179" s="3" t="n">
        <v>6</v>
      </c>
      <c r="J179" s="3" t="inlineStr">
        <is>
          <t>—</t>
        </is>
      </c>
      <c r="K179" s="3" t="inlineStr">
        <is>
          <t>—</t>
        </is>
      </c>
      <c r="L179" s="3" t="inlineStr">
        <is>
          <t>—</t>
        </is>
      </c>
      <c r="M179" s="3" t="inlineStr">
        <is>
          <t>—</t>
        </is>
      </c>
      <c r="N179" s="3" t="inlineStr">
        <is>
          <t>—</t>
        </is>
      </c>
      <c r="O179" s="3" t="inlineStr">
        <is>
          <t>—</t>
        </is>
      </c>
      <c r="P179" s="3" t="inlineStr">
        <is>
          <t>—</t>
        </is>
      </c>
      <c r="Q179" s="3" t="inlineStr">
        <is>
          <t>直接引用 Y1 類輸入</t>
        </is>
      </c>
      <c r="R179" s="3" t="inlineStr">
        <is>
          <t>—</t>
        </is>
      </c>
      <c r="S179" s="3" t="inlineStr">
        <is>
          <t>Y1</t>
        </is>
      </c>
      <c r="T179" s="3" t="inlineStr">
        <is>
          <t>Y1</t>
        </is>
      </c>
      <c r="U179" s="3" t="n">
        <v>34</v>
      </c>
      <c r="V179" s="3" t="inlineStr"/>
      <c r="W179" s="3" t="inlineStr">
        <is>
          <t>資訊（只有 L8）</t>
        </is>
      </c>
    </row>
    <row r="180">
      <c r="A180" s="3" t="inlineStr">
        <is>
          <t>Perf_Batch</t>
        </is>
      </c>
      <c r="B180" s="3" t="n">
        <v>32</v>
      </c>
      <c r="C180" s="3" t="inlineStr">
        <is>
          <t>非專家參數</t>
        </is>
      </c>
      <c r="D180" s="3" t="inlineStr">
        <is>
          <t>B</t>
        </is>
      </c>
      <c r="E180" s="3" t="n">
        <v>17</v>
      </c>
      <c r="F180" s="3" t="n">
        <v>1</v>
      </c>
      <c r="G180" s="3" t="inlineStr">
        <is>
          <t>C32</t>
        </is>
      </c>
      <c r="H180" s="3">
        <f>INDEX(Arch!$C$28:$E$28,C$7)</f>
        <v/>
      </c>
      <c r="I180" s="3" t="n">
        <v>5.412</v>
      </c>
      <c r="J180" s="3" t="inlineStr">
        <is>
          <t>—</t>
        </is>
      </c>
      <c r="K180" s="3" t="inlineStr">
        <is>
          <t>—</t>
        </is>
      </c>
      <c r="L180" s="3" t="inlineStr">
        <is>
          <t>—</t>
        </is>
      </c>
      <c r="M180" s="3" t="inlineStr">
        <is>
          <t>—</t>
        </is>
      </c>
      <c r="N180" s="3" t="inlineStr">
        <is>
          <t>—</t>
        </is>
      </c>
      <c r="O180" s="3" t="inlineStr">
        <is>
          <t>—</t>
        </is>
      </c>
      <c r="P180" s="3" t="inlineStr">
        <is>
          <t>—</t>
        </is>
      </c>
      <c r="Q180" s="3" t="inlineStr">
        <is>
          <t>上游含 Y1</t>
        </is>
      </c>
      <c r="R180" s="3" t="inlineStr">
        <is>
          <t>—</t>
        </is>
      </c>
      <c r="S180" s="3" t="inlineStr">
        <is>
          <t>Y1</t>
        </is>
      </c>
      <c r="T180" s="3" t="inlineStr"/>
      <c r="U180" s="3" t="n">
        <v>34</v>
      </c>
      <c r="V180" s="3" t="inlineStr"/>
      <c r="W180" s="3" t="inlineStr">
        <is>
          <t>資訊（只有 L8）</t>
        </is>
      </c>
    </row>
    <row r="181">
      <c r="A181" s="3" t="inlineStr">
        <is>
          <t>Perf_Batch</t>
        </is>
      </c>
      <c r="B181" s="3" t="n">
        <v>33</v>
      </c>
      <c r="C181" s="3" t="inlineStr">
        <is>
          <t>專家參數</t>
        </is>
      </c>
      <c r="D181" s="3" t="inlineStr">
        <is>
          <t>B</t>
        </is>
      </c>
      <c r="E181" s="3" t="n">
        <v>17</v>
      </c>
      <c r="F181" s="3" t="n">
        <v>1</v>
      </c>
      <c r="G181" s="3" t="inlineStr">
        <is>
          <t>C33</t>
        </is>
      </c>
      <c r="H181" s="3">
        <f>INDEX(Arch!$C$29:$E$29,C$7)</f>
        <v/>
      </c>
      <c r="I181" s="3" t="n">
        <v>278.588</v>
      </c>
      <c r="J181" s="3" t="inlineStr">
        <is>
          <t>—</t>
        </is>
      </c>
      <c r="K181" s="3" t="inlineStr">
        <is>
          <t>—</t>
        </is>
      </c>
      <c r="L181" s="3" t="inlineStr">
        <is>
          <t>—</t>
        </is>
      </c>
      <c r="M181" s="3" t="inlineStr">
        <is>
          <t>—</t>
        </is>
      </c>
      <c r="N181" s="3" t="inlineStr">
        <is>
          <t>—</t>
        </is>
      </c>
      <c r="O181" s="3" t="inlineStr">
        <is>
          <t>—</t>
        </is>
      </c>
      <c r="P181" s="3" t="inlineStr">
        <is>
          <t>—</t>
        </is>
      </c>
      <c r="Q181" s="3" t="inlineStr">
        <is>
          <t>上游含 Y1</t>
        </is>
      </c>
      <c r="R181" s="3" t="inlineStr">
        <is>
          <t>—</t>
        </is>
      </c>
      <c r="S181" s="3" t="inlineStr">
        <is>
          <t>Y1</t>
        </is>
      </c>
      <c r="T181" s="3" t="inlineStr"/>
      <c r="U181" s="3" t="n">
        <v>34</v>
      </c>
      <c r="V181" s="3" t="inlineStr"/>
      <c r="W181" s="3" t="inlineStr">
        <is>
          <t>資訊（只有 L8）</t>
        </is>
      </c>
    </row>
    <row r="182">
      <c r="A182" s="3" t="inlineStr">
        <is>
          <t>Perf_Batch</t>
        </is>
      </c>
      <c r="B182" s="3" t="n">
        <v>34</v>
      </c>
      <c r="C182" s="3" t="inlineStr">
        <is>
          <t>KV bytes/token（含 H_KV）</t>
        </is>
      </c>
      <c r="D182" s="3" t="inlineStr">
        <is>
          <t>B</t>
        </is>
      </c>
      <c r="E182" s="3" t="n">
        <v>17</v>
      </c>
      <c r="F182" s="3" t="n">
        <v>1</v>
      </c>
      <c r="G182" s="3" t="inlineStr">
        <is>
          <t>C34</t>
        </is>
      </c>
      <c r="H182" s="3">
        <f>INDEX(Arch!$C$25:$E$25,C$7)*C11</f>
        <v/>
      </c>
      <c r="I182" s="3" t="n">
        <v>2795</v>
      </c>
      <c r="J182" s="3" t="inlineStr">
        <is>
          <t>—</t>
        </is>
      </c>
      <c r="K182" s="3" t="inlineStr">
        <is>
          <t>—</t>
        </is>
      </c>
      <c r="L182" s="3" t="inlineStr">
        <is>
          <t>—</t>
        </is>
      </c>
      <c r="M182" s="3" t="inlineStr">
        <is>
          <t>—</t>
        </is>
      </c>
      <c r="N182" s="3" t="inlineStr">
        <is>
          <t>—</t>
        </is>
      </c>
      <c r="O182" s="3" t="inlineStr">
        <is>
          <t>—</t>
        </is>
      </c>
      <c r="P182" s="3" t="inlineStr">
        <is>
          <t>—</t>
        </is>
      </c>
      <c r="Q182" s="3" t="inlineStr">
        <is>
          <t>上游含 Y1</t>
        </is>
      </c>
      <c r="R182" s="3" t="inlineStr">
        <is>
          <t>—</t>
        </is>
      </c>
      <c r="S182" s="3" t="inlineStr">
        <is>
          <t>Y1</t>
        </is>
      </c>
      <c r="T182" s="3" t="inlineStr"/>
      <c r="U182" s="3" t="n">
        <v>85</v>
      </c>
      <c r="V182" s="3" t="inlineStr"/>
      <c r="W182" s="3" t="inlineStr">
        <is>
          <t>資訊（只有 L8）</t>
        </is>
      </c>
    </row>
    <row r="183">
      <c r="A183" s="3" t="inlineStr">
        <is>
          <t>Perf_Batch</t>
        </is>
      </c>
      <c r="B183" s="3" t="n">
        <v>35</v>
      </c>
      <c r="C183" s="3" t="inlineStr">
        <is>
          <t>注意力 FLOPs／被注意 token</t>
        </is>
      </c>
      <c r="D183" s="3" t="inlineStr">
        <is>
          <t>FLOP</t>
        </is>
      </c>
      <c r="E183" s="3" t="n">
        <v>17</v>
      </c>
      <c r="F183" s="3" t="n">
        <v>1</v>
      </c>
      <c r="G183" s="3" t="inlineStr">
        <is>
          <t>C35</t>
        </is>
      </c>
      <c r="H183" s="3">
        <f>INDEX(Arch!$C$30:$E$30,C$7)</f>
        <v/>
      </c>
      <c r="I183" s="3" t="n">
        <v>5636096</v>
      </c>
      <c r="J183" s="3" t="inlineStr">
        <is>
          <t>—</t>
        </is>
      </c>
      <c r="K183" s="3" t="inlineStr">
        <is>
          <t>—</t>
        </is>
      </c>
      <c r="L183" s="3" t="inlineStr">
        <is>
          <t>—</t>
        </is>
      </c>
      <c r="M183" s="3" t="inlineStr">
        <is>
          <t>—</t>
        </is>
      </c>
      <c r="N183" s="3" t="inlineStr">
        <is>
          <t>—</t>
        </is>
      </c>
      <c r="O183" s="3" t="inlineStr">
        <is>
          <t>—</t>
        </is>
      </c>
      <c r="P183" s="3" t="inlineStr">
        <is>
          <t>—</t>
        </is>
      </c>
      <c r="Q183" s="3" t="inlineStr">
        <is>
          <t>上游含 Y1</t>
        </is>
      </c>
      <c r="R183" s="3" t="inlineStr">
        <is>
          <t>—</t>
        </is>
      </c>
      <c r="S183" s="3" t="inlineStr">
        <is>
          <t>Y1</t>
        </is>
      </c>
      <c r="T183" s="3" t="inlineStr"/>
      <c r="U183" s="3" t="n">
        <v>34</v>
      </c>
      <c r="V183" s="3" t="inlineStr"/>
      <c r="W183" s="3" t="inlineStr">
        <is>
          <t>資訊（只有 L8）</t>
        </is>
      </c>
    </row>
    <row r="184">
      <c r="A184" s="3" t="inlineStr">
        <is>
          <t>Perf_Batch</t>
        </is>
      </c>
      <c r="B184" s="3" t="n">
        <v>36</v>
      </c>
      <c r="C184" s="3" t="inlineStr">
        <is>
          <t>全注意力層比例</t>
        </is>
      </c>
      <c r="D184" s="3" t="inlineStr">
        <is>
          <t>%</t>
        </is>
      </c>
      <c r="E184" s="3" t="n">
        <v>17</v>
      </c>
      <c r="F184" s="3" t="n">
        <v>1</v>
      </c>
      <c r="G184" s="3" t="inlineStr">
        <is>
          <t>C36</t>
        </is>
      </c>
      <c r="H184" s="3">
        <f>INDEX(Arch!$C$16:$E$16,C$7)</f>
        <v/>
      </c>
      <c r="I184" s="3" t="n">
        <v>0.512</v>
      </c>
      <c r="J184" s="3" t="inlineStr">
        <is>
          <t>—</t>
        </is>
      </c>
      <c r="K184" s="3" t="inlineStr">
        <is>
          <t>—</t>
        </is>
      </c>
      <c r="L184" s="3" t="inlineStr">
        <is>
          <t>—</t>
        </is>
      </c>
      <c r="M184" s="3" t="inlineStr">
        <is>
          <t>—</t>
        </is>
      </c>
      <c r="N184" s="3" t="inlineStr">
        <is>
          <t>—</t>
        </is>
      </c>
      <c r="O184" s="3" t="inlineStr">
        <is>
          <t>—</t>
        </is>
      </c>
      <c r="P184" s="3" t="inlineStr">
        <is>
          <t>—</t>
        </is>
      </c>
      <c r="Q184" s="3" t="inlineStr">
        <is>
          <t>直接引用 Y1 類輸入</t>
        </is>
      </c>
      <c r="R184" s="3" t="inlineStr">
        <is>
          <t>—</t>
        </is>
      </c>
      <c r="S184" s="3" t="inlineStr">
        <is>
          <t>Y1</t>
        </is>
      </c>
      <c r="T184" s="3" t="inlineStr">
        <is>
          <t>Y1</t>
        </is>
      </c>
      <c r="U184" s="3" t="n">
        <v>34</v>
      </c>
      <c r="V184" s="3" t="inlineStr"/>
      <c r="W184" s="3" t="inlineStr">
        <is>
          <t>資訊（只有 L8）</t>
        </is>
      </c>
    </row>
    <row r="185">
      <c r="A185" s="3" t="inlineStr">
        <is>
          <t>Perf_Batch</t>
        </is>
      </c>
      <c r="B185" s="3" t="n">
        <v>37</v>
      </c>
      <c r="C185" s="3" t="inlineStr">
        <is>
          <t>全注意力跨度上限</t>
        </is>
      </c>
      <c r="D185" s="3" t="inlineStr">
        <is>
          <t>tok</t>
        </is>
      </c>
      <c r="E185" s="3" t="n">
        <v>17</v>
      </c>
      <c r="F185" s="3" t="n">
        <v>1</v>
      </c>
      <c r="G185" s="3" t="inlineStr">
        <is>
          <t>C37</t>
        </is>
      </c>
      <c r="H185" s="3">
        <f>INDEX(Arch!$C$17:$E$17,C$7)</f>
        <v/>
      </c>
      <c r="I185" s="3" t="n">
        <v>4224</v>
      </c>
      <c r="J185" s="3" t="inlineStr">
        <is>
          <t>—</t>
        </is>
      </c>
      <c r="K185" s="3" t="inlineStr">
        <is>
          <t>—</t>
        </is>
      </c>
      <c r="L185" s="3" t="inlineStr">
        <is>
          <t>—</t>
        </is>
      </c>
      <c r="M185" s="3" t="inlineStr">
        <is>
          <t>—</t>
        </is>
      </c>
      <c r="N185" s="3" t="inlineStr">
        <is>
          <t>—</t>
        </is>
      </c>
      <c r="O185" s="3" t="inlineStr">
        <is>
          <t>—</t>
        </is>
      </c>
      <c r="P185" s="3" t="inlineStr">
        <is>
          <t>—</t>
        </is>
      </c>
      <c r="Q185" s="3" t="inlineStr">
        <is>
          <t>直接引用 Y1 類輸入</t>
        </is>
      </c>
      <c r="R185" s="3" t="inlineStr">
        <is>
          <t>—</t>
        </is>
      </c>
      <c r="S185" s="3" t="inlineStr">
        <is>
          <t>Y1</t>
        </is>
      </c>
      <c r="T185" s="3" t="inlineStr">
        <is>
          <t>Y1</t>
        </is>
      </c>
      <c r="U185" s="3" t="n">
        <v>34</v>
      </c>
      <c r="V185" s="3" t="inlineStr"/>
      <c r="W185" s="3" t="inlineStr">
        <is>
          <t>資訊（只有 L8）</t>
        </is>
      </c>
    </row>
    <row r="186">
      <c r="A186" s="3" t="inlineStr">
        <is>
          <t>Perf_Batch</t>
        </is>
      </c>
      <c r="B186" s="3" t="n">
        <v>38</v>
      </c>
      <c r="C186" s="3" t="inlineStr">
        <is>
          <t>其他層壓縮比</t>
        </is>
      </c>
      <c r="D186" s="3" t="inlineStr">
        <is>
          <t>x</t>
        </is>
      </c>
      <c r="E186" s="3" t="n">
        <v>17</v>
      </c>
      <c r="F186" s="3" t="n">
        <v>1</v>
      </c>
      <c r="G186" s="3" t="inlineStr">
        <is>
          <t>C38</t>
        </is>
      </c>
      <c r="H186" s="3">
        <f>INDEX(Arch!$C$18:$E$18,C$7)</f>
        <v/>
      </c>
      <c r="I186" s="3" t="n">
        <v>128</v>
      </c>
      <c r="J186" s="3" t="inlineStr">
        <is>
          <t>—</t>
        </is>
      </c>
      <c r="K186" s="3" t="inlineStr">
        <is>
          <t>—</t>
        </is>
      </c>
      <c r="L186" s="3" t="inlineStr">
        <is>
          <t>—</t>
        </is>
      </c>
      <c r="M186" s="3" t="inlineStr">
        <is>
          <t>—</t>
        </is>
      </c>
      <c r="N186" s="3" t="inlineStr">
        <is>
          <t>—</t>
        </is>
      </c>
      <c r="O186" s="3" t="inlineStr">
        <is>
          <t>—</t>
        </is>
      </c>
      <c r="P186" s="3" t="inlineStr">
        <is>
          <t>—</t>
        </is>
      </c>
      <c r="Q186" s="3" t="inlineStr">
        <is>
          <t>直接引用 Y1 類輸入</t>
        </is>
      </c>
      <c r="R186" s="3" t="inlineStr">
        <is>
          <t>—</t>
        </is>
      </c>
      <c r="S186" s="3" t="inlineStr">
        <is>
          <t>Y1</t>
        </is>
      </c>
      <c r="T186" s="3" t="inlineStr">
        <is>
          <t>Y1</t>
        </is>
      </c>
      <c r="U186" s="3" t="n">
        <v>34</v>
      </c>
      <c r="V186" s="3" t="inlineStr"/>
      <c r="W186" s="3" t="inlineStr">
        <is>
          <t>資訊（只有 L8）</t>
        </is>
      </c>
    </row>
    <row r="187">
      <c r="A187" s="3" t="inlineStr">
        <is>
          <t>Perf_Batch</t>
        </is>
      </c>
      <c r="B187" s="3" t="n">
        <v>39</v>
      </c>
      <c r="C187" s="3" t="inlineStr">
        <is>
          <t>其他層滑動窗</t>
        </is>
      </c>
      <c r="D187" s="3" t="inlineStr">
        <is>
          <t>tok</t>
        </is>
      </c>
      <c r="E187" s="3" t="n">
        <v>17</v>
      </c>
      <c r="F187" s="3" t="n">
        <v>1</v>
      </c>
      <c r="G187" s="3" t="inlineStr">
        <is>
          <t>C39</t>
        </is>
      </c>
      <c r="H187" s="3">
        <f>INDEX(Arch!$C$19:$E$19,C$7)</f>
        <v/>
      </c>
      <c r="I187" s="3" t="n">
        <v>128</v>
      </c>
      <c r="J187" s="3" t="inlineStr">
        <is>
          <t>—</t>
        </is>
      </c>
      <c r="K187" s="3" t="inlineStr">
        <is>
          <t>—</t>
        </is>
      </c>
      <c r="L187" s="3" t="inlineStr">
        <is>
          <t>—</t>
        </is>
      </c>
      <c r="M187" s="3" t="inlineStr">
        <is>
          <t>—</t>
        </is>
      </c>
      <c r="N187" s="3" t="inlineStr">
        <is>
          <t>—</t>
        </is>
      </c>
      <c r="O187" s="3" t="inlineStr">
        <is>
          <t>—</t>
        </is>
      </c>
      <c r="P187" s="3" t="inlineStr">
        <is>
          <t>—</t>
        </is>
      </c>
      <c r="Q187" s="3" t="inlineStr">
        <is>
          <t>直接引用 Y1 類輸入</t>
        </is>
      </c>
      <c r="R187" s="3" t="inlineStr">
        <is>
          <t>—</t>
        </is>
      </c>
      <c r="S187" s="3" t="inlineStr">
        <is>
          <t>Y1</t>
        </is>
      </c>
      <c r="T187" s="3" t="inlineStr">
        <is>
          <t>Y1</t>
        </is>
      </c>
      <c r="U187" s="3" t="n">
        <v>34</v>
      </c>
      <c r="V187" s="3" t="inlineStr"/>
      <c r="W187" s="3" t="inlineStr">
        <is>
          <t>資訊（只有 L8）</t>
        </is>
      </c>
    </row>
    <row r="188">
      <c r="A188" s="3" t="inlineStr">
        <is>
          <t>Perf_Batch</t>
        </is>
      </c>
      <c r="B188" s="3" t="n">
        <v>41</v>
      </c>
      <c r="C188" s="3" t="inlineStr">
        <is>
          <t>SLO：每用戶 decode 速度下限</t>
        </is>
      </c>
      <c r="D188" s="3" t="inlineStr">
        <is>
          <t>tok/s</t>
        </is>
      </c>
      <c r="E188" s="3" t="n">
        <v>17</v>
      </c>
      <c r="F188" s="3" t="n">
        <v>1</v>
      </c>
      <c r="G188" s="3" t="inlineStr">
        <is>
          <t>C41</t>
        </is>
      </c>
      <c r="H188" s="3">
        <f>INDEX(Train_In!$C$31:$E$31,C$7)</f>
        <v/>
      </c>
      <c r="I188" s="3" t="n">
        <v>20</v>
      </c>
      <c r="J188" s="3" t="inlineStr">
        <is>
          <t>—</t>
        </is>
      </c>
      <c r="K188" s="3" t="inlineStr">
        <is>
          <t>—</t>
        </is>
      </c>
      <c r="L188" s="3" t="inlineStr">
        <is>
          <t>—</t>
        </is>
      </c>
      <c r="M188" s="3" t="inlineStr">
        <is>
          <t>—</t>
        </is>
      </c>
      <c r="N188" s="3" t="inlineStr">
        <is>
          <t>—</t>
        </is>
      </c>
      <c r="O188" s="3" t="inlineStr">
        <is>
          <t>—</t>
        </is>
      </c>
      <c r="P188" s="3" t="inlineStr">
        <is>
          <t>—</t>
        </is>
      </c>
      <c r="Q188" s="3" t="inlineStr">
        <is>
          <t>—</t>
        </is>
      </c>
      <c r="R188" s="3" t="inlineStr">
        <is>
          <t>—</t>
        </is>
      </c>
      <c r="S188" s="3" t="inlineStr"/>
      <c r="T188" s="3" t="inlineStr"/>
      <c r="U188" s="3" t="n">
        <v>47</v>
      </c>
      <c r="V188" s="3" t="inlineStr"/>
      <c r="W188" s="3" t="inlineStr">
        <is>
          <t>—</t>
        </is>
      </c>
    </row>
    <row r="189">
      <c r="A189" s="3" t="inlineStr">
        <is>
          <t>Perf_Batch</t>
        </is>
      </c>
      <c r="B189" s="3" t="n">
        <v>43</v>
      </c>
      <c r="C189" s="3" t="inlineStr">
        <is>
          <t>參考 ISL</t>
        </is>
      </c>
      <c r="D189" s="3" t="inlineStr">
        <is>
          <t>tok</t>
        </is>
      </c>
      <c r="E189" s="3" t="n">
        <v>17</v>
      </c>
      <c r="F189" s="3" t="n">
        <v>1</v>
      </c>
      <c r="G189" s="3" t="inlineStr">
        <is>
          <t>C43</t>
        </is>
      </c>
      <c r="H189" s="3">
        <f>INDEX(Train_In!$C$32:$E$32,C$7)</f>
        <v/>
      </c>
      <c r="I189" s="3" t="n">
        <v>4096</v>
      </c>
      <c r="J189" s="3" t="inlineStr">
        <is>
          <t>—</t>
        </is>
      </c>
      <c r="K189" s="3" t="inlineStr">
        <is>
          <t>—</t>
        </is>
      </c>
      <c r="L189" s="3" t="inlineStr">
        <is>
          <t>—</t>
        </is>
      </c>
      <c r="M189" s="3" t="inlineStr">
        <is>
          <t>—</t>
        </is>
      </c>
      <c r="N189" s="3" t="inlineStr">
        <is>
          <t>—</t>
        </is>
      </c>
      <c r="O189" s="3" t="inlineStr">
        <is>
          <t>—</t>
        </is>
      </c>
      <c r="P189" s="3" t="inlineStr">
        <is>
          <t>—</t>
        </is>
      </c>
      <c r="Q189" s="3" t="inlineStr">
        <is>
          <t>—</t>
        </is>
      </c>
      <c r="R189" s="3" t="inlineStr">
        <is>
          <t>—</t>
        </is>
      </c>
      <c r="S189" s="3" t="inlineStr"/>
      <c r="T189" s="3" t="inlineStr"/>
      <c r="U189" s="3" t="n">
        <v>166</v>
      </c>
      <c r="V189" s="3" t="inlineStr"/>
      <c r="W189" s="3" t="inlineStr">
        <is>
          <t>—</t>
        </is>
      </c>
    </row>
    <row r="190">
      <c r="A190" s="3" t="inlineStr">
        <is>
          <t>Perf_Batch</t>
        </is>
      </c>
      <c r="B190" s="3" t="n">
        <v>44</v>
      </c>
      <c r="C190" s="3" t="inlineStr">
        <is>
          <t>參考 OSL（含思考）</t>
        </is>
      </c>
      <c r="D190" s="3" t="inlineStr">
        <is>
          <t>tok</t>
        </is>
      </c>
      <c r="E190" s="3" t="n">
        <v>17</v>
      </c>
      <c r="F190" s="3" t="n">
        <v>1</v>
      </c>
      <c r="G190" s="3" t="inlineStr">
        <is>
          <t>C44</t>
        </is>
      </c>
      <c r="H190" s="3">
        <f>INDEX(Train_In!$C$33:$E$33,C$7)</f>
        <v/>
      </c>
      <c r="I190" s="3" t="n">
        <v>8192</v>
      </c>
      <c r="J190" s="3" t="inlineStr">
        <is>
          <t>—</t>
        </is>
      </c>
      <c r="K190" s="3" t="inlineStr">
        <is>
          <t>—</t>
        </is>
      </c>
      <c r="L190" s="3" t="inlineStr">
        <is>
          <t>—</t>
        </is>
      </c>
      <c r="M190" s="3" t="inlineStr">
        <is>
          <t>—</t>
        </is>
      </c>
      <c r="N190" s="3" t="inlineStr">
        <is>
          <t>—</t>
        </is>
      </c>
      <c r="O190" s="3" t="inlineStr">
        <is>
          <t>—</t>
        </is>
      </c>
      <c r="P190" s="3" t="inlineStr">
        <is>
          <t>—</t>
        </is>
      </c>
      <c r="Q190" s="3" t="inlineStr">
        <is>
          <t>—</t>
        </is>
      </c>
      <c r="R190" s="3" t="inlineStr">
        <is>
          <t>—</t>
        </is>
      </c>
      <c r="S190" s="3" t="inlineStr"/>
      <c r="T190" s="3" t="inlineStr"/>
      <c r="U190" s="3" t="n">
        <v>115</v>
      </c>
      <c r="V190" s="3" t="inlineStr"/>
      <c r="W190" s="3" t="inlineStr">
        <is>
          <t>—</t>
        </is>
      </c>
    </row>
    <row r="191">
      <c r="A191" s="3" t="inlineStr">
        <is>
          <t>Perf_Batch</t>
        </is>
      </c>
      <c r="B191" s="3" t="n">
        <v>45</v>
      </c>
      <c r="C191" s="3" t="inlineStr">
        <is>
          <t>decode 平均上下文</t>
        </is>
      </c>
      <c r="D191" s="3" t="inlineStr">
        <is>
          <t>tok</t>
        </is>
      </c>
      <c r="E191" s="3" t="n">
        <v>17</v>
      </c>
      <c r="F191" s="3" t="n">
        <v>1</v>
      </c>
      <c r="G191" s="3" t="inlineStr">
        <is>
          <t>C45</t>
        </is>
      </c>
      <c r="H191" s="3">
        <f>C43+C44/2</f>
        <v/>
      </c>
      <c r="I191" s="3" t="n">
        <v>8192</v>
      </c>
      <c r="J191" s="3" t="inlineStr">
        <is>
          <t>—</t>
        </is>
      </c>
      <c r="K191" s="3" t="inlineStr">
        <is>
          <t>—</t>
        </is>
      </c>
      <c r="L191" s="3" t="inlineStr">
        <is>
          <t>—</t>
        </is>
      </c>
      <c r="M191" s="3" t="inlineStr">
        <is>
          <t>—</t>
        </is>
      </c>
      <c r="N191" s="3" t="inlineStr">
        <is>
          <t>—</t>
        </is>
      </c>
      <c r="O191" s="3" t="inlineStr">
        <is>
          <t>—</t>
        </is>
      </c>
      <c r="P191" s="3" t="inlineStr">
        <is>
          <t>—</t>
        </is>
      </c>
      <c r="Q191" s="3" t="inlineStr">
        <is>
          <t>—</t>
        </is>
      </c>
      <c r="R191" s="3" t="inlineStr">
        <is>
          <t>—</t>
        </is>
      </c>
      <c r="S191" s="3" t="inlineStr"/>
      <c r="T191" s="3" t="inlineStr"/>
      <c r="U191" s="3" t="n">
        <v>85</v>
      </c>
      <c r="V191" s="3" t="inlineStr"/>
      <c r="W191" s="3" t="inlineStr">
        <is>
          <t>—</t>
        </is>
      </c>
    </row>
    <row r="192">
      <c r="A192" s="3" t="inlineStr">
        <is>
          <t>Perf_Batch</t>
        </is>
      </c>
      <c r="B192" s="3" t="n">
        <v>46</v>
      </c>
      <c r="C192" s="3" t="inlineStr">
        <is>
          <t>prefill 平均位置</t>
        </is>
      </c>
      <c r="D192" s="3" t="inlineStr">
        <is>
          <t>tok</t>
        </is>
      </c>
      <c r="E192" s="3" t="n">
        <v>17</v>
      </c>
      <c r="F192" s="3" t="n">
        <v>1</v>
      </c>
      <c r="G192" s="3" t="inlineStr">
        <is>
          <t>C46</t>
        </is>
      </c>
      <c r="H192" s="3">
        <f>C43/2</f>
        <v/>
      </c>
      <c r="I192" s="3" t="n">
        <v>2048</v>
      </c>
      <c r="J192" s="3" t="inlineStr">
        <is>
          <t>—</t>
        </is>
      </c>
      <c r="K192" s="3" t="inlineStr">
        <is>
          <t>—</t>
        </is>
      </c>
      <c r="L192" s="3" t="inlineStr">
        <is>
          <t>—</t>
        </is>
      </c>
      <c r="M192" s="3" t="inlineStr">
        <is>
          <t>—</t>
        </is>
      </c>
      <c r="N192" s="3" t="inlineStr">
        <is>
          <t>—</t>
        </is>
      </c>
      <c r="O192" s="3" t="inlineStr">
        <is>
          <t>—</t>
        </is>
      </c>
      <c r="P192" s="3" t="inlineStr">
        <is>
          <t>—</t>
        </is>
      </c>
      <c r="Q192" s="3" t="inlineStr">
        <is>
          <t>—</t>
        </is>
      </c>
      <c r="R192" s="3" t="inlineStr">
        <is>
          <t>—</t>
        </is>
      </c>
      <c r="S192" s="3" t="inlineStr"/>
      <c r="T192" s="3" t="inlineStr"/>
      <c r="U192" s="3" t="n">
        <v>17</v>
      </c>
      <c r="V192" s="3" t="inlineStr"/>
      <c r="W192" s="3" t="inlineStr">
        <is>
          <t>—</t>
        </is>
      </c>
    </row>
    <row r="193">
      <c r="A193" s="3" t="inlineStr">
        <is>
          <t>Perf_Batch</t>
        </is>
      </c>
      <c r="B193" s="3" t="n">
        <v>47</v>
      </c>
      <c r="C193" s="3" t="inlineStr">
        <is>
          <t>MTP 草稿數</t>
        </is>
      </c>
      <c r="D193" s="3" t="inlineStr">
        <is>
          <t>tok</t>
        </is>
      </c>
      <c r="E193" s="3" t="n">
        <v>17</v>
      </c>
      <c r="F193" s="3" t="n">
        <v>1</v>
      </c>
      <c r="G193" s="3" t="inlineStr">
        <is>
          <t>C47</t>
        </is>
      </c>
      <c r="H193" s="3">
        <f>Serving!$C$6</f>
        <v/>
      </c>
      <c r="I193" s="3" t="n">
        <v>3</v>
      </c>
      <c r="J193" s="3" t="inlineStr">
        <is>
          <t>—</t>
        </is>
      </c>
      <c r="K193" s="3" t="inlineStr">
        <is>
          <t>—</t>
        </is>
      </c>
      <c r="L193" s="3" t="inlineStr">
        <is>
          <t>—</t>
        </is>
      </c>
      <c r="M193" s="3" t="inlineStr">
        <is>
          <t>—</t>
        </is>
      </c>
      <c r="N193" s="3" t="inlineStr">
        <is>
          <t>—</t>
        </is>
      </c>
      <c r="O193" s="3" t="inlineStr">
        <is>
          <t>—</t>
        </is>
      </c>
      <c r="P193" s="3" t="inlineStr">
        <is>
          <t>—</t>
        </is>
      </c>
      <c r="Q193" s="3" t="inlineStr">
        <is>
          <t>—</t>
        </is>
      </c>
      <c r="R193" s="3" t="inlineStr">
        <is>
          <t>—</t>
        </is>
      </c>
      <c r="S193" s="3" t="inlineStr"/>
      <c r="T193" s="3" t="inlineStr"/>
      <c r="U193" s="3" t="n">
        <v>162</v>
      </c>
      <c r="V193" s="3" t="inlineStr"/>
      <c r="W193" s="3" t="inlineStr">
        <is>
          <t>—</t>
        </is>
      </c>
    </row>
    <row r="194">
      <c r="A194" s="3" t="inlineStr">
        <is>
          <t>Perf_Batch</t>
        </is>
      </c>
      <c r="B194" s="3" t="n">
        <v>48</v>
      </c>
      <c r="C194" s="3" t="inlineStr">
        <is>
          <t>草稿接受率</t>
        </is>
      </c>
      <c r="D194" s="3" t="inlineStr">
        <is>
          <t>%</t>
        </is>
      </c>
      <c r="E194" s="3" t="n">
        <v>17</v>
      </c>
      <c r="F194" s="3" t="n">
        <v>1</v>
      </c>
      <c r="G194" s="3" t="inlineStr">
        <is>
          <t>C48</t>
        </is>
      </c>
      <c r="H194" s="3">
        <f>Serving!$C$7</f>
        <v/>
      </c>
      <c r="I194" s="3" t="n">
        <v>0.7</v>
      </c>
      <c r="J194" s="3" t="inlineStr">
        <is>
          <t>—</t>
        </is>
      </c>
      <c r="K194" s="3" t="inlineStr">
        <is>
          <t>—</t>
        </is>
      </c>
      <c r="L194" s="3" t="inlineStr">
        <is>
          <t>—</t>
        </is>
      </c>
      <c r="M194" s="3" t="inlineStr">
        <is>
          <t>—</t>
        </is>
      </c>
      <c r="N194" s="3" t="inlineStr">
        <is>
          <t>—</t>
        </is>
      </c>
      <c r="O194" s="3" t="inlineStr">
        <is>
          <t>—</t>
        </is>
      </c>
      <c r="P194" s="3" t="inlineStr">
        <is>
          <t>—</t>
        </is>
      </c>
      <c r="Q194" s="3" t="inlineStr">
        <is>
          <t>—</t>
        </is>
      </c>
      <c r="R194" s="3" t="inlineStr">
        <is>
          <t>—</t>
        </is>
      </c>
      <c r="S194" s="3" t="inlineStr"/>
      <c r="T194" s="3" t="inlineStr"/>
      <c r="U194" s="3" t="n">
        <v>17</v>
      </c>
      <c r="V194" s="3" t="inlineStr"/>
      <c r="W194" s="3" t="inlineStr">
        <is>
          <t>—</t>
        </is>
      </c>
    </row>
    <row r="195">
      <c r="A195" s="3" t="inlineStr">
        <is>
          <t>Perf_Batch</t>
        </is>
      </c>
      <c r="B195" s="3" t="n">
        <v>49</v>
      </c>
      <c r="C195" s="3" t="inlineStr">
        <is>
          <t>每步期望接受 token</t>
        </is>
      </c>
      <c r="D195" s="3" t="inlineStr">
        <is>
          <t>tok</t>
        </is>
      </c>
      <c r="E195" s="3" t="n">
        <v>17</v>
      </c>
      <c r="F195" s="3" t="n">
        <v>1</v>
      </c>
      <c r="G195" s="3" t="inlineStr">
        <is>
          <t>C49</t>
        </is>
      </c>
      <c r="H195" s="3">
        <f>(1-C48^(C47+1))/(1-C48)</f>
        <v/>
      </c>
      <c r="I195" s="3" t="n">
        <v>2.533</v>
      </c>
      <c r="J195" s="3" t="inlineStr">
        <is>
          <t>—</t>
        </is>
      </c>
      <c r="K195" s="3" t="inlineStr">
        <is>
          <t>—</t>
        </is>
      </c>
      <c r="L195" s="3" t="inlineStr">
        <is>
          <t>—</t>
        </is>
      </c>
      <c r="M195" s="3" t="inlineStr">
        <is>
          <t>—</t>
        </is>
      </c>
      <c r="N195" s="3" t="inlineStr">
        <is>
          <t>—</t>
        </is>
      </c>
      <c r="O195" s="3" t="inlineStr">
        <is>
          <t>—</t>
        </is>
      </c>
      <c r="P195" s="3" t="inlineStr">
        <is>
          <t>—</t>
        </is>
      </c>
      <c r="Q195" s="3" t="inlineStr">
        <is>
          <t>—</t>
        </is>
      </c>
      <c r="R195" s="3" t="inlineStr">
        <is>
          <t>—</t>
        </is>
      </c>
      <c r="S195" s="3" t="inlineStr"/>
      <c r="T195" s="3" t="inlineStr"/>
      <c r="U195" s="3" t="n">
        <v>162</v>
      </c>
      <c r="V195" s="3" t="inlineStr"/>
      <c r="W195" s="3" t="inlineStr">
        <is>
          <t>—</t>
        </is>
      </c>
    </row>
    <row r="196">
      <c r="A196" s="3" t="inlineStr">
        <is>
          <t>Perf_Batch</t>
        </is>
      </c>
      <c r="B196" s="3" t="n">
        <v>50</v>
      </c>
      <c r="C196" s="3" t="inlineStr">
        <is>
          <t>實測→生產效率折減</t>
        </is>
      </c>
      <c r="D196" s="3" t="inlineStr">
        <is>
          <t>x</t>
        </is>
      </c>
      <c r="E196" s="3" t="n">
        <v>17</v>
      </c>
      <c r="F196" s="3" t="n">
        <v>1</v>
      </c>
      <c r="G196" s="3" t="inlineStr">
        <is>
          <t>C50</t>
        </is>
      </c>
      <c r="H196" s="3">
        <f>Serving!$C$18</f>
        <v/>
      </c>
      <c r="I196" s="3" t="n">
        <v>1</v>
      </c>
      <c r="J196" s="3" t="inlineStr">
        <is>
          <t>—</t>
        </is>
      </c>
      <c r="K196" s="3" t="inlineStr">
        <is>
          <t>—</t>
        </is>
      </c>
      <c r="L196" s="3" t="inlineStr">
        <is>
          <t>—</t>
        </is>
      </c>
      <c r="M196" s="3" t="inlineStr">
        <is>
          <t>—</t>
        </is>
      </c>
      <c r="N196" s="3" t="inlineStr">
        <is>
          <t>—</t>
        </is>
      </c>
      <c r="O196" s="3" t="inlineStr">
        <is>
          <t>—</t>
        </is>
      </c>
      <c r="P196" s="3" t="inlineStr">
        <is>
          <t>—</t>
        </is>
      </c>
      <c r="Q196" s="3" t="inlineStr">
        <is>
          <t>直接引用 Y5 類輸入</t>
        </is>
      </c>
      <c r="R196" s="3" t="inlineStr">
        <is>
          <t>—</t>
        </is>
      </c>
      <c r="S196" s="3" t="inlineStr">
        <is>
          <t>Y5</t>
        </is>
      </c>
      <c r="T196" s="3" t="inlineStr">
        <is>
          <t>Y5</t>
        </is>
      </c>
      <c r="U196" s="3" t="n">
        <v>51</v>
      </c>
      <c r="V196" s="3" t="inlineStr"/>
      <c r="W196" s="3" t="inlineStr">
        <is>
          <t>資訊（只有 L8）</t>
        </is>
      </c>
    </row>
    <row r="197">
      <c r="A197" s="3" t="inlineStr">
        <is>
          <t>Perf_Batch</t>
        </is>
      </c>
      <c r="B197" s="3" t="n">
        <v>51</v>
      </c>
      <c r="C197" s="3" t="inlineStr">
        <is>
          <t>η_p（prefill 占峰值；含折減）</t>
        </is>
      </c>
      <c r="D197" s="3" t="inlineStr">
        <is>
          <t>%</t>
        </is>
      </c>
      <c r="E197" s="3" t="n">
        <v>17</v>
      </c>
      <c r="F197" s="3" t="n">
        <v>1</v>
      </c>
      <c r="G197" s="3" t="inlineStr">
        <is>
          <t>C51</t>
        </is>
      </c>
      <c r="H197" s="3">
        <f>INDEX(Calib!$C$72:$G$72,C$6)*C50</f>
        <v/>
      </c>
      <c r="I197" s="3" t="n">
        <v>0.149924</v>
      </c>
      <c r="J197" s="3" t="inlineStr">
        <is>
          <t>—</t>
        </is>
      </c>
      <c r="K197" s="3" t="inlineStr">
        <is>
          <t>—</t>
        </is>
      </c>
      <c r="L197" s="3" t="inlineStr">
        <is>
          <t>—</t>
        </is>
      </c>
      <c r="M197" s="3" t="inlineStr">
        <is>
          <t>—</t>
        </is>
      </c>
      <c r="N197" s="3" t="inlineStr">
        <is>
          <t>—</t>
        </is>
      </c>
      <c r="O197" s="3" t="inlineStr">
        <is>
          <t>—</t>
        </is>
      </c>
      <c r="P197" s="3" t="inlineStr">
        <is>
          <t>—</t>
        </is>
      </c>
      <c r="Q197" s="3" t="inlineStr">
        <is>
          <t>上游含 Y5,Y8</t>
        </is>
      </c>
      <c r="R197" s="3" t="inlineStr">
        <is>
          <t>—</t>
        </is>
      </c>
      <c r="S197" s="3" t="inlineStr">
        <is>
          <t>Y5,Y8</t>
        </is>
      </c>
      <c r="T197" s="3" t="inlineStr"/>
      <c r="U197" s="3" t="n">
        <v>34</v>
      </c>
      <c r="V197" s="3" t="inlineStr"/>
      <c r="W197" s="3" t="inlineStr">
        <is>
          <t>資訊（只有 L8）</t>
        </is>
      </c>
    </row>
    <row r="198">
      <c r="A198" s="3" t="inlineStr">
        <is>
          <t>Perf_Batch</t>
        </is>
      </c>
      <c r="B198" s="3" t="n">
        <v>52</v>
      </c>
      <c r="C198" s="3" t="inlineStr">
        <is>
          <t>η_d 倍數（Tech_Registry H_ETAD；Sens_Perf 情境覆寫）</t>
        </is>
      </c>
      <c r="D198" s="3" t="inlineStr">
        <is>
          <t>x</t>
        </is>
      </c>
      <c r="E198" s="3" t="n">
        <v>17</v>
      </c>
      <c r="F198" s="3" t="n">
        <v>1</v>
      </c>
      <c r="G198" s="3" t="inlineStr">
        <is>
          <t>C52</t>
        </is>
      </c>
      <c r="H198" s="3">
        <f>Tech_Registry!$E$20</f>
        <v/>
      </c>
      <c r="I198" s="3" t="n">
        <v>1</v>
      </c>
      <c r="J198" s="3" t="inlineStr">
        <is>
          <t>—</t>
        </is>
      </c>
      <c r="K198" s="3" t="inlineStr">
        <is>
          <t>—</t>
        </is>
      </c>
      <c r="L198" s="3" t="inlineStr">
        <is>
          <t>—</t>
        </is>
      </c>
      <c r="M198" s="3" t="inlineStr">
        <is>
          <t>—</t>
        </is>
      </c>
      <c r="N198" s="3" t="inlineStr">
        <is>
          <t>—</t>
        </is>
      </c>
      <c r="O198" s="3" t="inlineStr">
        <is>
          <t>—</t>
        </is>
      </c>
      <c r="P198" s="3" t="inlineStr">
        <is>
          <t>—</t>
        </is>
      </c>
      <c r="Q198" s="3" t="inlineStr">
        <is>
          <t>—</t>
        </is>
      </c>
      <c r="R198" s="3" t="inlineStr">
        <is>
          <t>—</t>
        </is>
      </c>
      <c r="S198" s="3" t="inlineStr"/>
      <c r="T198" s="3" t="inlineStr"/>
      <c r="U198" s="3" t="n">
        <v>47</v>
      </c>
      <c r="V198" s="3" t="inlineStr"/>
      <c r="W198" s="3" t="inlineStr">
        <is>
          <t>—</t>
        </is>
      </c>
    </row>
    <row r="199">
      <c r="A199" s="3" t="inlineStr">
        <is>
          <t>Perf_Batch</t>
        </is>
      </c>
      <c r="B199" s="3" t="n">
        <v>53</v>
      </c>
      <c r="C199" s="3" t="inlineStr">
        <is>
          <t>η_d（decode 每序列算力效率；含折減）</t>
        </is>
      </c>
      <c r="D199" s="3" t="inlineStr">
        <is>
          <t>%</t>
        </is>
      </c>
      <c r="E199" s="3" t="n">
        <v>17</v>
      </c>
      <c r="F199" s="3" t="n">
        <v>2</v>
      </c>
      <c r="G199" s="3" t="inlineStr">
        <is>
          <t>C53</t>
        </is>
      </c>
      <c r="H199" s="3">
        <f>INDEX(Calib!$C$70:$G$70,C$6)*C52*C50*INDEX(CAL_BatchEtaD,1,C$6)</f>
        <v/>
      </c>
      <c r="I199" s="3" t="n">
        <v>0.053633</v>
      </c>
      <c r="J199" s="3" t="inlineStr">
        <is>
          <t>—</t>
        </is>
      </c>
      <c r="K199" s="3" t="inlineStr">
        <is>
          <t>—</t>
        </is>
      </c>
      <c r="L199" s="3" t="inlineStr">
        <is>
          <t>[G09] R、S 欄（VR200 FP8 rollout 情境）公式不含 CAL_BatchEtaD，同世代 L–N 欄含 0.75；兩組 VR200 欄的 η_d 口徑不同（只供 Sens_Train 使用）</t>
        </is>
      </c>
      <c r="M199" s="3" t="inlineStr">
        <is>
          <t>—</t>
        </is>
      </c>
      <c r="N199" s="3" t="inlineStr">
        <is>
          <t>—</t>
        </is>
      </c>
      <c r="O199" s="3" t="inlineStr">
        <is>
          <t>—</t>
        </is>
      </c>
      <c r="P199" s="3" t="inlineStr">
        <is>
          <t>—</t>
        </is>
      </c>
      <c r="Q199" s="3" t="inlineStr">
        <is>
          <t>上游含 Y5,Y8；[G08] 承接 Calib 第 156 列的批次口徑倍數（只在 L–N 欄＝VR200）</t>
        </is>
      </c>
      <c r="R199" s="3" t="inlineStr">
        <is>
          <t>—</t>
        </is>
      </c>
      <c r="S199" s="3" t="inlineStr">
        <is>
          <t>Y5,Y8</t>
        </is>
      </c>
      <c r="T199" s="3" t="inlineStr"/>
      <c r="U199" s="3" t="n">
        <v>17</v>
      </c>
      <c r="V199" s="3" t="inlineStr">
        <is>
          <t>G08,G09</t>
        </is>
      </c>
      <c r="W199" s="3" t="inlineStr">
        <is>
          <t>中</t>
        </is>
      </c>
    </row>
    <row r="200">
      <c r="A200" s="3" t="inlineStr">
        <is>
          <t>Perf_Batch</t>
        </is>
      </c>
      <c r="B200" s="3" t="n">
        <v>54</v>
      </c>
      <c r="C200" s="3" t="inlineStr">
        <is>
          <t>每層延遲倍數（Tech_Registry H_TL；Sens_Perf 情境覆寫）</t>
        </is>
      </c>
      <c r="D200" s="3" t="inlineStr">
        <is>
          <t>x</t>
        </is>
      </c>
      <c r="E200" s="3" t="n">
        <v>17</v>
      </c>
      <c r="F200" s="3" t="n">
        <v>1</v>
      </c>
      <c r="G200" s="3" t="inlineStr">
        <is>
          <t>C54</t>
        </is>
      </c>
      <c r="H200" s="3">
        <f>Tech_Registry!$E$21</f>
        <v/>
      </c>
      <c r="I200" s="3" t="n">
        <v>1</v>
      </c>
      <c r="J200" s="3" t="inlineStr">
        <is>
          <t>—</t>
        </is>
      </c>
      <c r="K200" s="3" t="inlineStr">
        <is>
          <t>—</t>
        </is>
      </c>
      <c r="L200" s="3" t="inlineStr">
        <is>
          <t>—</t>
        </is>
      </c>
      <c r="M200" s="3" t="inlineStr">
        <is>
          <t>—</t>
        </is>
      </c>
      <c r="N200" s="3" t="inlineStr">
        <is>
          <t>—</t>
        </is>
      </c>
      <c r="O200" s="3" t="inlineStr">
        <is>
          <t>—</t>
        </is>
      </c>
      <c r="P200" s="3" t="inlineStr">
        <is>
          <t>—</t>
        </is>
      </c>
      <c r="Q200" s="3" t="inlineStr">
        <is>
          <t>—</t>
        </is>
      </c>
      <c r="R200" s="3" t="inlineStr">
        <is>
          <t>—</t>
        </is>
      </c>
      <c r="S200" s="3" t="inlineStr"/>
      <c r="T200" s="3" t="inlineStr"/>
      <c r="U200" s="3" t="n">
        <v>47</v>
      </c>
      <c r="V200" s="3" t="inlineStr"/>
      <c r="W200" s="3" t="inlineStr">
        <is>
          <t>—</t>
        </is>
      </c>
    </row>
    <row r="201">
      <c r="A201" s="3" t="inlineStr">
        <is>
          <t>Perf_Batch</t>
        </is>
      </c>
      <c r="B201" s="3" t="n">
        <v>55</v>
      </c>
      <c r="C201" s="3" t="inlineStr">
        <is>
          <t>每層每次前向固定延遲（含折減）</t>
        </is>
      </c>
      <c r="D201" s="3" t="inlineStr">
        <is>
          <t>µs</t>
        </is>
      </c>
      <c r="E201" s="3" t="n">
        <v>17</v>
      </c>
      <c r="F201" s="3" t="n">
        <v>1</v>
      </c>
      <c r="G201" s="3" t="inlineStr">
        <is>
          <t>C55</t>
        </is>
      </c>
      <c r="H201" s="3">
        <f>INDEX(Calib!$C$71:$G$71,C$6)*C54/C50</f>
        <v/>
      </c>
      <c r="I201" s="3" t="n">
        <v>241.778007</v>
      </c>
      <c r="J201" s="3" t="inlineStr">
        <is>
          <t>—</t>
        </is>
      </c>
      <c r="K201" s="3" t="inlineStr">
        <is>
          <t>—</t>
        </is>
      </c>
      <c r="L201" s="3" t="inlineStr">
        <is>
          <t>—</t>
        </is>
      </c>
      <c r="M201" s="3" t="inlineStr">
        <is>
          <t>—</t>
        </is>
      </c>
      <c r="N201" s="3" t="inlineStr">
        <is>
          <t>—</t>
        </is>
      </c>
      <c r="O201" s="3" t="inlineStr">
        <is>
          <t>—</t>
        </is>
      </c>
      <c r="P201" s="3" t="inlineStr">
        <is>
          <t>—</t>
        </is>
      </c>
      <c r="Q201" s="3" t="inlineStr">
        <is>
          <t>上游含 Y5,Y8</t>
        </is>
      </c>
      <c r="R201" s="3" t="inlineStr">
        <is>
          <t>—</t>
        </is>
      </c>
      <c r="S201" s="3" t="inlineStr">
        <is>
          <t>Y5,Y8</t>
        </is>
      </c>
      <c r="T201" s="3" t="inlineStr"/>
      <c r="U201" s="3" t="n">
        <v>17</v>
      </c>
      <c r="V201" s="3" t="inlineStr"/>
      <c r="W201" s="3" t="inlineStr">
        <is>
          <t>資訊（只有 L8）</t>
        </is>
      </c>
    </row>
    <row r="202">
      <c r="A202" s="3" t="inlineStr">
        <is>
          <t>Perf_Batch</t>
        </is>
      </c>
      <c r="B202" s="3" t="n">
        <v>56</v>
      </c>
      <c r="C202" s="3" t="inlineStr">
        <is>
          <t>HBM 保留比例</t>
        </is>
      </c>
      <c r="D202" s="3" t="inlineStr">
        <is>
          <t>%</t>
        </is>
      </c>
      <c r="E202" s="3" t="n">
        <v>17</v>
      </c>
      <c r="F202" s="3" t="n">
        <v>1</v>
      </c>
      <c r="G202" s="3" t="inlineStr">
        <is>
          <t>C56</t>
        </is>
      </c>
      <c r="H202" s="3">
        <f>Serving!$C$9</f>
        <v/>
      </c>
      <c r="I202" s="3" t="n">
        <v>0.1</v>
      </c>
      <c r="J202" s="3" t="inlineStr">
        <is>
          <t>—</t>
        </is>
      </c>
      <c r="K202" s="3" t="inlineStr">
        <is>
          <t>—</t>
        </is>
      </c>
      <c r="L202" s="3" t="inlineStr">
        <is>
          <t>—</t>
        </is>
      </c>
      <c r="M202" s="3" t="inlineStr">
        <is>
          <t>—</t>
        </is>
      </c>
      <c r="N202" s="3" t="inlineStr">
        <is>
          <t>—</t>
        </is>
      </c>
      <c r="O202" s="3" t="inlineStr">
        <is>
          <t>—</t>
        </is>
      </c>
      <c r="P202" s="3" t="inlineStr">
        <is>
          <t>—</t>
        </is>
      </c>
      <c r="Q202" s="3" t="inlineStr">
        <is>
          <t>—</t>
        </is>
      </c>
      <c r="R202" s="3" t="inlineStr">
        <is>
          <t>—</t>
        </is>
      </c>
      <c r="S202" s="3" t="inlineStr"/>
      <c r="T202" s="3" t="inlineStr"/>
      <c r="U202" s="3" t="n">
        <v>17</v>
      </c>
      <c r="V202" s="3" t="inlineStr"/>
      <c r="W202" s="3" t="inlineStr">
        <is>
          <t>—</t>
        </is>
      </c>
    </row>
    <row r="203">
      <c r="A203" s="3" t="inlineStr">
        <is>
          <t>Perf_Batch</t>
        </is>
      </c>
      <c r="B203" s="3" t="n">
        <v>57</v>
      </c>
      <c r="C203" s="3" t="inlineStr">
        <is>
          <t>非專家權重占 HBM 上限</t>
        </is>
      </c>
      <c r="D203" s="3" t="inlineStr">
        <is>
          <t>%</t>
        </is>
      </c>
      <c r="E203" s="3" t="n">
        <v>17</v>
      </c>
      <c r="F203" s="3" t="n">
        <v>1</v>
      </c>
      <c r="G203" s="3" t="inlineStr">
        <is>
          <t>C57</t>
        </is>
      </c>
      <c r="H203" s="3">
        <f>Serving!$C$10</f>
        <v/>
      </c>
      <c r="I203" s="3" t="n">
        <v>0.2</v>
      </c>
      <c r="J203" s="3" t="inlineStr">
        <is>
          <t>—</t>
        </is>
      </c>
      <c r="K203" s="3" t="inlineStr">
        <is>
          <t>—</t>
        </is>
      </c>
      <c r="L203" s="3" t="inlineStr">
        <is>
          <t>—</t>
        </is>
      </c>
      <c r="M203" s="3" t="inlineStr">
        <is>
          <t>—</t>
        </is>
      </c>
      <c r="N203" s="3" t="inlineStr">
        <is>
          <t>—</t>
        </is>
      </c>
      <c r="O203" s="3" t="inlineStr">
        <is>
          <t>—</t>
        </is>
      </c>
      <c r="P203" s="3" t="inlineStr">
        <is>
          <t>—</t>
        </is>
      </c>
      <c r="Q203" s="3" t="inlineStr">
        <is>
          <t>—</t>
        </is>
      </c>
      <c r="R203" s="3" t="inlineStr">
        <is>
          <t>—</t>
        </is>
      </c>
      <c r="S203" s="3" t="inlineStr"/>
      <c r="T203" s="3" t="inlineStr"/>
      <c r="U203" s="3" t="n">
        <v>17</v>
      </c>
      <c r="V203" s="3" t="inlineStr"/>
      <c r="W203" s="3" t="inlineStr">
        <is>
          <t>—</t>
        </is>
      </c>
    </row>
    <row r="204">
      <c r="A204" s="3" t="inlineStr">
        <is>
          <t>Perf_Batch</t>
        </is>
      </c>
      <c r="B204" s="3" t="n">
        <v>58</v>
      </c>
      <c r="C204" s="3" t="inlineStr">
        <is>
          <t>專家權重占 HBM 上限</t>
        </is>
      </c>
      <c r="D204" s="3" t="inlineStr">
        <is>
          <t>%</t>
        </is>
      </c>
      <c r="E204" s="3" t="n">
        <v>17</v>
      </c>
      <c r="F204" s="3" t="n">
        <v>1</v>
      </c>
      <c r="G204" s="3" t="inlineStr">
        <is>
          <t>C58</t>
        </is>
      </c>
      <c r="H204" s="3">
        <f>Serving!$C$11</f>
        <v/>
      </c>
      <c r="I204" s="3" t="n">
        <v>0.4</v>
      </c>
      <c r="J204" s="3" t="inlineStr">
        <is>
          <t>—</t>
        </is>
      </c>
      <c r="K204" s="3" t="inlineStr">
        <is>
          <t>—</t>
        </is>
      </c>
      <c r="L204" s="3" t="inlineStr">
        <is>
          <t>—</t>
        </is>
      </c>
      <c r="M204" s="3" t="inlineStr">
        <is>
          <t>—</t>
        </is>
      </c>
      <c r="N204" s="3" t="inlineStr">
        <is>
          <t>—</t>
        </is>
      </c>
      <c r="O204" s="3" t="inlineStr">
        <is>
          <t>—</t>
        </is>
      </c>
      <c r="P204" s="3" t="inlineStr">
        <is>
          <t>—</t>
        </is>
      </c>
      <c r="Q204" s="3" t="inlineStr">
        <is>
          <t>—</t>
        </is>
      </c>
      <c r="R204" s="3" t="inlineStr">
        <is>
          <t>—</t>
        </is>
      </c>
      <c r="S204" s="3" t="inlineStr"/>
      <c r="T204" s="3" t="inlineStr"/>
      <c r="U204" s="3" t="n">
        <v>17</v>
      </c>
      <c r="V204" s="3" t="inlineStr"/>
      <c r="W204" s="3" t="inlineStr">
        <is>
          <t>—</t>
        </is>
      </c>
    </row>
    <row r="205">
      <c r="A205" s="3" t="inlineStr">
        <is>
          <t>Perf_Batch</t>
        </is>
      </c>
      <c r="B205" s="3" t="n">
        <v>59</v>
      </c>
      <c r="C205" s="3" t="inlineStr">
        <is>
          <t>EP 啟用值 bytes/元素</t>
        </is>
      </c>
      <c r="D205" s="3" t="inlineStr">
        <is>
          <t>B</t>
        </is>
      </c>
      <c r="E205" s="3" t="n">
        <v>17</v>
      </c>
      <c r="F205" s="3" t="n">
        <v>1</v>
      </c>
      <c r="G205" s="3" t="inlineStr">
        <is>
          <t>C59</t>
        </is>
      </c>
      <c r="H205" s="3">
        <f>Serving!$C$12</f>
        <v/>
      </c>
      <c r="I205" s="3" t="n">
        <v>3</v>
      </c>
      <c r="J205" s="3" t="inlineStr">
        <is>
          <t>—</t>
        </is>
      </c>
      <c r="K205" s="3" t="inlineStr">
        <is>
          <t>—</t>
        </is>
      </c>
      <c r="L205" s="3" t="inlineStr">
        <is>
          <t>—</t>
        </is>
      </c>
      <c r="M205" s="3" t="inlineStr">
        <is>
          <t>—</t>
        </is>
      </c>
      <c r="N205" s="3" t="inlineStr">
        <is>
          <t>—</t>
        </is>
      </c>
      <c r="O205" s="3" t="inlineStr">
        <is>
          <t>—</t>
        </is>
      </c>
      <c r="P205" s="3" t="inlineStr">
        <is>
          <t>—</t>
        </is>
      </c>
      <c r="Q205" s="3" t="inlineStr">
        <is>
          <t>—</t>
        </is>
      </c>
      <c r="R205" s="3" t="inlineStr">
        <is>
          <t>—</t>
        </is>
      </c>
      <c r="S205" s="3" t="inlineStr"/>
      <c r="T205" s="3" t="inlineStr"/>
      <c r="U205" s="3" t="n">
        <v>34</v>
      </c>
      <c r="V205" s="3" t="inlineStr"/>
      <c r="W205" s="3" t="inlineStr">
        <is>
          <t>—</t>
        </is>
      </c>
    </row>
    <row r="206">
      <c r="A206" s="3" t="inlineStr">
        <is>
          <t>Perf_Batch</t>
        </is>
      </c>
      <c r="B206" s="3" t="n">
        <v>60</v>
      </c>
      <c r="C206" s="3" t="inlineStr">
        <is>
          <t>KV 讀取效率</t>
        </is>
      </c>
      <c r="D206" s="3" t="inlineStr">
        <is>
          <t>%</t>
        </is>
      </c>
      <c r="E206" s="3" t="n">
        <v>17</v>
      </c>
      <c r="F206" s="3" t="n">
        <v>1</v>
      </c>
      <c r="G206" s="3" t="inlineStr">
        <is>
          <t>C60</t>
        </is>
      </c>
      <c r="H206" s="3">
        <f>Serving!$C$13</f>
        <v/>
      </c>
      <c r="I206" s="3" t="n">
        <v>0.7</v>
      </c>
      <c r="J206" s="3" t="inlineStr">
        <is>
          <t>—</t>
        </is>
      </c>
      <c r="K206" s="3" t="inlineStr">
        <is>
          <t>—</t>
        </is>
      </c>
      <c r="L206" s="3" t="inlineStr">
        <is>
          <t>—</t>
        </is>
      </c>
      <c r="M206" s="3" t="inlineStr">
        <is>
          <t>—</t>
        </is>
      </c>
      <c r="N206" s="3" t="inlineStr">
        <is>
          <t>—</t>
        </is>
      </c>
      <c r="O206" s="3" t="inlineStr">
        <is>
          <t>—</t>
        </is>
      </c>
      <c r="P206" s="3" t="inlineStr">
        <is>
          <t>—</t>
        </is>
      </c>
      <c r="Q206" s="3" t="inlineStr">
        <is>
          <t>—</t>
        </is>
      </c>
      <c r="R206" s="3" t="inlineStr">
        <is>
          <t>—</t>
        </is>
      </c>
      <c r="S206" s="3" t="inlineStr"/>
      <c r="T206" s="3" t="inlineStr"/>
      <c r="U206" s="3" t="n">
        <v>17</v>
      </c>
      <c r="V206" s="3" t="inlineStr"/>
      <c r="W206" s="3" t="inlineStr">
        <is>
          <t>—</t>
        </is>
      </c>
    </row>
    <row r="207">
      <c r="A207" s="3" t="inlineStr">
        <is>
          <t>Perf_Batch</t>
        </is>
      </c>
      <c r="B207" s="3" t="n">
        <v>61</v>
      </c>
      <c r="C207" s="3" t="inlineStr">
        <is>
          <t>EP 通訊效率</t>
        </is>
      </c>
      <c r="D207" s="3" t="inlineStr">
        <is>
          <t>%</t>
        </is>
      </c>
      <c r="E207" s="3" t="n">
        <v>17</v>
      </c>
      <c r="F207" s="3" t="n">
        <v>1</v>
      </c>
      <c r="G207" s="3" t="inlineStr">
        <is>
          <t>C61</t>
        </is>
      </c>
      <c r="H207" s="3">
        <f>Serving!$C$14</f>
        <v/>
      </c>
      <c r="I207" s="3" t="n">
        <v>0.7</v>
      </c>
      <c r="J207" s="3" t="inlineStr">
        <is>
          <t>—</t>
        </is>
      </c>
      <c r="K207" s="3" t="inlineStr">
        <is>
          <t>—</t>
        </is>
      </c>
      <c r="L207" s="3" t="inlineStr">
        <is>
          <t>—</t>
        </is>
      </c>
      <c r="M207" s="3" t="inlineStr">
        <is>
          <t>—</t>
        </is>
      </c>
      <c r="N207" s="3" t="inlineStr">
        <is>
          <t>—</t>
        </is>
      </c>
      <c r="O207" s="3" t="inlineStr">
        <is>
          <t>—</t>
        </is>
      </c>
      <c r="P207" s="3" t="inlineStr">
        <is>
          <t>—</t>
        </is>
      </c>
      <c r="Q207" s="3" t="inlineStr">
        <is>
          <t>—</t>
        </is>
      </c>
      <c r="R207" s="3" t="inlineStr">
        <is>
          <t>—</t>
        </is>
      </c>
      <c r="S207" s="3" t="inlineStr"/>
      <c r="T207" s="3" t="inlineStr"/>
      <c r="U207" s="3" t="n">
        <v>17</v>
      </c>
      <c r="V207" s="3" t="inlineStr"/>
      <c r="W207" s="3" t="inlineStr">
        <is>
          <t>—</t>
        </is>
      </c>
    </row>
    <row r="208">
      <c r="A208" s="3" t="inlineStr">
        <is>
          <t>Perf_Batch</t>
        </is>
      </c>
      <c r="B208" s="3" t="n">
        <v>64</v>
      </c>
      <c r="C208" s="3" t="inlineStr">
        <is>
          <t>decode 被注意 token 數</t>
        </is>
      </c>
      <c r="D208" s="3" t="inlineStr">
        <is>
          <t>tok</t>
        </is>
      </c>
      <c r="E208" s="3" t="n">
        <v>17</v>
      </c>
      <c r="F208" s="3" t="n">
        <v>1</v>
      </c>
      <c r="G208" s="3" t="inlineStr">
        <is>
          <t>C64</t>
        </is>
      </c>
      <c r="H208" s="3">
        <f>C36*IF(C37=0,C45,MIN(C45,C37))+(1-C36)*(C45/C38+C39)</f>
        <v/>
      </c>
      <c r="I208" s="3" t="n">
        <v>2256.384</v>
      </c>
      <c r="J208" s="3" t="inlineStr">
        <is>
          <t>—</t>
        </is>
      </c>
      <c r="K208" s="3" t="inlineStr">
        <is>
          <t>—</t>
        </is>
      </c>
      <c r="L208" s="3" t="inlineStr">
        <is>
          <t>—</t>
        </is>
      </c>
      <c r="M208" s="3" t="inlineStr">
        <is>
          <t>—</t>
        </is>
      </c>
      <c r="N208" s="3" t="inlineStr">
        <is>
          <t>—</t>
        </is>
      </c>
      <c r="O208" s="3" t="inlineStr">
        <is>
          <t>—</t>
        </is>
      </c>
      <c r="P208" s="3" t="inlineStr">
        <is>
          <t>—</t>
        </is>
      </c>
      <c r="Q208" s="3" t="inlineStr">
        <is>
          <t>上游含 Y1</t>
        </is>
      </c>
      <c r="R208" s="3" t="inlineStr">
        <is>
          <t>—</t>
        </is>
      </c>
      <c r="S208" s="3" t="inlineStr">
        <is>
          <t>Y1</t>
        </is>
      </c>
      <c r="T208" s="3" t="inlineStr"/>
      <c r="U208" s="3" t="n">
        <v>17</v>
      </c>
      <c r="V208" s="3" t="inlineStr"/>
      <c r="W208" s="3" t="inlineStr">
        <is>
          <t>資訊（只有 L8）</t>
        </is>
      </c>
    </row>
    <row r="209">
      <c r="A209" s="3" t="inlineStr">
        <is>
          <t>Perf_Batch</t>
        </is>
      </c>
      <c r="B209" s="3" t="n">
        <v>65</v>
      </c>
      <c r="C209" s="3" t="inlineStr">
        <is>
          <t>decode FLOPs/token</t>
        </is>
      </c>
      <c r="D209" s="3" t="inlineStr">
        <is>
          <t>GFLOP</t>
        </is>
      </c>
      <c r="E209" s="3" t="n">
        <v>17</v>
      </c>
      <c r="F209" s="3" t="n">
        <v>1</v>
      </c>
      <c r="G209" s="3" t="inlineStr">
        <is>
          <t>C65</t>
        </is>
      </c>
      <c r="H209" s="3">
        <f>(2*C28*1000000000+C35*C64)*C10/1000000000</f>
        <v/>
      </c>
      <c r="I209" s="3" t="n">
        <v>38.717197</v>
      </c>
      <c r="J209" s="3" t="inlineStr">
        <is>
          <t>—</t>
        </is>
      </c>
      <c r="K209" s="3" t="inlineStr">
        <is>
          <t>—</t>
        </is>
      </c>
      <c r="L209" s="3" t="inlineStr">
        <is>
          <t>—</t>
        </is>
      </c>
      <c r="M209" s="3" t="inlineStr">
        <is>
          <t>—</t>
        </is>
      </c>
      <c r="N209" s="3" t="inlineStr">
        <is>
          <t>—</t>
        </is>
      </c>
      <c r="O209" s="3" t="inlineStr">
        <is>
          <t>—</t>
        </is>
      </c>
      <c r="P209" s="3" t="inlineStr">
        <is>
          <t>—</t>
        </is>
      </c>
      <c r="Q209" s="3" t="inlineStr">
        <is>
          <t>上游含 Y1</t>
        </is>
      </c>
      <c r="R209" s="3" t="inlineStr">
        <is>
          <t>—</t>
        </is>
      </c>
      <c r="S209" s="3" t="inlineStr">
        <is>
          <t>Y1</t>
        </is>
      </c>
      <c r="T209" s="3" t="inlineStr"/>
      <c r="U209" s="3" t="n">
        <v>192</v>
      </c>
      <c r="V209" s="3" t="inlineStr"/>
      <c r="W209" s="3" t="inlineStr">
        <is>
          <t>資訊（只有 L8）</t>
        </is>
      </c>
    </row>
    <row r="210">
      <c r="A210" s="3" t="inlineStr">
        <is>
          <t>Perf_Batch</t>
        </is>
      </c>
      <c r="B210" s="3" t="n">
        <v>66</v>
      </c>
      <c r="C210" s="3" t="inlineStr">
        <is>
          <t>prefill 被注意 token 數</t>
        </is>
      </c>
      <c r="D210" s="3" t="inlineStr">
        <is>
          <t>tok</t>
        </is>
      </c>
      <c r="E210" s="3" t="n">
        <v>17</v>
      </c>
      <c r="F210" s="3" t="n">
        <v>1</v>
      </c>
      <c r="G210" s="3" t="inlineStr">
        <is>
          <t>C66</t>
        </is>
      </c>
      <c r="H210" s="3">
        <f>C36*IF(C37=0,C46,MIN(C46,C37))+(1-C36)*(C46/C38+C39)</f>
        <v/>
      </c>
      <c r="I210" s="3" t="n">
        <v>1118.848</v>
      </c>
      <c r="J210" s="3" t="inlineStr">
        <is>
          <t>—</t>
        </is>
      </c>
      <c r="K210" s="3" t="inlineStr">
        <is>
          <t>—</t>
        </is>
      </c>
      <c r="L210" s="3" t="inlineStr">
        <is>
          <t>—</t>
        </is>
      </c>
      <c r="M210" s="3" t="inlineStr">
        <is>
          <t>—</t>
        </is>
      </c>
      <c r="N210" s="3" t="inlineStr">
        <is>
          <t>—</t>
        </is>
      </c>
      <c r="O210" s="3" t="inlineStr">
        <is>
          <t>—</t>
        </is>
      </c>
      <c r="P210" s="3" t="inlineStr">
        <is>
          <t>—</t>
        </is>
      </c>
      <c r="Q210" s="3" t="inlineStr">
        <is>
          <t>上游含 Y1</t>
        </is>
      </c>
      <c r="R210" s="3" t="inlineStr">
        <is>
          <t>—</t>
        </is>
      </c>
      <c r="S210" s="3" t="inlineStr">
        <is>
          <t>Y1</t>
        </is>
      </c>
      <c r="T210" s="3" t="inlineStr"/>
      <c r="U210" s="3" t="n">
        <v>17</v>
      </c>
      <c r="V210" s="3" t="inlineStr"/>
      <c r="W210" s="3" t="inlineStr">
        <is>
          <t>資訊（只有 L8）</t>
        </is>
      </c>
    </row>
    <row r="211">
      <c r="A211" s="3" t="inlineStr">
        <is>
          <t>Perf_Batch</t>
        </is>
      </c>
      <c r="B211" s="3" t="n">
        <v>67</v>
      </c>
      <c r="C211" s="3" t="inlineStr">
        <is>
          <t>prefill FLOPs/token</t>
        </is>
      </c>
      <c r="D211" s="3" t="inlineStr">
        <is>
          <t>GFLOP</t>
        </is>
      </c>
      <c r="E211" s="3" t="n">
        <v>17</v>
      </c>
      <c r="F211" s="3" t="n">
        <v>1</v>
      </c>
      <c r="G211" s="3" t="inlineStr">
        <is>
          <t>C67</t>
        </is>
      </c>
      <c r="H211" s="3">
        <f>(2*C28*1000000000+C35*C66)*C10/1000000000</f>
        <v/>
      </c>
      <c r="I211" s="3" t="n">
        <v>32.305935</v>
      </c>
      <c r="J211" s="3" t="inlineStr">
        <is>
          <t>—</t>
        </is>
      </c>
      <c r="K211" s="3" t="inlineStr">
        <is>
          <t>—</t>
        </is>
      </c>
      <c r="L211" s="3" t="inlineStr">
        <is>
          <t>—</t>
        </is>
      </c>
      <c r="M211" s="3" t="inlineStr">
        <is>
          <t>—</t>
        </is>
      </c>
      <c r="N211" s="3" t="inlineStr">
        <is>
          <t>—</t>
        </is>
      </c>
      <c r="O211" s="3" t="inlineStr">
        <is>
          <t>—</t>
        </is>
      </c>
      <c r="P211" s="3" t="inlineStr">
        <is>
          <t>—</t>
        </is>
      </c>
      <c r="Q211" s="3" t="inlineStr">
        <is>
          <t>上游含 Y1</t>
        </is>
      </c>
      <c r="R211" s="3" t="inlineStr">
        <is>
          <t>—</t>
        </is>
      </c>
      <c r="S211" s="3" t="inlineStr">
        <is>
          <t>Y1</t>
        </is>
      </c>
      <c r="T211" s="3" t="inlineStr"/>
      <c r="U211" s="3" t="n">
        <v>175</v>
      </c>
      <c r="V211" s="3" t="inlineStr"/>
      <c r="W211" s="3" t="inlineStr">
        <is>
          <t>資訊（只有 L8）</t>
        </is>
      </c>
    </row>
    <row r="212">
      <c r="A212" s="3" t="inlineStr">
        <is>
          <t>Perf_Batch</t>
        </is>
      </c>
      <c r="B212" s="3" t="n">
        <v>69</v>
      </c>
      <c r="C212" s="3" t="inlineStr">
        <is>
          <t>可用 HBM</t>
        </is>
      </c>
      <c r="D212" s="3" t="inlineStr">
        <is>
          <t>GB</t>
        </is>
      </c>
      <c r="E212" s="3" t="n">
        <v>17</v>
      </c>
      <c r="F212" s="3" t="n">
        <v>1</v>
      </c>
      <c r="G212" s="3" t="inlineStr">
        <is>
          <t>C69</t>
        </is>
      </c>
      <c r="H212" s="3">
        <f>C15*(1-C56)</f>
        <v/>
      </c>
      <c r="I212" s="3" t="n">
        <v>72</v>
      </c>
      <c r="J212" s="3" t="inlineStr">
        <is>
          <t>—</t>
        </is>
      </c>
      <c r="K212" s="3" t="inlineStr">
        <is>
          <t>—</t>
        </is>
      </c>
      <c r="L212" s="3" t="inlineStr">
        <is>
          <t>—</t>
        </is>
      </c>
      <c r="M212" s="3" t="inlineStr">
        <is>
          <t>—</t>
        </is>
      </c>
      <c r="N212" s="3" t="inlineStr">
        <is>
          <t>—</t>
        </is>
      </c>
      <c r="O212" s="3" t="inlineStr">
        <is>
          <t>—</t>
        </is>
      </c>
      <c r="P212" s="3" t="inlineStr">
        <is>
          <t>—</t>
        </is>
      </c>
      <c r="Q212" s="3" t="inlineStr">
        <is>
          <t>—</t>
        </is>
      </c>
      <c r="R212" s="3" t="inlineStr">
        <is>
          <t>—</t>
        </is>
      </c>
      <c r="S212" s="3" t="inlineStr"/>
      <c r="T212" s="3" t="inlineStr"/>
      <c r="U212" s="3" t="n">
        <v>85</v>
      </c>
      <c r="V212" s="3" t="inlineStr"/>
      <c r="W212" s="3" t="inlineStr">
        <is>
          <t>—</t>
        </is>
      </c>
    </row>
    <row r="213">
      <c r="A213" s="3" t="inlineStr">
        <is>
          <t>Perf_Batch</t>
        </is>
      </c>
      <c r="B213" s="3" t="n">
        <v>70</v>
      </c>
      <c r="C213" s="3" t="inlineStr">
        <is>
          <t>注意力 TP 度（自動）</t>
        </is>
      </c>
      <c r="D213" s="3" t="n"/>
      <c r="E213" s="3" t="n">
        <v>17</v>
      </c>
      <c r="F213" s="3" t="n">
        <v>1</v>
      </c>
      <c r="G213" s="3" t="inlineStr">
        <is>
          <t>C70</t>
        </is>
      </c>
      <c r="H213" s="3">
        <f>MAX(1,CEILING(C32*C20/(C57*C69),1))</f>
        <v/>
      </c>
      <c r="I213" s="3" t="n">
        <v>1</v>
      </c>
      <c r="J213" s="3" t="inlineStr">
        <is>
          <t>—</t>
        </is>
      </c>
      <c r="K213" s="3" t="inlineStr">
        <is>
          <t>—</t>
        </is>
      </c>
      <c r="L213" s="3" t="inlineStr">
        <is>
          <t>—</t>
        </is>
      </c>
      <c r="M213" s="3" t="inlineStr">
        <is>
          <t>—</t>
        </is>
      </c>
      <c r="N213" s="3" t="inlineStr">
        <is>
          <t>—</t>
        </is>
      </c>
      <c r="O213" s="3" t="inlineStr">
        <is>
          <t>—</t>
        </is>
      </c>
      <c r="P213" s="3" t="inlineStr">
        <is>
          <t>—</t>
        </is>
      </c>
      <c r="Q213" s="3" t="inlineStr">
        <is>
          <t>上游含 Y1</t>
        </is>
      </c>
      <c r="R213" s="3" t="inlineStr">
        <is>
          <t>—</t>
        </is>
      </c>
      <c r="S213" s="3" t="inlineStr">
        <is>
          <t>Y1</t>
        </is>
      </c>
      <c r="T213" s="3" t="inlineStr"/>
      <c r="U213" s="3" t="n">
        <v>17</v>
      </c>
      <c r="V213" s="3" t="inlineStr"/>
      <c r="W213" s="3" t="inlineStr">
        <is>
          <t>資訊（只有 L8）</t>
        </is>
      </c>
    </row>
    <row r="214">
      <c r="A214" s="3" t="inlineStr">
        <is>
          <t>Perf_Batch</t>
        </is>
      </c>
      <c r="B214" s="3" t="n">
        <v>71</v>
      </c>
      <c r="C214" s="3" t="inlineStr">
        <is>
          <t>decode EP 寬度（自動）</t>
        </is>
      </c>
      <c r="D214" s="3" t="inlineStr">
        <is>
          <t>GPU</t>
        </is>
      </c>
      <c r="E214" s="3" t="n">
        <v>17</v>
      </c>
      <c r="F214" s="3" t="n">
        <v>1</v>
      </c>
      <c r="G214" s="3" t="inlineStr">
        <is>
          <t>C71</t>
        </is>
      </c>
      <c r="H214" s="3">
        <f>MAX(C18,CEILING(C33*C19/(C58*C69),1))</f>
        <v/>
      </c>
      <c r="I214" s="3" t="n">
        <v>64</v>
      </c>
      <c r="J214" s="3" t="inlineStr">
        <is>
          <t>—</t>
        </is>
      </c>
      <c r="K214" s="3" t="inlineStr">
        <is>
          <t>—</t>
        </is>
      </c>
      <c r="L214" s="3" t="inlineStr">
        <is>
          <t>—</t>
        </is>
      </c>
      <c r="M214" s="3" t="inlineStr">
        <is>
          <t>—</t>
        </is>
      </c>
      <c r="N214" s="3" t="inlineStr">
        <is>
          <t>—</t>
        </is>
      </c>
      <c r="O214" s="3" t="inlineStr">
        <is>
          <t>—</t>
        </is>
      </c>
      <c r="P214" s="3" t="inlineStr">
        <is>
          <t>—</t>
        </is>
      </c>
      <c r="Q214" s="3" t="inlineStr">
        <is>
          <t>上游含 Y1</t>
        </is>
      </c>
      <c r="R214" s="3" t="inlineStr">
        <is>
          <t>—</t>
        </is>
      </c>
      <c r="S214" s="3" t="inlineStr">
        <is>
          <t>Y1</t>
        </is>
      </c>
      <c r="T214" s="3" t="inlineStr"/>
      <c r="U214" s="3" t="n">
        <v>34</v>
      </c>
      <c r="V214" s="3" t="inlineStr"/>
      <c r="W214" s="3" t="inlineStr">
        <is>
          <t>資訊（只有 L8）</t>
        </is>
      </c>
    </row>
    <row r="215">
      <c r="A215" s="3" t="inlineStr">
        <is>
          <t>Perf_Batch</t>
        </is>
      </c>
      <c r="B215" s="3" t="n">
        <v>72</v>
      </c>
      <c r="C215" s="3" t="inlineStr">
        <is>
          <t>每 GPU 權重</t>
        </is>
      </c>
      <c r="D215" s="3" t="inlineStr">
        <is>
          <t>GB</t>
        </is>
      </c>
      <c r="E215" s="3" t="n">
        <v>17</v>
      </c>
      <c r="F215" s="3" t="n">
        <v>1</v>
      </c>
      <c r="G215" s="3" t="inlineStr">
        <is>
          <t>C72</t>
        </is>
      </c>
      <c r="H215" s="3">
        <f>C32*C20/C70+C33*C19/C71</f>
        <v/>
      </c>
      <c r="I215" s="3" t="n">
        <v>9.764938000000001</v>
      </c>
      <c r="J215" s="3" t="inlineStr">
        <is>
          <t>—</t>
        </is>
      </c>
      <c r="K215" s="3" t="inlineStr">
        <is>
          <t>—</t>
        </is>
      </c>
      <c r="L215" s="3" t="inlineStr">
        <is>
          <t>—</t>
        </is>
      </c>
      <c r="M215" s="3" t="inlineStr">
        <is>
          <t>—</t>
        </is>
      </c>
      <c r="N215" s="3" t="inlineStr">
        <is>
          <t>—</t>
        </is>
      </c>
      <c r="O215" s="3" t="inlineStr">
        <is>
          <t>—</t>
        </is>
      </c>
      <c r="P215" s="3" t="inlineStr">
        <is>
          <t>—</t>
        </is>
      </c>
      <c r="Q215" s="3" t="inlineStr">
        <is>
          <t>上游含 Y1</t>
        </is>
      </c>
      <c r="R215" s="3" t="inlineStr">
        <is>
          <t>—</t>
        </is>
      </c>
      <c r="S215" s="3" t="inlineStr">
        <is>
          <t>Y1</t>
        </is>
      </c>
      <c r="T215" s="3" t="inlineStr"/>
      <c r="U215" s="3" t="n">
        <v>98</v>
      </c>
      <c r="V215" s="3" t="inlineStr"/>
      <c r="W215" s="3" t="inlineStr">
        <is>
          <t>資訊（只有 L8）</t>
        </is>
      </c>
    </row>
    <row r="216">
      <c r="A216" s="3" t="inlineStr">
        <is>
          <t>Perf_Batch</t>
        </is>
      </c>
      <c r="B216" s="3" t="n">
        <v>75</v>
      </c>
      <c r="C216" s="3" t="inlineStr">
        <is>
          <t>prefill tok/s（每 prefill GPU）</t>
        </is>
      </c>
      <c r="D216" s="3" t="inlineStr">
        <is>
          <t>tok/s</t>
        </is>
      </c>
      <c r="E216" s="3" t="n">
        <v>17</v>
      </c>
      <c r="F216" s="3" t="n">
        <v>1</v>
      </c>
      <c r="G216" s="3" t="inlineStr">
        <is>
          <t>C75</t>
        </is>
      </c>
      <c r="H216" s="3">
        <f>C51*C14*1000000000000000/(C67*1000000000)</f>
        <v/>
      </c>
      <c r="I216" s="3" t="n">
        <v>9184.071051000001</v>
      </c>
      <c r="J216" s="3" t="inlineStr">
        <is>
          <t>—</t>
        </is>
      </c>
      <c r="K216" s="3" t="inlineStr">
        <is>
          <t>—</t>
        </is>
      </c>
      <c r="L216" s="3" t="inlineStr">
        <is>
          <t>—</t>
        </is>
      </c>
      <c r="M216" s="3" t="inlineStr">
        <is>
          <t>—</t>
        </is>
      </c>
      <c r="N216" s="3" t="inlineStr">
        <is>
          <t>—</t>
        </is>
      </c>
      <c r="O216" s="3" t="inlineStr">
        <is>
          <t>—</t>
        </is>
      </c>
      <c r="P216" s="3" t="inlineStr">
        <is>
          <t>—</t>
        </is>
      </c>
      <c r="Q216" s="3" t="inlineStr">
        <is>
          <t>上游含 Y1,Y5,Y8</t>
        </is>
      </c>
      <c r="R216" s="3" t="inlineStr">
        <is>
          <t>—</t>
        </is>
      </c>
      <c r="S216" s="3" t="inlineStr">
        <is>
          <t>Y1,Y5,Y8</t>
        </is>
      </c>
      <c r="T216" s="3" t="inlineStr"/>
      <c r="U216" s="3" t="n">
        <v>51</v>
      </c>
      <c r="V216" s="3" t="inlineStr"/>
      <c r="W216" s="3" t="inlineStr">
        <is>
          <t>資訊（只有 L8）</t>
        </is>
      </c>
    </row>
    <row r="217">
      <c r="A217" s="3" t="inlineStr">
        <is>
          <t>Perf_Batch</t>
        </is>
      </c>
      <c r="B217" s="3" t="n">
        <v>79</v>
      </c>
      <c r="C217" s="3" t="inlineStr">
        <is>
          <t>每步固定延遲（權重讀取＋逐層延遲）</t>
        </is>
      </c>
      <c r="D217" s="3" t="inlineStr">
        <is>
          <t>ms</t>
        </is>
      </c>
      <c r="E217" s="3" t="n">
        <v>17</v>
      </c>
      <c r="F217" s="3" t="n">
        <v>1</v>
      </c>
      <c r="G217" s="3" t="inlineStr">
        <is>
          <t>C79</t>
        </is>
      </c>
      <c r="H217" s="3">
        <f>C72/C16+(C29+C47)*C55/1000</f>
        <v/>
      </c>
      <c r="I217" s="3" t="n">
        <v>14.036695</v>
      </c>
      <c r="J217" s="3" t="inlineStr">
        <is>
          <t>—</t>
        </is>
      </c>
      <c r="K217" s="3" t="inlineStr">
        <is>
          <t>—</t>
        </is>
      </c>
      <c r="L217" s="3" t="inlineStr">
        <is>
          <t>—</t>
        </is>
      </c>
      <c r="M217" s="3" t="inlineStr">
        <is>
          <t>—</t>
        </is>
      </c>
      <c r="N217" s="3" t="inlineStr">
        <is>
          <t>—</t>
        </is>
      </c>
      <c r="O217" s="3" t="inlineStr">
        <is>
          <t>—</t>
        </is>
      </c>
      <c r="P217" s="3" t="inlineStr">
        <is>
          <t>—</t>
        </is>
      </c>
      <c r="Q217" s="3" t="inlineStr">
        <is>
          <t>上游含 Y1,Y5,Y8</t>
        </is>
      </c>
      <c r="R217" s="3" t="inlineStr">
        <is>
          <t>—</t>
        </is>
      </c>
      <c r="S217" s="3" t="inlineStr">
        <is>
          <t>Y1,Y5,Y8</t>
        </is>
      </c>
      <c r="T217" s="3" t="inlineStr"/>
      <c r="U217" s="3" t="n">
        <v>51</v>
      </c>
      <c r="V217" s="3" t="inlineStr"/>
      <c r="W217" s="3" t="inlineStr">
        <is>
          <t>資訊（只有 L8）</t>
        </is>
      </c>
    </row>
    <row r="218">
      <c r="A218" s="3" t="inlineStr">
        <is>
          <t>Perf_Batch</t>
        </is>
      </c>
      <c r="B218" s="3" t="n">
        <v>80</v>
      </c>
      <c r="C218" s="3" t="inlineStr">
        <is>
          <t>每序列每步 — 算力項</t>
        </is>
      </c>
      <c r="D218" s="3" t="inlineStr">
        <is>
          <t>ms</t>
        </is>
      </c>
      <c r="E218" s="3" t="n">
        <v>17</v>
      </c>
      <c r="F218" s="3" t="n">
        <v>1</v>
      </c>
      <c r="G218" s="3" t="inlineStr">
        <is>
          <t>C80</t>
        </is>
      </c>
      <c r="H218" s="3">
        <f>(C47+1)*C65/(C14*C53)/1000</f>
        <v/>
      </c>
      <c r="I218" s="3" t="n">
        <v>1.459115</v>
      </c>
      <c r="J218" s="3" t="inlineStr">
        <is>
          <t>—</t>
        </is>
      </c>
      <c r="K218" s="3" t="inlineStr">
        <is>
          <t>—</t>
        </is>
      </c>
      <c r="L218" s="3" t="inlineStr">
        <is>
          <t>—</t>
        </is>
      </c>
      <c r="M218" s="3" t="inlineStr">
        <is>
          <t>—</t>
        </is>
      </c>
      <c r="N218" s="3" t="inlineStr">
        <is>
          <t>—</t>
        </is>
      </c>
      <c r="O218" s="3" t="inlineStr">
        <is>
          <t>—</t>
        </is>
      </c>
      <c r="P218" s="3" t="inlineStr">
        <is>
          <t>—</t>
        </is>
      </c>
      <c r="Q218" s="3" t="inlineStr">
        <is>
          <t>上游含 Y1,Y5,Y8</t>
        </is>
      </c>
      <c r="R218" s="3" t="inlineStr">
        <is>
          <t>—</t>
        </is>
      </c>
      <c r="S218" s="3" t="inlineStr">
        <is>
          <t>Y1,Y5,Y8</t>
        </is>
      </c>
      <c r="T218" s="3" t="inlineStr"/>
      <c r="U218" s="3" t="n">
        <v>34</v>
      </c>
      <c r="V218" s="3" t="inlineStr"/>
      <c r="W218" s="3" t="inlineStr">
        <is>
          <t>資訊（只有 L8）</t>
        </is>
      </c>
    </row>
    <row r="219">
      <c r="A219" s="3" t="inlineStr">
        <is>
          <t>Perf_Batch</t>
        </is>
      </c>
      <c r="B219" s="3" t="n">
        <v>81</v>
      </c>
      <c r="C219" s="3" t="inlineStr">
        <is>
          <t>每序列每步 — KV 讀取項</t>
        </is>
      </c>
      <c r="D219" s="3" t="inlineStr">
        <is>
          <t>ms</t>
        </is>
      </c>
      <c r="E219" s="3" t="n">
        <v>17</v>
      </c>
      <c r="F219" s="3" t="n">
        <v>1</v>
      </c>
      <c r="G219" s="3" t="inlineStr">
        <is>
          <t>C81</t>
        </is>
      </c>
      <c r="H219" s="3">
        <f>C34*C45/(C16*C60)/1000000000</f>
        <v/>
      </c>
      <c r="I219" s="3" t="n">
        <v>0.009764</v>
      </c>
      <c r="J219" s="3" t="inlineStr">
        <is>
          <t>—</t>
        </is>
      </c>
      <c r="K219" s="3" t="inlineStr">
        <is>
          <t>—</t>
        </is>
      </c>
      <c r="L219" s="3" t="inlineStr">
        <is>
          <t>—</t>
        </is>
      </c>
      <c r="M219" s="3" t="inlineStr">
        <is>
          <t>—</t>
        </is>
      </c>
      <c r="N219" s="3" t="inlineStr">
        <is>
          <t>—</t>
        </is>
      </c>
      <c r="O219" s="3" t="inlineStr">
        <is>
          <t>—</t>
        </is>
      </c>
      <c r="P219" s="3" t="inlineStr">
        <is>
          <t>—</t>
        </is>
      </c>
      <c r="Q219" s="3" t="inlineStr">
        <is>
          <t>上游含 Y1</t>
        </is>
      </c>
      <c r="R219" s="3" t="inlineStr">
        <is>
          <t>—</t>
        </is>
      </c>
      <c r="S219" s="3" t="inlineStr">
        <is>
          <t>Y1</t>
        </is>
      </c>
      <c r="T219" s="3" t="inlineStr"/>
      <c r="U219" s="3" t="n">
        <v>64</v>
      </c>
      <c r="V219" s="3" t="inlineStr"/>
      <c r="W219" s="3" t="inlineStr">
        <is>
          <t>資訊（只有 L8）</t>
        </is>
      </c>
    </row>
    <row r="220">
      <c r="A220" s="3" t="inlineStr">
        <is>
          <t>Perf_Batch</t>
        </is>
      </c>
      <c r="B220" s="3" t="n">
        <v>82</v>
      </c>
      <c r="C220" s="3" t="inlineStr">
        <is>
          <t>每序列每步 — EP 通訊項</t>
        </is>
      </c>
      <c r="D220" s="3" t="inlineStr">
        <is>
          <t>ms</t>
        </is>
      </c>
      <c r="E220" s="3" t="n">
        <v>17</v>
      </c>
      <c r="F220" s="3" t="n">
        <v>1</v>
      </c>
      <c r="G220" s="3" t="inlineStr">
        <is>
          <t>C82</t>
        </is>
      </c>
      <c r="H220" s="3">
        <f>(C47+1)*C29*C31*C30*C59*(C71-1)/C71/(C17*C61)/1000000000</f>
        <v/>
      </c>
      <c r="I220" s="3" t="n">
        <v>0.356659</v>
      </c>
      <c r="J220" s="3" t="inlineStr">
        <is>
          <t>—</t>
        </is>
      </c>
      <c r="K220" s="3" t="inlineStr">
        <is>
          <t>—</t>
        </is>
      </c>
      <c r="L220" s="3" t="inlineStr">
        <is>
          <t>—</t>
        </is>
      </c>
      <c r="M220" s="3" t="inlineStr">
        <is>
          <t>—</t>
        </is>
      </c>
      <c r="N220" s="3" t="inlineStr">
        <is>
          <t>—</t>
        </is>
      </c>
      <c r="O220" s="3" t="inlineStr">
        <is>
          <t>—</t>
        </is>
      </c>
      <c r="P220" s="3" t="inlineStr">
        <is>
          <t>—</t>
        </is>
      </c>
      <c r="Q220" s="3" t="inlineStr">
        <is>
          <t>上游含 Y1</t>
        </is>
      </c>
      <c r="R220" s="3" t="inlineStr">
        <is>
          <t>—</t>
        </is>
      </c>
      <c r="S220" s="3" t="inlineStr">
        <is>
          <t>Y1</t>
        </is>
      </c>
      <c r="T220" s="3" t="inlineStr"/>
      <c r="U220" s="3" t="n">
        <v>47</v>
      </c>
      <c r="V220" s="3" t="inlineStr"/>
      <c r="W220" s="3" t="inlineStr">
        <is>
          <t>資訊（只有 L8）</t>
        </is>
      </c>
    </row>
    <row r="221">
      <c r="A221" s="3" t="inlineStr">
        <is>
          <t>Perf_Batch</t>
        </is>
      </c>
      <c r="B221" s="3" t="n">
        <v>83</v>
      </c>
      <c r="C221" s="3" t="inlineStr">
        <is>
          <t>每序列每步（取最大，假設三者可重疊）</t>
        </is>
      </c>
      <c r="D221" s="3" t="inlineStr">
        <is>
          <t>ms</t>
        </is>
      </c>
      <c r="E221" s="3" t="n">
        <v>17</v>
      </c>
      <c r="F221" s="3" t="n">
        <v>1</v>
      </c>
      <c r="G221" s="3" t="inlineStr">
        <is>
          <t>C83</t>
        </is>
      </c>
      <c r="H221" s="3">
        <f>MAX(C80,C81,C82)</f>
        <v/>
      </c>
      <c r="I221" s="3" t="n">
        <v>1.459115</v>
      </c>
      <c r="J221" s="3" t="inlineStr">
        <is>
          <t>—</t>
        </is>
      </c>
      <c r="K221" s="3" t="inlineStr">
        <is>
          <t>—</t>
        </is>
      </c>
      <c r="L221" s="3" t="inlineStr">
        <is>
          <t>—</t>
        </is>
      </c>
      <c r="M221" s="3" t="inlineStr">
        <is>
          <t>—</t>
        </is>
      </c>
      <c r="N221" s="3" t="inlineStr">
        <is>
          <t>—</t>
        </is>
      </c>
      <c r="O221" s="3" t="inlineStr">
        <is>
          <t>—</t>
        </is>
      </c>
      <c r="P221" s="3" t="inlineStr">
        <is>
          <t>—</t>
        </is>
      </c>
      <c r="Q221" s="3" t="inlineStr">
        <is>
          <t>上游含 Y1,Y5,Y8</t>
        </is>
      </c>
      <c r="R221" s="3" t="inlineStr">
        <is>
          <t>—</t>
        </is>
      </c>
      <c r="S221" s="3" t="inlineStr">
        <is>
          <t>Y1,Y5,Y8</t>
        </is>
      </c>
      <c r="T221" s="3" t="inlineStr"/>
      <c r="U221" s="3" t="n">
        <v>68</v>
      </c>
      <c r="V221" s="3" t="inlineStr"/>
      <c r="W221" s="3" t="inlineStr">
        <is>
          <t>資訊（只有 L8）</t>
        </is>
      </c>
    </row>
    <row r="222">
      <c r="A222" s="3" t="inlineStr">
        <is>
          <t>Perf_Batch</t>
        </is>
      </c>
      <c r="B222" s="3" t="n">
        <v>85</v>
      </c>
      <c r="C222" s="3" t="inlineStr">
        <is>
          <t>SLO 允許的批次上限</t>
        </is>
      </c>
      <c r="D222" s="3" t="inlineStr">
        <is>
          <t>序列/GPU</t>
        </is>
      </c>
      <c r="E222" s="3" t="n">
        <v>17</v>
      </c>
      <c r="F222" s="3" t="n">
        <v>1</v>
      </c>
      <c r="G222" s="3" t="inlineStr">
        <is>
          <t>C85</t>
        </is>
      </c>
      <c r="H222" s="3">
        <f>(1000*C49/C41-C79)/C83</f>
        <v/>
      </c>
      <c r="I222" s="3" t="n">
        <v>77.17916</v>
      </c>
      <c r="J222" s="3" t="inlineStr">
        <is>
          <t>—</t>
        </is>
      </c>
      <c r="K222" s="3" t="inlineStr">
        <is>
          <t>—</t>
        </is>
      </c>
      <c r="L222" s="3" t="inlineStr">
        <is>
          <t>—</t>
        </is>
      </c>
      <c r="M222" s="3" t="inlineStr">
        <is>
          <t>—</t>
        </is>
      </c>
      <c r="N222" s="3" t="inlineStr">
        <is>
          <t>—</t>
        </is>
      </c>
      <c r="O222" s="3" t="inlineStr">
        <is>
          <t>—</t>
        </is>
      </c>
      <c r="P222" s="3" t="inlineStr">
        <is>
          <t>—</t>
        </is>
      </c>
      <c r="Q222" s="3" t="inlineStr">
        <is>
          <t>上游含 Y1,Y5,Y8</t>
        </is>
      </c>
      <c r="R222" s="3" t="inlineStr">
        <is>
          <t>—</t>
        </is>
      </c>
      <c r="S222" s="3" t="inlineStr">
        <is>
          <t>Y1,Y5,Y8</t>
        </is>
      </c>
      <c r="T222" s="3" t="inlineStr"/>
      <c r="U222" s="3" t="n">
        <v>34</v>
      </c>
      <c r="V222" s="3" t="inlineStr"/>
      <c r="W222" s="3" t="inlineStr">
        <is>
          <t>資訊（只有 L8）</t>
        </is>
      </c>
    </row>
    <row r="223">
      <c r="A223" s="3" t="inlineStr">
        <is>
          <t>Perf_Batch</t>
        </is>
      </c>
      <c r="B223" s="3" t="n">
        <v>86</v>
      </c>
      <c r="C223" s="3" t="inlineStr">
        <is>
          <t>HBM 容量允許的批次上限</t>
        </is>
      </c>
      <c r="D223" s="3" t="inlineStr">
        <is>
          <t>序列/GPU</t>
        </is>
      </c>
      <c r="E223" s="3" t="n">
        <v>17</v>
      </c>
      <c r="F223" s="3" t="n">
        <v>1</v>
      </c>
      <c r="G223" s="3" t="inlineStr">
        <is>
          <t>C86</t>
        </is>
      </c>
      <c r="H223" s="3">
        <f>(C69-C72)*1000000000/(C34*C45)</f>
        <v/>
      </c>
      <c r="I223" s="3" t="n">
        <v>2718.08713</v>
      </c>
      <c r="J223" s="3" t="inlineStr">
        <is>
          <t>—</t>
        </is>
      </c>
      <c r="K223" s="3" t="inlineStr">
        <is>
          <t>—</t>
        </is>
      </c>
      <c r="L223" s="3" t="inlineStr">
        <is>
          <t>—</t>
        </is>
      </c>
      <c r="M223" s="3" t="inlineStr">
        <is>
          <t>—</t>
        </is>
      </c>
      <c r="N223" s="3" t="inlineStr">
        <is>
          <t>—</t>
        </is>
      </c>
      <c r="O223" s="3" t="inlineStr">
        <is>
          <t>—</t>
        </is>
      </c>
      <c r="P223" s="3" t="inlineStr">
        <is>
          <t>—</t>
        </is>
      </c>
      <c r="Q223" s="3" t="inlineStr">
        <is>
          <t>上游含 Y1</t>
        </is>
      </c>
      <c r="R223" s="3" t="inlineStr">
        <is>
          <t>—</t>
        </is>
      </c>
      <c r="S223" s="3" t="inlineStr">
        <is>
          <t>Y1</t>
        </is>
      </c>
      <c r="T223" s="3" t="inlineStr"/>
      <c r="U223" s="3" t="n">
        <v>64</v>
      </c>
      <c r="V223" s="3" t="inlineStr"/>
      <c r="W223" s="3" t="inlineStr">
        <is>
          <t>資訊（只有 L8）</t>
        </is>
      </c>
    </row>
    <row r="224">
      <c r="A224" s="3" t="inlineStr">
        <is>
          <t>Perf_Batch</t>
        </is>
      </c>
      <c r="B224" s="3" t="n">
        <v>87</v>
      </c>
      <c r="C224" s="3" t="inlineStr">
        <is>
          <t>採用批次 B*</t>
        </is>
      </c>
      <c r="D224" s="3" t="inlineStr">
        <is>
          <t>序列/GPU</t>
        </is>
      </c>
      <c r="E224" s="3" t="n">
        <v>17</v>
      </c>
      <c r="F224" s="3" t="n">
        <v>1</v>
      </c>
      <c r="G224" s="3" t="inlineStr">
        <is>
          <t>C87</t>
        </is>
      </c>
      <c r="H224" s="3">
        <f>MAX(0,MIN(C85,C86))</f>
        <v/>
      </c>
      <c r="I224" s="3" t="n">
        <v>77.17916</v>
      </c>
      <c r="J224" s="3" t="inlineStr">
        <is>
          <t>—</t>
        </is>
      </c>
      <c r="K224" s="3" t="inlineStr">
        <is>
          <t>—</t>
        </is>
      </c>
      <c r="L224" s="3" t="inlineStr">
        <is>
          <t>—</t>
        </is>
      </c>
      <c r="M224" s="3" t="inlineStr">
        <is>
          <t>—</t>
        </is>
      </c>
      <c r="N224" s="3" t="inlineStr">
        <is>
          <t>—</t>
        </is>
      </c>
      <c r="O224" s="3" t="inlineStr">
        <is>
          <t>—</t>
        </is>
      </c>
      <c r="P224" s="3" t="inlineStr">
        <is>
          <t>—</t>
        </is>
      </c>
      <c r="Q224" s="3" t="inlineStr">
        <is>
          <t>上游含 Y1,Y5,Y8</t>
        </is>
      </c>
      <c r="R224" s="3" t="inlineStr">
        <is>
          <t>—</t>
        </is>
      </c>
      <c r="S224" s="3" t="inlineStr">
        <is>
          <t>Y1,Y5,Y8</t>
        </is>
      </c>
      <c r="T224" s="3" t="inlineStr"/>
      <c r="U224" s="3" t="n">
        <v>85</v>
      </c>
      <c r="V224" s="3" t="inlineStr"/>
      <c r="W224" s="3" t="inlineStr">
        <is>
          <t>資訊（只有 L8）</t>
        </is>
      </c>
    </row>
    <row r="225">
      <c r="A225" s="3" t="inlineStr">
        <is>
          <t>Perf_Batch</t>
        </is>
      </c>
      <c r="B225" s="3" t="n">
        <v>88</v>
      </c>
      <c r="C225" s="3" t="inlineStr">
        <is>
          <t>decode tok/s（每 decode GPU）</t>
        </is>
      </c>
      <c r="D225" s="3" t="inlineStr">
        <is>
          <t>tok/s</t>
        </is>
      </c>
      <c r="E225" s="3" t="n">
        <v>17</v>
      </c>
      <c r="F225" s="3" t="n">
        <v>1</v>
      </c>
      <c r="G225" s="3" t="inlineStr">
        <is>
          <t>C88</t>
        </is>
      </c>
      <c r="H225" s="3">
        <f>IF(C87&gt;0,C87*C49/((C79+C87*C83)/1000),0)</f>
        <v/>
      </c>
      <c r="I225" s="3" t="n">
        <v>1543.583205</v>
      </c>
      <c r="J225" s="3" t="inlineStr">
        <is>
          <t>—</t>
        </is>
      </c>
      <c r="K225" s="3" t="inlineStr">
        <is>
          <t>—</t>
        </is>
      </c>
      <c r="L225" s="3" t="inlineStr">
        <is>
          <t>—</t>
        </is>
      </c>
      <c r="M225" s="3" t="inlineStr">
        <is>
          <t>—</t>
        </is>
      </c>
      <c r="N225" s="3" t="inlineStr">
        <is>
          <t>—</t>
        </is>
      </c>
      <c r="O225" s="3" t="inlineStr">
        <is>
          <t>—</t>
        </is>
      </c>
      <c r="P225" s="3" t="inlineStr">
        <is>
          <t>—</t>
        </is>
      </c>
      <c r="Q225" s="3" t="inlineStr">
        <is>
          <t>上游含 Y1,Y5,Y8</t>
        </is>
      </c>
      <c r="R225" s="3" t="inlineStr">
        <is>
          <t>—</t>
        </is>
      </c>
      <c r="S225" s="3" t="inlineStr">
        <is>
          <t>Y1,Y5,Y8</t>
        </is>
      </c>
      <c r="T225" s="3" t="inlineStr"/>
      <c r="U225" s="3" t="n">
        <v>68</v>
      </c>
      <c r="V225" s="3" t="inlineStr"/>
      <c r="W225" s="3" t="inlineStr">
        <is>
          <t>資訊（只有 L8）</t>
        </is>
      </c>
    </row>
    <row r="226">
      <c r="A226" s="3" t="inlineStr">
        <is>
          <t>Perf_Batch</t>
        </is>
      </c>
      <c r="B226" s="3" t="n">
        <v>101</v>
      </c>
      <c r="C226" s="3" t="inlineStr">
        <is>
          <t>新鮮 prefill</t>
        </is>
      </c>
      <c r="D226" s="3" t="inlineStr">
        <is>
          <t>GPU-s/M</t>
        </is>
      </c>
      <c r="E226" s="3" t="n">
        <v>17</v>
      </c>
      <c r="F226" s="3" t="n">
        <v>1</v>
      </c>
      <c r="G226" s="3" t="inlineStr">
        <is>
          <t>C101</t>
        </is>
      </c>
      <c r="H226" s="3">
        <f>1000000/C75</f>
        <v/>
      </c>
      <c r="I226" s="3" t="n">
        <v>108.884175</v>
      </c>
      <c r="J226" s="3" t="inlineStr">
        <is>
          <t>—</t>
        </is>
      </c>
      <c r="K226" s="3" t="inlineStr">
        <is>
          <t>—</t>
        </is>
      </c>
      <c r="L226" s="3" t="inlineStr">
        <is>
          <t>—</t>
        </is>
      </c>
      <c r="M226" s="3" t="inlineStr">
        <is>
          <t>—</t>
        </is>
      </c>
      <c r="N226" s="3" t="inlineStr">
        <is>
          <t>—</t>
        </is>
      </c>
      <c r="O226" s="3" t="inlineStr">
        <is>
          <t>—</t>
        </is>
      </c>
      <c r="P226" s="3" t="inlineStr">
        <is>
          <t>—</t>
        </is>
      </c>
      <c r="Q226" s="3" t="inlineStr">
        <is>
          <t>上游含 Y1,Y5,Y8</t>
        </is>
      </c>
      <c r="R226" s="3" t="inlineStr">
        <is>
          <t>—</t>
        </is>
      </c>
      <c r="S226" s="3" t="inlineStr">
        <is>
          <t>Y1,Y5,Y8</t>
        </is>
      </c>
      <c r="T226" s="3" t="inlineStr"/>
      <c r="U226" s="3" t="n">
        <v>111</v>
      </c>
      <c r="V226" s="3" t="inlineStr"/>
      <c r="W226" s="3" t="inlineStr">
        <is>
          <t>資訊（只有 L8）</t>
        </is>
      </c>
    </row>
    <row r="227">
      <c r="A227" s="3" t="inlineStr">
        <is>
          <t>Perf_Batch</t>
        </is>
      </c>
      <c r="B227" s="3" t="n">
        <v>103</v>
      </c>
      <c r="C227" s="3" t="inlineStr">
        <is>
          <t>decode（含思考 token；0＝SLO 不可達）</t>
        </is>
      </c>
      <c r="D227" s="3" t="inlineStr">
        <is>
          <t>GPU-s/M</t>
        </is>
      </c>
      <c r="E227" s="3" t="n">
        <v>17</v>
      </c>
      <c r="F227" s="3" t="n">
        <v>1</v>
      </c>
      <c r="G227" s="3" t="inlineStr">
        <is>
          <t>C103</t>
        </is>
      </c>
      <c r="H227" s="3">
        <f>IF(C88&gt;0,1000000/C88,0)</f>
        <v/>
      </c>
      <c r="I227" s="3" t="n">
        <v>647.8432759999999</v>
      </c>
      <c r="J227" s="3" t="inlineStr">
        <is>
          <t>—</t>
        </is>
      </c>
      <c r="K227" s="3" t="inlineStr">
        <is>
          <t>—</t>
        </is>
      </c>
      <c r="L227" s="3" t="inlineStr">
        <is>
          <t>—</t>
        </is>
      </c>
      <c r="M227" s="3" t="inlineStr">
        <is>
          <t>—</t>
        </is>
      </c>
      <c r="N227" s="3" t="inlineStr">
        <is>
          <t>—</t>
        </is>
      </c>
      <c r="O227" s="3" t="inlineStr">
        <is>
          <t>—</t>
        </is>
      </c>
      <c r="P227" s="3" t="inlineStr">
        <is>
          <t>—</t>
        </is>
      </c>
      <c r="Q227" s="3" t="inlineStr">
        <is>
          <t>上游含 Y1,Y5,Y8</t>
        </is>
      </c>
      <c r="R227" s="3" t="inlineStr">
        <is>
          <t>—</t>
        </is>
      </c>
      <c r="S227" s="3" t="inlineStr">
        <is>
          <t>Y1,Y5,Y8</t>
        </is>
      </c>
      <c r="T227" s="3" t="inlineStr"/>
      <c r="U227" s="3" t="n">
        <v>111</v>
      </c>
      <c r="V227" s="3" t="inlineStr"/>
      <c r="W227" s="3" t="inlineStr">
        <is>
          <t>資訊（只有 L8）</t>
        </is>
      </c>
    </row>
    <row r="228">
      <c r="A228" s="3" t="inlineStr">
        <is>
          <t>Price_Frontier</t>
        </is>
      </c>
      <c r="B228" s="3" t="n">
        <v>24</v>
      </c>
      <c r="C228" s="3" t="inlineStr">
        <is>
          <t>OpenAI 層級模型 混合單價（表列）</t>
        </is>
      </c>
      <c r="D228" s="3" t="inlineStr">
        <is>
          <t>$/M</t>
        </is>
      </c>
      <c r="E228" s="3" t="n">
        <v>3</v>
      </c>
      <c r="F228" s="3" t="n">
        <v>3</v>
      </c>
      <c r="G228" s="3" t="inlineStr">
        <is>
          <t>C24</t>
        </is>
      </c>
      <c r="H228" s="3">
        <f>INDEX($H$6:$H$18,1)</f>
        <v/>
      </c>
      <c r="I228" s="3" t="n">
        <v>0.100444</v>
      </c>
      <c r="J228" s="3" t="inlineStr">
        <is>
          <t>—</t>
        </is>
      </c>
      <c r="K228" s="3" t="inlineStr">
        <is>
          <t>—</t>
        </is>
      </c>
      <c r="L228" s="3" t="inlineStr">
        <is>
          <t>[G18] INDEX($H$6:$H$18,1／2／3) 以表內位置取 OpenAI 層級列；表格列順序改變即錯位</t>
        </is>
      </c>
      <c r="M228" s="3" t="inlineStr">
        <is>
          <t>—</t>
        </is>
      </c>
      <c r="N228" s="3" t="inlineStr">
        <is>
          <t>—</t>
        </is>
      </c>
      <c r="O228" s="3" t="inlineStr">
        <is>
          <t>—</t>
        </is>
      </c>
      <c r="P228" s="3" t="inlineStr">
        <is>
          <t>—</t>
        </is>
      </c>
      <c r="Q228" s="3" t="inlineStr">
        <is>
          <t>上游含 Y1,Y2,Y6</t>
        </is>
      </c>
      <c r="R228" s="3" t="inlineStr">
        <is>
          <t>—</t>
        </is>
      </c>
      <c r="S228" s="3" t="inlineStr">
        <is>
          <t>Y1,Y2,Y6</t>
        </is>
      </c>
      <c r="T228" s="3" t="inlineStr"/>
      <c r="U228" s="3" t="n">
        <v>8</v>
      </c>
      <c r="V228" s="3" t="inlineStr">
        <is>
          <t>G18</t>
        </is>
      </c>
      <c r="W228" s="3" t="inlineStr">
        <is>
          <t>低</t>
        </is>
      </c>
    </row>
    <row r="229">
      <c r="A229" s="3" t="inlineStr">
        <is>
          <t>Price_Frontier</t>
        </is>
      </c>
      <c r="B229" s="3" t="n">
        <v>26</v>
      </c>
      <c r="C229" s="3" t="inlineStr">
        <is>
          <t>前緣模型</t>
        </is>
      </c>
      <c r="D229" s="3" t="n"/>
      <c r="E229" s="3" t="n">
        <v>3</v>
      </c>
      <c r="F229" s="3" t="n">
        <v>3</v>
      </c>
      <c r="G229" s="3" t="inlineStr">
        <is>
          <t>C26</t>
        </is>
      </c>
      <c r="H229" s="3">
        <f>INDEX($A$6:$A$18,MATCH(C25,$K$6:$K$18,0))</f>
        <v/>
      </c>
      <c r="I229" s="3" t="inlineStr">
        <is>
          <t>GPT-6 Luna</t>
        </is>
      </c>
      <c r="J229" s="3" t="inlineStr">
        <is>
          <t>—</t>
        </is>
      </c>
      <c r="K229" s="3" t="inlineStr">
        <is>
          <t>—</t>
        </is>
      </c>
      <c r="L229" s="3" t="inlineStr">
        <is>
          <t>[G18] MATCH(最低價, …, 0) 取第一個最低價模型；同價時取表內先出現者</t>
        </is>
      </c>
      <c r="M229" s="3" t="inlineStr">
        <is>
          <t>—</t>
        </is>
      </c>
      <c r="N229" s="3" t="inlineStr">
        <is>
          <t>—</t>
        </is>
      </c>
      <c r="O229" s="3" t="inlineStr">
        <is>
          <t>—</t>
        </is>
      </c>
      <c r="P229" s="3" t="inlineStr">
        <is>
          <t>—</t>
        </is>
      </c>
      <c r="Q229" s="3" t="inlineStr">
        <is>
          <t>上游含 Y1,Y2,Y6</t>
        </is>
      </c>
      <c r="R229" s="3" t="inlineStr">
        <is>
          <t>—</t>
        </is>
      </c>
      <c r="S229" s="3" t="inlineStr">
        <is>
          <t>Y1,Y2,Y6</t>
        </is>
      </c>
      <c r="T229" s="3" t="inlineStr"/>
      <c r="U229" s="3" t="n">
        <v>3</v>
      </c>
      <c r="V229" s="3" t="inlineStr">
        <is>
          <t>G18</t>
        </is>
      </c>
      <c r="W229" s="3" t="inlineStr">
        <is>
          <t>低</t>
        </is>
      </c>
    </row>
    <row r="230">
      <c r="A230" s="3" t="inlineStr">
        <is>
          <t>Price_Frontier</t>
        </is>
      </c>
      <c r="B230" s="3" t="n">
        <v>31</v>
      </c>
      <c r="C230" s="3" t="inlineStr">
        <is>
          <t>中國廠商 合格者最低 混合單價</t>
        </is>
      </c>
      <c r="D230" s="3" t="inlineStr">
        <is>
          <t>$/M</t>
        </is>
      </c>
      <c r="E230" s="3" t="n">
        <v>3</v>
      </c>
      <c r="F230" s="3" t="n">
        <v>3</v>
      </c>
      <c r="G230" s="3" t="inlineStr">
        <is>
          <t>C31</t>
        </is>
      </c>
      <c r="H230" s="3">
        <f>IF(MIN($N$6:$N$18)&gt;=1000000000,"無合格",MIN($N$6:$N$18))</f>
        <v/>
      </c>
      <c r="I230" s="3" t="n">
        <v>0.130222</v>
      </c>
      <c r="J230" s="3" t="inlineStr">
        <is>
          <t>—</t>
        </is>
      </c>
      <c r="K230" s="3" t="inlineStr">
        <is>
          <t>—</t>
        </is>
      </c>
      <c r="L230" s="3" t="inlineStr">
        <is>
          <t>—</t>
        </is>
      </c>
      <c r="M230" s="3" t="inlineStr">
        <is>
          <t>—</t>
        </is>
      </c>
      <c r="N230" s="3" t="inlineStr">
        <is>
          <t>—</t>
        </is>
      </c>
      <c r="O230" s="3" t="inlineStr">
        <is>
          <t>—</t>
        </is>
      </c>
      <c r="P230" s="3" t="inlineStr">
        <is>
          <t>[G18] Sol／Astra 為「無合格」，Checks B50 只讀 Luna（C33）</t>
        </is>
      </c>
      <c r="Q230" s="3" t="inlineStr">
        <is>
          <t>上游含 Y1,Y2,Y6</t>
        </is>
      </c>
      <c r="R230" s="3" t="inlineStr">
        <is>
          <t>—</t>
        </is>
      </c>
      <c r="S230" s="3" t="inlineStr">
        <is>
          <t>Y1,Y2,Y6</t>
        </is>
      </c>
      <c r="T230" s="3" t="inlineStr"/>
      <c r="U230" s="3" t="n">
        <v>6</v>
      </c>
      <c r="V230" s="3" t="inlineStr">
        <is>
          <t>G18</t>
        </is>
      </c>
      <c r="W230" s="3" t="inlineStr">
        <is>
          <t>低</t>
        </is>
      </c>
    </row>
    <row r="231">
      <c r="A231" s="3" t="inlineStr">
        <is>
          <t>Price_Frontier</t>
        </is>
      </c>
      <c r="B231" s="3" t="n">
        <v>33</v>
      </c>
      <c r="C231" s="3" t="inlineStr">
        <is>
          <t>中國合格者最低 ÷ OpenAI 層級模型</t>
        </is>
      </c>
      <c r="D231" s="3" t="inlineStr">
        <is>
          <t>x</t>
        </is>
      </c>
      <c r="E231" s="3" t="n">
        <v>3</v>
      </c>
      <c r="F231" s="3" t="n">
        <v>1</v>
      </c>
      <c r="G231" s="3" t="inlineStr">
        <is>
          <t>C33</t>
        </is>
      </c>
      <c r="H231" s="3">
        <f>IF(ISNUMBER(C31),C31/C24,"—")</f>
        <v/>
      </c>
      <c r="I231" s="3" t="n">
        <v>1.29646</v>
      </c>
      <c r="J231" s="3" t="inlineStr">
        <is>
          <t>—</t>
        </is>
      </c>
      <c r="K231" s="3" t="inlineStr">
        <is>
          <t>—</t>
        </is>
      </c>
      <c r="L231" s="3" t="inlineStr">
        <is>
          <t>—</t>
        </is>
      </c>
      <c r="M231" s="3" t="inlineStr">
        <is>
          <t>—</t>
        </is>
      </c>
      <c r="N231" s="3" t="inlineStr">
        <is>
          <t>—</t>
        </is>
      </c>
      <c r="O231" s="3" t="inlineStr">
        <is>
          <t>—</t>
        </is>
      </c>
      <c r="P231" s="3" t="inlineStr">
        <is>
          <t>[G18] Sol／Astra 為「無合格」，Checks B50 只讀 Luna（C33）</t>
        </is>
      </c>
      <c r="Q231" s="3" t="inlineStr">
        <is>
          <t>上游含 Y1,Y2,Y6</t>
        </is>
      </c>
      <c r="R231" s="3" t="inlineStr">
        <is>
          <t>—</t>
        </is>
      </c>
      <c r="S231" s="3" t="inlineStr">
        <is>
          <t>Y1,Y2,Y6</t>
        </is>
      </c>
      <c r="T231" s="3" t="inlineStr"/>
      <c r="U231" s="3" t="n">
        <v>0</v>
      </c>
      <c r="V231" s="3" t="inlineStr">
        <is>
          <t>G18</t>
        </is>
      </c>
      <c r="W231" s="3" t="inlineStr">
        <is>
          <t>低</t>
        </is>
      </c>
    </row>
    <row r="232">
      <c r="A232" s="3" t="inlineStr">
        <is>
          <t>Price_Frontier</t>
        </is>
      </c>
      <c r="B232" s="3" t="n">
        <v>43</v>
      </c>
      <c r="C232" s="3" t="inlineStr">
        <is>
          <t>思考 $/M（有效；依輸出價計費）</t>
        </is>
      </c>
      <c r="D232" s="3" t="inlineStr">
        <is>
          <t>$/M</t>
        </is>
      </c>
      <c r="E232" s="3" t="n">
        <v>3</v>
      </c>
      <c r="F232" s="3" t="n">
        <v>3</v>
      </c>
      <c r="G232" s="3" t="inlineStr">
        <is>
          <t>C43</t>
        </is>
      </c>
      <c r="H232" s="3">
        <f>INDEX(B4_PriceOut,1,1)*(1-B4_Disc)*C38</f>
        <v/>
      </c>
      <c r="I232" s="3" t="n">
        <v>0.4</v>
      </c>
      <c r="J232" s="3" t="inlineStr">
        <is>
          <t>—</t>
        </is>
      </c>
      <c r="K232" s="3" t="inlineStr">
        <is>
          <t>—</t>
        </is>
      </c>
      <c r="L232" s="3" t="inlineStr">
        <is>
          <t>—</t>
        </is>
      </c>
      <c r="M232" s="3" t="inlineStr">
        <is>
          <t>—</t>
        </is>
      </c>
      <c r="N232" s="3" t="inlineStr">
        <is>
          <t>—</t>
        </is>
      </c>
      <c r="O232" s="3" t="inlineStr">
        <is>
          <t>—</t>
        </is>
      </c>
      <c r="P232" s="3" t="inlineStr">
        <is>
          <t>—</t>
        </is>
      </c>
      <c r="Q232" s="3" t="inlineStr">
        <is>
          <t>直接引用 Y2 類輸入</t>
        </is>
      </c>
      <c r="R232" s="3" t="inlineStr">
        <is>
          <t>—</t>
        </is>
      </c>
      <c r="S232" s="3" t="inlineStr">
        <is>
          <t>Y2</t>
        </is>
      </c>
      <c r="T232" s="3" t="inlineStr">
        <is>
          <t>Y2</t>
        </is>
      </c>
      <c r="U232" s="3" t="n">
        <v>3</v>
      </c>
      <c r="V232" s="3" t="inlineStr"/>
      <c r="W232" s="3" t="inlineStr">
        <is>
          <t>資訊（只有 L8）</t>
        </is>
      </c>
    </row>
    <row r="233">
      <c r="A233" s="3" t="inlineStr">
        <is>
          <t>Cache_Store</t>
        </is>
      </c>
      <c r="B233" s="3" t="n">
        <v>6</v>
      </c>
      <c r="C233" s="3" t="inlineStr">
        <is>
          <t>世代索引</t>
        </is>
      </c>
      <c r="D233" s="3" t="n"/>
      <c r="E233" s="3" t="n">
        <v>0</v>
      </c>
      <c r="F233" s="3" t="n">
        <v>0</v>
      </c>
      <c r="G233" s="3" t="inlineStr"/>
      <c r="H233" s="3" t="inlineStr"/>
      <c r="I233" s="3" t="inlineStr"/>
      <c r="J233" s="3" t="inlineStr">
        <is>
          <t>—</t>
        </is>
      </c>
      <c r="K233" s="3" t="inlineStr">
        <is>
          <t>—</t>
        </is>
      </c>
      <c r="L233" s="3" t="inlineStr">
        <is>
          <t>—</t>
        </is>
      </c>
      <c r="M233" s="3" t="inlineStr">
        <is>
          <t>—</t>
        </is>
      </c>
      <c r="N233" s="3" t="inlineStr">
        <is>
          <t>—</t>
        </is>
      </c>
      <c r="O233" s="3" t="inlineStr">
        <is>
          <t>—</t>
        </is>
      </c>
      <c r="P233" s="3" t="inlineStr">
        <is>
          <t>—</t>
        </is>
      </c>
      <c r="Q233" s="3" t="inlineStr">
        <is>
          <t>—</t>
        </is>
      </c>
      <c r="R233" s="3" t="inlineStr">
        <is>
          <t>—</t>
        </is>
      </c>
      <c r="S233" s="3" t="inlineStr"/>
      <c r="T233" s="3" t="inlineStr"/>
      <c r="U233" s="3" t="n">
        <v>15</v>
      </c>
      <c r="V233" s="3" t="inlineStr"/>
      <c r="W233" s="3" t="inlineStr">
        <is>
          <t>—</t>
        </is>
      </c>
    </row>
    <row r="234">
      <c r="A234" s="3" t="inlineStr">
        <is>
          <t>Cache_Store</t>
        </is>
      </c>
      <c r="B234" s="3" t="n">
        <v>10</v>
      </c>
      <c r="C234" s="3" t="inlineStr">
        <is>
          <t>SSD</t>
        </is>
      </c>
      <c r="D234" s="3" t="inlineStr">
        <is>
          <t>$/GB-hr</t>
        </is>
      </c>
      <c r="E234" s="3" t="n">
        <v>15</v>
      </c>
      <c r="F234" s="3" t="n">
        <v>1</v>
      </c>
      <c r="G234" s="3" t="inlineStr">
        <is>
          <t>C10</t>
        </is>
      </c>
      <c r="H234" s="3">
        <f>B4_SSDcost/(B4_SSDlife*8760)</f>
        <v/>
      </c>
      <c r="I234" s="3" t="n">
        <v>2e-06</v>
      </c>
      <c r="J234" s="3" t="inlineStr">
        <is>
          <t>—</t>
        </is>
      </c>
      <c r="K234" s="3" t="inlineStr">
        <is>
          <t>—</t>
        </is>
      </c>
      <c r="L234" s="3" t="inlineStr">
        <is>
          <t>—</t>
        </is>
      </c>
      <c r="M234" s="3" t="inlineStr">
        <is>
          <t>—</t>
        </is>
      </c>
      <c r="N234" s="3" t="inlineStr">
        <is>
          <t>—</t>
        </is>
      </c>
      <c r="O234" s="3" t="inlineStr">
        <is>
          <t>—</t>
        </is>
      </c>
      <c r="P234" s="3" t="inlineStr">
        <is>
          <t>—</t>
        </is>
      </c>
      <c r="Q234" s="3" t="inlineStr">
        <is>
          <t>—</t>
        </is>
      </c>
      <c r="R234" s="3" t="inlineStr">
        <is>
          <t>—</t>
        </is>
      </c>
      <c r="S234" s="3" t="inlineStr"/>
      <c r="T234" s="3" t="inlineStr"/>
      <c r="U234" s="3" t="n">
        <v>15</v>
      </c>
      <c r="V234" s="3" t="inlineStr"/>
      <c r="W234" s="3" t="inlineStr">
        <is>
          <t>—</t>
        </is>
      </c>
    </row>
    <row r="235">
      <c r="A235" s="3" t="inlineStr">
        <is>
          <t>Cache_Store</t>
        </is>
      </c>
      <c r="B235" s="3" t="n">
        <v>11</v>
      </c>
      <c r="C235" s="3" t="inlineStr">
        <is>
          <t>DRAM</t>
        </is>
      </c>
      <c r="D235" s="3" t="inlineStr">
        <is>
          <t>$/GB-hr</t>
        </is>
      </c>
      <c r="E235" s="3" t="n">
        <v>15</v>
      </c>
      <c r="F235" s="3" t="n">
        <v>1</v>
      </c>
      <c r="G235" s="3" t="inlineStr">
        <is>
          <t>C11</t>
        </is>
      </c>
      <c r="H235" s="3">
        <f>B4_DRAMcost/(B4_DRAMlife*8760)</f>
        <v/>
      </c>
      <c r="I235" s="3" t="n">
        <v>0.000285</v>
      </c>
      <c r="J235" s="3" t="inlineStr">
        <is>
          <t>—</t>
        </is>
      </c>
      <c r="K235" s="3" t="inlineStr">
        <is>
          <t>—</t>
        </is>
      </c>
      <c r="L235" s="3" t="inlineStr">
        <is>
          <t>—</t>
        </is>
      </c>
      <c r="M235" s="3" t="inlineStr">
        <is>
          <t>—</t>
        </is>
      </c>
      <c r="N235" s="3" t="inlineStr">
        <is>
          <t>—</t>
        </is>
      </c>
      <c r="O235" s="3" t="inlineStr">
        <is>
          <t>—</t>
        </is>
      </c>
      <c r="P235" s="3" t="inlineStr">
        <is>
          <t>—</t>
        </is>
      </c>
      <c r="Q235" s="3" t="inlineStr">
        <is>
          <t>—</t>
        </is>
      </c>
      <c r="R235" s="3" t="inlineStr">
        <is>
          <t>—</t>
        </is>
      </c>
      <c r="S235" s="3" t="inlineStr"/>
      <c r="T235" s="3" t="inlineStr"/>
      <c r="U235" s="3" t="n">
        <v>15</v>
      </c>
      <c r="V235" s="3" t="inlineStr"/>
      <c r="W235" s="3" t="inlineStr">
        <is>
          <t>—</t>
        </is>
      </c>
    </row>
    <row r="236">
      <c r="A236" s="3" t="inlineStr">
        <is>
          <t>Cache_Store</t>
        </is>
      </c>
      <c r="B236" s="3" t="n">
        <v>12</v>
      </c>
      <c r="C236" s="3" t="inlineStr">
        <is>
          <t>HBM（上限）</t>
        </is>
      </c>
      <c r="D236" s="3" t="inlineStr">
        <is>
          <t>$/GB-hr</t>
        </is>
      </c>
      <c r="E236" s="3" t="n">
        <v>15</v>
      </c>
      <c r="F236" s="3" t="n">
        <v>1</v>
      </c>
      <c r="G236" s="3" t="inlineStr">
        <is>
          <t>C12</t>
        </is>
      </c>
      <c r="H236" s="3">
        <f>Unit_Cost!C$8/INDEX(Spec_Rack!$C$25:$G$25,1,C$6)</f>
        <v/>
      </c>
      <c r="I236" s="3" t="n">
        <v>0.013496</v>
      </c>
      <c r="J236" s="3" t="inlineStr">
        <is>
          <t>—</t>
        </is>
      </c>
      <c r="K236" s="3" t="inlineStr">
        <is>
          <t>—</t>
        </is>
      </c>
      <c r="L236" s="3" t="inlineStr">
        <is>
          <t>—</t>
        </is>
      </c>
      <c r="M236" s="3" t="inlineStr">
        <is>
          <t>—</t>
        </is>
      </c>
      <c r="N236" s="3" t="inlineStr">
        <is>
          <t>—</t>
        </is>
      </c>
      <c r="O236" s="3" t="inlineStr">
        <is>
          <t>—</t>
        </is>
      </c>
      <c r="P236" s="3" t="inlineStr">
        <is>
          <t>—</t>
        </is>
      </c>
      <c r="Q236" s="3" t="inlineStr">
        <is>
          <t>上游含 Y4,Y7</t>
        </is>
      </c>
      <c r="R236" s="3" t="inlineStr">
        <is>
          <t>—</t>
        </is>
      </c>
      <c r="S236" s="3" t="inlineStr">
        <is>
          <t>Y4,Y7</t>
        </is>
      </c>
      <c r="T236" s="3" t="inlineStr"/>
      <c r="U236" s="3" t="n">
        <v>15</v>
      </c>
      <c r="V236" s="3" t="inlineStr"/>
      <c r="W236" s="3" t="inlineStr">
        <is>
          <t>資訊（只有 L8）</t>
        </is>
      </c>
    </row>
    <row r="237">
      <c r="A237" s="3" t="inlineStr">
        <is>
          <t>Cache_Store</t>
        </is>
      </c>
      <c r="B237" s="3" t="n">
        <v>13</v>
      </c>
      <c r="C237" s="3" t="inlineStr">
        <is>
          <t>採用儲存層</t>
        </is>
      </c>
      <c r="D237" s="3" t="inlineStr">
        <is>
          <t>$/GB-hr</t>
        </is>
      </c>
      <c r="E237" s="3" t="n">
        <v>15</v>
      </c>
      <c r="F237" s="3" t="n">
        <v>1</v>
      </c>
      <c r="G237" s="3" t="inlineStr">
        <is>
          <t>C13</t>
        </is>
      </c>
      <c r="H237" s="3">
        <f>CHOOSE(B4_StoreTier,C10,C11,C12)</f>
        <v/>
      </c>
      <c r="I237" s="3" t="n">
        <v>0.000285</v>
      </c>
      <c r="J237" s="3" t="inlineStr">
        <is>
          <t>—</t>
        </is>
      </c>
      <c r="K237" s="3" t="inlineStr">
        <is>
          <t>—</t>
        </is>
      </c>
      <c r="L237" s="3" t="inlineStr">
        <is>
          <t>—</t>
        </is>
      </c>
      <c r="M237" s="3" t="inlineStr">
        <is>
          <t>—</t>
        </is>
      </c>
      <c r="N237" s="3" t="inlineStr">
        <is>
          <t>—</t>
        </is>
      </c>
      <c r="O237" s="3" t="inlineStr">
        <is>
          <t>—</t>
        </is>
      </c>
      <c r="P237" s="3" t="inlineStr">
        <is>
          <t>—</t>
        </is>
      </c>
      <c r="Q237" s="3" t="inlineStr">
        <is>
          <t>上游含 Y4,Y7</t>
        </is>
      </c>
      <c r="R237" s="3" t="inlineStr">
        <is>
          <t>—</t>
        </is>
      </c>
      <c r="S237" s="3" t="inlineStr">
        <is>
          <t>Y4,Y7</t>
        </is>
      </c>
      <c r="T237" s="3" t="inlineStr"/>
      <c r="U237" s="3" t="n">
        <v>45</v>
      </c>
      <c r="V237" s="3" t="inlineStr"/>
      <c r="W237" s="3" t="inlineStr">
        <is>
          <t>資訊（只有 L8）</t>
        </is>
      </c>
    </row>
    <row r="238">
      <c r="A238" s="3" t="inlineStr">
        <is>
          <t>Cache_Store</t>
        </is>
      </c>
      <c r="B238" s="3" t="n">
        <v>16</v>
      </c>
      <c r="C238" s="3" t="inlineStr">
        <is>
          <t>KV bytes/token（Arch 採用列）</t>
        </is>
      </c>
      <c r="D238" s="3" t="inlineStr">
        <is>
          <t>B</t>
        </is>
      </c>
      <c r="E238" s="3" t="n">
        <v>15</v>
      </c>
      <c r="F238" s="3" t="n">
        <v>1</v>
      </c>
      <c r="G238" s="3" t="inlineStr">
        <is>
          <t>C16</t>
        </is>
      </c>
      <c r="H238" s="3">
        <f>Arch!$C$25</f>
        <v/>
      </c>
      <c r="I238" s="3" t="n">
        <v>2795</v>
      </c>
      <c r="J238" s="3" t="inlineStr">
        <is>
          <t>—</t>
        </is>
      </c>
      <c r="K238" s="3" t="inlineStr">
        <is>
          <t>—</t>
        </is>
      </c>
      <c r="L238" s="3" t="inlineStr">
        <is>
          <t>—</t>
        </is>
      </c>
      <c r="M238" s="3" t="inlineStr">
        <is>
          <t>[G10] KV bytes/token 直接取 Arch 第 25 列，不乘 Tech_Registry H_KV；Perf 第 34 列有乘。基準 H_KV＝1，影響 0；啟用 KV 壓縮類技術時，快取儲存成本不隨之改變</t>
        </is>
      </c>
      <c r="N238" s="3" t="inlineStr">
        <is>
          <t>—</t>
        </is>
      </c>
      <c r="O238" s="3" t="inlineStr">
        <is>
          <t>—</t>
        </is>
      </c>
      <c r="P238" s="3" t="inlineStr">
        <is>
          <t>—</t>
        </is>
      </c>
      <c r="Q238" s="3" t="inlineStr">
        <is>
          <t>上游含 Y1</t>
        </is>
      </c>
      <c r="R238" s="3" t="inlineStr">
        <is>
          <t>—</t>
        </is>
      </c>
      <c r="S238" s="3" t="inlineStr">
        <is>
          <t>Y1</t>
        </is>
      </c>
      <c r="T238" s="3" t="inlineStr"/>
      <c r="U238" s="3" t="n">
        <v>15</v>
      </c>
      <c r="V238" s="3" t="inlineStr">
        <is>
          <t>G10</t>
        </is>
      </c>
      <c r="W238" s="3" t="inlineStr">
        <is>
          <t>中</t>
        </is>
      </c>
    </row>
    <row r="239">
      <c r="A239" s="3" t="inlineStr">
        <is>
          <t>Cache_Store</t>
        </is>
      </c>
      <c r="B239" s="3" t="n">
        <v>17</v>
      </c>
      <c r="C239" s="3" t="inlineStr">
        <is>
          <t>儲存 $/M 快取命中 token　[IF_CacheStore_Luna]</t>
        </is>
      </c>
      <c r="D239" s="3" t="inlineStr">
        <is>
          <t>$/M</t>
        </is>
      </c>
      <c r="E239" s="3" t="n">
        <v>15</v>
      </c>
      <c r="F239" s="3" t="n">
        <v>1</v>
      </c>
      <c r="G239" s="3" t="inlineStr">
        <is>
          <t>C17</t>
        </is>
      </c>
      <c r="H239" s="3">
        <f>C16*1000000/1000000000*C$13*B4_Retain/B4_Hits</f>
        <v/>
      </c>
      <c r="I239" s="3" t="n">
        <v>1.3e-05</v>
      </c>
      <c r="J239" s="3" t="inlineStr">
        <is>
          <t>—</t>
        </is>
      </c>
      <c r="K239" s="3" t="inlineStr">
        <is>
          <t>—</t>
        </is>
      </c>
      <c r="L239" s="3" t="inlineStr">
        <is>
          <t>—</t>
        </is>
      </c>
      <c r="M239" s="3" t="inlineStr">
        <is>
          <t>—</t>
        </is>
      </c>
      <c r="N239" s="3" t="inlineStr">
        <is>
          <t>—</t>
        </is>
      </c>
      <c r="O239" s="3" t="inlineStr">
        <is>
          <t>—</t>
        </is>
      </c>
      <c r="P239" s="3" t="inlineStr">
        <is>
          <t>—</t>
        </is>
      </c>
      <c r="Q239" s="3" t="inlineStr">
        <is>
          <t>上游含 Y1,Y4,Y7</t>
        </is>
      </c>
      <c r="R239" s="3" t="inlineStr">
        <is>
          <t>—</t>
        </is>
      </c>
      <c r="S239" s="3" t="inlineStr">
        <is>
          <t>Y1,Y4,Y7</t>
        </is>
      </c>
      <c r="T239" s="3" t="inlineStr"/>
      <c r="U239" s="3" t="n">
        <v>137</v>
      </c>
      <c r="V239" s="3" t="inlineStr"/>
      <c r="W239" s="3" t="inlineStr">
        <is>
          <t>資訊（只有 L8）</t>
        </is>
      </c>
    </row>
    <row r="240">
      <c r="A240" s="3" t="inlineStr">
        <is>
          <t>Cache_Store</t>
        </is>
      </c>
      <c r="B240" s="3" t="n">
        <v>22</v>
      </c>
      <c r="C240" s="3" t="inlineStr">
        <is>
          <t>KV bytes/token（Arch 採用列）</t>
        </is>
      </c>
      <c r="D240" s="3" t="inlineStr">
        <is>
          <t>B</t>
        </is>
      </c>
      <c r="E240" s="3" t="n">
        <v>15</v>
      </c>
      <c r="F240" s="3" t="n">
        <v>1</v>
      </c>
      <c r="G240" s="3" t="inlineStr">
        <is>
          <t>C22</t>
        </is>
      </c>
      <c r="H240" s="3">
        <f>Arch!$D$25</f>
        <v/>
      </c>
      <c r="I240" s="3" t="n">
        <v>3965</v>
      </c>
      <c r="J240" s="3" t="inlineStr">
        <is>
          <t>—</t>
        </is>
      </c>
      <c r="K240" s="3" t="inlineStr">
        <is>
          <t>—</t>
        </is>
      </c>
      <c r="L240" s="3" t="inlineStr">
        <is>
          <t>—</t>
        </is>
      </c>
      <c r="M240" s="3" t="inlineStr">
        <is>
          <t>[G10] KV bytes/token 直接取 Arch 第 25 列，不乘 Tech_Registry H_KV；Perf 第 34 列有乘。基準 H_KV＝1，影響 0；啟用 KV 壓縮類技術時，快取儲存成本不隨之改變</t>
        </is>
      </c>
      <c r="N240" s="3" t="inlineStr">
        <is>
          <t>—</t>
        </is>
      </c>
      <c r="O240" s="3" t="inlineStr">
        <is>
          <t>—</t>
        </is>
      </c>
      <c r="P240" s="3" t="inlineStr">
        <is>
          <t>—</t>
        </is>
      </c>
      <c r="Q240" s="3" t="inlineStr">
        <is>
          <t>上游含 Y1</t>
        </is>
      </c>
      <c r="R240" s="3" t="inlineStr">
        <is>
          <t>—</t>
        </is>
      </c>
      <c r="S240" s="3" t="inlineStr">
        <is>
          <t>Y1</t>
        </is>
      </c>
      <c r="T240" s="3" t="inlineStr"/>
      <c r="U240" s="3" t="n">
        <v>15</v>
      </c>
      <c r="V240" s="3" t="inlineStr">
        <is>
          <t>G10</t>
        </is>
      </c>
      <c r="W240" s="3" t="inlineStr">
        <is>
          <t>中</t>
        </is>
      </c>
    </row>
    <row r="241">
      <c r="A241" s="3" t="inlineStr">
        <is>
          <t>Cache_Store</t>
        </is>
      </c>
      <c r="B241" s="3" t="n">
        <v>23</v>
      </c>
      <c r="C241" s="3" t="inlineStr">
        <is>
          <t>儲存 $/M 快取命中 token　[IF_CacheStore_Sol]</t>
        </is>
      </c>
      <c r="D241" s="3" t="inlineStr">
        <is>
          <t>$/M</t>
        </is>
      </c>
      <c r="E241" s="3" t="n">
        <v>15</v>
      </c>
      <c r="F241" s="3" t="n">
        <v>1</v>
      </c>
      <c r="G241" s="3" t="inlineStr">
        <is>
          <t>C23</t>
        </is>
      </c>
      <c r="H241" s="3">
        <f>C22*1000000/1000000000*C$13*B4_Retain/B4_Hits</f>
        <v/>
      </c>
      <c r="I241" s="3" t="n">
        <v>1.9e-05</v>
      </c>
      <c r="J241" s="3" t="inlineStr">
        <is>
          <t>—</t>
        </is>
      </c>
      <c r="K241" s="3" t="inlineStr">
        <is>
          <t>—</t>
        </is>
      </c>
      <c r="L241" s="3" t="inlineStr">
        <is>
          <t>—</t>
        </is>
      </c>
      <c r="M241" s="3" t="inlineStr">
        <is>
          <t>—</t>
        </is>
      </c>
      <c r="N241" s="3" t="inlineStr">
        <is>
          <t>—</t>
        </is>
      </c>
      <c r="O241" s="3" t="inlineStr">
        <is>
          <t>—</t>
        </is>
      </c>
      <c r="P241" s="3" t="inlineStr">
        <is>
          <t>—</t>
        </is>
      </c>
      <c r="Q241" s="3" t="inlineStr">
        <is>
          <t>上游含 Y1,Y4,Y7</t>
        </is>
      </c>
      <c r="R241" s="3" t="inlineStr">
        <is>
          <t>—</t>
        </is>
      </c>
      <c r="S241" s="3" t="inlineStr">
        <is>
          <t>Y1,Y4,Y7</t>
        </is>
      </c>
      <c r="T241" s="3" t="inlineStr"/>
      <c r="U241" s="3" t="n">
        <v>137</v>
      </c>
      <c r="V241" s="3" t="inlineStr"/>
      <c r="W241" s="3" t="inlineStr">
        <is>
          <t>資訊（只有 L8）</t>
        </is>
      </c>
    </row>
    <row r="242">
      <c r="A242" s="3" t="inlineStr">
        <is>
          <t>Cache_Store</t>
        </is>
      </c>
      <c r="B242" s="3" t="n">
        <v>28</v>
      </c>
      <c r="C242" s="3" t="inlineStr">
        <is>
          <t>KV bytes/token（Arch 採用列）</t>
        </is>
      </c>
      <c r="D242" s="3" t="inlineStr">
        <is>
          <t>B</t>
        </is>
      </c>
      <c r="E242" s="3" t="n">
        <v>15</v>
      </c>
      <c r="F242" s="3" t="n">
        <v>1</v>
      </c>
      <c r="G242" s="3" t="inlineStr">
        <is>
          <t>C28</t>
        </is>
      </c>
      <c r="H242" s="3">
        <f>Arch!$E$25</f>
        <v/>
      </c>
      <c r="I242" s="3" t="n">
        <v>57600</v>
      </c>
      <c r="J242" s="3" t="inlineStr">
        <is>
          <t>—</t>
        </is>
      </c>
      <c r="K242" s="3" t="inlineStr">
        <is>
          <t>—</t>
        </is>
      </c>
      <c r="L242" s="3" t="inlineStr">
        <is>
          <t>—</t>
        </is>
      </c>
      <c r="M242" s="3" t="inlineStr">
        <is>
          <t>[G10] KV bytes/token 直接取 Arch 第 25 列，不乘 Tech_Registry H_KV；Perf 第 34 列有乘。基準 H_KV＝1，影響 0；啟用 KV 壓縮類技術時，快取儲存成本不隨之改變</t>
        </is>
      </c>
      <c r="N242" s="3" t="inlineStr">
        <is>
          <t>—</t>
        </is>
      </c>
      <c r="O242" s="3" t="inlineStr">
        <is>
          <t>—</t>
        </is>
      </c>
      <c r="P242" s="3" t="inlineStr">
        <is>
          <t>—</t>
        </is>
      </c>
      <c r="Q242" s="3" t="inlineStr">
        <is>
          <t>上游含 Y1</t>
        </is>
      </c>
      <c r="R242" s="3" t="inlineStr">
        <is>
          <t>—</t>
        </is>
      </c>
      <c r="S242" s="3" t="inlineStr">
        <is>
          <t>Y1</t>
        </is>
      </c>
      <c r="T242" s="3" t="inlineStr"/>
      <c r="U242" s="3" t="n">
        <v>15</v>
      </c>
      <c r="V242" s="3" t="inlineStr">
        <is>
          <t>G10</t>
        </is>
      </c>
      <c r="W242" s="3" t="inlineStr">
        <is>
          <t>中</t>
        </is>
      </c>
    </row>
    <row r="243">
      <c r="A243" s="3" t="inlineStr">
        <is>
          <t>Cache_Store</t>
        </is>
      </c>
      <c r="B243" s="3" t="n">
        <v>29</v>
      </c>
      <c r="C243" s="3" t="inlineStr">
        <is>
          <t>儲存 $/M 快取命中 token　[IF_CacheStore_Astra]</t>
        </is>
      </c>
      <c r="D243" s="3" t="inlineStr">
        <is>
          <t>$/M</t>
        </is>
      </c>
      <c r="E243" s="3" t="n">
        <v>15</v>
      </c>
      <c r="F243" s="3" t="n">
        <v>1</v>
      </c>
      <c r="G243" s="3" t="inlineStr">
        <is>
          <t>C29</t>
        </is>
      </c>
      <c r="H243" s="3">
        <f>C28*1000000/1000000000*C$13*B4_Retain/B4_Hits</f>
        <v/>
      </c>
      <c r="I243" s="3" t="n">
        <v>0.000274</v>
      </c>
      <c r="J243" s="3" t="inlineStr">
        <is>
          <t>—</t>
        </is>
      </c>
      <c r="K243" s="3" t="inlineStr">
        <is>
          <t>—</t>
        </is>
      </c>
      <c r="L243" s="3" t="inlineStr">
        <is>
          <t>—</t>
        </is>
      </c>
      <c r="M243" s="3" t="inlineStr">
        <is>
          <t>—</t>
        </is>
      </c>
      <c r="N243" s="3" t="inlineStr">
        <is>
          <t>—</t>
        </is>
      </c>
      <c r="O243" s="3" t="inlineStr">
        <is>
          <t>—</t>
        </is>
      </c>
      <c r="P243" s="3" t="inlineStr">
        <is>
          <t>—</t>
        </is>
      </c>
      <c r="Q243" s="3" t="inlineStr">
        <is>
          <t>上游含 Y1,Y4,Y7</t>
        </is>
      </c>
      <c r="R243" s="3" t="inlineStr">
        <is>
          <t>—</t>
        </is>
      </c>
      <c r="S243" s="3" t="inlineStr">
        <is>
          <t>Y1,Y4,Y7</t>
        </is>
      </c>
      <c r="T243" s="3" t="inlineStr"/>
      <c r="U243" s="3" t="n">
        <v>137</v>
      </c>
      <c r="V243" s="3" t="inlineStr"/>
      <c r="W243" s="3" t="inlineStr">
        <is>
          <t>資訊（只有 L8）</t>
        </is>
      </c>
    </row>
    <row r="244">
      <c r="A244" s="3" t="inlineStr">
        <is>
          <t>Fleet_1GW</t>
        </is>
      </c>
      <c r="B244" s="3" t="n">
        <v>10</v>
      </c>
      <c r="C244" s="3" t="inlineStr">
        <is>
          <t>對外服務</t>
        </is>
      </c>
      <c r="D244" s="3" t="inlineStr">
        <is>
          <t>GW</t>
        </is>
      </c>
      <c r="E244" s="3" t="n">
        <v>15</v>
      </c>
      <c r="F244" s="3" t="n">
        <v>1</v>
      </c>
      <c r="G244" s="3" t="inlineStr">
        <is>
          <t>C10</t>
        </is>
      </c>
      <c r="H244" s="3">
        <f>B4_Serve</f>
        <v/>
      </c>
      <c r="I244" s="3" t="n">
        <v>0.41</v>
      </c>
      <c r="J244" s="3" t="inlineStr">
        <is>
          <t>—</t>
        </is>
      </c>
      <c r="K244" s="3" t="inlineStr">
        <is>
          <t>[G15] 1 GW 參考機隊的服務／免費／訓練占比＝2025 OpenAI 支出比（B4_Serve 0.41、B4_Free 0.46），全部世代同值（Y11；與第 1 段 Y3 同源）</t>
        </is>
      </c>
      <c r="L244" s="3" t="inlineStr">
        <is>
          <t>—</t>
        </is>
      </c>
      <c r="M244" s="3" t="inlineStr">
        <is>
          <t>—</t>
        </is>
      </c>
      <c r="N244" s="3" t="inlineStr">
        <is>
          <t>—</t>
        </is>
      </c>
      <c r="O244" s="3" t="inlineStr">
        <is>
          <t>—</t>
        </is>
      </c>
      <c r="P244" s="3" t="inlineStr">
        <is>
          <t>—</t>
        </is>
      </c>
      <c r="Q244" s="3" t="inlineStr">
        <is>
          <t>直接引用 Y3 類輸入</t>
        </is>
      </c>
      <c r="R244" s="3" t="inlineStr">
        <is>
          <t>—</t>
        </is>
      </c>
      <c r="S244" s="3" t="inlineStr">
        <is>
          <t>Y3</t>
        </is>
      </c>
      <c r="T244" s="3" t="inlineStr">
        <is>
          <t>Y3</t>
        </is>
      </c>
      <c r="U244" s="3" t="n">
        <v>15</v>
      </c>
      <c r="V244" s="3" t="inlineStr">
        <is>
          <t>G15</t>
        </is>
      </c>
      <c r="W244" s="3" t="inlineStr">
        <is>
          <t>高</t>
        </is>
      </c>
    </row>
    <row r="245">
      <c r="A245" s="3" t="inlineStr">
        <is>
          <t>Fleet_1GW</t>
        </is>
      </c>
      <c r="B245" s="3" t="n">
        <v>12</v>
      </c>
      <c r="C245" s="3" t="inlineStr">
        <is>
          <t>免費服務</t>
        </is>
      </c>
      <c r="D245" s="3" t="inlineStr">
        <is>
          <t>GW</t>
        </is>
      </c>
      <c r="E245" s="3" t="n">
        <v>15</v>
      </c>
      <c r="F245" s="3" t="n">
        <v>1</v>
      </c>
      <c r="G245" s="3" t="inlineStr">
        <is>
          <t>C12</t>
        </is>
      </c>
      <c r="H245" s="3">
        <f>B4_Serve*B4_Free</f>
        <v/>
      </c>
      <c r="I245" s="3" t="n">
        <v>0.1886</v>
      </c>
      <c r="J245" s="3" t="inlineStr">
        <is>
          <t>—</t>
        </is>
      </c>
      <c r="K245" s="3" t="inlineStr">
        <is>
          <t>[G15] 1 GW 參考機隊的服務／免費／訓練占比＝2025 OpenAI 支出比（B4_Serve 0.41、B4_Free 0.46），全部世代同值（Y11；與第 1 段 Y3 同源）</t>
        </is>
      </c>
      <c r="L245" s="3" t="inlineStr">
        <is>
          <t>—</t>
        </is>
      </c>
      <c r="M245" s="3" t="inlineStr">
        <is>
          <t>—</t>
        </is>
      </c>
      <c r="N245" s="3" t="inlineStr">
        <is>
          <t>—</t>
        </is>
      </c>
      <c r="O245" s="3" t="inlineStr">
        <is>
          <t>—</t>
        </is>
      </c>
      <c r="P245" s="3" t="inlineStr">
        <is>
          <t>—</t>
        </is>
      </c>
      <c r="Q245" s="3" t="inlineStr">
        <is>
          <t>直接引用 Y3 類輸入</t>
        </is>
      </c>
      <c r="R245" s="3" t="inlineStr">
        <is>
          <t>—</t>
        </is>
      </c>
      <c r="S245" s="3" t="inlineStr">
        <is>
          <t>Y3</t>
        </is>
      </c>
      <c r="T245" s="3" t="inlineStr">
        <is>
          <t>Y3</t>
        </is>
      </c>
      <c r="U245" s="3" t="n">
        <v>45</v>
      </c>
      <c r="V245" s="3" t="inlineStr">
        <is>
          <t>G15</t>
        </is>
      </c>
      <c r="W245" s="3" t="inlineStr">
        <is>
          <t>高</t>
        </is>
      </c>
    </row>
    <row r="246">
      <c r="A246" s="3" t="inlineStr">
        <is>
          <t>Fleet_1GW</t>
        </is>
      </c>
      <c r="B246" s="3" t="n">
        <v>13</v>
      </c>
      <c r="C246" s="3" t="inlineStr">
        <is>
          <t>訓練＋研發</t>
        </is>
      </c>
      <c r="D246" s="3" t="inlineStr">
        <is>
          <t>GW</t>
        </is>
      </c>
      <c r="E246" s="3" t="n">
        <v>15</v>
      </c>
      <c r="F246" s="3" t="n">
        <v>1</v>
      </c>
      <c r="G246" s="3" t="inlineStr">
        <is>
          <t>C13</t>
        </is>
      </c>
      <c r="H246" s="3">
        <f>1-B4_Serve</f>
        <v/>
      </c>
      <c r="I246" s="3" t="n">
        <v>0.59</v>
      </c>
      <c r="J246" s="3" t="inlineStr">
        <is>
          <t>—</t>
        </is>
      </c>
      <c r="K246" s="3" t="inlineStr">
        <is>
          <t>[G15] 1 GW 參考機隊的服務／免費／訓練占比＝2025 OpenAI 支出比（B4_Serve 0.41、B4_Free 0.46），全部世代同值（Y11；與第 1 段 Y3 同源）</t>
        </is>
      </c>
      <c r="L246" s="3" t="inlineStr">
        <is>
          <t>—</t>
        </is>
      </c>
      <c r="M246" s="3" t="inlineStr">
        <is>
          <t>—</t>
        </is>
      </c>
      <c r="N246" s="3" t="inlineStr">
        <is>
          <t>—</t>
        </is>
      </c>
      <c r="O246" s="3" t="inlineStr">
        <is>
          <t>—</t>
        </is>
      </c>
      <c r="P246" s="3" t="inlineStr">
        <is>
          <t>—</t>
        </is>
      </c>
      <c r="Q246" s="3" t="inlineStr">
        <is>
          <t>直接引用 Y3 類輸入</t>
        </is>
      </c>
      <c r="R246" s="3" t="inlineStr">
        <is>
          <t>—</t>
        </is>
      </c>
      <c r="S246" s="3" t="inlineStr">
        <is>
          <t>Y3</t>
        </is>
      </c>
      <c r="T246" s="3" t="inlineStr">
        <is>
          <t>Y3</t>
        </is>
      </c>
      <c r="U246" s="3" t="n">
        <v>60</v>
      </c>
      <c r="V246" s="3" t="inlineStr">
        <is>
          <t>G15</t>
        </is>
      </c>
      <c r="W246" s="3" t="inlineStr">
        <is>
          <t>高</t>
        </is>
      </c>
    </row>
    <row r="247">
      <c r="A247" s="3" t="inlineStr">
        <is>
          <t>Fleet_1GW</t>
        </is>
      </c>
      <c r="B247" s="3" t="n">
        <v>20</v>
      </c>
      <c r="C247" s="3" t="inlineStr">
        <is>
          <t>免費服務 token 總量</t>
        </is>
      </c>
      <c r="D247" s="3" t="inlineStr">
        <is>
          <t>M tok/年</t>
        </is>
      </c>
      <c r="E247" s="3" t="n">
        <v>15</v>
      </c>
      <c r="F247" s="3" t="n">
        <v>1</v>
      </c>
      <c r="G247" s="3" t="inlineStr">
        <is>
          <t>C20</t>
        </is>
      </c>
      <c r="H247" s="3">
        <f>IF(C18=1,C12*IF_Util/(INDEX(B4_MixFree,1,1)/INDEX(IF_TokGW_Luna,1,C$7)+INDEX(B4_MixFree,1,2)/INDEX(IF_TokGW_Sol,1,C$7)+INDEX(B4_MixFree,1,3)/INDEX(IF_TokGW_Astra,1,C$7)),"SLO 不可達")</f>
        <v/>
      </c>
      <c r="I247" s="3" t="n">
        <v>6733969347.181</v>
      </c>
      <c r="J247" s="3" t="inlineStr">
        <is>
          <t>—</t>
        </is>
      </c>
      <c r="K247" s="3" t="inlineStr">
        <is>
          <t>—</t>
        </is>
      </c>
      <c r="L247" s="3" t="inlineStr">
        <is>
          <t>—</t>
        </is>
      </c>
      <c r="M247" s="3" t="inlineStr">
        <is>
          <t>—</t>
        </is>
      </c>
      <c r="N247" s="3" t="inlineStr">
        <is>
          <t>—</t>
        </is>
      </c>
      <c r="O247" s="3" t="inlineStr">
        <is>
          <t>—</t>
        </is>
      </c>
      <c r="P247" s="3" t="inlineStr">
        <is>
          <t>[G06] 組合列的可服務旗標（Fleet_1GW 第 18 列）：任一層級 SLO 不可達即令整欄變文字。L7 情境（Serving C18＝0.7、Arch E8＝160、Calib C68＝3、SLO 100）下，Luna 仍可達，但 IF_AmortBU_Luna、IF_AmortDefault_*、IF_FullCostDefault_* 全部層級變「SLO 不可達」；同時單一層級列（Interface 39／40／42／47、137、243／244、283–286；Perf 96／97／103／110／114／116／117／120；Unit_Cost 41）變 0（數值）</t>
        </is>
      </c>
      <c r="Q247" s="3" t="inlineStr">
        <is>
          <t>直接引用 Y2 類輸入</t>
        </is>
      </c>
      <c r="R247" s="3" t="inlineStr">
        <is>
          <t>—</t>
        </is>
      </c>
      <c r="S247" s="3" t="inlineStr">
        <is>
          <t>Y1,Y2,Y3,Y5,Y6,Y8</t>
        </is>
      </c>
      <c r="T247" s="3" t="inlineStr">
        <is>
          <t>Y2</t>
        </is>
      </c>
      <c r="U247" s="3" t="n">
        <v>60</v>
      </c>
      <c r="V247" s="3" t="inlineStr">
        <is>
          <t>G06</t>
        </is>
      </c>
      <c r="W247" s="3" t="inlineStr">
        <is>
          <t>中</t>
        </is>
      </c>
    </row>
    <row r="248">
      <c r="A248" s="3" t="inlineStr">
        <is>
          <t>Fleet_1GW</t>
        </is>
      </c>
      <c r="B248" s="3" t="n">
        <v>22</v>
      </c>
      <c r="C248" s="3" t="inlineStr">
        <is>
          <t>Luna（低層） 免費 token</t>
        </is>
      </c>
      <c r="D248" s="3" t="inlineStr">
        <is>
          <t>M tok/年</t>
        </is>
      </c>
      <c r="E248" s="3" t="n">
        <v>15</v>
      </c>
      <c r="F248" s="3" t="n">
        <v>1</v>
      </c>
      <c r="G248" s="3" t="inlineStr">
        <is>
          <t>C22</t>
        </is>
      </c>
      <c r="H248" s="3">
        <f>IF(C18=1,C20*INDEX(B4_MixFree,1,1),"SLO 不可達")</f>
        <v/>
      </c>
      <c r="I248" s="3" t="n">
        <v>6060572412.4629</v>
      </c>
      <c r="J248" s="3" t="inlineStr">
        <is>
          <t>—</t>
        </is>
      </c>
      <c r="K248" s="3" t="inlineStr">
        <is>
          <t>—</t>
        </is>
      </c>
      <c r="L248" s="3" t="inlineStr">
        <is>
          <t>—</t>
        </is>
      </c>
      <c r="M248" s="3" t="inlineStr">
        <is>
          <t>—</t>
        </is>
      </c>
      <c r="N248" s="3" t="inlineStr">
        <is>
          <t>—</t>
        </is>
      </c>
      <c r="O248" s="3" t="inlineStr">
        <is>
          <t>—</t>
        </is>
      </c>
      <c r="P248" s="3" t="inlineStr">
        <is>
          <t>[G06] 組合列的可服務旗標（Fleet_1GW 第 18 列）：任一層級 SLO 不可達即令整欄變文字。L7 情境（Serving C18＝0.7、Arch E8＝160、Calib C68＝3、SLO 100）下，Luna 仍可達，但 IF_AmortBU_Luna、IF_AmortDefault_*、IF_FullCostDefault_* 全部層級變「SLO 不可達」；同時單一層級列（Interface 39／40／42／47、137、243／244、283–286；Perf 96／97／103／110／114／116／117／120；Unit_Cost 41）變 0（數值）</t>
        </is>
      </c>
      <c r="Q248" s="3" t="inlineStr">
        <is>
          <t>直接引用 Y2 類輸入</t>
        </is>
      </c>
      <c r="R248" s="3" t="inlineStr">
        <is>
          <t>—</t>
        </is>
      </c>
      <c r="S248" s="3" t="inlineStr">
        <is>
          <t>Y1,Y2,Y3,Y5,Y6,Y8</t>
        </is>
      </c>
      <c r="T248" s="3" t="inlineStr">
        <is>
          <t>Y2</t>
        </is>
      </c>
      <c r="U248" s="3" t="n">
        <v>30</v>
      </c>
      <c r="V248" s="3" t="inlineStr">
        <is>
          <t>G06</t>
        </is>
      </c>
      <c r="W248" s="3" t="inlineStr">
        <is>
          <t>中</t>
        </is>
      </c>
    </row>
    <row r="249">
      <c r="A249" s="3" t="inlineStr">
        <is>
          <t>Fleet_1GW</t>
        </is>
      </c>
      <c r="B249" s="3" t="n">
        <v>23</v>
      </c>
      <c r="C249" s="3" t="inlineStr">
        <is>
          <t>Luna（低層） 服務 GW</t>
        </is>
      </c>
      <c r="D249" s="3" t="inlineStr">
        <is>
          <t>GW</t>
        </is>
      </c>
      <c r="E249" s="3" t="n">
        <v>15</v>
      </c>
      <c r="F249" s="3" t="n">
        <v>1</v>
      </c>
      <c r="G249" s="3" t="inlineStr">
        <is>
          <t>C23</t>
        </is>
      </c>
      <c r="H249" s="3">
        <f>IF(C18=1,IF(INDEX(IF_TokGW_Luna,1,C$7)&gt;0,(C21+C22)/(INDEX(IF_TokGW_Luna,1,C$7)*IF_Util),0),"SLO 不可達")</f>
        <v/>
      </c>
      <c r="I249" s="3" t="n">
        <v>0.154761</v>
      </c>
      <c r="J249" s="3" t="inlineStr">
        <is>
          <t>—</t>
        </is>
      </c>
      <c r="K249" s="3" t="inlineStr">
        <is>
          <t>—</t>
        </is>
      </c>
      <c r="L249" s="3" t="inlineStr">
        <is>
          <t>—</t>
        </is>
      </c>
      <c r="M249" s="3" t="inlineStr">
        <is>
          <t>—</t>
        </is>
      </c>
      <c r="N249" s="3" t="inlineStr">
        <is>
          <t>—</t>
        </is>
      </c>
      <c r="O249" s="3" t="inlineStr">
        <is>
          <t>—</t>
        </is>
      </c>
      <c r="P249" s="3" t="inlineStr">
        <is>
          <t>[G06] 組合列的可服務旗標（Fleet_1GW 第 18 列）：任一層級 SLO 不可達即令整欄變文字。L7 情境（Serving C18＝0.7、Arch E8＝160、Calib C68＝3、SLO 100）下，Luna 仍可達，但 IF_AmortBU_Luna、IF_AmortDefault_*、IF_FullCostDefault_* 全部層級變「SLO 不可達」；同時單一層級列（Interface 39／40／42／47、137、243／244、283–286；Perf 96／97／103／110／114／116／117／120；Unit_Cost 41）變 0（數值）</t>
        </is>
      </c>
      <c r="Q249" s="3" t="inlineStr">
        <is>
          <t>上游含 Y1,Y2,Y3,Y5,Y6,Y8</t>
        </is>
      </c>
      <c r="R249" s="3" t="inlineStr">
        <is>
          <t>—</t>
        </is>
      </c>
      <c r="S249" s="3" t="inlineStr">
        <is>
          <t>Y1,Y2,Y3,Y5,Y6,Y8</t>
        </is>
      </c>
      <c r="T249" s="3" t="inlineStr"/>
      <c r="U249" s="3" t="n">
        <v>15</v>
      </c>
      <c r="V249" s="3" t="inlineStr">
        <is>
          <t>G06</t>
        </is>
      </c>
      <c r="W249" s="3" t="inlineStr">
        <is>
          <t>中</t>
        </is>
      </c>
    </row>
    <row r="250">
      <c r="A250" s="3" t="inlineStr">
        <is>
          <t>Fleet_1GW</t>
        </is>
      </c>
      <c r="B250" s="3" t="n">
        <v>25</v>
      </c>
      <c r="C250" s="3" t="inlineStr">
        <is>
          <t>Sol（中層） 免費 token</t>
        </is>
      </c>
      <c r="D250" s="3" t="inlineStr">
        <is>
          <t>M tok/年</t>
        </is>
      </c>
      <c r="E250" s="3" t="n">
        <v>15</v>
      </c>
      <c r="F250" s="3" t="n">
        <v>1</v>
      </c>
      <c r="G250" s="3" t="inlineStr">
        <is>
          <t>C25</t>
        </is>
      </c>
      <c r="H250" s="3">
        <f>IF(C18=1,C20*INDEX(B4_MixFree,1,2),"SLO 不可達")</f>
        <v/>
      </c>
      <c r="I250" s="3" t="n">
        <v>673396934.7181</v>
      </c>
      <c r="J250" s="3" t="inlineStr">
        <is>
          <t>—</t>
        </is>
      </c>
      <c r="K250" s="3" t="inlineStr">
        <is>
          <t>—</t>
        </is>
      </c>
      <c r="L250" s="3" t="inlineStr">
        <is>
          <t>—</t>
        </is>
      </c>
      <c r="M250" s="3" t="inlineStr">
        <is>
          <t>—</t>
        </is>
      </c>
      <c r="N250" s="3" t="inlineStr">
        <is>
          <t>—</t>
        </is>
      </c>
      <c r="O250" s="3" t="inlineStr">
        <is>
          <t>—</t>
        </is>
      </c>
      <c r="P250" s="3" t="inlineStr">
        <is>
          <t>[G06] 組合列的可服務旗標（Fleet_1GW 第 18 列）：任一層級 SLO 不可達即令整欄變文字。L7 情境（Serving C18＝0.7、Arch E8＝160、Calib C68＝3、SLO 100）下，Luna 仍可達，但 IF_AmortBU_Luna、IF_AmortDefault_*、IF_FullCostDefault_* 全部層級變「SLO 不可達」；同時單一層級列（Interface 39／40／42／47、137、243／244、283–286；Perf 96／97／103／110／114／116／117／120；Unit_Cost 41）變 0（數值）</t>
        </is>
      </c>
      <c r="Q250" s="3" t="inlineStr">
        <is>
          <t>直接引用 Y2 類輸入</t>
        </is>
      </c>
      <c r="R250" s="3" t="inlineStr">
        <is>
          <t>—</t>
        </is>
      </c>
      <c r="S250" s="3" t="inlineStr">
        <is>
          <t>Y1,Y2,Y3,Y5,Y6,Y8</t>
        </is>
      </c>
      <c r="T250" s="3" t="inlineStr">
        <is>
          <t>Y2</t>
        </is>
      </c>
      <c r="U250" s="3" t="n">
        <v>30</v>
      </c>
      <c r="V250" s="3" t="inlineStr">
        <is>
          <t>G06</t>
        </is>
      </c>
      <c r="W250" s="3" t="inlineStr">
        <is>
          <t>中</t>
        </is>
      </c>
    </row>
    <row r="251">
      <c r="A251" s="3" t="inlineStr">
        <is>
          <t>Fleet_1GW</t>
        </is>
      </c>
      <c r="B251" s="3" t="n">
        <v>26</v>
      </c>
      <c r="C251" s="3" t="inlineStr">
        <is>
          <t>Sol（中層） 服務 GW</t>
        </is>
      </c>
      <c r="D251" s="3" t="inlineStr">
        <is>
          <t>GW</t>
        </is>
      </c>
      <c r="E251" s="3" t="n">
        <v>15</v>
      </c>
      <c r="F251" s="3" t="n">
        <v>1</v>
      </c>
      <c r="G251" s="3" t="inlineStr">
        <is>
          <t>C26</t>
        </is>
      </c>
      <c r="H251" s="3">
        <f>IF(C18=1,IF(INDEX(IF_TokGW_Sol,1,C$7)&gt;0,(C24+C25)/(INDEX(IF_TokGW_Sol,1,C$7)*IF_Util),0),"SLO 不可達")</f>
        <v/>
      </c>
      <c r="I251" s="3" t="n">
        <v>0.12351</v>
      </c>
      <c r="J251" s="3" t="inlineStr">
        <is>
          <t>—</t>
        </is>
      </c>
      <c r="K251" s="3" t="inlineStr">
        <is>
          <t>—</t>
        </is>
      </c>
      <c r="L251" s="3" t="inlineStr">
        <is>
          <t>—</t>
        </is>
      </c>
      <c r="M251" s="3" t="inlineStr">
        <is>
          <t>—</t>
        </is>
      </c>
      <c r="N251" s="3" t="inlineStr">
        <is>
          <t>—</t>
        </is>
      </c>
      <c r="O251" s="3" t="inlineStr">
        <is>
          <t>—</t>
        </is>
      </c>
      <c r="P251" s="3" t="inlineStr">
        <is>
          <t>[G06] 組合列的可服務旗標（Fleet_1GW 第 18 列）：任一層級 SLO 不可達即令整欄變文字。L7 情境（Serving C18＝0.7、Arch E8＝160、Calib C68＝3、SLO 100）下，Luna 仍可達，但 IF_AmortBU_Luna、IF_AmortDefault_*、IF_FullCostDefault_* 全部層級變「SLO 不可達」；同時單一層級列（Interface 39／40／42／47、137、243／244、283–286；Perf 96／97／103／110／114／116／117／120；Unit_Cost 41）變 0（數值）</t>
        </is>
      </c>
      <c r="Q251" s="3" t="inlineStr">
        <is>
          <t>上游含 Y1,Y2,Y3,Y5,Y6,Y8</t>
        </is>
      </c>
      <c r="R251" s="3" t="inlineStr">
        <is>
          <t>—</t>
        </is>
      </c>
      <c r="S251" s="3" t="inlineStr">
        <is>
          <t>Y1,Y2,Y3,Y5,Y6,Y8</t>
        </is>
      </c>
      <c r="T251" s="3" t="inlineStr"/>
      <c r="U251" s="3" t="n">
        <v>15</v>
      </c>
      <c r="V251" s="3" t="inlineStr">
        <is>
          <t>G06</t>
        </is>
      </c>
      <c r="W251" s="3" t="inlineStr">
        <is>
          <t>中</t>
        </is>
      </c>
    </row>
    <row r="252">
      <c r="A252" s="3" t="inlineStr">
        <is>
          <t>Fleet_1GW</t>
        </is>
      </c>
      <c r="B252" s="3" t="n">
        <v>28</v>
      </c>
      <c r="C252" s="3" t="inlineStr">
        <is>
          <t>Astra（頂層） 免費 token</t>
        </is>
      </c>
      <c r="D252" s="3" t="inlineStr">
        <is>
          <t>M tok/年</t>
        </is>
      </c>
      <c r="E252" s="3" t="n">
        <v>15</v>
      </c>
      <c r="F252" s="3" t="n">
        <v>1</v>
      </c>
      <c r="G252" s="3" t="inlineStr">
        <is>
          <t>C28</t>
        </is>
      </c>
      <c r="H252" s="3">
        <f>IF(C18=1,C20*INDEX(B4_MixFree,1,3),"SLO 不可達")</f>
        <v/>
      </c>
      <c r="I252" s="3" t="n">
        <v>0</v>
      </c>
      <c r="J252" s="3" t="inlineStr">
        <is>
          <t>—</t>
        </is>
      </c>
      <c r="K252" s="3" t="inlineStr">
        <is>
          <t>—</t>
        </is>
      </c>
      <c r="L252" s="3" t="inlineStr">
        <is>
          <t>—</t>
        </is>
      </c>
      <c r="M252" s="3" t="inlineStr">
        <is>
          <t>—</t>
        </is>
      </c>
      <c r="N252" s="3" t="inlineStr">
        <is>
          <t>—</t>
        </is>
      </c>
      <c r="O252" s="3" t="inlineStr">
        <is>
          <t>—</t>
        </is>
      </c>
      <c r="P252" s="3" t="inlineStr">
        <is>
          <t>[G06] 組合列的可服務旗標（Fleet_1GW 第 18 列）：任一層級 SLO 不可達即令整欄變文字。L7 情境（Serving C18＝0.7、Arch E8＝160、Calib C68＝3、SLO 100）下，Luna 仍可達，但 IF_AmortBU_Luna、IF_AmortDefault_*、IF_FullCostDefault_* 全部層級變「SLO 不可達」；同時單一層級列（Interface 39／40／42／47、137、243／244、283–286；Perf 96／97／103／110／114／116／117／120；Unit_Cost 41）變 0（數值）</t>
        </is>
      </c>
      <c r="Q252" s="3" t="inlineStr">
        <is>
          <t>直接引用 Y2 類輸入</t>
        </is>
      </c>
      <c r="R252" s="3" t="inlineStr">
        <is>
          <t>—</t>
        </is>
      </c>
      <c r="S252" s="3" t="inlineStr">
        <is>
          <t>Y1,Y2,Y3,Y5,Y6,Y8</t>
        </is>
      </c>
      <c r="T252" s="3" t="inlineStr">
        <is>
          <t>Y2</t>
        </is>
      </c>
      <c r="U252" s="3" t="n">
        <v>30</v>
      </c>
      <c r="V252" s="3" t="inlineStr">
        <is>
          <t>G06</t>
        </is>
      </c>
      <c r="W252" s="3" t="inlineStr">
        <is>
          <t>中</t>
        </is>
      </c>
    </row>
    <row r="253">
      <c r="A253" s="3" t="inlineStr">
        <is>
          <t>Fleet_1GW</t>
        </is>
      </c>
      <c r="B253" s="3" t="n">
        <v>29</v>
      </c>
      <c r="C253" s="3" t="inlineStr">
        <is>
          <t>Astra（頂層） 服務 GW</t>
        </is>
      </c>
      <c r="D253" s="3" t="inlineStr">
        <is>
          <t>GW</t>
        </is>
      </c>
      <c r="E253" s="3" t="n">
        <v>15</v>
      </c>
      <c r="F253" s="3" t="n">
        <v>1</v>
      </c>
      <c r="G253" s="3" t="inlineStr">
        <is>
          <t>C29</t>
        </is>
      </c>
      <c r="H253" s="3">
        <f>IF(C18=1,IF(INDEX(IF_TokGW_Astra,1,C$7)&gt;0,(C27+C28)/(INDEX(IF_TokGW_Astra,1,C$7)*IF_Util),0),"SLO 不可達")</f>
        <v/>
      </c>
      <c r="I253" s="3" t="n">
        <v>0.131729</v>
      </c>
      <c r="J253" s="3" t="inlineStr">
        <is>
          <t>—</t>
        </is>
      </c>
      <c r="K253" s="3" t="inlineStr">
        <is>
          <t>—</t>
        </is>
      </c>
      <c r="L253" s="3" t="inlineStr">
        <is>
          <t>—</t>
        </is>
      </c>
      <c r="M253" s="3" t="inlineStr">
        <is>
          <t>—</t>
        </is>
      </c>
      <c r="N253" s="3" t="inlineStr">
        <is>
          <t>—</t>
        </is>
      </c>
      <c r="O253" s="3" t="inlineStr">
        <is>
          <t>—</t>
        </is>
      </c>
      <c r="P253" s="3" t="inlineStr">
        <is>
          <t>[G06] 組合列的可服務旗標（Fleet_1GW 第 18 列）：任一層級 SLO 不可達即令整欄變文字。L7 情境（Serving C18＝0.7、Arch E8＝160、Calib C68＝3、SLO 100）下，Luna 仍可達，但 IF_AmortBU_Luna、IF_AmortDefault_*、IF_FullCostDefault_* 全部層級變「SLO 不可達」；同時單一層級列（Interface 39／40／42／47、137、243／244、283–286；Perf 96／97／103／110／114／116／117／120；Unit_Cost 41）變 0（數值）</t>
        </is>
      </c>
      <c r="Q253" s="3" t="inlineStr">
        <is>
          <t>上游含 Y1,Y2,Y3,Y5,Y6,Y8</t>
        </is>
      </c>
      <c r="R253" s="3" t="inlineStr">
        <is>
          <t>—</t>
        </is>
      </c>
      <c r="S253" s="3" t="inlineStr">
        <is>
          <t>Y1,Y2,Y3,Y5,Y6,Y8</t>
        </is>
      </c>
      <c r="T253" s="3" t="inlineStr"/>
      <c r="U253" s="3" t="n">
        <v>15</v>
      </c>
      <c r="V253" s="3" t="inlineStr">
        <is>
          <t>G06</t>
        </is>
      </c>
      <c r="W253" s="3" t="inlineStr">
        <is>
          <t>中</t>
        </is>
      </c>
    </row>
    <row r="254">
      <c r="A254" s="3" t="inlineStr">
        <is>
          <t>Fleet_1GW</t>
        </is>
      </c>
      <c r="B254" s="3" t="n">
        <v>30</v>
      </c>
      <c r="C254" s="3" t="inlineStr">
        <is>
          <t>檢查：各層級服務 GW 合計 − 對外服務 GW（應為 0）</t>
        </is>
      </c>
      <c r="D254" s="3" t="inlineStr">
        <is>
          <t>GW</t>
        </is>
      </c>
      <c r="E254" s="3" t="n">
        <v>15</v>
      </c>
      <c r="F254" s="3" t="n">
        <v>1</v>
      </c>
      <c r="G254" s="3" t="inlineStr">
        <is>
          <t>C30</t>
        </is>
      </c>
      <c r="H254" s="3">
        <f>IF(C18=1,C23+C26+C29-C10,"SLO 不可達")</f>
        <v/>
      </c>
      <c r="I254" s="3" t="n">
        <v>0</v>
      </c>
      <c r="J254" s="3" t="inlineStr">
        <is>
          <t>—</t>
        </is>
      </c>
      <c r="K254" s="3" t="inlineStr">
        <is>
          <t>—</t>
        </is>
      </c>
      <c r="L254" s="3" t="inlineStr">
        <is>
          <t>—</t>
        </is>
      </c>
      <c r="M254" s="3" t="inlineStr">
        <is>
          <t>—</t>
        </is>
      </c>
      <c r="N254" s="3" t="inlineStr">
        <is>
          <t>[G17] 各層級服務 GW 合計 − 服務 GW：由 token 反算 GW，代數上恆為 0（Checks B52）</t>
        </is>
      </c>
      <c r="O254" s="3" t="inlineStr">
        <is>
          <t>—</t>
        </is>
      </c>
      <c r="P254" s="3" t="inlineStr">
        <is>
          <t>[G06] 組合列的可服務旗標（Fleet_1GW 第 18 列）：任一層級 SLO 不可達即令整欄變文字。L7 情境（Serving C18＝0.7、Arch E8＝160、Calib C68＝3、SLO 100）下，Luna 仍可達，但 IF_AmortBU_Luna、IF_AmortDefault_*、IF_FullCostDefault_* 全部層級變「SLO 不可達」；同時單一層級列（Interface 39／40／42／47、137、243／244、283–286；Perf 96／97／103／110／114／116／117／120；Unit_Cost 41）變 0（數值）</t>
        </is>
      </c>
      <c r="Q254" s="3" t="inlineStr">
        <is>
          <t>上游含 Y1,Y2,Y3,Y5,Y6,Y8</t>
        </is>
      </c>
      <c r="R254" s="3" t="inlineStr">
        <is>
          <t>—</t>
        </is>
      </c>
      <c r="S254" s="3" t="inlineStr">
        <is>
          <t>Y1,Y2,Y3,Y5,Y6,Y8</t>
        </is>
      </c>
      <c r="T254" s="3" t="inlineStr"/>
      <c r="U254" s="3" t="n">
        <v>0</v>
      </c>
      <c r="V254" s="3" t="inlineStr">
        <is>
          <t>G06,G17</t>
        </is>
      </c>
      <c r="W254" s="3" t="inlineStr">
        <is>
          <t>中</t>
        </is>
      </c>
    </row>
    <row r="255">
      <c r="A255" s="3" t="inlineStr">
        <is>
          <t>Fleet_1GW</t>
        </is>
      </c>
      <c r="B255" s="3" t="n">
        <v>33</v>
      </c>
      <c r="C255" s="3" t="inlineStr">
        <is>
          <t>家族研發計畫占 1 GW 年（三層級合計）</t>
        </is>
      </c>
      <c r="D255" s="3" t="inlineStr">
        <is>
          <t>%</t>
        </is>
      </c>
      <c r="E255" s="3" t="n">
        <v>15</v>
      </c>
      <c r="F255" s="3" t="n">
        <v>1</v>
      </c>
      <c r="G255" s="3" t="inlineStr">
        <is>
          <t>C33</t>
        </is>
      </c>
      <c r="H255" s="3">
        <f>INDEX(IF_ProgGWyr_Luna,1,C$7)+INDEX(IF_ProgGWyr_Sol,1,C$7)+INDEX(IF_ProgGWyr_Astra,1,C$7)</f>
        <v/>
      </c>
      <c r="I255" s="3" t="n">
        <v>0.173958</v>
      </c>
      <c r="J255" s="3" t="inlineStr">
        <is>
          <t>—</t>
        </is>
      </c>
      <c r="K255" s="3" t="inlineStr">
        <is>
          <t>—</t>
        </is>
      </c>
      <c r="L255" s="3" t="inlineStr">
        <is>
          <t>—</t>
        </is>
      </c>
      <c r="M255" s="3" t="inlineStr">
        <is>
          <t>—</t>
        </is>
      </c>
      <c r="N255" s="3" t="inlineStr">
        <is>
          <t>—</t>
        </is>
      </c>
      <c r="O255" s="3" t="inlineStr">
        <is>
          <t>—</t>
        </is>
      </c>
      <c r="P255" s="3" t="inlineStr">
        <is>
          <t>—</t>
        </is>
      </c>
      <c r="Q255" s="3" t="inlineStr">
        <is>
          <t>上游含 Y1,Y5,Y8</t>
        </is>
      </c>
      <c r="R255" s="3" t="inlineStr">
        <is>
          <t>[G14] 隱含每 GW 年家族研發計畫 3.4（Hopper）–12.1（VR200），活頁簿自己的參考範圍 1–3（Checks B51，只顯示）</t>
        </is>
      </c>
      <c r="S255" s="3" t="inlineStr">
        <is>
          <t>Y1,Y5,Y8</t>
        </is>
      </c>
      <c r="T255" s="3" t="inlineStr"/>
      <c r="U255" s="3" t="n">
        <v>15</v>
      </c>
      <c r="V255" s="3" t="inlineStr">
        <is>
          <t>G14</t>
        </is>
      </c>
      <c r="W255" s="3" t="inlineStr">
        <is>
          <t>高</t>
        </is>
      </c>
    </row>
    <row r="256">
      <c r="A256" s="3" t="inlineStr">
        <is>
          <t>Fleet_1GW</t>
        </is>
      </c>
      <c r="B256" s="3" t="n">
        <v>34</v>
      </c>
      <c r="C256" s="3" t="inlineStr">
        <is>
          <t>隱含每 GW 年可容納的家族研發計畫數（訓練＋研發 ÷ 家族計畫）</t>
        </is>
      </c>
      <c r="D256" s="3" t="inlineStr">
        <is>
          <t>個</t>
        </is>
      </c>
      <c r="E256" s="3" t="n">
        <v>15</v>
      </c>
      <c r="F256" s="3" t="n">
        <v>1</v>
      </c>
      <c r="G256" s="3" t="inlineStr">
        <is>
          <t>C34</t>
        </is>
      </c>
      <c r="H256" s="3">
        <f>C13/C33</f>
        <v/>
      </c>
      <c r="I256" s="3" t="n">
        <v>3.391622</v>
      </c>
      <c r="J256" s="3" t="inlineStr">
        <is>
          <t>—</t>
        </is>
      </c>
      <c r="K256" s="3" t="inlineStr">
        <is>
          <t>—</t>
        </is>
      </c>
      <c r="L256" s="3" t="inlineStr">
        <is>
          <t>—</t>
        </is>
      </c>
      <c r="M256" s="3" t="inlineStr">
        <is>
          <t>—</t>
        </is>
      </c>
      <c r="N256" s="3" t="inlineStr">
        <is>
          <t>—</t>
        </is>
      </c>
      <c r="O256" s="3" t="inlineStr">
        <is>
          <t>—</t>
        </is>
      </c>
      <c r="P256" s="3" t="inlineStr">
        <is>
          <t>—</t>
        </is>
      </c>
      <c r="Q256" s="3" t="inlineStr">
        <is>
          <t>上游含 Y1,Y3,Y5,Y8</t>
        </is>
      </c>
      <c r="R256" s="3" t="inlineStr">
        <is>
          <t>[G14] 隱含每 GW 年家族研發計畫 3.4（Hopper）–12.1（VR200），活頁簿自己的參考範圍 1–3（Checks B51，只顯示）</t>
        </is>
      </c>
      <c r="S256" s="3" t="inlineStr">
        <is>
          <t>Y1,Y3,Y5,Y8</t>
        </is>
      </c>
      <c r="T256" s="3" t="inlineStr"/>
      <c r="U256" s="3" t="n">
        <v>0</v>
      </c>
      <c r="V256" s="3" t="inlineStr">
        <is>
          <t>G14</t>
        </is>
      </c>
      <c r="W256" s="3" t="inlineStr">
        <is>
          <t>高</t>
        </is>
      </c>
    </row>
    <row r="257">
      <c r="A257" s="3" t="inlineStr">
        <is>
          <t>Amortize</t>
        </is>
      </c>
      <c r="B257" s="3" t="n">
        <v>7</v>
      </c>
      <c r="C257" s="3" t="inlineStr">
        <is>
          <t>欄索引</t>
        </is>
      </c>
      <c r="D257" s="3" t="n"/>
      <c r="E257" s="3" t="n">
        <v>0</v>
      </c>
      <c r="F257" s="3" t="n">
        <v>0</v>
      </c>
      <c r="G257" s="3" t="inlineStr"/>
      <c r="H257" s="3" t="inlineStr"/>
      <c r="I257" s="3" t="inlineStr"/>
      <c r="J257" s="3" t="inlineStr">
        <is>
          <t>—</t>
        </is>
      </c>
      <c r="K257" s="3" t="inlineStr">
        <is>
          <t>—</t>
        </is>
      </c>
      <c r="L257" s="3" t="inlineStr">
        <is>
          <t>—</t>
        </is>
      </c>
      <c r="M257" s="3" t="inlineStr">
        <is>
          <t>—</t>
        </is>
      </c>
      <c r="N257" s="3" t="inlineStr">
        <is>
          <t>—</t>
        </is>
      </c>
      <c r="O257" s="3" t="inlineStr">
        <is>
          <t>—</t>
        </is>
      </c>
      <c r="P257" s="3" t="inlineStr">
        <is>
          <t>—</t>
        </is>
      </c>
      <c r="Q257" s="3" t="inlineStr">
        <is>
          <t>—</t>
        </is>
      </c>
      <c r="R257" s="3" t="inlineStr">
        <is>
          <t>—</t>
        </is>
      </c>
      <c r="S257" s="3" t="inlineStr"/>
      <c r="T257" s="3" t="inlineStr"/>
      <c r="U257" s="3" t="n">
        <v>301</v>
      </c>
      <c r="V257" s="3" t="inlineStr"/>
      <c r="W257" s="3" t="inlineStr">
        <is>
          <t>—</t>
        </is>
      </c>
    </row>
    <row r="258">
      <c r="A258" s="3" t="inlineStr">
        <is>
          <t>Amortize</t>
        </is>
      </c>
      <c r="B258" s="3" t="n">
        <v>10</v>
      </c>
      <c r="C258" s="3" t="inlineStr">
        <is>
          <t>研發計畫成本（IF_ProgCost）</t>
        </is>
      </c>
      <c r="D258" s="3" t="inlineStr">
        <is>
          <t>$M</t>
        </is>
      </c>
      <c r="E258" s="3" t="n">
        <v>15</v>
      </c>
      <c r="F258" s="3" t="n">
        <v>1</v>
      </c>
      <c r="G258" s="3" t="inlineStr">
        <is>
          <t>C10</t>
        </is>
      </c>
      <c r="H258" s="3">
        <f>INDEX(IF_ProgCost_Luna,1,C$7)</f>
        <v/>
      </c>
      <c r="I258" s="3" t="n">
        <v>55.227452</v>
      </c>
      <c r="J258" s="3" t="inlineStr">
        <is>
          <t>—</t>
        </is>
      </c>
      <c r="K258" s="3" t="inlineStr">
        <is>
          <t>[G13] 自下而上總額用 100% 利用率的計畫成本；由上而下總額用訓練 GW 的全額持有成本，縮放倍數（第 41 列）因此部分反映利用率口徑差</t>
        </is>
      </c>
      <c r="L258" s="3" t="inlineStr">
        <is>
          <t>—</t>
        </is>
      </c>
      <c r="M258" s="3" t="inlineStr">
        <is>
          <t>—</t>
        </is>
      </c>
      <c r="N258" s="3" t="inlineStr">
        <is>
          <t>—</t>
        </is>
      </c>
      <c r="O258" s="3" t="inlineStr">
        <is>
          <t>—</t>
        </is>
      </c>
      <c r="P258" s="3" t="inlineStr">
        <is>
          <t>—</t>
        </is>
      </c>
      <c r="Q258" s="3" t="inlineStr">
        <is>
          <t>上游含 Y1,Y4,Y5,Y7,Y8</t>
        </is>
      </c>
      <c r="R258" s="3" t="inlineStr">
        <is>
          <t>—</t>
        </is>
      </c>
      <c r="S258" s="3" t="inlineStr">
        <is>
          <t>Y1,Y4,Y5,Y7,Y8</t>
        </is>
      </c>
      <c r="T258" s="3" t="inlineStr"/>
      <c r="U258" s="3" t="n">
        <v>30</v>
      </c>
      <c r="V258" s="3" t="inlineStr">
        <is>
          <t>G13</t>
        </is>
      </c>
      <c r="W258" s="3" t="inlineStr">
        <is>
          <t>中</t>
        </is>
      </c>
    </row>
    <row r="259">
      <c r="A259" s="3" t="inlineStr">
        <is>
          <t>Amortize</t>
        </is>
      </c>
      <c r="B259" s="3" t="n">
        <v>11</v>
      </c>
      <c r="C259" s="3" t="inlineStr">
        <is>
          <t>年服務 token（付費＋免費）</t>
        </is>
      </c>
      <c r="D259" s="3" t="inlineStr">
        <is>
          <t>M tok/年</t>
        </is>
      </c>
      <c r="E259" s="3" t="n">
        <v>15</v>
      </c>
      <c r="F259" s="3" t="n">
        <v>1</v>
      </c>
      <c r="G259" s="3" t="inlineStr">
        <is>
          <t>C11</t>
        </is>
      </c>
      <c r="H259" s="3">
        <f>IF(AND(ISNUMBER(Fleet_1GW!C21),ISNUMBER(Fleet_1GW!C22)),Fleet_1GW!C21+Fleet_1GW!C22,"SLO 不可達")</f>
        <v/>
      </c>
      <c r="I259" s="3" t="n">
        <v>6877614832.05626</v>
      </c>
      <c r="J259" s="3" t="inlineStr">
        <is>
          <t>—</t>
        </is>
      </c>
      <c r="K259" s="3" t="inlineStr">
        <is>
          <t>[G02] 服務 token 合計含免費 token（B4_Free 0.46 支出口徑切分），作為攤提分母</t>
        </is>
      </c>
      <c r="L259" s="3" t="inlineStr">
        <is>
          <t>—</t>
        </is>
      </c>
      <c r="M259" s="3" t="inlineStr">
        <is>
          <t>—</t>
        </is>
      </c>
      <c r="N259" s="3" t="inlineStr">
        <is>
          <t>—</t>
        </is>
      </c>
      <c r="O259" s="3" t="inlineStr">
        <is>
          <t>—</t>
        </is>
      </c>
      <c r="P259" s="3" t="inlineStr">
        <is>
          <t>[G06] 組合旗標使本列在任一層級不可達時變文字，包括可達層級（20_l7_closure.json）</t>
        </is>
      </c>
      <c r="Q259" s="3" t="inlineStr">
        <is>
          <t>上游含 Y1,Y2,Y3,Y5,Y6,Y8</t>
        </is>
      </c>
      <c r="R259" s="3" t="inlineStr">
        <is>
          <t>—</t>
        </is>
      </c>
      <c r="S259" s="3" t="inlineStr">
        <is>
          <t>Y1,Y2,Y3,Y5,Y6,Y8</t>
        </is>
      </c>
      <c r="T259" s="3" t="inlineStr"/>
      <c r="U259" s="3" t="n">
        <v>45</v>
      </c>
      <c r="V259" s="3" t="inlineStr">
        <is>
          <t>G02,G06</t>
        </is>
      </c>
      <c r="W259" s="3" t="inlineStr">
        <is>
          <t>中</t>
        </is>
      </c>
    </row>
    <row r="260">
      <c r="A260" s="3" t="inlineStr">
        <is>
          <t>Amortize</t>
        </is>
      </c>
      <c r="B260" s="3" t="n">
        <v>12</v>
      </c>
      <c r="C260" s="3" t="inlineStr">
        <is>
          <t>商業壽命內服務 token（付費＋免費）</t>
        </is>
      </c>
      <c r="D260" s="3" t="inlineStr">
        <is>
          <t>M tok</t>
        </is>
      </c>
      <c r="E260" s="3" t="n">
        <v>15</v>
      </c>
      <c r="F260" s="3" t="n">
        <v>1</v>
      </c>
      <c r="G260" s="3" t="inlineStr">
        <is>
          <t>C12</t>
        </is>
      </c>
      <c r="H260" s="3">
        <f>IF(ISNUMBER(C11),C11*INDEX(B4_Life,1,1)/12,"SLO 不可達")</f>
        <v/>
      </c>
      <c r="I260" s="3" t="n">
        <v>6877614832.05626</v>
      </c>
      <c r="J260" s="3" t="inlineStr">
        <is>
          <t>—</t>
        </is>
      </c>
      <c r="K260" s="3" t="inlineStr">
        <is>
          <t>[G02] 服務 token 合計含免費 token（B4_Free 0.46 支出口徑切分），作為攤提分母</t>
        </is>
      </c>
      <c r="L260" s="3" t="inlineStr">
        <is>
          <t>—</t>
        </is>
      </c>
      <c r="M260" s="3" t="inlineStr">
        <is>
          <t>—</t>
        </is>
      </c>
      <c r="N260" s="3" t="inlineStr">
        <is>
          <t>—</t>
        </is>
      </c>
      <c r="O260" s="3" t="inlineStr">
        <is>
          <t>—</t>
        </is>
      </c>
      <c r="P260" s="3" t="inlineStr">
        <is>
          <t>[G06] 組合旗標使本列在任一層級不可達時變文字，包括可達層級（20_l7_closure.json）</t>
        </is>
      </c>
      <c r="Q260" s="3" t="inlineStr">
        <is>
          <t>上游含 Y1,Y2,Y3,Y5,Y6,Y8</t>
        </is>
      </c>
      <c r="R260" s="3" t="inlineStr">
        <is>
          <t>—</t>
        </is>
      </c>
      <c r="S260" s="3" t="inlineStr">
        <is>
          <t>Y1,Y2,Y3,Y5,Y6,Y8</t>
        </is>
      </c>
      <c r="T260" s="3" t="inlineStr"/>
      <c r="U260" s="3" t="n">
        <v>15</v>
      </c>
      <c r="V260" s="3" t="inlineStr">
        <is>
          <t>G02,G06</t>
        </is>
      </c>
      <c r="W260" s="3" t="inlineStr">
        <is>
          <t>中</t>
        </is>
      </c>
    </row>
    <row r="261">
      <c r="A261" s="3" t="inlineStr">
        <is>
          <t>Amortize</t>
        </is>
      </c>
      <c r="B261" s="3" t="n">
        <v>13</v>
      </c>
      <c r="C261" s="3" t="inlineStr">
        <is>
          <t>自下而上攤提＝回本所需單價溢價　[IF_AmortBU_Luna]</t>
        </is>
      </c>
      <c r="D261" s="3" t="inlineStr">
        <is>
          <t>$/M</t>
        </is>
      </c>
      <c r="E261" s="3" t="n">
        <v>15</v>
      </c>
      <c r="F261" s="3" t="n">
        <v>1</v>
      </c>
      <c r="G261" s="3" t="inlineStr">
        <is>
          <t>C13</t>
        </is>
      </c>
      <c r="H261" s="3">
        <f>IF(ISNUMBER(C12),IF(C12&gt;0,C10*1000000/C12,0),"SLO 不可達")</f>
        <v/>
      </c>
      <c r="I261" s="3" t="n">
        <v>0.008030000000000001</v>
      </c>
      <c r="J261" s="3" t="inlineStr">
        <is>
          <t>—</t>
        </is>
      </c>
      <c r="K261" s="3" t="inlineStr">
        <is>
          <t>[G02] 自下而上攤提＝研發計畫成本 ÷ 壽命內「付費＋免費」token，列標籤卻是「回本所需單價溢價」：免費 token 不付費，以付費 token 為分母時 Luna 溢價為 8.4 倍（Hopper）／7.5 倍（VR200）、Sol 1.6–1.8 倍、Astra 1.0 倍（免費組合 Astra 0%）（30_s3.json BU_denominator_ratio）</t>
        </is>
      </c>
      <c r="L261" s="3" t="inlineStr">
        <is>
          <t>—</t>
        </is>
      </c>
      <c r="M261" s="3" t="inlineStr">
        <is>
          <t>—</t>
        </is>
      </c>
      <c r="N261" s="3" t="inlineStr">
        <is>
          <t>—</t>
        </is>
      </c>
      <c r="O261" s="3" t="inlineStr">
        <is>
          <t>—</t>
        </is>
      </c>
      <c r="P261" s="3" t="inlineStr">
        <is>
          <t>[G06] 組合旗標使本列在任一層級不可達時變文字，包括可達層級（20_l7_closure.json）</t>
        </is>
      </c>
      <c r="Q261" s="3" t="inlineStr">
        <is>
          <t>上游含 Y1,Y2,Y3,Y4,Y5,Y6,Y7,Y8</t>
        </is>
      </c>
      <c r="R261" s="3" t="inlineStr">
        <is>
          <t>—</t>
        </is>
      </c>
      <c r="S261" s="3" t="inlineStr">
        <is>
          <t>Y1,Y2,Y3,Y4,Y5,Y6,Y7,Y8</t>
        </is>
      </c>
      <c r="T261" s="3" t="inlineStr"/>
      <c r="U261" s="3" t="n">
        <v>60</v>
      </c>
      <c r="V261" s="3" t="inlineStr">
        <is>
          <t>G02,G06</t>
        </is>
      </c>
      <c r="W261" s="3" t="inlineStr">
        <is>
          <t>高</t>
        </is>
      </c>
    </row>
    <row r="262">
      <c r="A262" s="3" t="inlineStr">
        <is>
          <t>Amortize</t>
        </is>
      </c>
      <c r="B262" s="3" t="n">
        <v>14</v>
      </c>
      <c r="C262" s="3" t="inlineStr">
        <is>
          <t>服務成本（參考請求混合，含快取儲存，基準利用率）</t>
        </is>
      </c>
      <c r="D262" s="3" t="inlineStr">
        <is>
          <t>$/M</t>
        </is>
      </c>
      <c r="E262" s="3" t="n">
        <v>15</v>
      </c>
      <c r="F262" s="3" t="n">
        <v>1</v>
      </c>
      <c r="G262" s="3" t="inlineStr">
        <is>
          <t>C14</t>
        </is>
      </c>
      <c r="H262" s="3">
        <f>IF(ISNUMBER(INDEX(IF_CostDec_Luna,1,C$7)),(INDEX(B4_ISL,1,1)*((1-B4_CacheHit)*INDEX(IF_CostPre_Luna,1,C$7)+B4_CacheHit*(INDEX(IF_CostCache_Luna,1,C$7)+Cache_Store!C17))+INDEX(B4_OSL,1,1)*INDEX(IF_CostDec_Luna,1,C$7))/(INDEX(B4_ISL,1,1)+INDEX(B4_OSL,1,1))/IF_Util,"SLO 不可達")</f>
        <v/>
      </c>
      <c r="I262" s="3" t="n">
        <v>0.12132</v>
      </c>
      <c r="J262" s="3" t="inlineStr">
        <is>
          <t>—</t>
        </is>
      </c>
      <c r="K262" s="3" t="inlineStr">
        <is>
          <t>—</t>
        </is>
      </c>
      <c r="L262" s="3" t="inlineStr">
        <is>
          <t>—</t>
        </is>
      </c>
      <c r="M262" s="3" t="inlineStr">
        <is>
          <t>—</t>
        </is>
      </c>
      <c r="N262" s="3" t="inlineStr">
        <is>
          <t>—</t>
        </is>
      </c>
      <c r="O262" s="3" t="inlineStr">
        <is>
          <t>—</t>
        </is>
      </c>
      <c r="P262" s="3" t="inlineStr">
        <is>
          <t>[G06] 組合旗標使本列在任一層級不可達時變文字，包括可達層級（20_l7_closure.json）</t>
        </is>
      </c>
      <c r="Q262" s="3" t="inlineStr">
        <is>
          <t>直接引用 Y1,Y2,Y6 類輸入</t>
        </is>
      </c>
      <c r="R262" s="3" t="inlineStr">
        <is>
          <t>—</t>
        </is>
      </c>
      <c r="S262" s="3" t="inlineStr">
        <is>
          <t>Y1,Y2,Y4,Y5,Y6,Y7,Y8</t>
        </is>
      </c>
      <c r="T262" s="3" t="inlineStr">
        <is>
          <t>Y1,Y2,Y6</t>
        </is>
      </c>
      <c r="U262" s="3" t="n">
        <v>30</v>
      </c>
      <c r="V262" s="3" t="inlineStr">
        <is>
          <t>G06</t>
        </is>
      </c>
      <c r="W262" s="3" t="inlineStr">
        <is>
          <t>中</t>
        </is>
      </c>
    </row>
    <row r="263">
      <c r="A263" s="3" t="inlineStr">
        <is>
          <t>Amortize</t>
        </is>
      </c>
      <c r="B263" s="3" t="n">
        <v>15</v>
      </c>
      <c r="C263" s="3" t="inlineStr">
        <is>
          <t>由上而下攤提　[IF_AmortTD_Luna]</t>
        </is>
      </c>
      <c r="D263" s="3" t="inlineStr">
        <is>
          <t>$/M</t>
        </is>
      </c>
      <c r="E263" s="3" t="n">
        <v>15</v>
      </c>
      <c r="F263" s="3" t="n">
        <v>1</v>
      </c>
      <c r="G263" s="3" t="inlineStr">
        <is>
          <t>C15</t>
        </is>
      </c>
      <c r="H263" s="3">
        <f>IF(ISNUMBER(C14),Fleet_1GW!C13/(1-Fleet_1GW!C13)*C14,"SLO 不可達")</f>
        <v/>
      </c>
      <c r="I263" s="3" t="n">
        <v>0.174582</v>
      </c>
      <c r="J263" s="3" t="inlineStr">
        <is>
          <t>—</t>
        </is>
      </c>
      <c r="K263" s="3" t="inlineStr">
        <is>
          <t>—</t>
        </is>
      </c>
      <c r="L263" s="3" t="inlineStr">
        <is>
          <t>—</t>
        </is>
      </c>
      <c r="M263" s="3" t="inlineStr">
        <is>
          <t>[G01] 由上而下溢價＝訓練占比 ÷（1 − 訓練占比）× 服務成本（快取混合）；因服務成本 × 服務 token ≠ 服務 GW × 持有成本，攤提總額少計 12–18%（見 Amortize 第 39 列）</t>
        </is>
      </c>
      <c r="N263" s="3" t="inlineStr">
        <is>
          <t>—</t>
        </is>
      </c>
      <c r="O263" s="3" t="inlineStr">
        <is>
          <t>—</t>
        </is>
      </c>
      <c r="P263" s="3" t="inlineStr">
        <is>
          <t>[G06] 組合旗標使本列在任一層級不可達時變文字，包括可達層級（20_l7_closure.json）</t>
        </is>
      </c>
      <c r="Q263" s="3" t="inlineStr">
        <is>
          <t>上游含 Y1,Y2,Y3,Y4,Y5,Y6,Y7,Y8</t>
        </is>
      </c>
      <c r="R263" s="3" t="inlineStr">
        <is>
          <t>—</t>
        </is>
      </c>
      <c r="S263" s="3" t="inlineStr">
        <is>
          <t>Y1,Y2,Y3,Y4,Y5,Y6,Y7,Y8</t>
        </is>
      </c>
      <c r="T263" s="3" t="inlineStr"/>
      <c r="U263" s="3" t="n">
        <v>60</v>
      </c>
      <c r="V263" s="3" t="inlineStr">
        <is>
          <t>G01,G06</t>
        </is>
      </c>
      <c r="W263" s="3" t="inlineStr">
        <is>
          <t>高</t>
        </is>
      </c>
    </row>
    <row r="264">
      <c r="A264" s="3" t="inlineStr">
        <is>
          <t>Amortize</t>
        </is>
      </c>
      <c r="B264" s="3" t="n">
        <v>19</v>
      </c>
      <c r="C264" s="3" t="inlineStr">
        <is>
          <t>研發計畫成本（IF_ProgCost）</t>
        </is>
      </c>
      <c r="D264" s="3" t="inlineStr">
        <is>
          <t>$M</t>
        </is>
      </c>
      <c r="E264" s="3" t="n">
        <v>15</v>
      </c>
      <c r="F264" s="3" t="n">
        <v>1</v>
      </c>
      <c r="G264" s="3" t="inlineStr">
        <is>
          <t>C19</t>
        </is>
      </c>
      <c r="H264" s="3">
        <f>INDEX(IF_ProgCost_Sol,1,C$7)</f>
        <v/>
      </c>
      <c r="I264" s="3" t="n">
        <v>157.188197</v>
      </c>
      <c r="J264" s="3" t="inlineStr">
        <is>
          <t>—</t>
        </is>
      </c>
      <c r="K264" s="3" t="inlineStr">
        <is>
          <t>[G13] 自下而上總額用 100% 利用率的計畫成本；由上而下總額用訓練 GW 的全額持有成本，縮放倍數（第 41 列）因此部分反映利用率口徑差</t>
        </is>
      </c>
      <c r="L264" s="3" t="inlineStr">
        <is>
          <t>—</t>
        </is>
      </c>
      <c r="M264" s="3" t="inlineStr">
        <is>
          <t>—</t>
        </is>
      </c>
      <c r="N264" s="3" t="inlineStr">
        <is>
          <t>—</t>
        </is>
      </c>
      <c r="O264" s="3" t="inlineStr">
        <is>
          <t>—</t>
        </is>
      </c>
      <c r="P264" s="3" t="inlineStr">
        <is>
          <t>—</t>
        </is>
      </c>
      <c r="Q264" s="3" t="inlineStr">
        <is>
          <t>上游含 Y1,Y4,Y5,Y7,Y8</t>
        </is>
      </c>
      <c r="R264" s="3" t="inlineStr">
        <is>
          <t>—</t>
        </is>
      </c>
      <c r="S264" s="3" t="inlineStr">
        <is>
          <t>Y1,Y4,Y5,Y7,Y8</t>
        </is>
      </c>
      <c r="T264" s="3" t="inlineStr"/>
      <c r="U264" s="3" t="n">
        <v>30</v>
      </c>
      <c r="V264" s="3" t="inlineStr">
        <is>
          <t>G13</t>
        </is>
      </c>
      <c r="W264" s="3" t="inlineStr">
        <is>
          <t>中</t>
        </is>
      </c>
    </row>
    <row r="265">
      <c r="A265" s="3" t="inlineStr">
        <is>
          <t>Amortize</t>
        </is>
      </c>
      <c r="B265" s="3" t="n">
        <v>20</v>
      </c>
      <c r="C265" s="3" t="inlineStr">
        <is>
          <t>年服務 token（付費＋免費）</t>
        </is>
      </c>
      <c r="D265" s="3" t="inlineStr">
        <is>
          <t>M tok/年</t>
        </is>
      </c>
      <c r="E265" s="3" t="n">
        <v>15</v>
      </c>
      <c r="F265" s="3" t="n">
        <v>1</v>
      </c>
      <c r="G265" s="3" t="inlineStr">
        <is>
          <t>C20</t>
        </is>
      </c>
      <c r="H265" s="3">
        <f>IF(AND(ISNUMBER(Fleet_1GW!C24),ISNUMBER(Fleet_1GW!C25)),Fleet_1GW!C24+Fleet_1GW!C25,"SLO 不可達")</f>
        <v/>
      </c>
      <c r="I265" s="3" t="n">
        <v>1592569656.76062</v>
      </c>
      <c r="J265" s="3" t="inlineStr">
        <is>
          <t>—</t>
        </is>
      </c>
      <c r="K265" s="3" t="inlineStr">
        <is>
          <t>[G02] 服務 token 合計含免費 token（B4_Free 0.46 支出口徑切分），作為攤提分母</t>
        </is>
      </c>
      <c r="L265" s="3" t="inlineStr">
        <is>
          <t>—</t>
        </is>
      </c>
      <c r="M265" s="3" t="inlineStr">
        <is>
          <t>—</t>
        </is>
      </c>
      <c r="N265" s="3" t="inlineStr">
        <is>
          <t>—</t>
        </is>
      </c>
      <c r="O265" s="3" t="inlineStr">
        <is>
          <t>—</t>
        </is>
      </c>
      <c r="P265" s="3" t="inlineStr">
        <is>
          <t>[G06] 組合旗標使本列在任一層級不可達時變文字，包括可達層級（20_l7_closure.json）</t>
        </is>
      </c>
      <c r="Q265" s="3" t="inlineStr">
        <is>
          <t>上游含 Y1,Y2,Y3,Y5,Y6,Y8</t>
        </is>
      </c>
      <c r="R265" s="3" t="inlineStr">
        <is>
          <t>—</t>
        </is>
      </c>
      <c r="S265" s="3" t="inlineStr">
        <is>
          <t>Y1,Y2,Y3,Y5,Y6,Y8</t>
        </is>
      </c>
      <c r="T265" s="3" t="inlineStr"/>
      <c r="U265" s="3" t="n">
        <v>45</v>
      </c>
      <c r="V265" s="3" t="inlineStr">
        <is>
          <t>G02,G06</t>
        </is>
      </c>
      <c r="W265" s="3" t="inlineStr">
        <is>
          <t>中</t>
        </is>
      </c>
    </row>
    <row r="266">
      <c r="A266" s="3" t="inlineStr">
        <is>
          <t>Amortize</t>
        </is>
      </c>
      <c r="B266" s="3" t="n">
        <v>21</v>
      </c>
      <c r="C266" s="3" t="inlineStr">
        <is>
          <t>商業壽命內服務 token（付費＋免費）</t>
        </is>
      </c>
      <c r="D266" s="3" t="inlineStr">
        <is>
          <t>M tok</t>
        </is>
      </c>
      <c r="E266" s="3" t="n">
        <v>15</v>
      </c>
      <c r="F266" s="3" t="n">
        <v>1</v>
      </c>
      <c r="G266" s="3" t="inlineStr">
        <is>
          <t>C21</t>
        </is>
      </c>
      <c r="H266" s="3">
        <f>IF(ISNUMBER(C20),C20*INDEX(B4_Life,1,2)/12,"SLO 不可達")</f>
        <v/>
      </c>
      <c r="I266" s="3" t="n">
        <v>1592569656.76062</v>
      </c>
      <c r="J266" s="3" t="inlineStr">
        <is>
          <t>—</t>
        </is>
      </c>
      <c r="K266" s="3" t="inlineStr">
        <is>
          <t>[G02] 服務 token 合計含免費 token（B4_Free 0.46 支出口徑切分），作為攤提分母</t>
        </is>
      </c>
      <c r="L266" s="3" t="inlineStr">
        <is>
          <t>—</t>
        </is>
      </c>
      <c r="M266" s="3" t="inlineStr">
        <is>
          <t>—</t>
        </is>
      </c>
      <c r="N266" s="3" t="inlineStr">
        <is>
          <t>—</t>
        </is>
      </c>
      <c r="O266" s="3" t="inlineStr">
        <is>
          <t>—</t>
        </is>
      </c>
      <c r="P266" s="3" t="inlineStr">
        <is>
          <t>[G06] 組合旗標使本列在任一層級不可達時變文字，包括可達層級（20_l7_closure.json）</t>
        </is>
      </c>
      <c r="Q266" s="3" t="inlineStr">
        <is>
          <t>上游含 Y1,Y2,Y3,Y5,Y6,Y8</t>
        </is>
      </c>
      <c r="R266" s="3" t="inlineStr">
        <is>
          <t>—</t>
        </is>
      </c>
      <c r="S266" s="3" t="inlineStr">
        <is>
          <t>Y1,Y2,Y3,Y5,Y6,Y8</t>
        </is>
      </c>
      <c r="T266" s="3" t="inlineStr"/>
      <c r="U266" s="3" t="n">
        <v>15</v>
      </c>
      <c r="V266" s="3" t="inlineStr">
        <is>
          <t>G02,G06</t>
        </is>
      </c>
      <c r="W266" s="3" t="inlineStr">
        <is>
          <t>中</t>
        </is>
      </c>
    </row>
    <row r="267">
      <c r="A267" s="3" t="inlineStr">
        <is>
          <t>Amortize</t>
        </is>
      </c>
      <c r="B267" s="3" t="n">
        <v>22</v>
      </c>
      <c r="C267" s="3" t="inlineStr">
        <is>
          <t>自下而上攤提＝回本所需單價溢價　[IF_AmortBU_Sol]</t>
        </is>
      </c>
      <c r="D267" s="3" t="inlineStr">
        <is>
          <t>$/M</t>
        </is>
      </c>
      <c r="E267" s="3" t="n">
        <v>15</v>
      </c>
      <c r="F267" s="3" t="n">
        <v>1</v>
      </c>
      <c r="G267" s="3" t="inlineStr">
        <is>
          <t>C22</t>
        </is>
      </c>
      <c r="H267" s="3">
        <f>IF(ISNUMBER(C21),IF(C21&gt;0,C19*1000000/C21,0),"SLO 不可達")</f>
        <v/>
      </c>
      <c r="I267" s="3" t="n">
        <v>0.098701</v>
      </c>
      <c r="J267" s="3" t="inlineStr">
        <is>
          <t>—</t>
        </is>
      </c>
      <c r="K267" s="3" t="inlineStr">
        <is>
          <t>[G02] 自下而上攤提＝研發計畫成本 ÷ 壽命內「付費＋免費」token，列標籤卻是「回本所需單價溢價」：免費 token 不付費，以付費 token 為分母時 Luna 溢價為 8.4 倍（Hopper）／7.5 倍（VR200）、Sol 1.6–1.8 倍、Astra 1.0 倍（免費組合 Astra 0%）（30_s3.json BU_denominator_ratio）</t>
        </is>
      </c>
      <c r="L267" s="3" t="inlineStr">
        <is>
          <t>—</t>
        </is>
      </c>
      <c r="M267" s="3" t="inlineStr">
        <is>
          <t>—</t>
        </is>
      </c>
      <c r="N267" s="3" t="inlineStr">
        <is>
          <t>—</t>
        </is>
      </c>
      <c r="O267" s="3" t="inlineStr">
        <is>
          <t>—</t>
        </is>
      </c>
      <c r="P267" s="3" t="inlineStr">
        <is>
          <t>[G06] 組合旗標使本列在任一層級不可達時變文字，包括可達層級（20_l7_closure.json）</t>
        </is>
      </c>
      <c r="Q267" s="3" t="inlineStr">
        <is>
          <t>上游含 Y1,Y2,Y3,Y4,Y5,Y6,Y7,Y8</t>
        </is>
      </c>
      <c r="R267" s="3" t="inlineStr">
        <is>
          <t>—</t>
        </is>
      </c>
      <c r="S267" s="3" t="inlineStr">
        <is>
          <t>Y1,Y2,Y3,Y4,Y5,Y6,Y7,Y8</t>
        </is>
      </c>
      <c r="T267" s="3" t="inlineStr"/>
      <c r="U267" s="3" t="n">
        <v>79</v>
      </c>
      <c r="V267" s="3" t="inlineStr">
        <is>
          <t>G02,G06</t>
        </is>
      </c>
      <c r="W267" s="3" t="inlineStr">
        <is>
          <t>高</t>
        </is>
      </c>
    </row>
    <row r="268">
      <c r="A268" s="3" t="inlineStr">
        <is>
          <t>Amortize</t>
        </is>
      </c>
      <c r="B268" s="3" t="n">
        <v>23</v>
      </c>
      <c r="C268" s="3" t="inlineStr">
        <is>
          <t>服務成本（參考請求混合，含快取儲存，基準利用率）</t>
        </is>
      </c>
      <c r="D268" s="3" t="inlineStr">
        <is>
          <t>$/M</t>
        </is>
      </c>
      <c r="E268" s="3" t="n">
        <v>15</v>
      </c>
      <c r="F268" s="3" t="n">
        <v>1</v>
      </c>
      <c r="G268" s="3" t="inlineStr">
        <is>
          <t>C23</t>
        </is>
      </c>
      <c r="H268" s="3">
        <f>IF(ISNUMBER(INDEX(IF_CostDec_Sol,1,C$7)),(INDEX(B4_ISL,1,2)*((1-B4_CacheHit)*INDEX(IF_CostPre_Sol,1,C$7)+B4_CacheHit*(INDEX(IF_CostCache_Sol,1,C$7)+Cache_Store!C23))+INDEX(B4_OSL,1,2)*INDEX(IF_CostDec_Sol,1,C$7))/(INDEX(B4_ISL,1,2)+INDEX(B4_OSL,1,2))/IF_Util,"SLO 不可達")</f>
        <v/>
      </c>
      <c r="I268" s="3" t="n">
        <v>0.417331</v>
      </c>
      <c r="J268" s="3" t="inlineStr">
        <is>
          <t>—</t>
        </is>
      </c>
      <c r="K268" s="3" t="inlineStr">
        <is>
          <t>—</t>
        </is>
      </c>
      <c r="L268" s="3" t="inlineStr">
        <is>
          <t>—</t>
        </is>
      </c>
      <c r="M268" s="3" t="inlineStr">
        <is>
          <t>—</t>
        </is>
      </c>
      <c r="N268" s="3" t="inlineStr">
        <is>
          <t>—</t>
        </is>
      </c>
      <c r="O268" s="3" t="inlineStr">
        <is>
          <t>—</t>
        </is>
      </c>
      <c r="P268" s="3" t="inlineStr">
        <is>
          <t>[G06] 組合旗標使本列在任一層級不可達時變文字，包括可達層級（20_l7_closure.json）</t>
        </is>
      </c>
      <c r="Q268" s="3" t="inlineStr">
        <is>
          <t>直接引用 Y1,Y2,Y6 類輸入</t>
        </is>
      </c>
      <c r="R268" s="3" t="inlineStr">
        <is>
          <t>—</t>
        </is>
      </c>
      <c r="S268" s="3" t="inlineStr">
        <is>
          <t>Y1,Y2,Y4,Y5,Y6,Y7,Y8</t>
        </is>
      </c>
      <c r="T268" s="3" t="inlineStr">
        <is>
          <t>Y1,Y2,Y6</t>
        </is>
      </c>
      <c r="U268" s="3" t="n">
        <v>30</v>
      </c>
      <c r="V268" s="3" t="inlineStr">
        <is>
          <t>G06</t>
        </is>
      </c>
      <c r="W268" s="3" t="inlineStr">
        <is>
          <t>中</t>
        </is>
      </c>
    </row>
    <row r="269">
      <c r="A269" s="3" t="inlineStr">
        <is>
          <t>Amortize</t>
        </is>
      </c>
      <c r="B269" s="3" t="n">
        <v>24</v>
      </c>
      <c r="C269" s="3" t="inlineStr">
        <is>
          <t>由上而下攤提　[IF_AmortTD_Sol]</t>
        </is>
      </c>
      <c r="D269" s="3" t="inlineStr">
        <is>
          <t>$/M</t>
        </is>
      </c>
      <c r="E269" s="3" t="n">
        <v>15</v>
      </c>
      <c r="F269" s="3" t="n">
        <v>1</v>
      </c>
      <c r="G269" s="3" t="inlineStr">
        <is>
          <t>C24</t>
        </is>
      </c>
      <c r="H269" s="3">
        <f>IF(ISNUMBER(C23),Fleet_1GW!C13/(1-Fleet_1GW!C13)*C23,"SLO 不可達")</f>
        <v/>
      </c>
      <c r="I269" s="3" t="n">
        <v>0.60055</v>
      </c>
      <c r="J269" s="3" t="inlineStr">
        <is>
          <t>—</t>
        </is>
      </c>
      <c r="K269" s="3" t="inlineStr">
        <is>
          <t>—</t>
        </is>
      </c>
      <c r="L269" s="3" t="inlineStr">
        <is>
          <t>—</t>
        </is>
      </c>
      <c r="M269" s="3" t="inlineStr">
        <is>
          <t>[G01] 由上而下溢價＝訓練占比 ÷（1 − 訓練占比）× 服務成本（快取混合）；因服務成本 × 服務 token ≠ 服務 GW × 持有成本，攤提總額少計 12–18%（見 Amortize 第 39 列）</t>
        </is>
      </c>
      <c r="N269" s="3" t="inlineStr">
        <is>
          <t>—</t>
        </is>
      </c>
      <c r="O269" s="3" t="inlineStr">
        <is>
          <t>—</t>
        </is>
      </c>
      <c r="P269" s="3" t="inlineStr">
        <is>
          <t>[G06] 組合旗標使本列在任一層級不可達時變文字，包括可達層級（20_l7_closure.json）</t>
        </is>
      </c>
      <c r="Q269" s="3" t="inlineStr">
        <is>
          <t>上游含 Y1,Y2,Y3,Y4,Y5,Y6,Y7,Y8</t>
        </is>
      </c>
      <c r="R269" s="3" t="inlineStr">
        <is>
          <t>—</t>
        </is>
      </c>
      <c r="S269" s="3" t="inlineStr">
        <is>
          <t>Y1,Y2,Y3,Y4,Y5,Y6,Y7,Y8</t>
        </is>
      </c>
      <c r="T269" s="3" t="inlineStr"/>
      <c r="U269" s="3" t="n">
        <v>60</v>
      </c>
      <c r="V269" s="3" t="inlineStr">
        <is>
          <t>G01,G06</t>
        </is>
      </c>
      <c r="W269" s="3" t="inlineStr">
        <is>
          <t>高</t>
        </is>
      </c>
    </row>
    <row r="270">
      <c r="A270" s="3" t="inlineStr">
        <is>
          <t>Amortize</t>
        </is>
      </c>
      <c r="B270" s="3" t="n">
        <v>29</v>
      </c>
      <c r="C270" s="3" t="inlineStr">
        <is>
          <t>研發計畫成本（IF_ProgCost）</t>
        </is>
      </c>
      <c r="D270" s="3" t="inlineStr">
        <is>
          <t>$M</t>
        </is>
      </c>
      <c r="E270" s="3" t="n">
        <v>15</v>
      </c>
      <c r="F270" s="3" t="n">
        <v>1</v>
      </c>
      <c r="G270" s="3" t="inlineStr">
        <is>
          <t>C29</t>
        </is>
      </c>
      <c r="H270" s="3">
        <f>INDEX(IF_ProgCost_Astra,1,C$7)</f>
        <v/>
      </c>
      <c r="I270" s="3" t="n">
        <v>968.9463940000001</v>
      </c>
      <c r="J270" s="3" t="inlineStr">
        <is>
          <t>—</t>
        </is>
      </c>
      <c r="K270" s="3" t="inlineStr">
        <is>
          <t>[G13] 自下而上總額用 100% 利用率的計畫成本；由上而下總額用訓練 GW 的全額持有成本，縮放倍數（第 41 列）因此部分反映利用率口徑差</t>
        </is>
      </c>
      <c r="L270" s="3" t="inlineStr">
        <is>
          <t>—</t>
        </is>
      </c>
      <c r="M270" s="3" t="inlineStr">
        <is>
          <t>—</t>
        </is>
      </c>
      <c r="N270" s="3" t="inlineStr">
        <is>
          <t>—</t>
        </is>
      </c>
      <c r="O270" s="3" t="inlineStr">
        <is>
          <t>—</t>
        </is>
      </c>
      <c r="P270" s="3" t="inlineStr">
        <is>
          <t>—</t>
        </is>
      </c>
      <c r="Q270" s="3" t="inlineStr">
        <is>
          <t>上游含 Y1,Y4,Y5,Y7,Y8</t>
        </is>
      </c>
      <c r="R270" s="3" t="inlineStr">
        <is>
          <t>—</t>
        </is>
      </c>
      <c r="S270" s="3" t="inlineStr">
        <is>
          <t>Y1,Y4,Y5,Y7,Y8</t>
        </is>
      </c>
      <c r="T270" s="3" t="inlineStr"/>
      <c r="U270" s="3" t="n">
        <v>30</v>
      </c>
      <c r="V270" s="3" t="inlineStr">
        <is>
          <t>G13</t>
        </is>
      </c>
      <c r="W270" s="3" t="inlineStr">
        <is>
          <t>中</t>
        </is>
      </c>
    </row>
    <row r="271">
      <c r="A271" s="3" t="inlineStr">
        <is>
          <t>Amortize</t>
        </is>
      </c>
      <c r="B271" s="3" t="n">
        <v>30</v>
      </c>
      <c r="C271" s="3" t="inlineStr">
        <is>
          <t>年服務 token（付費＋免費）</t>
        </is>
      </c>
      <c r="D271" s="3" t="inlineStr">
        <is>
          <t>M tok/年</t>
        </is>
      </c>
      <c r="E271" s="3" t="n">
        <v>15</v>
      </c>
      <c r="F271" s="3" t="n">
        <v>1</v>
      </c>
      <c r="G271" s="3" t="inlineStr">
        <is>
          <t>C30</t>
        </is>
      </c>
      <c r="H271" s="3">
        <f>IF(AND(ISNUMBER(Fleet_1GW!C27),ISNUMBER(Fleet_1GW!C28)),Fleet_1GW!C27+Fleet_1GW!C28,"SLO 不可達")</f>
        <v/>
      </c>
      <c r="I271" s="3" t="n">
        <v>306390907.347508</v>
      </c>
      <c r="J271" s="3" t="inlineStr">
        <is>
          <t>—</t>
        </is>
      </c>
      <c r="K271" s="3" t="inlineStr">
        <is>
          <t>[G02] 服務 token 合計含免費 token（B4_Free 0.46 支出口徑切分），作為攤提分母</t>
        </is>
      </c>
      <c r="L271" s="3" t="inlineStr">
        <is>
          <t>—</t>
        </is>
      </c>
      <c r="M271" s="3" t="inlineStr">
        <is>
          <t>—</t>
        </is>
      </c>
      <c r="N271" s="3" t="inlineStr">
        <is>
          <t>—</t>
        </is>
      </c>
      <c r="O271" s="3" t="inlineStr">
        <is>
          <t>—</t>
        </is>
      </c>
      <c r="P271" s="3" t="inlineStr">
        <is>
          <t>[G06] 組合旗標使本列在任一層級不可達時變文字，包括可達層級（20_l7_closure.json）</t>
        </is>
      </c>
      <c r="Q271" s="3" t="inlineStr">
        <is>
          <t>上游含 Y1,Y2,Y3,Y5,Y6,Y8</t>
        </is>
      </c>
      <c r="R271" s="3" t="inlineStr">
        <is>
          <t>—</t>
        </is>
      </c>
      <c r="S271" s="3" t="inlineStr">
        <is>
          <t>Y1,Y2,Y3,Y5,Y6,Y8</t>
        </is>
      </c>
      <c r="T271" s="3" t="inlineStr"/>
      <c r="U271" s="3" t="n">
        <v>45</v>
      </c>
      <c r="V271" s="3" t="inlineStr">
        <is>
          <t>G02,G06</t>
        </is>
      </c>
      <c r="W271" s="3" t="inlineStr">
        <is>
          <t>中</t>
        </is>
      </c>
    </row>
    <row r="272">
      <c r="A272" s="3" t="inlineStr">
        <is>
          <t>Amortize</t>
        </is>
      </c>
      <c r="B272" s="3" t="n">
        <v>31</v>
      </c>
      <c r="C272" s="3" t="inlineStr">
        <is>
          <t>商業壽命內服務 token（付費＋免費）</t>
        </is>
      </c>
      <c r="D272" s="3" t="inlineStr">
        <is>
          <t>M tok</t>
        </is>
      </c>
      <c r="E272" s="3" t="n">
        <v>15</v>
      </c>
      <c r="F272" s="3" t="n">
        <v>1</v>
      </c>
      <c r="G272" s="3" t="inlineStr">
        <is>
          <t>C31</t>
        </is>
      </c>
      <c r="H272" s="3">
        <f>IF(ISNUMBER(C30),C30*INDEX(B4_Life,1,3)/12,"SLO 不可達")</f>
        <v/>
      </c>
      <c r="I272" s="3" t="n">
        <v>229793180.510631</v>
      </c>
      <c r="J272" s="3" t="inlineStr">
        <is>
          <t>—</t>
        </is>
      </c>
      <c r="K272" s="3" t="inlineStr">
        <is>
          <t>[G02] 服務 token 合計含免費 token（B4_Free 0.46 支出口徑切分），作為攤提分母</t>
        </is>
      </c>
      <c r="L272" s="3" t="inlineStr">
        <is>
          <t>—</t>
        </is>
      </c>
      <c r="M272" s="3" t="inlineStr">
        <is>
          <t>—</t>
        </is>
      </c>
      <c r="N272" s="3" t="inlineStr">
        <is>
          <t>—</t>
        </is>
      </c>
      <c r="O272" s="3" t="inlineStr">
        <is>
          <t>—</t>
        </is>
      </c>
      <c r="P272" s="3" t="inlineStr">
        <is>
          <t>[G06] 組合旗標使本列在任一層級不可達時變文字，包括可達層級（20_l7_closure.json）</t>
        </is>
      </c>
      <c r="Q272" s="3" t="inlineStr">
        <is>
          <t>上游含 Y1,Y2,Y3,Y5,Y6,Y8</t>
        </is>
      </c>
      <c r="R272" s="3" t="inlineStr">
        <is>
          <t>—</t>
        </is>
      </c>
      <c r="S272" s="3" t="inlineStr">
        <is>
          <t>Y1,Y2,Y3,Y5,Y6,Y8</t>
        </is>
      </c>
      <c r="T272" s="3" t="inlineStr"/>
      <c r="U272" s="3" t="n">
        <v>15</v>
      </c>
      <c r="V272" s="3" t="inlineStr">
        <is>
          <t>G02,G06</t>
        </is>
      </c>
      <c r="W272" s="3" t="inlineStr">
        <is>
          <t>中</t>
        </is>
      </c>
    </row>
    <row r="273">
      <c r="A273" s="3" t="inlineStr">
        <is>
          <t>Amortize</t>
        </is>
      </c>
      <c r="B273" s="3" t="n">
        <v>32</v>
      </c>
      <c r="C273" s="3" t="inlineStr">
        <is>
          <t>自下而上攤提＝回本所需單價溢價　[IF_AmortBU_Astra]</t>
        </is>
      </c>
      <c r="D273" s="3" t="inlineStr">
        <is>
          <t>$/M</t>
        </is>
      </c>
      <c r="E273" s="3" t="n">
        <v>15</v>
      </c>
      <c r="F273" s="3" t="n">
        <v>1</v>
      </c>
      <c r="G273" s="3" t="inlineStr">
        <is>
          <t>C32</t>
        </is>
      </c>
      <c r="H273" s="3">
        <f>IF(ISNUMBER(C31),IF(C31&gt;0,C29*1000000/C31,0),"SLO 不可達")</f>
        <v/>
      </c>
      <c r="I273" s="3" t="n">
        <v>4.216602</v>
      </c>
      <c r="J273" s="3" t="inlineStr">
        <is>
          <t>—</t>
        </is>
      </c>
      <c r="K273" s="3" t="inlineStr">
        <is>
          <t>[G02] 自下而上攤提＝研發計畫成本 ÷ 壽命內「付費＋免費」token，列標籤卻是「回本所需單價溢價」：免費 token 不付費，以付費 token 為分母時 Luna 溢價為 8.4 倍（Hopper）／7.5 倍（VR200）、Sol 1.6–1.8 倍、Astra 1.0 倍（免費組合 Astra 0%）（30_s3.json BU_denominator_ratio）</t>
        </is>
      </c>
      <c r="L273" s="3" t="inlineStr">
        <is>
          <t>—</t>
        </is>
      </c>
      <c r="M273" s="3" t="inlineStr">
        <is>
          <t>—</t>
        </is>
      </c>
      <c r="N273" s="3" t="inlineStr">
        <is>
          <t>—</t>
        </is>
      </c>
      <c r="O273" s="3" t="inlineStr">
        <is>
          <t>—</t>
        </is>
      </c>
      <c r="P273" s="3" t="inlineStr">
        <is>
          <t>[G06] 組合旗標使本列在任一層級不可達時變文字，包括可達層級（20_l7_closure.json）</t>
        </is>
      </c>
      <c r="Q273" s="3" t="inlineStr">
        <is>
          <t>上游含 Y1,Y2,Y3,Y4,Y5,Y6,Y7,Y8</t>
        </is>
      </c>
      <c r="R273" s="3" t="inlineStr">
        <is>
          <t>—</t>
        </is>
      </c>
      <c r="S273" s="3" t="inlineStr">
        <is>
          <t>Y1,Y2,Y3,Y4,Y5,Y6,Y7,Y8</t>
        </is>
      </c>
      <c r="T273" s="3" t="inlineStr"/>
      <c r="U273" s="3" t="n">
        <v>75</v>
      </c>
      <c r="V273" s="3" t="inlineStr">
        <is>
          <t>G02,G06</t>
        </is>
      </c>
      <c r="W273" s="3" t="inlineStr">
        <is>
          <t>高</t>
        </is>
      </c>
    </row>
    <row r="274">
      <c r="A274" s="3" t="inlineStr">
        <is>
          <t>Amortize</t>
        </is>
      </c>
      <c r="B274" s="3" t="n">
        <v>33</v>
      </c>
      <c r="C274" s="3" t="inlineStr">
        <is>
          <t>服務成本（參考請求混合，含快取儲存，基準利用率）</t>
        </is>
      </c>
      <c r="D274" s="3" t="inlineStr">
        <is>
          <t>$/M</t>
        </is>
      </c>
      <c r="E274" s="3" t="n">
        <v>15</v>
      </c>
      <c r="F274" s="3" t="n">
        <v>1</v>
      </c>
      <c r="G274" s="3" t="inlineStr">
        <is>
          <t>C33</t>
        </is>
      </c>
      <c r="H274" s="3">
        <f>IF(ISNUMBER(INDEX(IF_CostDec_Astra,1,C$7)),(INDEX(B4_ISL,1,3)*((1-B4_CacheHit)*INDEX(IF_CostPre_Astra,1,C$7)+B4_CacheHit*(INDEX(IF_CostCache_Astra,1,C$7)+Cache_Store!C29))+INDEX(B4_OSL,1,3)*INDEX(IF_CostDec_Astra,1,C$7))/(INDEX(B4_ISL,1,3)+INDEX(B4_OSL,1,3))/IF_Util,"SLO 不可達")</f>
        <v/>
      </c>
      <c r="I274" s="3" t="n">
        <v>2.557288</v>
      </c>
      <c r="J274" s="3" t="inlineStr">
        <is>
          <t>—</t>
        </is>
      </c>
      <c r="K274" s="3" t="inlineStr">
        <is>
          <t>—</t>
        </is>
      </c>
      <c r="L274" s="3" t="inlineStr">
        <is>
          <t>—</t>
        </is>
      </c>
      <c r="M274" s="3" t="inlineStr">
        <is>
          <t>—</t>
        </is>
      </c>
      <c r="N274" s="3" t="inlineStr">
        <is>
          <t>—</t>
        </is>
      </c>
      <c r="O274" s="3" t="inlineStr">
        <is>
          <t>—</t>
        </is>
      </c>
      <c r="P274" s="3" t="inlineStr">
        <is>
          <t>[G06] 組合旗標使本列在任一層級不可達時變文字，包括可達層級（20_l7_closure.json）</t>
        </is>
      </c>
      <c r="Q274" s="3" t="inlineStr">
        <is>
          <t>直接引用 Y1,Y2,Y6 類輸入</t>
        </is>
      </c>
      <c r="R274" s="3" t="inlineStr">
        <is>
          <t>—</t>
        </is>
      </c>
      <c r="S274" s="3" t="inlineStr">
        <is>
          <t>Y1,Y2,Y4,Y5,Y6,Y7,Y8</t>
        </is>
      </c>
      <c r="T274" s="3" t="inlineStr">
        <is>
          <t>Y1,Y2,Y6</t>
        </is>
      </c>
      <c r="U274" s="3" t="n">
        <v>30</v>
      </c>
      <c r="V274" s="3" t="inlineStr">
        <is>
          <t>G06</t>
        </is>
      </c>
      <c r="W274" s="3" t="inlineStr">
        <is>
          <t>中</t>
        </is>
      </c>
    </row>
    <row r="275">
      <c r="A275" s="3" t="inlineStr">
        <is>
          <t>Amortize</t>
        </is>
      </c>
      <c r="B275" s="3" t="n">
        <v>34</v>
      </c>
      <c r="C275" s="3" t="inlineStr">
        <is>
          <t>由上而下攤提　[IF_AmortTD_Astra]</t>
        </is>
      </c>
      <c r="D275" s="3" t="inlineStr">
        <is>
          <t>$/M</t>
        </is>
      </c>
      <c r="E275" s="3" t="n">
        <v>15</v>
      </c>
      <c r="F275" s="3" t="n">
        <v>1</v>
      </c>
      <c r="G275" s="3" t="inlineStr">
        <is>
          <t>C34</t>
        </is>
      </c>
      <c r="H275" s="3">
        <f>IF(ISNUMBER(C33),Fleet_1GW!C13/(1-Fleet_1GW!C13)*C33,"SLO 不可達")</f>
        <v/>
      </c>
      <c r="I275" s="3" t="n">
        <v>3.68</v>
      </c>
      <c r="J275" s="3" t="inlineStr">
        <is>
          <t>—</t>
        </is>
      </c>
      <c r="K275" s="3" t="inlineStr">
        <is>
          <t>—</t>
        </is>
      </c>
      <c r="L275" s="3" t="inlineStr">
        <is>
          <t>—</t>
        </is>
      </c>
      <c r="M275" s="3" t="inlineStr">
        <is>
          <t>[G01] 由上而下溢價＝訓練占比 ÷（1 − 訓練占比）× 服務成本（快取混合）；因服務成本 × 服務 token ≠ 服務 GW × 持有成本，攤提總額少計 12–18%（見 Amortize 第 39 列）</t>
        </is>
      </c>
      <c r="N275" s="3" t="inlineStr">
        <is>
          <t>—</t>
        </is>
      </c>
      <c r="O275" s="3" t="inlineStr">
        <is>
          <t>—</t>
        </is>
      </c>
      <c r="P275" s="3" t="inlineStr">
        <is>
          <t>[G06] 組合旗標使本列在任一層級不可達時變文字，包括可達層級（20_l7_closure.json）</t>
        </is>
      </c>
      <c r="Q275" s="3" t="inlineStr">
        <is>
          <t>上游含 Y1,Y2,Y3,Y4,Y5,Y6,Y7,Y8</t>
        </is>
      </c>
      <c r="R275" s="3" t="inlineStr">
        <is>
          <t>—</t>
        </is>
      </c>
      <c r="S275" s="3" t="inlineStr">
        <is>
          <t>Y1,Y2,Y3,Y4,Y5,Y6,Y7,Y8</t>
        </is>
      </c>
      <c r="T275" s="3" t="inlineStr"/>
      <c r="U275" s="3" t="n">
        <v>60</v>
      </c>
      <c r="V275" s="3" t="inlineStr">
        <is>
          <t>G01,G06</t>
        </is>
      </c>
      <c r="W275" s="3" t="inlineStr">
        <is>
          <t>高</t>
        </is>
      </c>
    </row>
    <row r="276">
      <c r="A276" s="3" t="inlineStr">
        <is>
          <t>Amortize</t>
        </is>
      </c>
      <c r="B276" s="3" t="n">
        <v>39</v>
      </c>
      <c r="C276" s="3" t="inlineStr">
        <is>
          <t>由上而下年化總額（三層級合計）</t>
        </is>
      </c>
      <c r="D276" s="3" t="inlineStr">
        <is>
          <t>$M/年</t>
        </is>
      </c>
      <c r="E276" s="3" t="n">
        <v>15</v>
      </c>
      <c r="F276" s="3" t="n">
        <v>1</v>
      </c>
      <c r="G276" s="3" t="inlineStr">
        <is>
          <t>C39</t>
        </is>
      </c>
      <c r="H276" s="3">
        <f>IF(AND(ISNUMBER(C15),ISNUMBER(C24),ISNUMBER(C34)),(C15*C11+C24*C20+C34*C30)/1000000,"SLO 不可達")</f>
        <v/>
      </c>
      <c r="I276" s="3" t="n">
        <v>3284.645492</v>
      </c>
      <c r="J276" s="3" t="inlineStr">
        <is>
          <t>—</t>
        </is>
      </c>
      <c r="K276" s="3" t="inlineStr">
        <is>
          <t>—</t>
        </is>
      </c>
      <c r="L276" s="3" t="inlineStr">
        <is>
          <t>—</t>
        </is>
      </c>
      <c r="M276" s="3" t="inlineStr">
        <is>
          <t>—</t>
        </is>
      </c>
      <c r="N276" s="3" t="inlineStr">
        <is>
          <t>[G01] 由上而下年化總額（Amortize 第 39 列）＝Σ（由上而下溢價 × 服務 token），溢價＝訓練占比 ÷（1 − 訓練占比）× 服務成本 $/M（含快取命中混合）。總額 ÷（訓練＋研發 GW × 經濟持有成本）＝0.82（Hopper）、0.87（GB200）、0.88（GB300）、0.86（VR200）、0.86（RU），不等於 1；χ 設 0 時恰為 1.00（31_l9.json）。原因：服務成本按快取混合計價（快取 prefill 很便宜），服務 token 產能卻以全部輸入為新鮮 prefill 算出（第 2 段 F08），兩者相乘小於服務 GW × 持有成本</t>
        </is>
      </c>
      <c r="O276" s="3" t="inlineStr">
        <is>
          <t>—</t>
        </is>
      </c>
      <c r="P276" s="3" t="inlineStr">
        <is>
          <t>[G06] 組合旗標使本列在任一層級不可達時變文字，包括可達層級（20_l7_closure.json）</t>
        </is>
      </c>
      <c r="Q276" s="3" t="inlineStr">
        <is>
          <t>上游含 Y1,Y2,Y3,Y4,Y5,Y6,Y7,Y8</t>
        </is>
      </c>
      <c r="R276" s="3" t="inlineStr">
        <is>
          <t>—</t>
        </is>
      </c>
      <c r="S276" s="3" t="inlineStr">
        <is>
          <t>Y1,Y2,Y3,Y4,Y5,Y6,Y7,Y8</t>
        </is>
      </c>
      <c r="T276" s="3" t="inlineStr"/>
      <c r="U276" s="3" t="n">
        <v>75</v>
      </c>
      <c r="V276" s="3" t="inlineStr">
        <is>
          <t>G01,G06</t>
        </is>
      </c>
      <c r="W276" s="3" t="inlineStr">
        <is>
          <t>高</t>
        </is>
      </c>
    </row>
    <row r="277">
      <c r="A277" s="3" t="inlineStr">
        <is>
          <t>Amortize</t>
        </is>
      </c>
      <c r="B277" s="3" t="n">
        <v>40</v>
      </c>
      <c r="C277" s="3" t="inlineStr">
        <is>
          <t>自下而上年化總額（研發計畫成本 × 12 ÷ 商業壽命，合計）</t>
        </is>
      </c>
      <c r="D277" s="3" t="inlineStr">
        <is>
          <t>$M/年</t>
        </is>
      </c>
      <c r="E277" s="3" t="n">
        <v>15</v>
      </c>
      <c r="F277" s="3" t="n">
        <v>1</v>
      </c>
      <c r="G277" s="3" t="inlineStr">
        <is>
          <t>C40</t>
        </is>
      </c>
      <c r="H277" s="3">
        <f>C10*12/INDEX(B4_Life,1,1)+C19*12/INDEX(B4_Life,1,2)+C29*12/INDEX(B4_Life,1,3)</f>
        <v/>
      </c>
      <c r="I277" s="3" t="n">
        <v>1504.344175</v>
      </c>
      <c r="J277" s="3" t="inlineStr">
        <is>
          <t>—</t>
        </is>
      </c>
      <c r="K277" s="3" t="inlineStr">
        <is>
          <t>[G13] 自下而上總額用 100% 利用率的計畫成本；由上而下總額用訓練 GW 的全額持有成本，縮放倍數（第 41 列）因此部分反映利用率口徑差</t>
        </is>
      </c>
      <c r="L277" s="3" t="inlineStr">
        <is>
          <t>—</t>
        </is>
      </c>
      <c r="M277" s="3" t="inlineStr">
        <is>
          <t>—</t>
        </is>
      </c>
      <c r="N277" s="3" t="inlineStr">
        <is>
          <t>—</t>
        </is>
      </c>
      <c r="O277" s="3" t="inlineStr">
        <is>
          <t>—</t>
        </is>
      </c>
      <c r="P277" s="3" t="inlineStr">
        <is>
          <t>—</t>
        </is>
      </c>
      <c r="Q277" s="3" t="inlineStr">
        <is>
          <t>上游含 Y1,Y4,Y5,Y7,Y8</t>
        </is>
      </c>
      <c r="R277" s="3" t="inlineStr">
        <is>
          <t>—</t>
        </is>
      </c>
      <c r="S277" s="3" t="inlineStr">
        <is>
          <t>Y1,Y4,Y5,Y7,Y8</t>
        </is>
      </c>
      <c r="T277" s="3" t="inlineStr"/>
      <c r="U277" s="3" t="n">
        <v>15</v>
      </c>
      <c r="V277" s="3" t="inlineStr">
        <is>
          <t>G13</t>
        </is>
      </c>
      <c r="W277" s="3" t="inlineStr">
        <is>
          <t>中</t>
        </is>
      </c>
    </row>
    <row r="278">
      <c r="A278" s="3" t="inlineStr">
        <is>
          <t>Amortize</t>
        </is>
      </c>
      <c r="B278" s="3" t="n">
        <v>41</v>
      </c>
      <c r="C278" s="3" t="inlineStr">
        <is>
          <t>縮放倍數（由上而下 ÷ 自下而上總額）</t>
        </is>
      </c>
      <c r="D278" s="3" t="inlineStr">
        <is>
          <t>x</t>
        </is>
      </c>
      <c r="E278" s="3" t="n">
        <v>15</v>
      </c>
      <c r="F278" s="3" t="n">
        <v>1</v>
      </c>
      <c r="G278" s="3" t="inlineStr">
        <is>
          <t>C41</t>
        </is>
      </c>
      <c r="H278" s="3">
        <f>IF(ISNUMBER(C39),IF(C40&gt;0,C39/C40,0),"SLO 不可達")</f>
        <v/>
      </c>
      <c r="I278" s="3" t="n">
        <v>2.18344</v>
      </c>
      <c r="J278" s="3" t="inlineStr">
        <is>
          <t>—</t>
        </is>
      </c>
      <c r="K278" s="3" t="inlineStr">
        <is>
          <t>—</t>
        </is>
      </c>
      <c r="L278" s="3" t="inlineStr">
        <is>
          <t>—</t>
        </is>
      </c>
      <c r="M278" s="3" t="inlineStr">
        <is>
          <t>[G01] 縮放倍數與 (c) 預設攤提承接 Amortize 第 39 列的少計（12–18%）</t>
        </is>
      </c>
      <c r="N278" s="3" t="inlineStr">
        <is>
          <t>—</t>
        </is>
      </c>
      <c r="O278" s="3" t="inlineStr">
        <is>
          <t>—</t>
        </is>
      </c>
      <c r="P278" s="3" t="inlineStr">
        <is>
          <t>[G06] 組合旗標使本列在任一層級不可達時變文字，包括可達層級（20_l7_closure.json）</t>
        </is>
      </c>
      <c r="Q278" s="3" t="inlineStr">
        <is>
          <t>上游含 Y1,Y2,Y3,Y4,Y5,Y6,Y7,Y8</t>
        </is>
      </c>
      <c r="R278" s="3" t="inlineStr">
        <is>
          <t>[G14] 縮放倍數（由上而下 ÷ 自下而上）2.2（Hopper）／4.7／5.1／8.2（VR200）／12.0（RU）；(c) 下游預設攤提＝自下而上 × 本倍數，大小由 B4_Serve（2025 支出比 0.41）決定。S3：B4_Serve 0.3／0.6 → IF_AmortDefault_Sol +62%／−54%、IF_FullCostDefault_Sol +20%／−18%；研發倍數 4.4／10.4 → 本倍數 +82%／−23%，但 IF_AmortDefault 不變</t>
        </is>
      </c>
      <c r="S278" s="3" t="inlineStr">
        <is>
          <t>Y1,Y2,Y3,Y4,Y5,Y6,Y7,Y8</t>
        </is>
      </c>
      <c r="T278" s="3" t="inlineStr"/>
      <c r="U278" s="3" t="n">
        <v>45</v>
      </c>
      <c r="V278" s="3" t="inlineStr">
        <is>
          <t>G01,G06,G14</t>
        </is>
      </c>
      <c r="W278" s="3" t="inlineStr">
        <is>
          <t>高</t>
        </is>
      </c>
    </row>
    <row r="279">
      <c r="A279" s="3" t="inlineStr">
        <is>
          <t>Amortize</t>
        </is>
      </c>
      <c r="B279" s="3" t="n">
        <v>42</v>
      </c>
      <c r="C279" s="3" t="inlineStr">
        <is>
          <t>付費營收合計（OpenAI 有效單價）</t>
        </is>
      </c>
      <c r="D279" s="3" t="inlineStr">
        <is>
          <t>$M/年</t>
        </is>
      </c>
      <c r="E279" s="3" t="n">
        <v>15</v>
      </c>
      <c r="F279" s="3" t="n">
        <v>1</v>
      </c>
      <c r="G279" s="3" t="inlineStr">
        <is>
          <t>C42</t>
        </is>
      </c>
      <c r="H279" s="3">
        <f>IF(AND(ISNUMBER(Fleet_1GW!C21),ISNUMBER(Fleet_1GW!C24),ISNUMBER(Fleet_1GW!C27)),(Fleet_1GW!C21*INDEX(B4_EffRef,1,1)+Fleet_1GW!C24*INDEX(B4_EffRef,1,2)+Fleet_1GW!C27*INDEX(B4_EffRef,1,3))/1000000,"SLO 不可達")</f>
        <v/>
      </c>
      <c r="I279" s="3" t="n">
        <v>4004.88775</v>
      </c>
      <c r="J279" s="3" t="inlineStr">
        <is>
          <t>—</t>
        </is>
      </c>
      <c r="K279" s="3" t="inlineStr">
        <is>
          <t>—</t>
        </is>
      </c>
      <c r="L279" s="3" t="inlineStr">
        <is>
          <t>—</t>
        </is>
      </c>
      <c r="M279" s="3" t="inlineStr">
        <is>
          <t>—</t>
        </is>
      </c>
      <c r="N279" s="3" t="inlineStr">
        <is>
          <t>—</t>
        </is>
      </c>
      <c r="O279" s="3" t="inlineStr">
        <is>
          <t>—</t>
        </is>
      </c>
      <c r="P279" s="3" t="inlineStr">
        <is>
          <t>[G06] 組合旗標使本列在任一層級不可達時變文字，包括可達層級（20_l7_closure.json）</t>
        </is>
      </c>
      <c r="Q279" s="3" t="inlineStr">
        <is>
          <t>上游含 Y1,Y2,Y3,Y5,Y6,Y8</t>
        </is>
      </c>
      <c r="R279" s="3" t="inlineStr">
        <is>
          <t>—</t>
        </is>
      </c>
      <c r="S279" s="3" t="inlineStr">
        <is>
          <t>Y1,Y2,Y3,Y5,Y6,Y8</t>
        </is>
      </c>
      <c r="T279" s="3" t="inlineStr"/>
      <c r="U279" s="3" t="n">
        <v>60</v>
      </c>
      <c r="V279" s="3" t="inlineStr">
        <is>
          <t>G06</t>
        </is>
      </c>
      <c r="W279" s="3" t="inlineStr">
        <is>
          <t>中</t>
        </is>
      </c>
    </row>
    <row r="280">
      <c r="A280" s="3" t="inlineStr">
        <is>
          <t>Amortize</t>
        </is>
      </c>
      <c r="B280" s="3" t="n">
        <v>43</v>
      </c>
      <c r="C280" s="3" t="inlineStr">
        <is>
          <t>Luna（低層）：(c) 由上而下總額 × 自下而上權重（下游預設）　[IF_AmortDefault_Luna]</t>
        </is>
      </c>
      <c r="D280" s="3" t="inlineStr">
        <is>
          <t>$/M</t>
        </is>
      </c>
      <c r="E280" s="3" t="n">
        <v>15</v>
      </c>
      <c r="F280" s="3" t="n">
        <v>1</v>
      </c>
      <c r="G280" s="3" t="inlineStr">
        <is>
          <t>C43</t>
        </is>
      </c>
      <c r="H280" s="3">
        <f>IF(AND(ISNUMBER(C13),ISNUMBER(C41)),C13*C41,"SLO 不可達")</f>
        <v/>
      </c>
      <c r="I280" s="3" t="n">
        <v>0.017533</v>
      </c>
      <c r="J280" s="3" t="inlineStr">
        <is>
          <t>—</t>
        </is>
      </c>
      <c r="K280" s="3" t="inlineStr">
        <is>
          <t>—</t>
        </is>
      </c>
      <c r="L280" s="3" t="inlineStr">
        <is>
          <t>—</t>
        </is>
      </c>
      <c r="M280" s="3" t="inlineStr">
        <is>
          <t>[G01] 縮放倍數與 (c) 預設攤提承接 Amortize 第 39 列的少計（12–18%）</t>
        </is>
      </c>
      <c r="N280" s="3" t="inlineStr">
        <is>
          <t>—</t>
        </is>
      </c>
      <c r="O280" s="3" t="inlineStr">
        <is>
          <t>—</t>
        </is>
      </c>
      <c r="P280" s="3" t="inlineStr">
        <is>
          <t>[G06] 組合旗標使本列在任一層級不可達時變文字，包括可達層級（20_l7_closure.json）</t>
        </is>
      </c>
      <c r="Q280" s="3" t="inlineStr">
        <is>
          <t>上游含 Y1,Y2,Y3,Y4,Y5,Y6,Y7,Y8</t>
        </is>
      </c>
      <c r="R280" s="3" t="inlineStr">
        <is>
          <t>—</t>
        </is>
      </c>
      <c r="S280" s="3" t="inlineStr">
        <is>
          <t>Y1,Y2,Y3,Y4,Y5,Y6,Y7,Y8</t>
        </is>
      </c>
      <c r="T280" s="3" t="inlineStr"/>
      <c r="U280" s="3" t="n">
        <v>30</v>
      </c>
      <c r="V280" s="3" t="inlineStr">
        <is>
          <t>G01,G06</t>
        </is>
      </c>
      <c r="W280" s="3" t="inlineStr">
        <is>
          <t>高</t>
        </is>
      </c>
    </row>
    <row r="281">
      <c r="A281" s="3" t="inlineStr">
        <is>
          <t>Amortize</t>
        </is>
      </c>
      <c r="B281" s="3" t="n">
        <v>44</v>
      </c>
      <c r="C281" s="3" t="inlineStr">
        <is>
          <t>Luna（低層）：(d) 由上而下總額 × 營收權重　[IF_AmortRev_Luna]</t>
        </is>
      </c>
      <c r="D281" s="3" t="inlineStr">
        <is>
          <t>$/M</t>
        </is>
      </c>
      <c r="E281" s="3" t="n">
        <v>15</v>
      </c>
      <c r="F281" s="3" t="n">
        <v>1</v>
      </c>
      <c r="G281" s="3" t="inlineStr">
        <is>
          <t>C44</t>
        </is>
      </c>
      <c r="H281" s="3">
        <f>IF(AND(ISNUMBER(C42),ISNUMBER(C11)),IF(AND(C42&gt;0,C11&gt;0),C39*(Fleet_1GW!C21*INDEX(B4_EffRef,1,1)/1000000/C42)*1000000/C11,0),"SLO 不可達")</f>
        <v/>
      </c>
      <c r="I281" s="3" t="n">
        <v>0.007828999999999999</v>
      </c>
      <c r="J281" s="3" t="inlineStr">
        <is>
          <t>—</t>
        </is>
      </c>
      <c r="K281" s="3" t="inlineStr">
        <is>
          <t>[G02] (d) 營收權重：分子用付費營收占比，分母卻除以付費＋免費 token；同一列分子分母口徑不同</t>
        </is>
      </c>
      <c r="L281" s="3" t="inlineStr">
        <is>
          <t>—</t>
        </is>
      </c>
      <c r="M281" s="3" t="inlineStr">
        <is>
          <t>[G01] (d) 營收權重攤提同樣以 Amortize 第 39 列總額為基礎（少計 12–18%）</t>
        </is>
      </c>
      <c r="N281" s="3" t="inlineStr">
        <is>
          <t>—</t>
        </is>
      </c>
      <c r="O281" s="3" t="inlineStr">
        <is>
          <t>—</t>
        </is>
      </c>
      <c r="P281" s="3" t="inlineStr">
        <is>
          <t>[G06] 組合旗標使本列在任一層級不可達時變文字，包括可達層級（20_l7_closure.json）</t>
        </is>
      </c>
      <c r="Q281" s="3" t="inlineStr">
        <is>
          <t>上游含 Y1,Y2,Y3,Y4,Y5,Y6,Y7,Y8</t>
        </is>
      </c>
      <c r="R281" s="3" t="inlineStr">
        <is>
          <t>—</t>
        </is>
      </c>
      <c r="S281" s="3" t="inlineStr">
        <is>
          <t>Y1,Y2,Y3,Y4,Y5,Y6,Y7,Y8</t>
        </is>
      </c>
      <c r="T281" s="3" t="inlineStr"/>
      <c r="U281" s="3" t="n">
        <v>15</v>
      </c>
      <c r="V281" s="3" t="inlineStr">
        <is>
          <t>G01,G02,G06</t>
        </is>
      </c>
      <c r="W281" s="3" t="inlineStr">
        <is>
          <t>中</t>
        </is>
      </c>
    </row>
    <row r="282">
      <c r="A282" s="3" t="inlineStr">
        <is>
          <t>Amortize</t>
        </is>
      </c>
      <c r="B282" s="3" t="n">
        <v>45</v>
      </c>
      <c r="C282" s="3" t="inlineStr">
        <is>
          <t>Sol（中層）：(c) 由上而下總額 × 自下而上權重（下游預設）　[IF_AmortDefault_Sol]</t>
        </is>
      </c>
      <c r="D282" s="3" t="inlineStr">
        <is>
          <t>$/M</t>
        </is>
      </c>
      <c r="E282" s="3" t="n">
        <v>15</v>
      </c>
      <c r="F282" s="3" t="n">
        <v>1</v>
      </c>
      <c r="G282" s="3" t="inlineStr">
        <is>
          <t>C45</t>
        </is>
      </c>
      <c r="H282" s="3">
        <f>IF(AND(ISNUMBER(C22),ISNUMBER(C41)),C22*C41,"SLO 不可達")</f>
        <v/>
      </c>
      <c r="I282" s="3" t="n">
        <v>0.215508</v>
      </c>
      <c r="J282" s="3" t="inlineStr">
        <is>
          <t>—</t>
        </is>
      </c>
      <c r="K282" s="3" t="inlineStr">
        <is>
          <t>—</t>
        </is>
      </c>
      <c r="L282" s="3" t="inlineStr">
        <is>
          <t>—</t>
        </is>
      </c>
      <c r="M282" s="3" t="inlineStr">
        <is>
          <t>[G01] 縮放倍數與 (c) 預設攤提承接 Amortize 第 39 列的少計（12–18%）</t>
        </is>
      </c>
      <c r="N282" s="3" t="inlineStr">
        <is>
          <t>—</t>
        </is>
      </c>
      <c r="O282" s="3" t="inlineStr">
        <is>
          <t>—</t>
        </is>
      </c>
      <c r="P282" s="3" t="inlineStr">
        <is>
          <t>[G06] 組合旗標使本列在任一層級不可達時變文字，包括可達層級（20_l7_closure.json）</t>
        </is>
      </c>
      <c r="Q282" s="3" t="inlineStr">
        <is>
          <t>上游含 Y1,Y2,Y3,Y4,Y5,Y6,Y7,Y8</t>
        </is>
      </c>
      <c r="R282" s="3" t="inlineStr">
        <is>
          <t>—</t>
        </is>
      </c>
      <c r="S282" s="3" t="inlineStr">
        <is>
          <t>Y1,Y2,Y3,Y4,Y5,Y6,Y7,Y8</t>
        </is>
      </c>
      <c r="T282" s="3" t="inlineStr"/>
      <c r="U282" s="3" t="n">
        <v>30</v>
      </c>
      <c r="V282" s="3" t="inlineStr">
        <is>
          <t>G01,G06</t>
        </is>
      </c>
      <c r="W282" s="3" t="inlineStr">
        <is>
          <t>高</t>
        </is>
      </c>
    </row>
    <row r="283">
      <c r="A283" s="3" t="inlineStr">
        <is>
          <t>Amortize</t>
        </is>
      </c>
      <c r="B283" s="3" t="n">
        <v>46</v>
      </c>
      <c r="C283" s="3" t="inlineStr">
        <is>
          <t>Sol（中層）：(d) 由上而下總額 × 營收權重　[IF_AmortRev_Sol]</t>
        </is>
      </c>
      <c r="D283" s="3" t="inlineStr">
        <is>
          <t>$/M</t>
        </is>
      </c>
      <c r="E283" s="3" t="n">
        <v>15</v>
      </c>
      <c r="F283" s="3" t="n">
        <v>1</v>
      </c>
      <c r="G283" s="3" t="inlineStr">
        <is>
          <t>C46</t>
        </is>
      </c>
      <c r="H283" s="3">
        <f>IF(AND(ISNUMBER(C42),ISNUMBER(C20)),IF(AND(C42&gt;0,C20&gt;0),C39*(Fleet_1GW!C24*INDEX(B4_EffRef,1,2)/1000000/C42)*1000000/C20,0),"SLO 不可達")</f>
        <v/>
      </c>
      <c r="I283" s="3" t="n">
        <v>0.760751</v>
      </c>
      <c r="J283" s="3" t="inlineStr">
        <is>
          <t>—</t>
        </is>
      </c>
      <c r="K283" s="3" t="inlineStr">
        <is>
          <t>[G02] (d) 營收權重：分子用付費營收占比，分母卻除以付費＋免費 token；同一列分子分母口徑不同</t>
        </is>
      </c>
      <c r="L283" s="3" t="inlineStr">
        <is>
          <t>—</t>
        </is>
      </c>
      <c r="M283" s="3" t="inlineStr">
        <is>
          <t>[G01] (d) 營收權重攤提同樣以 Amortize 第 39 列總額為基礎（少計 12–18%）</t>
        </is>
      </c>
      <c r="N283" s="3" t="inlineStr">
        <is>
          <t>—</t>
        </is>
      </c>
      <c r="O283" s="3" t="inlineStr">
        <is>
          <t>—</t>
        </is>
      </c>
      <c r="P283" s="3" t="inlineStr">
        <is>
          <t>[G06] 組合旗標使本列在任一層級不可達時變文字，包括可達層級（20_l7_closure.json）</t>
        </is>
      </c>
      <c r="Q283" s="3" t="inlineStr">
        <is>
          <t>上游含 Y1,Y2,Y3,Y4,Y5,Y6,Y7,Y8</t>
        </is>
      </c>
      <c r="R283" s="3" t="inlineStr">
        <is>
          <t>—</t>
        </is>
      </c>
      <c r="S283" s="3" t="inlineStr">
        <is>
          <t>Y1,Y2,Y3,Y4,Y5,Y6,Y7,Y8</t>
        </is>
      </c>
      <c r="T283" s="3" t="inlineStr"/>
      <c r="U283" s="3" t="n">
        <v>15</v>
      </c>
      <c r="V283" s="3" t="inlineStr">
        <is>
          <t>G01,G02,G06</t>
        </is>
      </c>
      <c r="W283" s="3" t="inlineStr">
        <is>
          <t>中</t>
        </is>
      </c>
    </row>
    <row r="284">
      <c r="A284" s="3" t="inlineStr">
        <is>
          <t>Amortize</t>
        </is>
      </c>
      <c r="B284" s="3" t="n">
        <v>47</v>
      </c>
      <c r="C284" s="3" t="inlineStr">
        <is>
          <t>Astra（頂層）：(c) 由上而下總額 × 自下而上權重（下游預設）　[IF_AmortDefault_Astra]</t>
        </is>
      </c>
      <c r="D284" s="3" t="inlineStr">
        <is>
          <t>$/M</t>
        </is>
      </c>
      <c r="E284" s="3" t="n">
        <v>15</v>
      </c>
      <c r="F284" s="3" t="n">
        <v>1</v>
      </c>
      <c r="G284" s="3" t="inlineStr">
        <is>
          <t>C47</t>
        </is>
      </c>
      <c r="H284" s="3">
        <f>IF(AND(ISNUMBER(C32),ISNUMBER(C41)),C32*C41,"SLO 不可達")</f>
        <v/>
      </c>
      <c r="I284" s="3" t="n">
        <v>9.206697999999999</v>
      </c>
      <c r="J284" s="3" t="inlineStr">
        <is>
          <t>—</t>
        </is>
      </c>
      <c r="K284" s="3" t="inlineStr">
        <is>
          <t>—</t>
        </is>
      </c>
      <c r="L284" s="3" t="inlineStr">
        <is>
          <t>—</t>
        </is>
      </c>
      <c r="M284" s="3" t="inlineStr">
        <is>
          <t>[G01] 縮放倍數與 (c) 預設攤提承接 Amortize 第 39 列的少計（12–18%）</t>
        </is>
      </c>
      <c r="N284" s="3" t="inlineStr">
        <is>
          <t>—</t>
        </is>
      </c>
      <c r="O284" s="3" t="inlineStr">
        <is>
          <t>—</t>
        </is>
      </c>
      <c r="P284" s="3" t="inlineStr">
        <is>
          <t>[G06] 組合旗標使本列在任一層級不可達時變文字，包括可達層級（20_l7_closure.json）</t>
        </is>
      </c>
      <c r="Q284" s="3" t="inlineStr">
        <is>
          <t>上游含 Y1,Y2,Y3,Y4,Y5,Y6,Y7,Y8</t>
        </is>
      </c>
      <c r="R284" s="3" t="inlineStr">
        <is>
          <t>—</t>
        </is>
      </c>
      <c r="S284" s="3" t="inlineStr">
        <is>
          <t>Y1,Y2,Y3,Y4,Y5,Y6,Y7,Y8</t>
        </is>
      </c>
      <c r="T284" s="3" t="inlineStr"/>
      <c r="U284" s="3" t="n">
        <v>30</v>
      </c>
      <c r="V284" s="3" t="inlineStr">
        <is>
          <t>G01,G06</t>
        </is>
      </c>
      <c r="W284" s="3" t="inlineStr">
        <is>
          <t>高</t>
        </is>
      </c>
    </row>
    <row r="285">
      <c r="A285" s="3" t="inlineStr">
        <is>
          <t>Amortize</t>
        </is>
      </c>
      <c r="B285" s="3" t="n">
        <v>48</v>
      </c>
      <c r="C285" s="3" t="inlineStr">
        <is>
          <t>Astra（頂層）：(d) 由上而下總額 × 營收權重　[IF_AmortRev_Astra]</t>
        </is>
      </c>
      <c r="D285" s="3" t="inlineStr">
        <is>
          <t>$/M</t>
        </is>
      </c>
      <c r="E285" s="3" t="n">
        <v>15</v>
      </c>
      <c r="F285" s="3" t="n">
        <v>1</v>
      </c>
      <c r="G285" s="3" t="inlineStr">
        <is>
          <t>C48</t>
        </is>
      </c>
      <c r="H285" s="3">
        <f>IF(AND(ISNUMBER(C42),ISNUMBER(C30)),IF(AND(C42&gt;0,C30&gt;0),C39*(Fleet_1GW!C27*INDEX(B4_EffRef,1,3)/1000000/C42)*1000000/C30,0),"SLO 不可達")</f>
        <v/>
      </c>
      <c r="I285" s="3" t="n">
        <v>6.590435</v>
      </c>
      <c r="J285" s="3" t="inlineStr">
        <is>
          <t>—</t>
        </is>
      </c>
      <c r="K285" s="3" t="inlineStr">
        <is>
          <t>[G02] (d) 營收權重：分子用付費營收占比，分母卻除以付費＋免費 token；同一列分子分母口徑不同</t>
        </is>
      </c>
      <c r="L285" s="3" t="inlineStr">
        <is>
          <t>—</t>
        </is>
      </c>
      <c r="M285" s="3" t="inlineStr">
        <is>
          <t>[G01] (d) 營收權重攤提同樣以 Amortize 第 39 列總額為基礎（少計 12–18%）</t>
        </is>
      </c>
      <c r="N285" s="3" t="inlineStr">
        <is>
          <t>—</t>
        </is>
      </c>
      <c r="O285" s="3" t="inlineStr">
        <is>
          <t>—</t>
        </is>
      </c>
      <c r="P285" s="3" t="inlineStr">
        <is>
          <t>[G06] 組合旗標使本列在任一層級不可達時變文字，包括可達層級（20_l7_closure.json）</t>
        </is>
      </c>
      <c r="Q285" s="3" t="inlineStr">
        <is>
          <t>上游含 Y1,Y2,Y3,Y4,Y5,Y6,Y7,Y8</t>
        </is>
      </c>
      <c r="R285" s="3" t="inlineStr">
        <is>
          <t>—</t>
        </is>
      </c>
      <c r="S285" s="3" t="inlineStr">
        <is>
          <t>Y1,Y2,Y3,Y4,Y5,Y6,Y7,Y8</t>
        </is>
      </c>
      <c r="T285" s="3" t="inlineStr"/>
      <c r="U285" s="3" t="n">
        <v>15</v>
      </c>
      <c r="V285" s="3" t="inlineStr">
        <is>
          <t>G01,G02,G06</t>
        </is>
      </c>
      <c r="W285" s="3" t="inlineStr">
        <is>
          <t>中</t>
        </is>
      </c>
    </row>
    <row r="286">
      <c r="A286" s="3" t="inlineStr">
        <is>
          <t>Interface</t>
        </is>
      </c>
      <c r="B286" s="3" t="n">
        <v>4</v>
      </c>
      <c r="C286" s="3" t="inlineStr">
        <is>
          <t>指標</t>
        </is>
      </c>
      <c r="D286" s="3" t="inlineStr">
        <is>
          <t>單位</t>
        </is>
      </c>
      <c r="E286" s="3" t="n">
        <v>15</v>
      </c>
      <c r="F286" s="3" t="n">
        <v>11</v>
      </c>
      <c r="G286" s="3" t="inlineStr">
        <is>
          <t>C4</t>
        </is>
      </c>
      <c r="H286" s="3">
        <f>Spec_Rack!C4</f>
        <v/>
      </c>
      <c r="I286" s="3" t="inlineStr">
        <is>
          <t>Hopper H100</t>
        </is>
      </c>
      <c r="J286" s="3" t="inlineStr">
        <is>
          <t>—</t>
        </is>
      </c>
      <c r="K286" s="3" t="inlineStr">
        <is>
          <t>—</t>
        </is>
      </c>
      <c r="L286" s="3" t="inlineStr">
        <is>
          <t>—</t>
        </is>
      </c>
      <c r="M286" s="3" t="inlineStr">
        <is>
          <t>—</t>
        </is>
      </c>
      <c r="N286" s="3" t="inlineStr">
        <is>
          <t>—</t>
        </is>
      </c>
      <c r="O286" s="3" t="inlineStr">
        <is>
          <t>—</t>
        </is>
      </c>
      <c r="P286" s="3" t="inlineStr">
        <is>
          <t>—</t>
        </is>
      </c>
      <c r="Q286" s="3" t="inlineStr">
        <is>
          <t>—</t>
        </is>
      </c>
      <c r="R286" s="3" t="inlineStr">
        <is>
          <t>—</t>
        </is>
      </c>
      <c r="S286" s="3" t="inlineStr"/>
      <c r="T286" s="3" t="inlineStr"/>
      <c r="U286" s="3" t="n">
        <v>32</v>
      </c>
      <c r="V286" s="3" t="inlineStr"/>
      <c r="W286" s="3" t="inlineStr">
        <is>
          <t>—</t>
        </is>
      </c>
    </row>
    <row r="287">
      <c r="A287" s="3" t="inlineStr">
        <is>
          <t>Interface</t>
        </is>
      </c>
      <c r="B287" s="3" t="n">
        <v>6</v>
      </c>
      <c r="C287" s="3" t="inlineStr">
        <is>
          <t>每 GW 機架數</t>
        </is>
      </c>
      <c r="D287" s="3" t="inlineStr">
        <is>
          <t>架</t>
        </is>
      </c>
      <c r="E287" s="3" t="n">
        <v>20</v>
      </c>
      <c r="F287" s="3" t="n">
        <v>6</v>
      </c>
      <c r="G287" s="3" t="inlineStr">
        <is>
          <t>C6</t>
        </is>
      </c>
      <c r="H287" s="3">
        <f>(DC_Cost!C12)/CTL_GW</f>
        <v/>
      </c>
      <c r="I287" s="3" t="n">
        <v>22439</v>
      </c>
      <c r="J287" s="3" t="inlineStr">
        <is>
          <t>—</t>
        </is>
      </c>
      <c r="K287" s="3" t="inlineStr">
        <is>
          <t>—</t>
        </is>
      </c>
      <c r="L287" s="3" t="inlineStr">
        <is>
          <t>—</t>
        </is>
      </c>
      <c r="M287" s="3" t="inlineStr">
        <is>
          <t>—</t>
        </is>
      </c>
      <c r="N287" s="3" t="inlineStr">
        <is>
          <t>—</t>
        </is>
      </c>
      <c r="O287" s="3" t="inlineStr">
        <is>
          <t>—</t>
        </is>
      </c>
      <c r="P287" s="3" t="inlineStr">
        <is>
          <t>—</t>
        </is>
      </c>
      <c r="Q287" s="3" t="inlineStr">
        <is>
          <t>—</t>
        </is>
      </c>
      <c r="R287" s="3" t="inlineStr">
        <is>
          <t>—</t>
        </is>
      </c>
      <c r="S287" s="3" t="inlineStr"/>
      <c r="T287" s="3" t="inlineStr"/>
      <c r="U287" s="3" t="n">
        <v>35</v>
      </c>
      <c r="V287" s="3" t="inlineStr"/>
      <c r="W287" s="3" t="inlineStr">
        <is>
          <t>—</t>
        </is>
      </c>
    </row>
    <row r="288">
      <c r="A288" s="3" t="inlineStr">
        <is>
          <t>Interface</t>
        </is>
      </c>
      <c r="B288" s="3" t="n">
        <v>7</v>
      </c>
      <c r="C288" s="3" t="inlineStr">
        <is>
          <t>每 GW GPU 數</t>
        </is>
      </c>
      <c r="D288" s="3" t="inlineStr">
        <is>
          <t>顆</t>
        </is>
      </c>
      <c r="E288" s="3" t="n">
        <v>20</v>
      </c>
      <c r="F288" s="3" t="n">
        <v>6</v>
      </c>
      <c r="G288" s="3" t="inlineStr">
        <is>
          <t>C7</t>
        </is>
      </c>
      <c r="H288" s="3">
        <f>(DC_Cost!C14)/CTL_GW</f>
        <v/>
      </c>
      <c r="I288" s="3" t="n">
        <v>718048</v>
      </c>
      <c r="J288" s="3" t="inlineStr">
        <is>
          <t>—</t>
        </is>
      </c>
      <c r="K288" s="3" t="inlineStr">
        <is>
          <t>—</t>
        </is>
      </c>
      <c r="L288" s="3" t="inlineStr">
        <is>
          <t>—</t>
        </is>
      </c>
      <c r="M288" s="3" t="inlineStr">
        <is>
          <t>—</t>
        </is>
      </c>
      <c r="N288" s="3" t="inlineStr">
        <is>
          <t>—</t>
        </is>
      </c>
      <c r="O288" s="3" t="inlineStr">
        <is>
          <t>—</t>
        </is>
      </c>
      <c r="P288" s="3" t="inlineStr">
        <is>
          <t>—</t>
        </is>
      </c>
      <c r="Q288" s="3" t="inlineStr">
        <is>
          <t>—</t>
        </is>
      </c>
      <c r="R288" s="3" t="inlineStr">
        <is>
          <t>—</t>
        </is>
      </c>
      <c r="S288" s="3" t="inlineStr"/>
      <c r="T288" s="3" t="inlineStr"/>
      <c r="U288" s="3" t="n">
        <v>35</v>
      </c>
      <c r="V288" s="3" t="inlineStr"/>
      <c r="W288" s="3" t="inlineStr">
        <is>
          <t>—</t>
        </is>
      </c>
    </row>
    <row r="289">
      <c r="A289" s="3" t="inlineStr">
        <is>
          <t>Interface</t>
        </is>
      </c>
      <c r="B289" s="3" t="n">
        <v>8</v>
      </c>
      <c r="C289" s="3" t="inlineStr">
        <is>
          <t>每 IT GW 對應設施電力</t>
        </is>
      </c>
      <c r="D289" s="3" t="inlineStr">
        <is>
          <t>GW</t>
        </is>
      </c>
      <c r="E289" s="3" t="n">
        <v>20</v>
      </c>
      <c r="F289" s="3" t="n">
        <v>6</v>
      </c>
      <c r="G289" s="3" t="inlineStr">
        <is>
          <t>C8</t>
        </is>
      </c>
      <c r="H289" s="3">
        <f>(DC_Cost!C16/1000)/CTL_GW</f>
        <v/>
      </c>
      <c r="I289" s="3" t="n">
        <v>1.1</v>
      </c>
      <c r="J289" s="3" t="inlineStr">
        <is>
          <t>—</t>
        </is>
      </c>
      <c r="K289" s="3" t="inlineStr">
        <is>
          <t>—</t>
        </is>
      </c>
      <c r="L289" s="3" t="inlineStr">
        <is>
          <t>—</t>
        </is>
      </c>
      <c r="M289" s="3" t="inlineStr">
        <is>
          <t>—</t>
        </is>
      </c>
      <c r="N289" s="3" t="inlineStr">
        <is>
          <t>—</t>
        </is>
      </c>
      <c r="O289" s="3" t="inlineStr">
        <is>
          <t>—</t>
        </is>
      </c>
      <c r="P289" s="3" t="inlineStr">
        <is>
          <t>—</t>
        </is>
      </c>
      <c r="Q289" s="3" t="inlineStr">
        <is>
          <t>上游含 Y4</t>
        </is>
      </c>
      <c r="R289" s="3" t="inlineStr">
        <is>
          <t>—</t>
        </is>
      </c>
      <c r="S289" s="3" t="inlineStr">
        <is>
          <t>Y4</t>
        </is>
      </c>
      <c r="T289" s="3" t="inlineStr"/>
      <c r="U289" s="3" t="n">
        <v>3</v>
      </c>
      <c r="V289" s="3" t="inlineStr"/>
      <c r="W289" s="3" t="inlineStr">
        <is>
          <t>資訊（只有 L8）</t>
        </is>
      </c>
    </row>
    <row r="290">
      <c r="A290" s="3" t="inlineStr">
        <is>
          <t>Interface</t>
        </is>
      </c>
      <c r="B290" s="3" t="n">
        <v>9</v>
      </c>
      <c r="C290" s="3" t="inlineStr">
        <is>
          <t>每 GW 資本支出 — IT 設備</t>
        </is>
      </c>
      <c r="D290" s="3" t="inlineStr">
        <is>
          <t>$B</t>
        </is>
      </c>
      <c r="E290" s="3" t="n">
        <v>20</v>
      </c>
      <c r="F290" s="3" t="n">
        <v>6</v>
      </c>
      <c r="G290" s="3" t="inlineStr">
        <is>
          <t>C9</t>
        </is>
      </c>
      <c r="H290" s="3">
        <f>(DC_Cost!C24)/CTL_GW</f>
        <v/>
      </c>
      <c r="I290" s="3" t="n">
        <v>21.420269</v>
      </c>
      <c r="J290" s="3" t="inlineStr">
        <is>
          <t>—</t>
        </is>
      </c>
      <c r="K290" s="3" t="inlineStr">
        <is>
          <t>—</t>
        </is>
      </c>
      <c r="L290" s="3" t="inlineStr">
        <is>
          <t>—</t>
        </is>
      </c>
      <c r="M290" s="3" t="inlineStr">
        <is>
          <t>—</t>
        </is>
      </c>
      <c r="N290" s="3" t="inlineStr">
        <is>
          <t>—</t>
        </is>
      </c>
      <c r="O290" s="3" t="inlineStr">
        <is>
          <t>—</t>
        </is>
      </c>
      <c r="P290" s="3" t="inlineStr">
        <is>
          <t>—</t>
        </is>
      </c>
      <c r="Q290" s="3" t="inlineStr">
        <is>
          <t>上游含 Y7</t>
        </is>
      </c>
      <c r="R290" s="3" t="inlineStr">
        <is>
          <t>—</t>
        </is>
      </c>
      <c r="S290" s="3" t="inlineStr">
        <is>
          <t>Y7</t>
        </is>
      </c>
      <c r="T290" s="3" t="inlineStr"/>
      <c r="U290" s="3" t="n">
        <v>6</v>
      </c>
      <c r="V290" s="3" t="inlineStr"/>
      <c r="W290" s="3" t="inlineStr">
        <is>
          <t>資訊（只有 L8）</t>
        </is>
      </c>
    </row>
    <row r="291">
      <c r="A291" s="3" t="inlineStr">
        <is>
          <t>Interface</t>
        </is>
      </c>
      <c r="B291" s="3" t="n">
        <v>10</v>
      </c>
      <c r="C291" s="3" t="inlineStr">
        <is>
          <t>每 GW 資本支出 — 廠房</t>
        </is>
      </c>
      <c r="D291" s="3" t="inlineStr">
        <is>
          <t>$B</t>
        </is>
      </c>
      <c r="E291" s="3" t="n">
        <v>20</v>
      </c>
      <c r="F291" s="3" t="n">
        <v>6</v>
      </c>
      <c r="G291" s="3" t="inlineStr">
        <is>
          <t>C10</t>
        </is>
      </c>
      <c r="H291" s="3">
        <f>(DC_Cost!C32)/CTL_GW</f>
        <v/>
      </c>
      <c r="I291" s="3" t="n">
        <v>10.212</v>
      </c>
      <c r="J291" s="3" t="inlineStr">
        <is>
          <t>—</t>
        </is>
      </c>
      <c r="K291" s="3" t="inlineStr">
        <is>
          <t>—</t>
        </is>
      </c>
      <c r="L291" s="3" t="inlineStr">
        <is>
          <t>—</t>
        </is>
      </c>
      <c r="M291" s="3" t="inlineStr">
        <is>
          <t>—</t>
        </is>
      </c>
      <c r="N291" s="3" t="inlineStr">
        <is>
          <t>—</t>
        </is>
      </c>
      <c r="O291" s="3" t="inlineStr">
        <is>
          <t>—</t>
        </is>
      </c>
      <c r="P291" s="3" t="inlineStr">
        <is>
          <t>—</t>
        </is>
      </c>
      <c r="Q291" s="3" t="inlineStr">
        <is>
          <t>上游含 Y4</t>
        </is>
      </c>
      <c r="R291" s="3" t="inlineStr">
        <is>
          <t>—</t>
        </is>
      </c>
      <c r="S291" s="3" t="inlineStr">
        <is>
          <t>Y4</t>
        </is>
      </c>
      <c r="T291" s="3" t="inlineStr"/>
      <c r="U291" s="3" t="n">
        <v>3</v>
      </c>
      <c r="V291" s="3" t="inlineStr"/>
      <c r="W291" s="3" t="inlineStr">
        <is>
          <t>資訊（只有 L8）</t>
        </is>
      </c>
    </row>
    <row r="292">
      <c r="A292" s="3" t="inlineStr">
        <is>
          <t>Interface</t>
        </is>
      </c>
      <c r="B292" s="3" t="n">
        <v>11</v>
      </c>
      <c r="C292" s="3" t="inlineStr">
        <is>
          <t>每 GW 資本支出 — 合計</t>
        </is>
      </c>
      <c r="D292" s="3" t="inlineStr">
        <is>
          <t>$B</t>
        </is>
      </c>
      <c r="E292" s="3" t="n">
        <v>20</v>
      </c>
      <c r="F292" s="3" t="n">
        <v>6</v>
      </c>
      <c r="G292" s="3" t="inlineStr">
        <is>
          <t>C11</t>
        </is>
      </c>
      <c r="H292" s="3">
        <f>(DC_Cost!C33)/CTL_GW</f>
        <v/>
      </c>
      <c r="I292" s="3" t="n">
        <v>31.632269</v>
      </c>
      <c r="J292" s="3" t="inlineStr">
        <is>
          <t>—</t>
        </is>
      </c>
      <c r="K292" s="3" t="inlineStr">
        <is>
          <t>—</t>
        </is>
      </c>
      <c r="L292" s="3" t="inlineStr">
        <is>
          <t>—</t>
        </is>
      </c>
      <c r="M292" s="3" t="inlineStr">
        <is>
          <t>—</t>
        </is>
      </c>
      <c r="N292" s="3" t="inlineStr">
        <is>
          <t>—</t>
        </is>
      </c>
      <c r="O292" s="3" t="inlineStr">
        <is>
          <t>—</t>
        </is>
      </c>
      <c r="P292" s="3" t="inlineStr">
        <is>
          <t>—</t>
        </is>
      </c>
      <c r="Q292" s="3" t="inlineStr">
        <is>
          <t>上游含 Y4,Y7</t>
        </is>
      </c>
      <c r="R292" s="3" t="inlineStr">
        <is>
          <t>—</t>
        </is>
      </c>
      <c r="S292" s="3" t="inlineStr">
        <is>
          <t>Y4,Y7</t>
        </is>
      </c>
      <c r="T292" s="3" t="inlineStr"/>
      <c r="U292" s="3" t="n">
        <v>15</v>
      </c>
      <c r="V292" s="3" t="inlineStr"/>
      <c r="W292" s="3" t="inlineStr">
        <is>
          <t>資訊（只有 L8）</t>
        </is>
      </c>
    </row>
    <row r="293">
      <c r="A293" s="3" t="inlineStr">
        <is>
          <t>Interface</t>
        </is>
      </c>
      <c r="B293" s="3" t="n">
        <v>12</v>
      </c>
      <c r="C293" s="3" t="inlineStr">
        <is>
          <t>每 GW 年持有成本 — 會計口徑</t>
        </is>
      </c>
      <c r="D293" s="3" t="inlineStr">
        <is>
          <t>$B/年</t>
        </is>
      </c>
      <c r="E293" s="3" t="n">
        <v>20</v>
      </c>
      <c r="F293" s="3" t="n">
        <v>6</v>
      </c>
      <c r="G293" s="3" t="inlineStr">
        <is>
          <t>C12</t>
        </is>
      </c>
      <c r="H293" s="3">
        <f>(DC_Cost!C49)/CTL_GW</f>
        <v/>
      </c>
      <c r="I293" s="3" t="n">
        <v>5.190004</v>
      </c>
      <c r="J293" s="3" t="inlineStr">
        <is>
          <t>—</t>
        </is>
      </c>
      <c r="K293" s="3" t="inlineStr">
        <is>
          <t>—</t>
        </is>
      </c>
      <c r="L293" s="3" t="inlineStr">
        <is>
          <t>—</t>
        </is>
      </c>
      <c r="M293" s="3" t="inlineStr">
        <is>
          <t>—</t>
        </is>
      </c>
      <c r="N293" s="3" t="inlineStr">
        <is>
          <t>—</t>
        </is>
      </c>
      <c r="O293" s="3" t="inlineStr">
        <is>
          <t>—</t>
        </is>
      </c>
      <c r="P293" s="3" t="inlineStr">
        <is>
          <t>—</t>
        </is>
      </c>
      <c r="Q293" s="3" t="inlineStr">
        <is>
          <t>上游含 Y4,Y7</t>
        </is>
      </c>
      <c r="R293" s="3" t="inlineStr">
        <is>
          <t>—</t>
        </is>
      </c>
      <c r="S293" s="3" t="inlineStr">
        <is>
          <t>Y4,Y7</t>
        </is>
      </c>
      <c r="T293" s="3" t="inlineStr"/>
      <c r="U293" s="3" t="n">
        <v>18</v>
      </c>
      <c r="V293" s="3" t="inlineStr"/>
      <c r="W293" s="3" t="inlineStr">
        <is>
          <t>資訊（只有 L8）</t>
        </is>
      </c>
    </row>
    <row r="294">
      <c r="A294" s="3" t="inlineStr">
        <is>
          <t>Interface</t>
        </is>
      </c>
      <c r="B294" s="3" t="n">
        <v>14</v>
      </c>
      <c r="C294" s="3" t="inlineStr">
        <is>
          <t>每 GPU 小時持有成本 — 經濟</t>
        </is>
      </c>
      <c r="D294" s="3" t="inlineStr">
        <is>
          <t>$/GPU-hr</t>
        </is>
      </c>
      <c r="E294" s="3" t="n">
        <v>20</v>
      </c>
      <c r="F294" s="3" t="n">
        <v>6</v>
      </c>
      <c r="G294" s="3" t="inlineStr">
        <is>
          <t>C14</t>
        </is>
      </c>
      <c r="H294" s="3">
        <f>DC_Cost!C58</f>
        <v/>
      </c>
      <c r="I294" s="3" t="n">
        <v>1.079645</v>
      </c>
      <c r="J294" s="3" t="inlineStr">
        <is>
          <t>—</t>
        </is>
      </c>
      <c r="K294" s="3" t="inlineStr">
        <is>
          <t>—</t>
        </is>
      </c>
      <c r="L294" s="3" t="inlineStr">
        <is>
          <t>—</t>
        </is>
      </c>
      <c r="M294" s="3" t="inlineStr">
        <is>
          <t>—</t>
        </is>
      </c>
      <c r="N294" s="3" t="inlineStr">
        <is>
          <t>—</t>
        </is>
      </c>
      <c r="O294" s="3" t="inlineStr">
        <is>
          <t>—</t>
        </is>
      </c>
      <c r="P294" s="3" t="inlineStr">
        <is>
          <t>—</t>
        </is>
      </c>
      <c r="Q294" s="3" t="inlineStr">
        <is>
          <t>上游含 Y4,Y7</t>
        </is>
      </c>
      <c r="R294" s="3" t="inlineStr">
        <is>
          <t>—</t>
        </is>
      </c>
      <c r="S294" s="3" t="inlineStr">
        <is>
          <t>Y4,Y7</t>
        </is>
      </c>
      <c r="T294" s="3" t="inlineStr"/>
      <c r="U294" s="3" t="n">
        <v>21</v>
      </c>
      <c r="V294" s="3" t="inlineStr"/>
      <c r="W294" s="3" t="inlineStr">
        <is>
          <t>資訊（只有 L8）</t>
        </is>
      </c>
    </row>
    <row r="295">
      <c r="A295" s="3" t="inlineStr">
        <is>
          <t>Interface</t>
        </is>
      </c>
      <c r="B295" s="3" t="n">
        <v>15</v>
      </c>
      <c r="C295" s="3" t="inlineStr">
        <is>
          <t>其中：每 GW 年電費</t>
        </is>
      </c>
      <c r="D295" s="3" t="inlineStr">
        <is>
          <t>$B/年</t>
        </is>
      </c>
      <c r="E295" s="3" t="n">
        <v>20</v>
      </c>
      <c r="F295" s="3" t="n">
        <v>6</v>
      </c>
      <c r="G295" s="3" t="inlineStr">
        <is>
          <t>C15</t>
        </is>
      </c>
      <c r="H295" s="3">
        <f>(DC_Cost!C43)/CTL_GW</f>
        <v/>
      </c>
      <c r="I295" s="3" t="n">
        <v>0.404712</v>
      </c>
      <c r="J295" s="3" t="inlineStr">
        <is>
          <t>—</t>
        </is>
      </c>
      <c r="K295" s="3" t="inlineStr">
        <is>
          <t>—</t>
        </is>
      </c>
      <c r="L295" s="3" t="inlineStr">
        <is>
          <t>—</t>
        </is>
      </c>
      <c r="M295" s="3" t="inlineStr">
        <is>
          <t>—</t>
        </is>
      </c>
      <c r="N295" s="3" t="inlineStr">
        <is>
          <t>—</t>
        </is>
      </c>
      <c r="O295" s="3" t="inlineStr">
        <is>
          <t>—</t>
        </is>
      </c>
      <c r="P295" s="3" t="inlineStr">
        <is>
          <t>—</t>
        </is>
      </c>
      <c r="Q295" s="3" t="inlineStr">
        <is>
          <t>上游含 Y4</t>
        </is>
      </c>
      <c r="R295" s="3" t="inlineStr">
        <is>
          <t>—</t>
        </is>
      </c>
      <c r="S295" s="3" t="inlineStr">
        <is>
          <t>Y4</t>
        </is>
      </c>
      <c r="T295" s="3" t="inlineStr"/>
      <c r="U295" s="3" t="n">
        <v>3</v>
      </c>
      <c r="V295" s="3" t="inlineStr"/>
      <c r="W295" s="3" t="inlineStr">
        <is>
          <t>資訊（只有 L8）</t>
        </is>
      </c>
    </row>
    <row r="296">
      <c r="A296" s="3" t="inlineStr">
        <is>
          <t>Interface</t>
        </is>
      </c>
      <c r="B296" s="3" t="n">
        <v>19</v>
      </c>
      <c r="C296" s="3" t="inlineStr">
        <is>
          <t>每架總 tok/s（參考任務 P:D）　[IF_TokRack_Luna]</t>
        </is>
      </c>
      <c r="D296" s="3" t="inlineStr">
        <is>
          <t>tok/s</t>
        </is>
      </c>
      <c r="E296" s="3" t="n">
        <v>20</v>
      </c>
      <c r="F296" s="3" t="n">
        <v>6</v>
      </c>
      <c r="G296" s="3" t="inlineStr">
        <is>
          <t>C19</t>
        </is>
      </c>
      <c r="H296" s="3">
        <f>INDEX(Perf!$C$95:$Q$95,3*(Unit_Cost!C$6-1)+1)</f>
        <v/>
      </c>
      <c r="I296" s="3" t="n">
        <v>104668.529421</v>
      </c>
      <c r="J296" s="3" t="inlineStr">
        <is>
          <t>—</t>
        </is>
      </c>
      <c r="K296" s="3" t="inlineStr">
        <is>
          <t>—</t>
        </is>
      </c>
      <c r="L296" s="3" t="inlineStr">
        <is>
          <t>—</t>
        </is>
      </c>
      <c r="M296" s="3" t="inlineStr">
        <is>
          <t>—</t>
        </is>
      </c>
      <c r="N296" s="3" t="inlineStr">
        <is>
          <t>—</t>
        </is>
      </c>
      <c r="O296" s="3" t="inlineStr">
        <is>
          <t>—</t>
        </is>
      </c>
      <c r="P296" s="3" t="inlineStr">
        <is>
          <t>[G06] 單一層級列不可達時輸出 0（數值）而非文字；與組合列的文字處理方式相反（第 2 段 F09）</t>
        </is>
      </c>
      <c r="Q296" s="3" t="inlineStr">
        <is>
          <t>上游含 Y1,Y5,Y6,Y8</t>
        </is>
      </c>
      <c r="R296" s="3" t="inlineStr">
        <is>
          <t>—</t>
        </is>
      </c>
      <c r="S296" s="3" t="inlineStr">
        <is>
          <t>Y1,Y5,Y6,Y8</t>
        </is>
      </c>
      <c r="T296" s="3" t="inlineStr"/>
      <c r="U296" s="3" t="n">
        <v>3</v>
      </c>
      <c r="V296" s="3" t="inlineStr">
        <is>
          <t>G06</t>
        </is>
      </c>
      <c r="W296" s="3" t="inlineStr">
        <is>
          <t>中</t>
        </is>
      </c>
    </row>
    <row r="297">
      <c r="A297" s="3" t="inlineStr">
        <is>
          <t>Interface</t>
        </is>
      </c>
      <c r="B297" s="3" t="n">
        <v>20</v>
      </c>
      <c r="C297" s="3" t="inlineStr">
        <is>
          <t>每架 decode tok/s　[IF_TokRackD_Luna]</t>
        </is>
      </c>
      <c r="D297" s="3" t="inlineStr">
        <is>
          <t>tok/s</t>
        </is>
      </c>
      <c r="E297" s="3" t="n">
        <v>20</v>
      </c>
      <c r="F297" s="3" t="n">
        <v>6</v>
      </c>
      <c r="G297" s="3" t="inlineStr">
        <is>
          <t>C20</t>
        </is>
      </c>
      <c r="H297" s="3">
        <f>INDEX(Perf!$C$96:$Q$96,3*(Unit_Cost!C$6-1)+1)</f>
        <v/>
      </c>
      <c r="I297" s="3" t="n">
        <v>11629.836602</v>
      </c>
      <c r="J297" s="3" t="inlineStr">
        <is>
          <t>—</t>
        </is>
      </c>
      <c r="K297" s="3" t="inlineStr">
        <is>
          <t>—</t>
        </is>
      </c>
      <c r="L297" s="3" t="inlineStr">
        <is>
          <t>—</t>
        </is>
      </c>
      <c r="M297" s="3" t="inlineStr">
        <is>
          <t>—</t>
        </is>
      </c>
      <c r="N297" s="3" t="inlineStr">
        <is>
          <t>—</t>
        </is>
      </c>
      <c r="O297" s="3" t="inlineStr">
        <is>
          <t>—</t>
        </is>
      </c>
      <c r="P297" s="3" t="inlineStr">
        <is>
          <t>[G06] 單一層級列不可達時輸出 0（數值）而非文字；與組合列的文字處理方式相反（第 2 段 F09）</t>
        </is>
      </c>
      <c r="Q297" s="3" t="inlineStr">
        <is>
          <t>上游含 Y1,Y5,Y6,Y8</t>
        </is>
      </c>
      <c r="R297" s="3" t="inlineStr">
        <is>
          <t>—</t>
        </is>
      </c>
      <c r="S297" s="3" t="inlineStr">
        <is>
          <t>Y1,Y5,Y6,Y8</t>
        </is>
      </c>
      <c r="T297" s="3" t="inlineStr"/>
      <c r="U297" s="3" t="n">
        <v>3</v>
      </c>
      <c r="V297" s="3" t="inlineStr">
        <is>
          <t>G06</t>
        </is>
      </c>
      <c r="W297" s="3" t="inlineStr">
        <is>
          <t>中</t>
        </is>
      </c>
    </row>
    <row r="298">
      <c r="A298" s="3" t="inlineStr">
        <is>
          <t>Interface</t>
        </is>
      </c>
      <c r="B298" s="3" t="n">
        <v>22</v>
      </c>
      <c r="C298" s="3" t="inlineStr">
        <is>
          <t>VR-eq 係數（每 GW 產出 ÷ VR200）　[IF_VReq_Luna]</t>
        </is>
      </c>
      <c r="D298" s="3" t="inlineStr">
        <is>
          <t>x</t>
        </is>
      </c>
      <c r="E298" s="3" t="n">
        <v>20</v>
      </c>
      <c r="F298" s="3" t="n">
        <v>6</v>
      </c>
      <c r="G298" s="3" t="inlineStr">
        <is>
          <t>C22</t>
        </is>
      </c>
      <c r="H298" s="3">
        <f>INDEX(Perf!$C$120:$Q$120,3*(Unit_Cost!C$6-1)+1)</f>
        <v/>
      </c>
      <c r="I298" s="3" t="n">
        <v>0.095845</v>
      </c>
      <c r="J298" s="3" t="inlineStr">
        <is>
          <t>—</t>
        </is>
      </c>
      <c r="K298" s="3" t="inlineStr">
        <is>
          <t>—</t>
        </is>
      </c>
      <c r="L298" s="3" t="inlineStr">
        <is>
          <t>—</t>
        </is>
      </c>
      <c r="M298" s="3" t="inlineStr">
        <is>
          <t>—</t>
        </is>
      </c>
      <c r="N298" s="3" t="inlineStr">
        <is>
          <t>—</t>
        </is>
      </c>
      <c r="O298" s="3" t="inlineStr">
        <is>
          <t>—</t>
        </is>
      </c>
      <c r="P298" s="3" t="inlineStr">
        <is>
          <t>[G06] 單一層級列不可達時輸出 0（數值）而非文字；與組合列的文字處理方式相反（第 2 段 F09）</t>
        </is>
      </c>
      <c r="Q298" s="3" t="inlineStr">
        <is>
          <t>上游含 Y1,Y5,Y6,Y8</t>
        </is>
      </c>
      <c r="R298" s="3" t="inlineStr">
        <is>
          <t>—</t>
        </is>
      </c>
      <c r="S298" s="3" t="inlineStr">
        <is>
          <t>Y1,Y5,Y6,Y8</t>
        </is>
      </c>
      <c r="T298" s="3" t="inlineStr"/>
      <c r="U298" s="3" t="n">
        <v>3</v>
      </c>
      <c r="V298" s="3" t="inlineStr">
        <is>
          <t>G06</t>
        </is>
      </c>
      <c r="W298" s="3" t="inlineStr">
        <is>
          <t>中</t>
        </is>
      </c>
    </row>
    <row r="299">
      <c r="A299" s="3" t="inlineStr">
        <is>
          <t>Interface</t>
        </is>
      </c>
      <c r="B299" s="3" t="n">
        <v>23</v>
      </c>
      <c r="C299" s="3" t="inlineStr">
        <is>
          <t>新鮮 prefill $/M（經濟、100%）　[IF_CostPre_Luna]</t>
        </is>
      </c>
      <c r="D299" s="3" t="inlineStr">
        <is>
          <t>$/M</t>
        </is>
      </c>
      <c r="E299" s="3" t="n">
        <v>20</v>
      </c>
      <c r="F299" s="3" t="n">
        <v>6</v>
      </c>
      <c r="G299" s="3" t="inlineStr">
        <is>
          <t>C23</t>
        </is>
      </c>
      <c r="H299" s="3">
        <f>Unit_Cost!C16</f>
        <v/>
      </c>
      <c r="I299" s="3" t="n">
        <v>0.038673</v>
      </c>
      <c r="J299" s="3" t="inlineStr">
        <is>
          <t>—</t>
        </is>
      </c>
      <c r="K299" s="3" t="inlineStr">
        <is>
          <t>—</t>
        </is>
      </c>
      <c r="L299" s="3" t="inlineStr">
        <is>
          <t>—</t>
        </is>
      </c>
      <c r="M299" s="3" t="inlineStr">
        <is>
          <t>—</t>
        </is>
      </c>
      <c r="N299" s="3" t="inlineStr">
        <is>
          <t>—</t>
        </is>
      </c>
      <c r="O299" s="3" t="inlineStr">
        <is>
          <t>—</t>
        </is>
      </c>
      <c r="P299" s="3" t="inlineStr">
        <is>
          <t>—</t>
        </is>
      </c>
      <c r="Q299" s="3" t="inlineStr">
        <is>
          <t>上游含 Y1,Y4,Y5,Y6,Y7,Y8</t>
        </is>
      </c>
      <c r="R299" s="3" t="inlineStr">
        <is>
          <t>—</t>
        </is>
      </c>
      <c r="S299" s="3" t="inlineStr">
        <is>
          <t>Y1,Y4,Y5,Y6,Y7,Y8</t>
        </is>
      </c>
      <c r="T299" s="3" t="inlineStr"/>
      <c r="U299" s="3" t="n">
        <v>18</v>
      </c>
      <c r="V299" s="3" t="inlineStr"/>
      <c r="W299" s="3" t="inlineStr">
        <is>
          <t>資訊（只有 L8）</t>
        </is>
      </c>
    </row>
    <row r="300">
      <c r="A300" s="3" t="inlineStr">
        <is>
          <t>Interface</t>
        </is>
      </c>
      <c r="B300" s="3" t="n">
        <v>24</v>
      </c>
      <c r="C300" s="3" t="inlineStr">
        <is>
          <t>快取命中 prefill $/M（經濟、100%）　[IF_CostCache_Luna]</t>
        </is>
      </c>
      <c r="D300" s="3" t="inlineStr">
        <is>
          <t>$/M</t>
        </is>
      </c>
      <c r="E300" s="3" t="n">
        <v>20</v>
      </c>
      <c r="F300" s="3" t="n">
        <v>6</v>
      </c>
      <c r="G300" s="3" t="inlineStr">
        <is>
          <t>C24</t>
        </is>
      </c>
      <c r="H300" s="3">
        <f>Unit_Cost!C17</f>
        <v/>
      </c>
      <c r="I300" s="3" t="n">
        <v>8e-06</v>
      </c>
      <c r="J300" s="3" t="inlineStr">
        <is>
          <t>—</t>
        </is>
      </c>
      <c r="K300" s="3" t="inlineStr">
        <is>
          <t>—</t>
        </is>
      </c>
      <c r="L300" s="3" t="inlineStr">
        <is>
          <t>—</t>
        </is>
      </c>
      <c r="M300" s="3" t="inlineStr">
        <is>
          <t>—</t>
        </is>
      </c>
      <c r="N300" s="3" t="inlineStr">
        <is>
          <t>—</t>
        </is>
      </c>
      <c r="O300" s="3" t="inlineStr">
        <is>
          <t>—</t>
        </is>
      </c>
      <c r="P300" s="3" t="inlineStr">
        <is>
          <t>—</t>
        </is>
      </c>
      <c r="Q300" s="3" t="inlineStr">
        <is>
          <t>上游含 Y1,Y4,Y7</t>
        </is>
      </c>
      <c r="R300" s="3" t="inlineStr">
        <is>
          <t>—</t>
        </is>
      </c>
      <c r="S300" s="3" t="inlineStr">
        <is>
          <t>Y1,Y4,Y7</t>
        </is>
      </c>
      <c r="T300" s="3" t="inlineStr"/>
      <c r="U300" s="3" t="n">
        <v>63</v>
      </c>
      <c r="V300" s="3" t="inlineStr"/>
      <c r="W300" s="3" t="inlineStr">
        <is>
          <t>資訊（只有 L8）</t>
        </is>
      </c>
    </row>
    <row r="301">
      <c r="A301" s="3" t="inlineStr">
        <is>
          <t>Interface</t>
        </is>
      </c>
      <c r="B301" s="3" t="n">
        <v>25</v>
      </c>
      <c r="C301" s="3" t="inlineStr">
        <is>
          <t>decode（含思考 token）$/M（經濟、100%）　[IF_CostDec_Luna]</t>
        </is>
      </c>
      <c r="D301" s="3" t="inlineStr">
        <is>
          <t>$/M</t>
        </is>
      </c>
      <c r="E301" s="3" t="n">
        <v>20</v>
      </c>
      <c r="F301" s="3" t="n">
        <v>6</v>
      </c>
      <c r="G301" s="3" t="inlineStr">
        <is>
          <t>C25</t>
        </is>
      </c>
      <c r="H301" s="3">
        <f>Unit_Cost!C18</f>
        <v/>
      </c>
      <c r="I301" s="3" t="n">
        <v>0.515811</v>
      </c>
      <c r="J301" s="3" t="inlineStr">
        <is>
          <t>—</t>
        </is>
      </c>
      <c r="K301" s="3" t="inlineStr">
        <is>
          <t>—</t>
        </is>
      </c>
      <c r="L301" s="3" t="inlineStr">
        <is>
          <t>—</t>
        </is>
      </c>
      <c r="M301" s="3" t="inlineStr">
        <is>
          <t>—</t>
        </is>
      </c>
      <c r="N301" s="3" t="inlineStr">
        <is>
          <t>—</t>
        </is>
      </c>
      <c r="O301" s="3" t="inlineStr">
        <is>
          <t>—</t>
        </is>
      </c>
      <c r="P301" s="3" t="inlineStr">
        <is>
          <t>—</t>
        </is>
      </c>
      <c r="Q301" s="3" t="inlineStr">
        <is>
          <t>上游含 Y1,Y4,Y5,Y6,Y7,Y8</t>
        </is>
      </c>
      <c r="R301" s="3" t="inlineStr">
        <is>
          <t>—</t>
        </is>
      </c>
      <c r="S301" s="3" t="inlineStr">
        <is>
          <t>Y1,Y4,Y5,Y6,Y7,Y8</t>
        </is>
      </c>
      <c r="T301" s="3" t="inlineStr"/>
      <c r="U301" s="3" t="n">
        <v>25</v>
      </c>
      <c r="V301" s="3" t="inlineStr"/>
      <c r="W301" s="3" t="inlineStr">
        <is>
          <t>資訊（只有 L8）</t>
        </is>
      </c>
    </row>
    <row r="302">
      <c r="A302" s="3" t="inlineStr">
        <is>
          <t>Interface</t>
        </is>
      </c>
      <c r="B302" s="3" t="n">
        <v>26</v>
      </c>
      <c r="C302" s="3" t="inlineStr">
        <is>
          <t>decode（含思考 token）$/M（會計、100%）　[IF_CostDecAcct_Luna]</t>
        </is>
      </c>
      <c r="D302" s="3" t="inlineStr">
        <is>
          <t>$/M</t>
        </is>
      </c>
      <c r="E302" s="3" t="n">
        <v>20</v>
      </c>
      <c r="F302" s="3" t="n">
        <v>6</v>
      </c>
      <c r="G302" s="3" t="inlineStr">
        <is>
          <t>C26</t>
        </is>
      </c>
      <c r="H302" s="3">
        <f>Unit_Cost!C22</f>
        <v/>
      </c>
      <c r="I302" s="3" t="n">
        <v>0.394202</v>
      </c>
      <c r="J302" s="3" t="inlineStr">
        <is>
          <t>—</t>
        </is>
      </c>
      <c r="K302" s="3" t="inlineStr">
        <is>
          <t>—</t>
        </is>
      </c>
      <c r="L302" s="3" t="inlineStr">
        <is>
          <t>—</t>
        </is>
      </c>
      <c r="M302" s="3" t="inlineStr">
        <is>
          <t>—</t>
        </is>
      </c>
      <c r="N302" s="3" t="inlineStr">
        <is>
          <t>—</t>
        </is>
      </c>
      <c r="O302" s="3" t="inlineStr">
        <is>
          <t>—</t>
        </is>
      </c>
      <c r="P302" s="3" t="inlineStr">
        <is>
          <t>—</t>
        </is>
      </c>
      <c r="Q302" s="3" t="inlineStr">
        <is>
          <t>上游含 Y1,Y4,Y5,Y6,Y7,Y8</t>
        </is>
      </c>
      <c r="R302" s="3" t="inlineStr">
        <is>
          <t>—</t>
        </is>
      </c>
      <c r="S302" s="3" t="inlineStr">
        <is>
          <t>Y1,Y4,Y5,Y6,Y7,Y8</t>
        </is>
      </c>
      <c r="T302" s="3" t="inlineStr"/>
      <c r="U302" s="3" t="n">
        <v>3</v>
      </c>
      <c r="V302" s="3" t="inlineStr"/>
      <c r="W302" s="3" t="inlineStr">
        <is>
          <t>資訊（只有 L8）</t>
        </is>
      </c>
    </row>
    <row r="303">
      <c r="A303" s="3" t="inlineStr">
        <is>
          <t>Interface</t>
        </is>
      </c>
      <c r="B303" s="3" t="n">
        <v>27</v>
      </c>
      <c r="C303" s="3" t="inlineStr">
        <is>
          <t>tokens／焦耳（平均用電口徑）　[IF_TokPerJ_Luna]</t>
        </is>
      </c>
      <c r="D303" s="3" t="inlineStr">
        <is>
          <t>tok/J</t>
        </is>
      </c>
      <c r="E303" s="3" t="n">
        <v>20</v>
      </c>
      <c r="F303" s="3" t="n">
        <v>6</v>
      </c>
      <c r="G303" s="3" t="inlineStr">
        <is>
          <t>C27</t>
        </is>
      </c>
      <c r="H303" s="3">
        <f>INDEX(Perf!$C$117:$Q$117,3*(Unit_Cost!C$6-1)+1)</f>
        <v/>
      </c>
      <c r="I303" s="3" t="n">
        <v>3.191114</v>
      </c>
      <c r="J303" s="3" t="inlineStr">
        <is>
          <t>—</t>
        </is>
      </c>
      <c r="K303" s="3" t="inlineStr">
        <is>
          <t>[G12] IF_TokPerJ_*：100% 產出 ÷ 平均用電；Inputs E10 0.7／0.9 → +14%／−11%</t>
        </is>
      </c>
      <c r="L303" s="3" t="inlineStr">
        <is>
          <t>—</t>
        </is>
      </c>
      <c r="M303" s="3" t="inlineStr">
        <is>
          <t>—</t>
        </is>
      </c>
      <c r="N303" s="3" t="inlineStr">
        <is>
          <t>—</t>
        </is>
      </c>
      <c r="O303" s="3" t="inlineStr">
        <is>
          <t>—</t>
        </is>
      </c>
      <c r="P303" s="3" t="inlineStr">
        <is>
          <t>[G06] 單一層級列不可達時輸出 0（數值）而非文字；與組合列的文字處理方式相反（第 2 段 F09）</t>
        </is>
      </c>
      <c r="Q303" s="3" t="inlineStr">
        <is>
          <t>上游含 Y1,Y5,Y6,Y8</t>
        </is>
      </c>
      <c r="R303" s="3" t="inlineStr">
        <is>
          <t>—</t>
        </is>
      </c>
      <c r="S303" s="3" t="inlineStr">
        <is>
          <t>Y1,Y5,Y6,Y8</t>
        </is>
      </c>
      <c r="T303" s="3" t="inlineStr"/>
      <c r="U303" s="3" t="n">
        <v>3</v>
      </c>
      <c r="V303" s="3" t="inlineStr">
        <is>
          <t>G06,G12</t>
        </is>
      </c>
      <c r="W303" s="3" t="inlineStr">
        <is>
          <t>中</t>
        </is>
      </c>
    </row>
    <row r="304">
      <c r="A304" s="3" t="inlineStr">
        <is>
          <t>Interface</t>
        </is>
      </c>
      <c r="B304" s="3" t="n">
        <v>29</v>
      </c>
      <c r="C304" s="3" t="inlineStr">
        <is>
          <t>每架總 tok/s（參考任務 P:D）　[IF_TokRack_Sol]</t>
        </is>
      </c>
      <c r="D304" s="3" t="inlineStr">
        <is>
          <t>tok/s</t>
        </is>
      </c>
      <c r="E304" s="3" t="n">
        <v>20</v>
      </c>
      <c r="F304" s="3" t="n">
        <v>6</v>
      </c>
      <c r="G304" s="3" t="inlineStr">
        <is>
          <t>C29</t>
        </is>
      </c>
      <c r="H304" s="3">
        <f>INDEX(Perf!$C$95:$Q$95,3*(Unit_Cost!C$6-1)+2)</f>
        <v/>
      </c>
      <c r="I304" s="3" t="n">
        <v>30369.314808</v>
      </c>
      <c r="J304" s="3" t="inlineStr">
        <is>
          <t>—</t>
        </is>
      </c>
      <c r="K304" s="3" t="inlineStr">
        <is>
          <t>—</t>
        </is>
      </c>
      <c r="L304" s="3" t="inlineStr">
        <is>
          <t>—</t>
        </is>
      </c>
      <c r="M304" s="3" t="inlineStr">
        <is>
          <t>—</t>
        </is>
      </c>
      <c r="N304" s="3" t="inlineStr">
        <is>
          <t>—</t>
        </is>
      </c>
      <c r="O304" s="3" t="inlineStr">
        <is>
          <t>—</t>
        </is>
      </c>
      <c r="P304" s="3" t="inlineStr">
        <is>
          <t>[G06] 單一層級列不可達時輸出 0（數值）而非文字；與組合列的文字處理方式相反（第 2 段 F09）</t>
        </is>
      </c>
      <c r="Q304" s="3" t="inlineStr">
        <is>
          <t>上游含 Y1,Y5,Y6,Y8</t>
        </is>
      </c>
      <c r="R304" s="3" t="inlineStr">
        <is>
          <t>—</t>
        </is>
      </c>
      <c r="S304" s="3" t="inlineStr">
        <is>
          <t>Y1,Y5,Y6,Y8</t>
        </is>
      </c>
      <c r="T304" s="3" t="inlineStr"/>
      <c r="U304" s="3" t="n">
        <v>3</v>
      </c>
      <c r="V304" s="3" t="inlineStr">
        <is>
          <t>G06</t>
        </is>
      </c>
      <c r="W304" s="3" t="inlineStr">
        <is>
          <t>中</t>
        </is>
      </c>
    </row>
    <row r="305">
      <c r="A305" s="3" t="inlineStr">
        <is>
          <t>Interface</t>
        </is>
      </c>
      <c r="B305" s="3" t="n">
        <v>30</v>
      </c>
      <c r="C305" s="3" t="inlineStr">
        <is>
          <t>每架 decode tok/s　[IF_TokRackD_Sol]</t>
        </is>
      </c>
      <c r="D305" s="3" t="inlineStr">
        <is>
          <t>tok/s</t>
        </is>
      </c>
      <c r="E305" s="3" t="n">
        <v>20</v>
      </c>
      <c r="F305" s="3" t="n">
        <v>6</v>
      </c>
      <c r="G305" s="3" t="inlineStr">
        <is>
          <t>C30</t>
        </is>
      </c>
      <c r="H305" s="3">
        <f>INDEX(Perf!$C$96:$Q$96,3*(Unit_Cost!C$6-1)+2)</f>
        <v/>
      </c>
      <c r="I305" s="3" t="n">
        <v>3374.368312</v>
      </c>
      <c r="J305" s="3" t="inlineStr">
        <is>
          <t>—</t>
        </is>
      </c>
      <c r="K305" s="3" t="inlineStr">
        <is>
          <t>—</t>
        </is>
      </c>
      <c r="L305" s="3" t="inlineStr">
        <is>
          <t>—</t>
        </is>
      </c>
      <c r="M305" s="3" t="inlineStr">
        <is>
          <t>—</t>
        </is>
      </c>
      <c r="N305" s="3" t="inlineStr">
        <is>
          <t>—</t>
        </is>
      </c>
      <c r="O305" s="3" t="inlineStr">
        <is>
          <t>—</t>
        </is>
      </c>
      <c r="P305" s="3" t="inlineStr">
        <is>
          <t>[G06] 單一層級列不可達時輸出 0（數值）而非文字；與組合列的文字處理方式相反（第 2 段 F09）</t>
        </is>
      </c>
      <c r="Q305" s="3" t="inlineStr">
        <is>
          <t>上游含 Y1,Y5,Y6,Y8</t>
        </is>
      </c>
      <c r="R305" s="3" t="inlineStr">
        <is>
          <t>—</t>
        </is>
      </c>
      <c r="S305" s="3" t="inlineStr">
        <is>
          <t>Y1,Y5,Y6,Y8</t>
        </is>
      </c>
      <c r="T305" s="3" t="inlineStr"/>
      <c r="U305" s="3" t="n">
        <v>3</v>
      </c>
      <c r="V305" s="3" t="inlineStr">
        <is>
          <t>G06</t>
        </is>
      </c>
      <c r="W305" s="3" t="inlineStr">
        <is>
          <t>中</t>
        </is>
      </c>
    </row>
    <row r="306">
      <c r="A306" s="3" t="inlineStr">
        <is>
          <t>Interface</t>
        </is>
      </c>
      <c r="B306" s="3" t="n">
        <v>32</v>
      </c>
      <c r="C306" s="3" t="inlineStr">
        <is>
          <t>VR-eq 係數（每 GW 產出 ÷ VR200）　[IF_VReq_Sol]</t>
        </is>
      </c>
      <c r="D306" s="3" t="inlineStr">
        <is>
          <t>x</t>
        </is>
      </c>
      <c r="E306" s="3" t="n">
        <v>20</v>
      </c>
      <c r="F306" s="3" t="n">
        <v>6</v>
      </c>
      <c r="G306" s="3" t="inlineStr">
        <is>
          <t>C32</t>
        </is>
      </c>
      <c r="H306" s="3">
        <f>INDEX(Perf!$C$120:$Q$120,3*(Unit_Cost!C$6-1)+2)</f>
        <v/>
      </c>
      <c r="I306" s="3" t="n">
        <v>0.09056699999999999</v>
      </c>
      <c r="J306" s="3" t="inlineStr">
        <is>
          <t>—</t>
        </is>
      </c>
      <c r="K306" s="3" t="inlineStr">
        <is>
          <t>—</t>
        </is>
      </c>
      <c r="L306" s="3" t="inlineStr">
        <is>
          <t>—</t>
        </is>
      </c>
      <c r="M306" s="3" t="inlineStr">
        <is>
          <t>—</t>
        </is>
      </c>
      <c r="N306" s="3" t="inlineStr">
        <is>
          <t>—</t>
        </is>
      </c>
      <c r="O306" s="3" t="inlineStr">
        <is>
          <t>—</t>
        </is>
      </c>
      <c r="P306" s="3" t="inlineStr">
        <is>
          <t>[G06] 單一層級列不可達時輸出 0（數值）而非文字；與組合列的文字處理方式相反（第 2 段 F09）</t>
        </is>
      </c>
      <c r="Q306" s="3" t="inlineStr">
        <is>
          <t>上游含 Y1,Y5,Y6,Y8</t>
        </is>
      </c>
      <c r="R306" s="3" t="inlineStr">
        <is>
          <t>—</t>
        </is>
      </c>
      <c r="S306" s="3" t="inlineStr">
        <is>
          <t>Y1,Y5,Y6,Y8</t>
        </is>
      </c>
      <c r="T306" s="3" t="inlineStr"/>
      <c r="U306" s="3" t="n">
        <v>3</v>
      </c>
      <c r="V306" s="3" t="inlineStr">
        <is>
          <t>G06</t>
        </is>
      </c>
      <c r="W306" s="3" t="inlineStr">
        <is>
          <t>中</t>
        </is>
      </c>
    </row>
    <row r="307">
      <c r="A307" s="3" t="inlineStr">
        <is>
          <t>Interface</t>
        </is>
      </c>
      <c r="B307" s="3" t="n">
        <v>33</v>
      </c>
      <c r="C307" s="3" t="inlineStr">
        <is>
          <t>新鮮 prefill $/M（經濟、100%）　[IF_CostPre_Sol]</t>
        </is>
      </c>
      <c r="D307" s="3" t="inlineStr">
        <is>
          <t>$/M</t>
        </is>
      </c>
      <c r="E307" s="3" t="n">
        <v>20</v>
      </c>
      <c r="F307" s="3" t="n">
        <v>6</v>
      </c>
      <c r="G307" s="3" t="inlineStr">
        <is>
          <t>C33</t>
        </is>
      </c>
      <c r="H307" s="3">
        <f>Unit_Cost!C29</f>
        <v/>
      </c>
      <c r="I307" s="3" t="n">
        <v>0.134225</v>
      </c>
      <c r="J307" s="3" t="inlineStr">
        <is>
          <t>—</t>
        </is>
      </c>
      <c r="K307" s="3" t="inlineStr">
        <is>
          <t>—</t>
        </is>
      </c>
      <c r="L307" s="3" t="inlineStr">
        <is>
          <t>—</t>
        </is>
      </c>
      <c r="M307" s="3" t="inlineStr">
        <is>
          <t>—</t>
        </is>
      </c>
      <c r="N307" s="3" t="inlineStr">
        <is>
          <t>—</t>
        </is>
      </c>
      <c r="O307" s="3" t="inlineStr">
        <is>
          <t>—</t>
        </is>
      </c>
      <c r="P307" s="3" t="inlineStr">
        <is>
          <t>—</t>
        </is>
      </c>
      <c r="Q307" s="3" t="inlineStr">
        <is>
          <t>上游含 Y1,Y4,Y5,Y6,Y7,Y8</t>
        </is>
      </c>
      <c r="R307" s="3" t="inlineStr">
        <is>
          <t>—</t>
        </is>
      </c>
      <c r="S307" s="3" t="inlineStr">
        <is>
          <t>Y1,Y4,Y5,Y6,Y7,Y8</t>
        </is>
      </c>
      <c r="T307" s="3" t="inlineStr"/>
      <c r="U307" s="3" t="n">
        <v>18</v>
      </c>
      <c r="V307" s="3" t="inlineStr"/>
      <c r="W307" s="3" t="inlineStr">
        <is>
          <t>資訊（只有 L8）</t>
        </is>
      </c>
    </row>
    <row r="308">
      <c r="A308" s="3" t="inlineStr">
        <is>
          <t>Interface</t>
        </is>
      </c>
      <c r="B308" s="3" t="n">
        <v>34</v>
      </c>
      <c r="C308" s="3" t="inlineStr">
        <is>
          <t>快取命中 prefill $/M（經濟、100%）　[IF_CostCache_Sol]</t>
        </is>
      </c>
      <c r="D308" s="3" t="inlineStr">
        <is>
          <t>$/M</t>
        </is>
      </c>
      <c r="E308" s="3" t="n">
        <v>20</v>
      </c>
      <c r="F308" s="3" t="n">
        <v>6</v>
      </c>
      <c r="G308" s="3" t="inlineStr">
        <is>
          <t>C34</t>
        </is>
      </c>
      <c r="H308" s="3">
        <f>Unit_Cost!C30</f>
        <v/>
      </c>
      <c r="I308" s="3" t="n">
        <v>1.2e-05</v>
      </c>
      <c r="J308" s="3" t="inlineStr">
        <is>
          <t>—</t>
        </is>
      </c>
      <c r="K308" s="3" t="inlineStr">
        <is>
          <t>—</t>
        </is>
      </c>
      <c r="L308" s="3" t="inlineStr">
        <is>
          <t>—</t>
        </is>
      </c>
      <c r="M308" s="3" t="inlineStr">
        <is>
          <t>—</t>
        </is>
      </c>
      <c r="N308" s="3" t="inlineStr">
        <is>
          <t>—</t>
        </is>
      </c>
      <c r="O308" s="3" t="inlineStr">
        <is>
          <t>—</t>
        </is>
      </c>
      <c r="P308" s="3" t="inlineStr">
        <is>
          <t>—</t>
        </is>
      </c>
      <c r="Q308" s="3" t="inlineStr">
        <is>
          <t>上游含 Y1,Y4,Y7</t>
        </is>
      </c>
      <c r="R308" s="3" t="inlineStr">
        <is>
          <t>—</t>
        </is>
      </c>
      <c r="S308" s="3" t="inlineStr">
        <is>
          <t>Y1,Y4,Y7</t>
        </is>
      </c>
      <c r="T308" s="3" t="inlineStr"/>
      <c r="U308" s="3" t="n">
        <v>63</v>
      </c>
      <c r="V308" s="3" t="inlineStr"/>
      <c r="W308" s="3" t="inlineStr">
        <is>
          <t>資訊（只有 L8）</t>
        </is>
      </c>
    </row>
    <row r="309">
      <c r="A309" s="3" t="inlineStr">
        <is>
          <t>Interface</t>
        </is>
      </c>
      <c r="B309" s="3" t="n">
        <v>35</v>
      </c>
      <c r="C309" s="3" t="inlineStr">
        <is>
          <t>decode（含思考 token）$/M（經濟、100%）　[IF_CostDec_Sol]</t>
        </is>
      </c>
      <c r="D309" s="3" t="inlineStr">
        <is>
          <t>$/M</t>
        </is>
      </c>
      <c r="E309" s="3" t="n">
        <v>20</v>
      </c>
      <c r="F309" s="3" t="n">
        <v>6</v>
      </c>
      <c r="G309" s="3" t="inlineStr">
        <is>
          <t>C35</t>
        </is>
      </c>
      <c r="H309" s="3">
        <f>Unit_Cost!C31</f>
        <v/>
      </c>
      <c r="I309" s="3" t="n">
        <v>1.770244</v>
      </c>
      <c r="J309" s="3" t="inlineStr">
        <is>
          <t>—</t>
        </is>
      </c>
      <c r="K309" s="3" t="inlineStr">
        <is>
          <t>—</t>
        </is>
      </c>
      <c r="L309" s="3" t="inlineStr">
        <is>
          <t>—</t>
        </is>
      </c>
      <c r="M309" s="3" t="inlineStr">
        <is>
          <t>—</t>
        </is>
      </c>
      <c r="N309" s="3" t="inlineStr">
        <is>
          <t>—</t>
        </is>
      </c>
      <c r="O309" s="3" t="inlineStr">
        <is>
          <t>—</t>
        </is>
      </c>
      <c r="P309" s="3" t="inlineStr">
        <is>
          <t>—</t>
        </is>
      </c>
      <c r="Q309" s="3" t="inlineStr">
        <is>
          <t>上游含 Y1,Y4,Y5,Y6,Y7,Y8</t>
        </is>
      </c>
      <c r="R309" s="3" t="inlineStr">
        <is>
          <t>—</t>
        </is>
      </c>
      <c r="S309" s="3" t="inlineStr">
        <is>
          <t>Y1,Y4,Y5,Y6,Y7,Y8</t>
        </is>
      </c>
      <c r="T309" s="3" t="inlineStr"/>
      <c r="U309" s="3" t="n">
        <v>41</v>
      </c>
      <c r="V309" s="3" t="inlineStr"/>
      <c r="W309" s="3" t="inlineStr">
        <is>
          <t>資訊（只有 L8）</t>
        </is>
      </c>
    </row>
    <row r="310">
      <c r="A310" s="3" t="inlineStr">
        <is>
          <t>Interface</t>
        </is>
      </c>
      <c r="B310" s="3" t="n">
        <v>36</v>
      </c>
      <c r="C310" s="3" t="inlineStr">
        <is>
          <t>decode（含思考 token）$/M（會計、100%）　[IF_CostDecAcct_Sol]</t>
        </is>
      </c>
      <c r="D310" s="3" t="inlineStr">
        <is>
          <t>$/M</t>
        </is>
      </c>
      <c r="E310" s="3" t="n">
        <v>20</v>
      </c>
      <c r="F310" s="3" t="n">
        <v>6</v>
      </c>
      <c r="G310" s="3" t="inlineStr">
        <is>
          <t>C36</t>
        </is>
      </c>
      <c r="H310" s="3">
        <f>Unit_Cost!C35</f>
        <v/>
      </c>
      <c r="I310" s="3" t="n">
        <v>1.35289</v>
      </c>
      <c r="J310" s="3" t="inlineStr">
        <is>
          <t>—</t>
        </is>
      </c>
      <c r="K310" s="3" t="inlineStr">
        <is>
          <t>—</t>
        </is>
      </c>
      <c r="L310" s="3" t="inlineStr">
        <is>
          <t>—</t>
        </is>
      </c>
      <c r="M310" s="3" t="inlineStr">
        <is>
          <t>—</t>
        </is>
      </c>
      <c r="N310" s="3" t="inlineStr">
        <is>
          <t>—</t>
        </is>
      </c>
      <c r="O310" s="3" t="inlineStr">
        <is>
          <t>—</t>
        </is>
      </c>
      <c r="P310" s="3" t="inlineStr">
        <is>
          <t>—</t>
        </is>
      </c>
      <c r="Q310" s="3" t="inlineStr">
        <is>
          <t>上游含 Y1,Y4,Y5,Y6,Y7,Y8</t>
        </is>
      </c>
      <c r="R310" s="3" t="inlineStr">
        <is>
          <t>—</t>
        </is>
      </c>
      <c r="S310" s="3" t="inlineStr">
        <is>
          <t>Y1,Y4,Y5,Y6,Y7,Y8</t>
        </is>
      </c>
      <c r="T310" s="3" t="inlineStr"/>
      <c r="U310" s="3" t="n">
        <v>3</v>
      </c>
      <c r="V310" s="3" t="inlineStr"/>
      <c r="W310" s="3" t="inlineStr">
        <is>
          <t>資訊（只有 L8）</t>
        </is>
      </c>
    </row>
    <row r="311">
      <c r="A311" s="3" t="inlineStr">
        <is>
          <t>Interface</t>
        </is>
      </c>
      <c r="B311" s="3" t="n">
        <v>37</v>
      </c>
      <c r="C311" s="3" t="inlineStr">
        <is>
          <t>tokens／焦耳（平均用電口徑）　[IF_TokPerJ_Sol]</t>
        </is>
      </c>
      <c r="D311" s="3" t="inlineStr">
        <is>
          <t>tok/J</t>
        </is>
      </c>
      <c r="E311" s="3" t="n">
        <v>20</v>
      </c>
      <c r="F311" s="3" t="n">
        <v>6</v>
      </c>
      <c r="G311" s="3" t="inlineStr">
        <is>
          <t>C37</t>
        </is>
      </c>
      <c r="H311" s="3">
        <f>INDEX(Perf!$C$117:$Q$117,3*(Unit_Cost!C$6-1)+2)</f>
        <v/>
      </c>
      <c r="I311" s="3" t="n">
        <v>0.925894</v>
      </c>
      <c r="J311" s="3" t="inlineStr">
        <is>
          <t>—</t>
        </is>
      </c>
      <c r="K311" s="3" t="inlineStr">
        <is>
          <t>[G12] IF_TokPerJ_*：100% 產出 ÷ 平均用電；Inputs E10 0.7／0.9 → +14%／−11%</t>
        </is>
      </c>
      <c r="L311" s="3" t="inlineStr">
        <is>
          <t>—</t>
        </is>
      </c>
      <c r="M311" s="3" t="inlineStr">
        <is>
          <t>—</t>
        </is>
      </c>
      <c r="N311" s="3" t="inlineStr">
        <is>
          <t>—</t>
        </is>
      </c>
      <c r="O311" s="3" t="inlineStr">
        <is>
          <t>—</t>
        </is>
      </c>
      <c r="P311" s="3" t="inlineStr">
        <is>
          <t>[G06] 單一層級列不可達時輸出 0（數值）而非文字；與組合列的文字處理方式相反（第 2 段 F09）</t>
        </is>
      </c>
      <c r="Q311" s="3" t="inlineStr">
        <is>
          <t>上游含 Y1,Y5,Y6,Y8</t>
        </is>
      </c>
      <c r="R311" s="3" t="inlineStr">
        <is>
          <t>—</t>
        </is>
      </c>
      <c r="S311" s="3" t="inlineStr">
        <is>
          <t>Y1,Y5,Y6,Y8</t>
        </is>
      </c>
      <c r="T311" s="3" t="inlineStr"/>
      <c r="U311" s="3" t="n">
        <v>3</v>
      </c>
      <c r="V311" s="3" t="inlineStr">
        <is>
          <t>G06,G12</t>
        </is>
      </c>
      <c r="W311" s="3" t="inlineStr">
        <is>
          <t>中</t>
        </is>
      </c>
    </row>
    <row r="312">
      <c r="A312" s="3" t="inlineStr">
        <is>
          <t>Interface</t>
        </is>
      </c>
      <c r="B312" s="3" t="n">
        <v>39</v>
      </c>
      <c r="C312" s="3" t="inlineStr">
        <is>
          <t>每架總 tok/s（參考任務 P:D）　[IF_TokRack_Astra]</t>
        </is>
      </c>
      <c r="D312" s="3" t="inlineStr">
        <is>
          <t>tok/s</t>
        </is>
      </c>
      <c r="E312" s="3" t="n">
        <v>20</v>
      </c>
      <c r="F312" s="3" t="n">
        <v>6</v>
      </c>
      <c r="G312" s="3" t="inlineStr">
        <is>
          <t>C39</t>
        </is>
      </c>
      <c r="H312" s="3">
        <f>INDEX(Perf!$C$95:$Q$95,3*(Unit_Cost!C$6-1)+3)</f>
        <v/>
      </c>
      <c r="I312" s="3" t="n">
        <v>5478.122411</v>
      </c>
      <c r="J312" s="3" t="inlineStr">
        <is>
          <t>—</t>
        </is>
      </c>
      <c r="K312" s="3" t="inlineStr">
        <is>
          <t>—</t>
        </is>
      </c>
      <c r="L312" s="3" t="inlineStr">
        <is>
          <t>—</t>
        </is>
      </c>
      <c r="M312" s="3" t="inlineStr">
        <is>
          <t>—</t>
        </is>
      </c>
      <c r="N312" s="3" t="inlineStr">
        <is>
          <t>—</t>
        </is>
      </c>
      <c r="O312" s="3" t="inlineStr">
        <is>
          <t>—</t>
        </is>
      </c>
      <c r="P312" s="3" t="inlineStr">
        <is>
          <t>[G06] 單一層級列不可達時輸出 0（數值）而非文字；與組合列的文字處理方式相反（第 2 段 F09）</t>
        </is>
      </c>
      <c r="Q312" s="3" t="inlineStr">
        <is>
          <t>上游含 Y1,Y5,Y6,Y8</t>
        </is>
      </c>
      <c r="R312" s="3" t="inlineStr">
        <is>
          <t>—</t>
        </is>
      </c>
      <c r="S312" s="3" t="inlineStr">
        <is>
          <t>Y1,Y5,Y6,Y8</t>
        </is>
      </c>
      <c r="T312" s="3" t="inlineStr"/>
      <c r="U312" s="3" t="n">
        <v>3</v>
      </c>
      <c r="V312" s="3" t="inlineStr">
        <is>
          <t>G06</t>
        </is>
      </c>
      <c r="W312" s="3" t="inlineStr">
        <is>
          <t>中</t>
        </is>
      </c>
    </row>
    <row r="313">
      <c r="A313" s="3" t="inlineStr">
        <is>
          <t>Interface</t>
        </is>
      </c>
      <c r="B313" s="3" t="n">
        <v>40</v>
      </c>
      <c r="C313" s="3" t="inlineStr">
        <is>
          <t>每架 decode tok/s　[IF_TokRackD_Astra]</t>
        </is>
      </c>
      <c r="D313" s="3" t="inlineStr">
        <is>
          <t>tok/s</t>
        </is>
      </c>
      <c r="E313" s="3" t="n">
        <v>20</v>
      </c>
      <c r="F313" s="3" t="n">
        <v>6</v>
      </c>
      <c r="G313" s="3" t="inlineStr">
        <is>
          <t>C40</t>
        </is>
      </c>
      <c r="H313" s="3">
        <f>INDEX(Perf!$C$96:$Q$96,3*(Unit_Cost!C$6-1)+3)</f>
        <v/>
      </c>
      <c r="I313" s="3" t="n">
        <v>608.680268</v>
      </c>
      <c r="J313" s="3" t="inlineStr">
        <is>
          <t>—</t>
        </is>
      </c>
      <c r="K313" s="3" t="inlineStr">
        <is>
          <t>—</t>
        </is>
      </c>
      <c r="L313" s="3" t="inlineStr">
        <is>
          <t>—</t>
        </is>
      </c>
      <c r="M313" s="3" t="inlineStr">
        <is>
          <t>—</t>
        </is>
      </c>
      <c r="N313" s="3" t="inlineStr">
        <is>
          <t>—</t>
        </is>
      </c>
      <c r="O313" s="3" t="inlineStr">
        <is>
          <t>—</t>
        </is>
      </c>
      <c r="P313" s="3" t="inlineStr">
        <is>
          <t>[G06] 單一層級列不可達時輸出 0（數值）而非文字；與組合列的文字處理方式相反（第 2 段 F09）</t>
        </is>
      </c>
      <c r="Q313" s="3" t="inlineStr">
        <is>
          <t>上游含 Y1,Y5,Y6,Y8</t>
        </is>
      </c>
      <c r="R313" s="3" t="inlineStr">
        <is>
          <t>—</t>
        </is>
      </c>
      <c r="S313" s="3" t="inlineStr">
        <is>
          <t>Y1,Y5,Y6,Y8</t>
        </is>
      </c>
      <c r="T313" s="3" t="inlineStr"/>
      <c r="U313" s="3" t="n">
        <v>3</v>
      </c>
      <c r="V313" s="3" t="inlineStr">
        <is>
          <t>G06</t>
        </is>
      </c>
      <c r="W313" s="3" t="inlineStr">
        <is>
          <t>中</t>
        </is>
      </c>
    </row>
    <row r="314">
      <c r="A314" s="3" t="inlineStr">
        <is>
          <t>Interface</t>
        </is>
      </c>
      <c r="B314" s="3" t="n">
        <v>42</v>
      </c>
      <c r="C314" s="3" t="inlineStr">
        <is>
          <t>VR-eq 係數（每 GW 產出 ÷ VR200）　[IF_VReq_Astra]</t>
        </is>
      </c>
      <c r="D314" s="3" t="inlineStr">
        <is>
          <t>x</t>
        </is>
      </c>
      <c r="E314" s="3" t="n">
        <v>20</v>
      </c>
      <c r="F314" s="3" t="n">
        <v>6</v>
      </c>
      <c r="G314" s="3" t="inlineStr">
        <is>
          <t>C42</t>
        </is>
      </c>
      <c r="H314" s="3">
        <f>INDEX(Perf!$C$120:$Q$120,3*(Unit_Cost!C$6-1)+3)</f>
        <v/>
      </c>
      <c r="I314" s="3" t="n">
        <v>0.075761</v>
      </c>
      <c r="J314" s="3" t="inlineStr">
        <is>
          <t>—</t>
        </is>
      </c>
      <c r="K314" s="3" t="inlineStr">
        <is>
          <t>—</t>
        </is>
      </c>
      <c r="L314" s="3" t="inlineStr">
        <is>
          <t>—</t>
        </is>
      </c>
      <c r="M314" s="3" t="inlineStr">
        <is>
          <t>—</t>
        </is>
      </c>
      <c r="N314" s="3" t="inlineStr">
        <is>
          <t>—</t>
        </is>
      </c>
      <c r="O314" s="3" t="inlineStr">
        <is>
          <t>—</t>
        </is>
      </c>
      <c r="P314" s="3" t="inlineStr">
        <is>
          <t>[G06] 單一層級列不可達時輸出 0（數值）而非文字；與組合列的文字處理方式相反（第 2 段 F09）</t>
        </is>
      </c>
      <c r="Q314" s="3" t="inlineStr">
        <is>
          <t>上游含 Y1,Y5,Y6,Y8</t>
        </is>
      </c>
      <c r="R314" s="3" t="inlineStr">
        <is>
          <t>—</t>
        </is>
      </c>
      <c r="S314" s="3" t="inlineStr">
        <is>
          <t>Y1,Y5,Y6,Y8</t>
        </is>
      </c>
      <c r="T314" s="3" t="inlineStr"/>
      <c r="U314" s="3" t="n">
        <v>3</v>
      </c>
      <c r="V314" s="3" t="inlineStr">
        <is>
          <t>G06</t>
        </is>
      </c>
      <c r="W314" s="3" t="inlineStr">
        <is>
          <t>中</t>
        </is>
      </c>
    </row>
    <row r="315">
      <c r="A315" s="3" t="inlineStr">
        <is>
          <t>Interface</t>
        </is>
      </c>
      <c r="B315" s="3" t="n">
        <v>43</v>
      </c>
      <c r="C315" s="3" t="inlineStr">
        <is>
          <t>新鮮 prefill $/M（經濟、100%）　[IF_CostPre_Astra]</t>
        </is>
      </c>
      <c r="D315" s="3" t="inlineStr">
        <is>
          <t>$/M</t>
        </is>
      </c>
      <c r="E315" s="3" t="n">
        <v>20</v>
      </c>
      <c r="F315" s="3" t="n">
        <v>6</v>
      </c>
      <c r="G315" s="3" t="inlineStr">
        <is>
          <t>C43</t>
        </is>
      </c>
      <c r="H315" s="3">
        <f>Unit_Cost!C42</f>
        <v/>
      </c>
      <c r="I315" s="3" t="n">
        <v>0.445284</v>
      </c>
      <c r="J315" s="3" t="inlineStr">
        <is>
          <t>—</t>
        </is>
      </c>
      <c r="K315" s="3" t="inlineStr">
        <is>
          <t>—</t>
        </is>
      </c>
      <c r="L315" s="3" t="inlineStr">
        <is>
          <t>—</t>
        </is>
      </c>
      <c r="M315" s="3" t="inlineStr">
        <is>
          <t>—</t>
        </is>
      </c>
      <c r="N315" s="3" t="inlineStr">
        <is>
          <t>—</t>
        </is>
      </c>
      <c r="O315" s="3" t="inlineStr">
        <is>
          <t>—</t>
        </is>
      </c>
      <c r="P315" s="3" t="inlineStr">
        <is>
          <t>—</t>
        </is>
      </c>
      <c r="Q315" s="3" t="inlineStr">
        <is>
          <t>上游含 Y1,Y4,Y5,Y6,Y7,Y8</t>
        </is>
      </c>
      <c r="R315" s="3" t="inlineStr">
        <is>
          <t>—</t>
        </is>
      </c>
      <c r="S315" s="3" t="inlineStr">
        <is>
          <t>Y1,Y4,Y5,Y6,Y7,Y8</t>
        </is>
      </c>
      <c r="T315" s="3" t="inlineStr"/>
      <c r="U315" s="3" t="n">
        <v>18</v>
      </c>
      <c r="V315" s="3" t="inlineStr"/>
      <c r="W315" s="3" t="inlineStr">
        <is>
          <t>資訊（只有 L8）</t>
        </is>
      </c>
    </row>
    <row r="316">
      <c r="A316" s="3" t="inlineStr">
        <is>
          <t>Interface</t>
        </is>
      </c>
      <c r="B316" s="3" t="n">
        <v>44</v>
      </c>
      <c r="C316" s="3" t="inlineStr">
        <is>
          <t>快取命中 prefill $/M（經濟、100%）　[IF_CostCache_Astra]</t>
        </is>
      </c>
      <c r="D316" s="3" t="inlineStr">
        <is>
          <t>$/M</t>
        </is>
      </c>
      <c r="E316" s="3" t="n">
        <v>20</v>
      </c>
      <c r="F316" s="3" t="n">
        <v>6</v>
      </c>
      <c r="G316" s="3" t="inlineStr">
        <is>
          <t>C44</t>
        </is>
      </c>
      <c r="H316" s="3">
        <f>Unit_Cost!C43</f>
        <v/>
      </c>
      <c r="I316" s="3" t="n">
        <v>0.000173</v>
      </c>
      <c r="J316" s="3" t="inlineStr">
        <is>
          <t>—</t>
        </is>
      </c>
      <c r="K316" s="3" t="inlineStr">
        <is>
          <t>—</t>
        </is>
      </c>
      <c r="L316" s="3" t="inlineStr">
        <is>
          <t>—</t>
        </is>
      </c>
      <c r="M316" s="3" t="inlineStr">
        <is>
          <t>—</t>
        </is>
      </c>
      <c r="N316" s="3" t="inlineStr">
        <is>
          <t>—</t>
        </is>
      </c>
      <c r="O316" s="3" t="inlineStr">
        <is>
          <t>—</t>
        </is>
      </c>
      <c r="P316" s="3" t="inlineStr">
        <is>
          <t>—</t>
        </is>
      </c>
      <c r="Q316" s="3" t="inlineStr">
        <is>
          <t>上游含 Y1,Y4,Y7</t>
        </is>
      </c>
      <c r="R316" s="3" t="inlineStr">
        <is>
          <t>—</t>
        </is>
      </c>
      <c r="S316" s="3" t="inlineStr">
        <is>
          <t>Y1,Y4,Y7</t>
        </is>
      </c>
      <c r="T316" s="3" t="inlineStr"/>
      <c r="U316" s="3" t="n">
        <v>63</v>
      </c>
      <c r="V316" s="3" t="inlineStr"/>
      <c r="W316" s="3" t="inlineStr">
        <is>
          <t>資訊（只有 L8）</t>
        </is>
      </c>
    </row>
    <row r="317">
      <c r="A317" s="3" t="inlineStr">
        <is>
          <t>Interface</t>
        </is>
      </c>
      <c r="B317" s="3" t="n">
        <v>45</v>
      </c>
      <c r="C317" s="3" t="inlineStr">
        <is>
          <t>decode（含思考 token）$/M（經濟、100%）　[IF_CostDec_Astra]</t>
        </is>
      </c>
      <c r="D317" s="3" t="inlineStr">
        <is>
          <t>$/M</t>
        </is>
      </c>
      <c r="E317" s="3" t="n">
        <v>20</v>
      </c>
      <c r="F317" s="3" t="n">
        <v>6</v>
      </c>
      <c r="G317" s="3" t="inlineStr">
        <is>
          <t>C45</t>
        </is>
      </c>
      <c r="H317" s="3">
        <f>Unit_Cost!C44</f>
        <v/>
      </c>
      <c r="I317" s="3" t="n">
        <v>12.20437</v>
      </c>
      <c r="J317" s="3" t="inlineStr">
        <is>
          <t>—</t>
        </is>
      </c>
      <c r="K317" s="3" t="inlineStr">
        <is>
          <t>—</t>
        </is>
      </c>
      <c r="L317" s="3" t="inlineStr">
        <is>
          <t>—</t>
        </is>
      </c>
      <c r="M317" s="3" t="inlineStr">
        <is>
          <t>—</t>
        </is>
      </c>
      <c r="N317" s="3" t="inlineStr">
        <is>
          <t>—</t>
        </is>
      </c>
      <c r="O317" s="3" t="inlineStr">
        <is>
          <t>—</t>
        </is>
      </c>
      <c r="P317" s="3" t="inlineStr">
        <is>
          <t>—</t>
        </is>
      </c>
      <c r="Q317" s="3" t="inlineStr">
        <is>
          <t>上游含 Y1,Y4,Y5,Y6,Y7,Y8</t>
        </is>
      </c>
      <c r="R317" s="3" t="inlineStr">
        <is>
          <t>—</t>
        </is>
      </c>
      <c r="S317" s="3" t="inlineStr">
        <is>
          <t>Y1,Y4,Y5,Y6,Y7,Y8</t>
        </is>
      </c>
      <c r="T317" s="3" t="inlineStr"/>
      <c r="U317" s="3" t="n">
        <v>25</v>
      </c>
      <c r="V317" s="3" t="inlineStr"/>
      <c r="W317" s="3" t="inlineStr">
        <is>
          <t>資訊（只有 L8）</t>
        </is>
      </c>
    </row>
    <row r="318">
      <c r="A318" s="3" t="inlineStr">
        <is>
          <t>Interface</t>
        </is>
      </c>
      <c r="B318" s="3" t="n">
        <v>46</v>
      </c>
      <c r="C318" s="3" t="inlineStr">
        <is>
          <t>decode（含思考 token）$/M（會計、100%）　[IF_CostDecAcct_Astra]</t>
        </is>
      </c>
      <c r="D318" s="3" t="inlineStr">
        <is>
          <t>$/M</t>
        </is>
      </c>
      <c r="E318" s="3" t="n">
        <v>20</v>
      </c>
      <c r="F318" s="3" t="n">
        <v>6</v>
      </c>
      <c r="G318" s="3" t="inlineStr">
        <is>
          <t>C46</t>
        </is>
      </c>
      <c r="H318" s="3">
        <f>Unit_Cost!C48</f>
        <v/>
      </c>
      <c r="I318" s="3" t="n">
        <v>9.327055</v>
      </c>
      <c r="J318" s="3" t="inlineStr">
        <is>
          <t>—</t>
        </is>
      </c>
      <c r="K318" s="3" t="inlineStr">
        <is>
          <t>—</t>
        </is>
      </c>
      <c r="L318" s="3" t="inlineStr">
        <is>
          <t>—</t>
        </is>
      </c>
      <c r="M318" s="3" t="inlineStr">
        <is>
          <t>—</t>
        </is>
      </c>
      <c r="N318" s="3" t="inlineStr">
        <is>
          <t>—</t>
        </is>
      </c>
      <c r="O318" s="3" t="inlineStr">
        <is>
          <t>—</t>
        </is>
      </c>
      <c r="P318" s="3" t="inlineStr">
        <is>
          <t>—</t>
        </is>
      </c>
      <c r="Q318" s="3" t="inlineStr">
        <is>
          <t>上游含 Y1,Y4,Y5,Y6,Y7,Y8</t>
        </is>
      </c>
      <c r="R318" s="3" t="inlineStr">
        <is>
          <t>—</t>
        </is>
      </c>
      <c r="S318" s="3" t="inlineStr">
        <is>
          <t>Y1,Y4,Y5,Y6,Y7,Y8</t>
        </is>
      </c>
      <c r="T318" s="3" t="inlineStr"/>
      <c r="U318" s="3" t="n">
        <v>3</v>
      </c>
      <c r="V318" s="3" t="inlineStr"/>
      <c r="W318" s="3" t="inlineStr">
        <is>
          <t>資訊（只有 L8）</t>
        </is>
      </c>
    </row>
    <row r="319">
      <c r="A319" s="3" t="inlineStr">
        <is>
          <t>Interface</t>
        </is>
      </c>
      <c r="B319" s="3" t="n">
        <v>47</v>
      </c>
      <c r="C319" s="3" t="inlineStr">
        <is>
          <t>tokens／焦耳（平均用電口徑）　[IF_TokPerJ_Astra]</t>
        </is>
      </c>
      <c r="D319" s="3" t="inlineStr">
        <is>
          <t>tok/J</t>
        </is>
      </c>
      <c r="E319" s="3" t="n">
        <v>20</v>
      </c>
      <c r="F319" s="3" t="n">
        <v>6</v>
      </c>
      <c r="G319" s="3" t="inlineStr">
        <is>
          <t>C47</t>
        </is>
      </c>
      <c r="H319" s="3">
        <f>INDEX(Perf!$C$117:$Q$117,3*(Unit_Cost!C$6-1)+3)</f>
        <v/>
      </c>
      <c r="I319" s="3" t="n">
        <v>0.167016</v>
      </c>
      <c r="J319" s="3" t="inlineStr">
        <is>
          <t>—</t>
        </is>
      </c>
      <c r="K319" s="3" t="inlineStr">
        <is>
          <t>[G12] IF_TokPerJ_*：100% 產出 ÷ 平均用電；Inputs E10 0.7／0.9 → +14%／−11%</t>
        </is>
      </c>
      <c r="L319" s="3" t="inlineStr">
        <is>
          <t>—</t>
        </is>
      </c>
      <c r="M319" s="3" t="inlineStr">
        <is>
          <t>—</t>
        </is>
      </c>
      <c r="N319" s="3" t="inlineStr">
        <is>
          <t>—</t>
        </is>
      </c>
      <c r="O319" s="3" t="inlineStr">
        <is>
          <t>—</t>
        </is>
      </c>
      <c r="P319" s="3" t="inlineStr">
        <is>
          <t>[G06] 單一層級列不可達時輸出 0（數值）而非文字；與組合列的文字處理方式相反（第 2 段 F09）</t>
        </is>
      </c>
      <c r="Q319" s="3" t="inlineStr">
        <is>
          <t>上游含 Y1,Y5,Y6,Y8</t>
        </is>
      </c>
      <c r="R319" s="3" t="inlineStr">
        <is>
          <t>—</t>
        </is>
      </c>
      <c r="S319" s="3" t="inlineStr">
        <is>
          <t>Y1,Y5,Y6,Y8</t>
        </is>
      </c>
      <c r="T319" s="3" t="inlineStr"/>
      <c r="U319" s="3" t="n">
        <v>3</v>
      </c>
      <c r="V319" s="3" t="inlineStr">
        <is>
          <t>G06,G12</t>
        </is>
      </c>
      <c r="W319" s="3" t="inlineStr">
        <is>
          <t>中</t>
        </is>
      </c>
    </row>
    <row r="320">
      <c r="A320" s="3" t="inlineStr">
        <is>
          <t>Interface</t>
        </is>
      </c>
      <c r="B320" s="3" t="n">
        <v>54</v>
      </c>
      <c r="C320" s="3" t="inlineStr">
        <is>
          <t>最終訓練 GPU 小時（單一模型）　[IF_TrainGPUh_Luna]</t>
        </is>
      </c>
      <c r="D320" s="3" t="inlineStr">
        <is>
          <t>GPU-hr</t>
        </is>
      </c>
      <c r="E320" s="3" t="n">
        <v>20</v>
      </c>
      <c r="F320" s="3" t="n">
        <v>6</v>
      </c>
      <c r="G320" s="3" t="inlineStr">
        <is>
          <t>C54</t>
        </is>
      </c>
      <c r="H320" s="3">
        <f>INDEX(Training!$C$106:$Q$106,3*(Unit_Cost!C$6-1)+1)</f>
        <v/>
      </c>
      <c r="I320" s="3" t="n">
        <v>6394168.868697</v>
      </c>
      <c r="J320" s="3" t="inlineStr">
        <is>
          <t>—</t>
        </is>
      </c>
      <c r="K320" s="3" t="inlineStr">
        <is>
          <t>—</t>
        </is>
      </c>
      <c r="L320" s="3" t="inlineStr">
        <is>
          <t>—</t>
        </is>
      </c>
      <c r="M320" s="3" t="inlineStr">
        <is>
          <t>—</t>
        </is>
      </c>
      <c r="N320" s="3" t="inlineStr">
        <is>
          <t>—</t>
        </is>
      </c>
      <c r="O320" s="3" t="inlineStr">
        <is>
          <t>—</t>
        </is>
      </c>
      <c r="P320" s="3" t="inlineStr">
        <is>
          <t>—</t>
        </is>
      </c>
      <c r="Q320" s="3" t="inlineStr">
        <is>
          <t>上游含 Y1,Y5,Y8</t>
        </is>
      </c>
      <c r="R320" s="3" t="inlineStr">
        <is>
          <t>—</t>
        </is>
      </c>
      <c r="S320" s="3" t="inlineStr">
        <is>
          <t>Y1,Y5,Y8</t>
        </is>
      </c>
      <c r="T320" s="3" t="inlineStr"/>
      <c r="U320" s="3" t="n">
        <v>3</v>
      </c>
      <c r="V320" s="3" t="inlineStr"/>
      <c r="W320" s="3" t="inlineStr">
        <is>
          <t>資訊（只有 L8）</t>
        </is>
      </c>
    </row>
    <row r="321">
      <c r="A321" s="3" t="inlineStr">
        <is>
          <t>Interface</t>
        </is>
      </c>
      <c r="B321" s="3" t="n">
        <v>55</v>
      </c>
      <c r="C321" s="3" t="inlineStr">
        <is>
          <t>最終訓練成本 — 經濟（依成本情境）　[IF_TrainCost_Luna]</t>
        </is>
      </c>
      <c r="D321" s="3" t="inlineStr">
        <is>
          <t>$M</t>
        </is>
      </c>
      <c r="E321" s="3" t="n">
        <v>20</v>
      </c>
      <c r="F321" s="3" t="n">
        <v>6</v>
      </c>
      <c r="G321" s="3" t="inlineStr">
        <is>
          <t>C55</t>
        </is>
      </c>
      <c r="H321" s="3">
        <f>INDEX(Training!$C$106:$Q$106,3*(Unit_Cost!C$6-1)+1)*Unit_Cost!C$8/1000000</f>
        <v/>
      </c>
      <c r="I321" s="3" t="n">
        <v>6.903432</v>
      </c>
      <c r="J321" s="3" t="inlineStr">
        <is>
          <t>—</t>
        </is>
      </c>
      <c r="K321" s="3" t="inlineStr">
        <is>
          <t>[G13] 訓練與研發計畫成本 × Unit_Cost 第 8 列（經濟、100% 利用率，不除 IF_Util）；服務成本除 IF_Util 0.6。兩者對「閒置」的口徑不同</t>
        </is>
      </c>
      <c r="L321" s="3" t="inlineStr">
        <is>
          <t>—</t>
        </is>
      </c>
      <c r="M321" s="3" t="inlineStr">
        <is>
          <t>—</t>
        </is>
      </c>
      <c r="N321" s="3" t="inlineStr">
        <is>
          <t>—</t>
        </is>
      </c>
      <c r="O321" s="3" t="inlineStr">
        <is>
          <t>—</t>
        </is>
      </c>
      <c r="P321" s="3" t="inlineStr">
        <is>
          <t>—</t>
        </is>
      </c>
      <c r="Q321" s="3" t="inlineStr">
        <is>
          <t>上游含 Y1,Y4,Y5,Y7,Y8</t>
        </is>
      </c>
      <c r="R321" s="3" t="inlineStr">
        <is>
          <t>—</t>
        </is>
      </c>
      <c r="S321" s="3" t="inlineStr">
        <is>
          <t>Y1,Y4,Y5,Y7,Y8</t>
        </is>
      </c>
      <c r="T321" s="3" t="inlineStr"/>
      <c r="U321" s="3" t="n">
        <v>3</v>
      </c>
      <c r="V321" s="3" t="inlineStr">
        <is>
          <t>G13</t>
        </is>
      </c>
      <c r="W321" s="3" t="inlineStr">
        <is>
          <t>中</t>
        </is>
      </c>
    </row>
    <row r="322">
      <c r="A322" s="3" t="inlineStr">
        <is>
          <t>Interface</t>
        </is>
      </c>
      <c r="B322" s="3" t="n">
        <v>56</v>
      </c>
      <c r="C322" s="3" t="inlineStr">
        <is>
          <t>後訓練占比（FLOPs 口徑）　[IF_PostShareFLOP_Luna]</t>
        </is>
      </c>
      <c r="D322" s="3" t="inlineStr">
        <is>
          <t>%</t>
        </is>
      </c>
      <c r="E322" s="3" t="n">
        <v>20</v>
      </c>
      <c r="F322" s="3" t="n">
        <v>6</v>
      </c>
      <c r="G322" s="3" t="inlineStr">
        <is>
          <t>C56</t>
        </is>
      </c>
      <c r="H322" s="3">
        <f>INDEX(Training!$C$110:$Q$110,3*(Unit_Cost!C$6-1)+1)</f>
        <v/>
      </c>
      <c r="I322" s="3" t="n">
        <v>0.13123</v>
      </c>
      <c r="J322" s="3" t="inlineStr">
        <is>
          <t>—</t>
        </is>
      </c>
      <c r="K322" s="3" t="inlineStr">
        <is>
          <t>—</t>
        </is>
      </c>
      <c r="L322" s="3" t="inlineStr">
        <is>
          <t>—</t>
        </is>
      </c>
      <c r="M322" s="3" t="inlineStr">
        <is>
          <t>—</t>
        </is>
      </c>
      <c r="N322" s="3" t="inlineStr">
        <is>
          <t>—</t>
        </is>
      </c>
      <c r="O322" s="3" t="inlineStr">
        <is>
          <t>—</t>
        </is>
      </c>
      <c r="P322" s="3" t="inlineStr">
        <is>
          <t>—</t>
        </is>
      </c>
      <c r="Q322" s="3" t="inlineStr">
        <is>
          <t>上游含 Y1</t>
        </is>
      </c>
      <c r="R322" s="3" t="inlineStr">
        <is>
          <t>—</t>
        </is>
      </c>
      <c r="S322" s="3" t="inlineStr">
        <is>
          <t>Y1</t>
        </is>
      </c>
      <c r="T322" s="3" t="inlineStr"/>
      <c r="U322" s="3" t="n">
        <v>3</v>
      </c>
      <c r="V322" s="3" t="inlineStr"/>
      <c r="W322" s="3" t="inlineStr">
        <is>
          <t>資訊（只有 L8）</t>
        </is>
      </c>
    </row>
    <row r="323">
      <c r="A323" s="3" t="inlineStr">
        <is>
          <t>Interface</t>
        </is>
      </c>
      <c r="B323" s="3" t="n">
        <v>57</v>
      </c>
      <c r="C323" s="3" t="inlineStr">
        <is>
          <t>後訓練占比（GPU 小時口徑）　[IF_PostShareGPUh_Luna]</t>
        </is>
      </c>
      <c r="D323" s="3" t="inlineStr">
        <is>
          <t>%</t>
        </is>
      </c>
      <c r="E323" s="3" t="n">
        <v>20</v>
      </c>
      <c r="F323" s="3" t="n">
        <v>6</v>
      </c>
      <c r="G323" s="3" t="inlineStr">
        <is>
          <t>C57</t>
        </is>
      </c>
      <c r="H323" s="3">
        <f>INDEX(Training!$C$111:$Q$111,3*(Unit_Cost!C$6-1)+1)</f>
        <v/>
      </c>
      <c r="I323" s="3" t="n">
        <v>0.3054</v>
      </c>
      <c r="J323" s="3" t="inlineStr">
        <is>
          <t>—</t>
        </is>
      </c>
      <c r="K323" s="3" t="inlineStr">
        <is>
          <t>—</t>
        </is>
      </c>
      <c r="L323" s="3" t="inlineStr">
        <is>
          <t>—</t>
        </is>
      </c>
      <c r="M323" s="3" t="inlineStr">
        <is>
          <t>—</t>
        </is>
      </c>
      <c r="N323" s="3" t="inlineStr">
        <is>
          <t>—</t>
        </is>
      </c>
      <c r="O323" s="3" t="inlineStr">
        <is>
          <t>—</t>
        </is>
      </c>
      <c r="P323" s="3" t="inlineStr">
        <is>
          <t>—</t>
        </is>
      </c>
      <c r="Q323" s="3" t="inlineStr">
        <is>
          <t>上游含 Y1,Y5,Y8</t>
        </is>
      </c>
      <c r="R323" s="3" t="inlineStr">
        <is>
          <t>—</t>
        </is>
      </c>
      <c r="S323" s="3" t="inlineStr">
        <is>
          <t>Y1,Y5,Y8</t>
        </is>
      </c>
      <c r="T323" s="3" t="inlineStr"/>
      <c r="U323" s="3" t="n">
        <v>3</v>
      </c>
      <c r="V323" s="3" t="inlineStr"/>
      <c r="W323" s="3" t="inlineStr">
        <is>
          <t>資訊（只有 L8）</t>
        </is>
      </c>
    </row>
    <row r="324">
      <c r="A324" s="3" t="inlineStr">
        <is>
          <t>Interface</t>
        </is>
      </c>
      <c r="B324" s="3" t="n">
        <v>58</v>
      </c>
      <c r="C324" s="3" t="inlineStr">
        <is>
          <t>RL 有效 MFU（訓練峰值分母）　[IF_RLMFU_Luna]</t>
        </is>
      </c>
      <c r="D324" s="3" t="inlineStr">
        <is>
          <t>%</t>
        </is>
      </c>
      <c r="E324" s="3" t="n">
        <v>20</v>
      </c>
      <c r="F324" s="3" t="n">
        <v>6</v>
      </c>
      <c r="G324" s="3" t="inlineStr">
        <is>
          <t>C58</t>
        </is>
      </c>
      <c r="H324" s="3">
        <f>INDEX(Training!$C$77:$Q$77,3*(Unit_Cost!C$6-1)+1)</f>
        <v/>
      </c>
      <c r="I324" s="3" t="n">
        <v>0.076196</v>
      </c>
      <c r="J324" s="3" t="inlineStr">
        <is>
          <t>—</t>
        </is>
      </c>
      <c r="K324" s="3" t="inlineStr">
        <is>
          <t>—</t>
        </is>
      </c>
      <c r="L324" s="3" t="inlineStr">
        <is>
          <t>—</t>
        </is>
      </c>
      <c r="M324" s="3" t="inlineStr">
        <is>
          <t>—</t>
        </is>
      </c>
      <c r="N324" s="3" t="inlineStr">
        <is>
          <t>—</t>
        </is>
      </c>
      <c r="O324" s="3" t="inlineStr">
        <is>
          <t>—</t>
        </is>
      </c>
      <c r="P324" s="3" t="inlineStr">
        <is>
          <t>—</t>
        </is>
      </c>
      <c r="Q324" s="3" t="inlineStr">
        <is>
          <t>上游含 Y1,Y5,Y8</t>
        </is>
      </c>
      <c r="R324" s="3" t="inlineStr">
        <is>
          <t>—</t>
        </is>
      </c>
      <c r="S324" s="3" t="inlineStr">
        <is>
          <t>Y1,Y5,Y8</t>
        </is>
      </c>
      <c r="T324" s="3" t="inlineStr"/>
      <c r="U324" s="3" t="n">
        <v>3</v>
      </c>
      <c r="V324" s="3" t="inlineStr"/>
      <c r="W324" s="3" t="inlineStr">
        <is>
          <t>資訊（只有 L8）</t>
        </is>
      </c>
    </row>
    <row r="325">
      <c r="A325" s="3" t="inlineStr">
        <is>
          <t>Interface</t>
        </is>
      </c>
      <c r="B325" s="3" t="n">
        <v>59</v>
      </c>
      <c r="C325" s="3" t="inlineStr">
        <is>
          <t>研發計畫 GPU 小時（含研發倍數分攤）　[IF_ProgGPUh_Luna]</t>
        </is>
      </c>
      <c r="D325" s="3" t="inlineStr">
        <is>
          <t>GPU-hr</t>
        </is>
      </c>
      <c r="E325" s="3" t="n">
        <v>20</v>
      </c>
      <c r="F325" s="3" t="n">
        <v>6</v>
      </c>
      <c r="G325" s="3" t="inlineStr">
        <is>
          <t>C59</t>
        </is>
      </c>
      <c r="H325" s="3">
        <f>INDEX(Training!$C$120:$Q$120,3*(Unit_Cost!C$6-1)+1)</f>
        <v/>
      </c>
      <c r="I325" s="3" t="n">
        <v>51153350.949575</v>
      </c>
      <c r="J325" s="3" t="inlineStr">
        <is>
          <t>—</t>
        </is>
      </c>
      <c r="K325" s="3" t="inlineStr">
        <is>
          <t>—</t>
        </is>
      </c>
      <c r="L325" s="3" t="inlineStr">
        <is>
          <t>—</t>
        </is>
      </c>
      <c r="M325" s="3" t="inlineStr">
        <is>
          <t>—</t>
        </is>
      </c>
      <c r="N325" s="3" t="inlineStr">
        <is>
          <t>—</t>
        </is>
      </c>
      <c r="O325" s="3" t="inlineStr">
        <is>
          <t>—</t>
        </is>
      </c>
      <c r="P325" s="3" t="inlineStr">
        <is>
          <t>—</t>
        </is>
      </c>
      <c r="Q325" s="3" t="inlineStr">
        <is>
          <t>上游含 Y1,Y5,Y8</t>
        </is>
      </c>
      <c r="R325" s="3" t="inlineStr">
        <is>
          <t>—</t>
        </is>
      </c>
      <c r="S325" s="3" t="inlineStr">
        <is>
          <t>Y1,Y5,Y8</t>
        </is>
      </c>
      <c r="T325" s="3" t="inlineStr"/>
      <c r="U325" s="3" t="n">
        <v>3</v>
      </c>
      <c r="V325" s="3" t="inlineStr"/>
      <c r="W325" s="3" t="inlineStr">
        <is>
          <t>資訊（只有 L8）</t>
        </is>
      </c>
    </row>
    <row r="326">
      <c r="A326" s="3" t="inlineStr">
        <is>
          <t>Interface</t>
        </is>
      </c>
      <c r="B326" s="3" t="n">
        <v>60</v>
      </c>
      <c r="C326" s="3" t="inlineStr">
        <is>
          <t>研發計畫成本 — 經濟（依成本情境）　[IF_ProgCost_Luna]</t>
        </is>
      </c>
      <c r="D326" s="3" t="inlineStr">
        <is>
          <t>$M</t>
        </is>
      </c>
      <c r="E326" s="3" t="n">
        <v>20</v>
      </c>
      <c r="F326" s="3" t="n">
        <v>6</v>
      </c>
      <c r="G326" s="3" t="inlineStr">
        <is>
          <t>C60</t>
        </is>
      </c>
      <c r="H326" s="3">
        <f>INDEX(Training!$C$120:$Q$120,3*(Unit_Cost!C$6-1)+1)*Unit_Cost!C$8/1000000</f>
        <v/>
      </c>
      <c r="I326" s="3" t="n">
        <v>55.227452</v>
      </c>
      <c r="J326" s="3" t="inlineStr">
        <is>
          <t>—</t>
        </is>
      </c>
      <c r="K326" s="3" t="inlineStr">
        <is>
          <t>[G13] 訓練與研發計畫成本 × Unit_Cost 第 8 列（經濟、100% 利用率，不除 IF_Util）；服務成本除 IF_Util 0.6。兩者對「閒置」的口徑不同</t>
        </is>
      </c>
      <c r="L326" s="3" t="inlineStr">
        <is>
          <t>—</t>
        </is>
      </c>
      <c r="M326" s="3" t="inlineStr">
        <is>
          <t>—</t>
        </is>
      </c>
      <c r="N326" s="3" t="inlineStr">
        <is>
          <t>—</t>
        </is>
      </c>
      <c r="O326" s="3" t="inlineStr">
        <is>
          <t>—</t>
        </is>
      </c>
      <c r="P326" s="3" t="inlineStr">
        <is>
          <t>—</t>
        </is>
      </c>
      <c r="Q326" s="3" t="inlineStr">
        <is>
          <t>上游含 Y1,Y4,Y5,Y7,Y8</t>
        </is>
      </c>
      <c r="R326" s="3" t="inlineStr">
        <is>
          <t>—</t>
        </is>
      </c>
      <c r="S326" s="3" t="inlineStr">
        <is>
          <t>Y1,Y4,Y5,Y7,Y8</t>
        </is>
      </c>
      <c r="T326" s="3" t="inlineStr"/>
      <c r="U326" s="3" t="n">
        <v>18</v>
      </c>
      <c r="V326" s="3" t="inlineStr">
        <is>
          <t>G13</t>
        </is>
      </c>
      <c r="W326" s="3" t="inlineStr">
        <is>
          <t>中</t>
        </is>
      </c>
    </row>
    <row r="327">
      <c r="A327" s="3" t="inlineStr">
        <is>
          <t>Interface</t>
        </is>
      </c>
      <c r="B327" s="3" t="n">
        <v>61</v>
      </c>
      <c r="C327" s="3" t="inlineStr">
        <is>
          <t>研發計畫占 1 GW 一年　[IF_ProgGWyr_Luna]</t>
        </is>
      </c>
      <c r="D327" s="3" t="inlineStr">
        <is>
          <t>%</t>
        </is>
      </c>
      <c r="E327" s="3" t="n">
        <v>20</v>
      </c>
      <c r="F327" s="3" t="n">
        <v>6</v>
      </c>
      <c r="G327" s="3" t="inlineStr">
        <is>
          <t>C61</t>
        </is>
      </c>
      <c r="H327" s="3">
        <f>INDEX(Training!$C$123:$Q$123,3*(Unit_Cost!C$6-1)+1)</f>
        <v/>
      </c>
      <c r="I327" s="3" t="n">
        <v>0.008132</v>
      </c>
      <c r="J327" s="3" t="inlineStr">
        <is>
          <t>—</t>
        </is>
      </c>
      <c r="K327" s="3" t="inlineStr">
        <is>
          <t>—</t>
        </is>
      </c>
      <c r="L327" s="3" t="inlineStr">
        <is>
          <t>—</t>
        </is>
      </c>
      <c r="M327" s="3" t="inlineStr">
        <is>
          <t>—</t>
        </is>
      </c>
      <c r="N327" s="3" t="inlineStr">
        <is>
          <t>—</t>
        </is>
      </c>
      <c r="O327" s="3" t="inlineStr">
        <is>
          <t>—</t>
        </is>
      </c>
      <c r="P327" s="3" t="inlineStr">
        <is>
          <t>—</t>
        </is>
      </c>
      <c r="Q327" s="3" t="inlineStr">
        <is>
          <t>上游含 Y1,Y5,Y8</t>
        </is>
      </c>
      <c r="R327" s="3" t="inlineStr">
        <is>
          <t>—</t>
        </is>
      </c>
      <c r="S327" s="3" t="inlineStr">
        <is>
          <t>Y1,Y5,Y8</t>
        </is>
      </c>
      <c r="T327" s="3" t="inlineStr"/>
      <c r="U327" s="3" t="n">
        <v>19</v>
      </c>
      <c r="V327" s="3" t="inlineStr"/>
      <c r="W327" s="3" t="inlineStr">
        <is>
          <t>資訊（只有 L8）</t>
        </is>
      </c>
    </row>
    <row r="328">
      <c r="A328" s="3" t="inlineStr">
        <is>
          <t>Interface</t>
        </is>
      </c>
      <c r="B328" s="3" t="n">
        <v>63</v>
      </c>
      <c r="C328" s="3" t="inlineStr">
        <is>
          <t>最終訓練 GPU 小時（單一模型）　[IF_TrainGPUh_Sol]</t>
        </is>
      </c>
      <c r="D328" s="3" t="inlineStr">
        <is>
          <t>GPU-hr</t>
        </is>
      </c>
      <c r="E328" s="3" t="n">
        <v>20</v>
      </c>
      <c r="F328" s="3" t="n">
        <v>6</v>
      </c>
      <c r="G328" s="3" t="inlineStr">
        <is>
          <t>C63</t>
        </is>
      </c>
      <c r="H328" s="3">
        <f>INDEX(Training!$C$106:$Q$106,3*(Unit_Cost!C$6-1)+2)</f>
        <v/>
      </c>
      <c r="I328" s="3" t="n">
        <v>18199062.805004</v>
      </c>
      <c r="J328" s="3" t="inlineStr">
        <is>
          <t>—</t>
        </is>
      </c>
      <c r="K328" s="3" t="inlineStr">
        <is>
          <t>—</t>
        </is>
      </c>
      <c r="L328" s="3" t="inlineStr">
        <is>
          <t>—</t>
        </is>
      </c>
      <c r="M328" s="3" t="inlineStr">
        <is>
          <t>—</t>
        </is>
      </c>
      <c r="N328" s="3" t="inlineStr">
        <is>
          <t>—</t>
        </is>
      </c>
      <c r="O328" s="3" t="inlineStr">
        <is>
          <t>—</t>
        </is>
      </c>
      <c r="P328" s="3" t="inlineStr">
        <is>
          <t>—</t>
        </is>
      </c>
      <c r="Q328" s="3" t="inlineStr">
        <is>
          <t>上游含 Y1,Y5,Y8</t>
        </is>
      </c>
      <c r="R328" s="3" t="inlineStr">
        <is>
          <t>—</t>
        </is>
      </c>
      <c r="S328" s="3" t="inlineStr">
        <is>
          <t>Y1,Y5,Y8</t>
        </is>
      </c>
      <c r="T328" s="3" t="inlineStr"/>
      <c r="U328" s="3" t="n">
        <v>3</v>
      </c>
      <c r="V328" s="3" t="inlineStr"/>
      <c r="W328" s="3" t="inlineStr">
        <is>
          <t>資訊（只有 L8）</t>
        </is>
      </c>
    </row>
    <row r="329">
      <c r="A329" s="3" t="inlineStr">
        <is>
          <t>Interface</t>
        </is>
      </c>
      <c r="B329" s="3" t="n">
        <v>64</v>
      </c>
      <c r="C329" s="3" t="inlineStr">
        <is>
          <t>最終訓練成本 — 經濟（依成本情境）　[IF_TrainCost_Sol]</t>
        </is>
      </c>
      <c r="D329" s="3" t="inlineStr">
        <is>
          <t>$M</t>
        </is>
      </c>
      <c r="E329" s="3" t="n">
        <v>20</v>
      </c>
      <c r="F329" s="3" t="n">
        <v>6</v>
      </c>
      <c r="G329" s="3" t="inlineStr">
        <is>
          <t>C64</t>
        </is>
      </c>
      <c r="H329" s="3">
        <f>INDEX(Training!$C$106:$Q$106,3*(Unit_Cost!C$6-1)+2)*Unit_Cost!C$8/1000000</f>
        <v/>
      </c>
      <c r="I329" s="3" t="n">
        <v>19.648525</v>
      </c>
      <c r="J329" s="3" t="inlineStr">
        <is>
          <t>—</t>
        </is>
      </c>
      <c r="K329" s="3" t="inlineStr">
        <is>
          <t>[G13] 訓練與研發計畫成本 × Unit_Cost 第 8 列（經濟、100% 利用率，不除 IF_Util）；服務成本除 IF_Util 0.6。兩者對「閒置」的口徑不同</t>
        </is>
      </c>
      <c r="L329" s="3" t="inlineStr">
        <is>
          <t>—</t>
        </is>
      </c>
      <c r="M329" s="3" t="inlineStr">
        <is>
          <t>—</t>
        </is>
      </c>
      <c r="N329" s="3" t="inlineStr">
        <is>
          <t>—</t>
        </is>
      </c>
      <c r="O329" s="3" t="inlineStr">
        <is>
          <t>—</t>
        </is>
      </c>
      <c r="P329" s="3" t="inlineStr">
        <is>
          <t>—</t>
        </is>
      </c>
      <c r="Q329" s="3" t="inlineStr">
        <is>
          <t>上游含 Y1,Y4,Y5,Y7,Y8</t>
        </is>
      </c>
      <c r="R329" s="3" t="inlineStr">
        <is>
          <t>—</t>
        </is>
      </c>
      <c r="S329" s="3" t="inlineStr">
        <is>
          <t>Y1,Y4,Y5,Y7,Y8</t>
        </is>
      </c>
      <c r="T329" s="3" t="inlineStr"/>
      <c r="U329" s="3" t="n">
        <v>3</v>
      </c>
      <c r="V329" s="3" t="inlineStr">
        <is>
          <t>G13</t>
        </is>
      </c>
      <c r="W329" s="3" t="inlineStr">
        <is>
          <t>中</t>
        </is>
      </c>
    </row>
    <row r="330">
      <c r="A330" s="3" t="inlineStr">
        <is>
          <t>Interface</t>
        </is>
      </c>
      <c r="B330" s="3" t="n">
        <v>65</v>
      </c>
      <c r="C330" s="3" t="inlineStr">
        <is>
          <t>後訓練占比（FLOPs 口徑）　[IF_PostShareFLOP_Sol]</t>
        </is>
      </c>
      <c r="D330" s="3" t="inlineStr">
        <is>
          <t>%</t>
        </is>
      </c>
      <c r="E330" s="3" t="n">
        <v>20</v>
      </c>
      <c r="F330" s="3" t="n">
        <v>6</v>
      </c>
      <c r="G330" s="3" t="inlineStr">
        <is>
          <t>C65</t>
        </is>
      </c>
      <c r="H330" s="3">
        <f>INDEX(Training!$C$110:$Q$110,3*(Unit_Cost!C$6-1)+2)</f>
        <v/>
      </c>
      <c r="I330" s="3" t="n">
        <v>0.127029</v>
      </c>
      <c r="J330" s="3" t="inlineStr">
        <is>
          <t>—</t>
        </is>
      </c>
      <c r="K330" s="3" t="inlineStr">
        <is>
          <t>—</t>
        </is>
      </c>
      <c r="L330" s="3" t="inlineStr">
        <is>
          <t>—</t>
        </is>
      </c>
      <c r="M330" s="3" t="inlineStr">
        <is>
          <t>—</t>
        </is>
      </c>
      <c r="N330" s="3" t="inlineStr">
        <is>
          <t>—</t>
        </is>
      </c>
      <c r="O330" s="3" t="inlineStr">
        <is>
          <t>—</t>
        </is>
      </c>
      <c r="P330" s="3" t="inlineStr">
        <is>
          <t>—</t>
        </is>
      </c>
      <c r="Q330" s="3" t="inlineStr">
        <is>
          <t>上游含 Y1</t>
        </is>
      </c>
      <c r="R330" s="3" t="inlineStr">
        <is>
          <t>—</t>
        </is>
      </c>
      <c r="S330" s="3" t="inlineStr">
        <is>
          <t>Y1</t>
        </is>
      </c>
      <c r="T330" s="3" t="inlineStr"/>
      <c r="U330" s="3" t="n">
        <v>6</v>
      </c>
      <c r="V330" s="3" t="inlineStr"/>
      <c r="W330" s="3" t="inlineStr">
        <is>
          <t>資訊（只有 L8）</t>
        </is>
      </c>
    </row>
    <row r="331">
      <c r="A331" s="3" t="inlineStr">
        <is>
          <t>Interface</t>
        </is>
      </c>
      <c r="B331" s="3" t="n">
        <v>66</v>
      </c>
      <c r="C331" s="3" t="inlineStr">
        <is>
          <t>後訓練占比（GPU 小時口徑）　[IF_PostShareGPUh_Sol]</t>
        </is>
      </c>
      <c r="D331" s="3" t="inlineStr">
        <is>
          <t>%</t>
        </is>
      </c>
      <c r="E331" s="3" t="n">
        <v>20</v>
      </c>
      <c r="F331" s="3" t="n">
        <v>6</v>
      </c>
      <c r="G331" s="3" t="inlineStr">
        <is>
          <t>C66</t>
        </is>
      </c>
      <c r="H331" s="3">
        <f>INDEX(Training!$C$111:$Q$111,3*(Unit_Cost!C$6-1)+2)</f>
        <v/>
      </c>
      <c r="I331" s="3" t="n">
        <v>0.309969</v>
      </c>
      <c r="J331" s="3" t="inlineStr">
        <is>
          <t>—</t>
        </is>
      </c>
      <c r="K331" s="3" t="inlineStr">
        <is>
          <t>—</t>
        </is>
      </c>
      <c r="L331" s="3" t="inlineStr">
        <is>
          <t>—</t>
        </is>
      </c>
      <c r="M331" s="3" t="inlineStr">
        <is>
          <t>—</t>
        </is>
      </c>
      <c r="N331" s="3" t="inlineStr">
        <is>
          <t>—</t>
        </is>
      </c>
      <c r="O331" s="3" t="inlineStr">
        <is>
          <t>—</t>
        </is>
      </c>
      <c r="P331" s="3" t="inlineStr">
        <is>
          <t>—</t>
        </is>
      </c>
      <c r="Q331" s="3" t="inlineStr">
        <is>
          <t>上游含 Y1,Y5,Y8</t>
        </is>
      </c>
      <c r="R331" s="3" t="inlineStr">
        <is>
          <t>—</t>
        </is>
      </c>
      <c r="S331" s="3" t="inlineStr">
        <is>
          <t>Y1,Y5,Y8</t>
        </is>
      </c>
      <c r="T331" s="3" t="inlineStr"/>
      <c r="U331" s="3" t="n">
        <v>6</v>
      </c>
      <c r="V331" s="3" t="inlineStr"/>
      <c r="W331" s="3" t="inlineStr">
        <is>
          <t>資訊（只有 L8）</t>
        </is>
      </c>
    </row>
    <row r="332">
      <c r="A332" s="3" t="inlineStr">
        <is>
          <t>Interface</t>
        </is>
      </c>
      <c r="B332" s="3" t="n">
        <v>67</v>
      </c>
      <c r="C332" s="3" t="inlineStr">
        <is>
          <t>RL 有效 MFU（訓練峰值分母）　[IF_RLMFU_Sol]</t>
        </is>
      </c>
      <c r="D332" s="3" t="inlineStr">
        <is>
          <t>%</t>
        </is>
      </c>
      <c r="E332" s="3" t="n">
        <v>20</v>
      </c>
      <c r="F332" s="3" t="n">
        <v>6</v>
      </c>
      <c r="G332" s="3" t="inlineStr">
        <is>
          <t>C67</t>
        </is>
      </c>
      <c r="H332" s="3">
        <f>INDEX(Training!$C$77:$Q$77,3*(Unit_Cost!C$6-1)+2)</f>
        <v/>
      </c>
      <c r="I332" s="3" t="n">
        <v>0.071676</v>
      </c>
      <c r="J332" s="3" t="inlineStr">
        <is>
          <t>—</t>
        </is>
      </c>
      <c r="K332" s="3" t="inlineStr">
        <is>
          <t>—</t>
        </is>
      </c>
      <c r="L332" s="3" t="inlineStr">
        <is>
          <t>—</t>
        </is>
      </c>
      <c r="M332" s="3" t="inlineStr">
        <is>
          <t>—</t>
        </is>
      </c>
      <c r="N332" s="3" t="inlineStr">
        <is>
          <t>—</t>
        </is>
      </c>
      <c r="O332" s="3" t="inlineStr">
        <is>
          <t>—</t>
        </is>
      </c>
      <c r="P332" s="3" t="inlineStr">
        <is>
          <t>—</t>
        </is>
      </c>
      <c r="Q332" s="3" t="inlineStr">
        <is>
          <t>上游含 Y1,Y5,Y8</t>
        </is>
      </c>
      <c r="R332" s="3" t="inlineStr">
        <is>
          <t>—</t>
        </is>
      </c>
      <c r="S332" s="3" t="inlineStr">
        <is>
          <t>Y1,Y5,Y8</t>
        </is>
      </c>
      <c r="T332" s="3" t="inlineStr"/>
      <c r="U332" s="3" t="n">
        <v>3</v>
      </c>
      <c r="V332" s="3" t="inlineStr"/>
      <c r="W332" s="3" t="inlineStr">
        <is>
          <t>資訊（只有 L8）</t>
        </is>
      </c>
    </row>
    <row r="333">
      <c r="A333" s="3" t="inlineStr">
        <is>
          <t>Interface</t>
        </is>
      </c>
      <c r="B333" s="3" t="n">
        <v>68</v>
      </c>
      <c r="C333" s="3" t="inlineStr">
        <is>
          <t>研發計畫 GPU 小時（含研發倍數分攤）　[IF_ProgGPUh_Sol]</t>
        </is>
      </c>
      <c r="D333" s="3" t="inlineStr">
        <is>
          <t>GPU-hr</t>
        </is>
      </c>
      <c r="E333" s="3" t="n">
        <v>20</v>
      </c>
      <c r="F333" s="3" t="n">
        <v>6</v>
      </c>
      <c r="G333" s="3" t="inlineStr">
        <is>
          <t>C68</t>
        </is>
      </c>
      <c r="H333" s="3">
        <f>INDEX(Training!$C$120:$Q$120,3*(Unit_Cost!C$6-1)+2)</f>
        <v/>
      </c>
      <c r="I333" s="3" t="n">
        <v>145592502.440035</v>
      </c>
      <c r="J333" s="3" t="inlineStr">
        <is>
          <t>—</t>
        </is>
      </c>
      <c r="K333" s="3" t="inlineStr">
        <is>
          <t>—</t>
        </is>
      </c>
      <c r="L333" s="3" t="inlineStr">
        <is>
          <t>—</t>
        </is>
      </c>
      <c r="M333" s="3" t="inlineStr">
        <is>
          <t>—</t>
        </is>
      </c>
      <c r="N333" s="3" t="inlineStr">
        <is>
          <t>—</t>
        </is>
      </c>
      <c r="O333" s="3" t="inlineStr">
        <is>
          <t>—</t>
        </is>
      </c>
      <c r="P333" s="3" t="inlineStr">
        <is>
          <t>—</t>
        </is>
      </c>
      <c r="Q333" s="3" t="inlineStr">
        <is>
          <t>上游含 Y1,Y5,Y8</t>
        </is>
      </c>
      <c r="R333" s="3" t="inlineStr">
        <is>
          <t>—</t>
        </is>
      </c>
      <c r="S333" s="3" t="inlineStr">
        <is>
          <t>Y1,Y5,Y8</t>
        </is>
      </c>
      <c r="T333" s="3" t="inlineStr"/>
      <c r="U333" s="3" t="n">
        <v>3</v>
      </c>
      <c r="V333" s="3" t="inlineStr"/>
      <c r="W333" s="3" t="inlineStr">
        <is>
          <t>資訊（只有 L8）</t>
        </is>
      </c>
    </row>
    <row r="334">
      <c r="A334" s="3" t="inlineStr">
        <is>
          <t>Interface</t>
        </is>
      </c>
      <c r="B334" s="3" t="n">
        <v>69</v>
      </c>
      <c r="C334" s="3" t="inlineStr">
        <is>
          <t>研發計畫成本 — 經濟（依成本情境）　[IF_ProgCost_Sol]</t>
        </is>
      </c>
      <c r="D334" s="3" t="inlineStr">
        <is>
          <t>$M</t>
        </is>
      </c>
      <c r="E334" s="3" t="n">
        <v>20</v>
      </c>
      <c r="F334" s="3" t="n">
        <v>6</v>
      </c>
      <c r="G334" s="3" t="inlineStr">
        <is>
          <t>C69</t>
        </is>
      </c>
      <c r="H334" s="3">
        <f>INDEX(Training!$C$120:$Q$120,3*(Unit_Cost!C$6-1)+2)*Unit_Cost!C$8/1000000</f>
        <v/>
      </c>
      <c r="I334" s="3" t="n">
        <v>157.188197</v>
      </c>
      <c r="J334" s="3" t="inlineStr">
        <is>
          <t>—</t>
        </is>
      </c>
      <c r="K334" s="3" t="inlineStr">
        <is>
          <t>[G13] 訓練與研發計畫成本 × Unit_Cost 第 8 列（經濟、100% 利用率，不除 IF_Util）；服務成本除 IF_Util 0.6。兩者對「閒置」的口徑不同</t>
        </is>
      </c>
      <c r="L334" s="3" t="inlineStr">
        <is>
          <t>—</t>
        </is>
      </c>
      <c r="M334" s="3" t="inlineStr">
        <is>
          <t>—</t>
        </is>
      </c>
      <c r="N334" s="3" t="inlineStr">
        <is>
          <t>—</t>
        </is>
      </c>
      <c r="O334" s="3" t="inlineStr">
        <is>
          <t>—</t>
        </is>
      </c>
      <c r="P334" s="3" t="inlineStr">
        <is>
          <t>—</t>
        </is>
      </c>
      <c r="Q334" s="3" t="inlineStr">
        <is>
          <t>上游含 Y1,Y4,Y5,Y7,Y8</t>
        </is>
      </c>
      <c r="R334" s="3" t="inlineStr">
        <is>
          <t>—</t>
        </is>
      </c>
      <c r="S334" s="3" t="inlineStr">
        <is>
          <t>Y1,Y4,Y5,Y7,Y8</t>
        </is>
      </c>
      <c r="T334" s="3" t="inlineStr"/>
      <c r="U334" s="3" t="n">
        <v>18</v>
      </c>
      <c r="V334" s="3" t="inlineStr">
        <is>
          <t>G13</t>
        </is>
      </c>
      <c r="W334" s="3" t="inlineStr">
        <is>
          <t>中</t>
        </is>
      </c>
    </row>
    <row r="335">
      <c r="A335" s="3" t="inlineStr">
        <is>
          <t>Interface</t>
        </is>
      </c>
      <c r="B335" s="3" t="n">
        <v>70</v>
      </c>
      <c r="C335" s="3" t="inlineStr">
        <is>
          <t>研發計畫占 1 GW 一年　[IF_ProgGWyr_Sol]</t>
        </is>
      </c>
      <c r="D335" s="3" t="inlineStr">
        <is>
          <t>%</t>
        </is>
      </c>
      <c r="E335" s="3" t="n">
        <v>20</v>
      </c>
      <c r="F335" s="3" t="n">
        <v>6</v>
      </c>
      <c r="G335" s="3" t="inlineStr">
        <is>
          <t>C70</t>
        </is>
      </c>
      <c r="H335" s="3">
        <f>INDEX(Training!$C$123:$Q$123,3*(Unit_Cost!C$6-1)+2)</f>
        <v/>
      </c>
      <c r="I335" s="3" t="n">
        <v>0.023146</v>
      </c>
      <c r="J335" s="3" t="inlineStr">
        <is>
          <t>—</t>
        </is>
      </c>
      <c r="K335" s="3" t="inlineStr">
        <is>
          <t>—</t>
        </is>
      </c>
      <c r="L335" s="3" t="inlineStr">
        <is>
          <t>—</t>
        </is>
      </c>
      <c r="M335" s="3" t="inlineStr">
        <is>
          <t>—</t>
        </is>
      </c>
      <c r="N335" s="3" t="inlineStr">
        <is>
          <t>—</t>
        </is>
      </c>
      <c r="O335" s="3" t="inlineStr">
        <is>
          <t>—</t>
        </is>
      </c>
      <c r="P335" s="3" t="inlineStr">
        <is>
          <t>—</t>
        </is>
      </c>
      <c r="Q335" s="3" t="inlineStr">
        <is>
          <t>上游含 Y1,Y5,Y8</t>
        </is>
      </c>
      <c r="R335" s="3" t="inlineStr">
        <is>
          <t>—</t>
        </is>
      </c>
      <c r="S335" s="3" t="inlineStr">
        <is>
          <t>Y1,Y5,Y8</t>
        </is>
      </c>
      <c r="T335" s="3" t="inlineStr"/>
      <c r="U335" s="3" t="n">
        <v>19</v>
      </c>
      <c r="V335" s="3" t="inlineStr"/>
      <c r="W335" s="3" t="inlineStr">
        <is>
          <t>資訊（只有 L8）</t>
        </is>
      </c>
    </row>
    <row r="336">
      <c r="A336" s="3" t="inlineStr">
        <is>
          <t>Interface</t>
        </is>
      </c>
      <c r="B336" s="3" t="n">
        <v>72</v>
      </c>
      <c r="C336" s="3" t="inlineStr">
        <is>
          <t>最終訓練 GPU 小時（單一模型）　[IF_TrainGPUh_Astra]</t>
        </is>
      </c>
      <c r="D336" s="3" t="inlineStr">
        <is>
          <t>GPU-hr</t>
        </is>
      </c>
      <c r="E336" s="3" t="n">
        <v>20</v>
      </c>
      <c r="F336" s="3" t="n">
        <v>6</v>
      </c>
      <c r="G336" s="3" t="inlineStr">
        <is>
          <t>C72</t>
        </is>
      </c>
      <c r="H336" s="3">
        <f>INDEX(Training!$C$106:$Q$106,3*(Unit_Cost!C$6-1)+3)</f>
        <v/>
      </c>
      <c r="I336" s="3" t="n">
        <v>112183463.020854</v>
      </c>
      <c r="J336" s="3" t="inlineStr">
        <is>
          <t>—</t>
        </is>
      </c>
      <c r="K336" s="3" t="inlineStr">
        <is>
          <t>—</t>
        </is>
      </c>
      <c r="L336" s="3" t="inlineStr">
        <is>
          <t>—</t>
        </is>
      </c>
      <c r="M336" s="3" t="inlineStr">
        <is>
          <t>—</t>
        </is>
      </c>
      <c r="N336" s="3" t="inlineStr">
        <is>
          <t>—</t>
        </is>
      </c>
      <c r="O336" s="3" t="inlineStr">
        <is>
          <t>—</t>
        </is>
      </c>
      <c r="P336" s="3" t="inlineStr">
        <is>
          <t>—</t>
        </is>
      </c>
      <c r="Q336" s="3" t="inlineStr">
        <is>
          <t>上游含 Y1,Y5,Y8</t>
        </is>
      </c>
      <c r="R336" s="3" t="inlineStr">
        <is>
          <t>—</t>
        </is>
      </c>
      <c r="S336" s="3" t="inlineStr">
        <is>
          <t>Y1,Y5,Y8</t>
        </is>
      </c>
      <c r="T336" s="3" t="inlineStr"/>
      <c r="U336" s="3" t="n">
        <v>3</v>
      </c>
      <c r="V336" s="3" t="inlineStr"/>
      <c r="W336" s="3" t="inlineStr">
        <is>
          <t>資訊（只有 L8）</t>
        </is>
      </c>
    </row>
    <row r="337">
      <c r="A337" s="3" t="inlineStr">
        <is>
          <t>Interface</t>
        </is>
      </c>
      <c r="B337" s="3" t="n">
        <v>73</v>
      </c>
      <c r="C337" s="3" t="inlineStr">
        <is>
          <t>最終訓練成本 — 經濟（依成本情境）　[IF_TrainCost_Astra]</t>
        </is>
      </c>
      <c r="D337" s="3" t="inlineStr">
        <is>
          <t>$M</t>
        </is>
      </c>
      <c r="E337" s="3" t="n">
        <v>20</v>
      </c>
      <c r="F337" s="3" t="n">
        <v>6</v>
      </c>
      <c r="G337" s="3" t="inlineStr">
        <is>
          <t>C73</t>
        </is>
      </c>
      <c r="H337" s="3">
        <f>INDEX(Training!$C$106:$Q$106,3*(Unit_Cost!C$6-1)+3)*Unit_Cost!C$8/1000000</f>
        <v/>
      </c>
      <c r="I337" s="3" t="n">
        <v>121.118299</v>
      </c>
      <c r="J337" s="3" t="inlineStr">
        <is>
          <t>—</t>
        </is>
      </c>
      <c r="K337" s="3" t="inlineStr">
        <is>
          <t>[G13] 訓練與研發計畫成本 × Unit_Cost 第 8 列（經濟、100% 利用率，不除 IF_Util）；服務成本除 IF_Util 0.6。兩者對「閒置」的口徑不同</t>
        </is>
      </c>
      <c r="L337" s="3" t="inlineStr">
        <is>
          <t>—</t>
        </is>
      </c>
      <c r="M337" s="3" t="inlineStr">
        <is>
          <t>—</t>
        </is>
      </c>
      <c r="N337" s="3" t="inlineStr">
        <is>
          <t>—</t>
        </is>
      </c>
      <c r="O337" s="3" t="inlineStr">
        <is>
          <t>—</t>
        </is>
      </c>
      <c r="P337" s="3" t="inlineStr">
        <is>
          <t>—</t>
        </is>
      </c>
      <c r="Q337" s="3" t="inlineStr">
        <is>
          <t>上游含 Y1,Y4,Y5,Y7,Y8</t>
        </is>
      </c>
      <c r="R337" s="3" t="inlineStr">
        <is>
          <t>—</t>
        </is>
      </c>
      <c r="S337" s="3" t="inlineStr">
        <is>
          <t>Y1,Y4,Y5,Y7,Y8</t>
        </is>
      </c>
      <c r="T337" s="3" t="inlineStr"/>
      <c r="U337" s="3" t="n">
        <v>3</v>
      </c>
      <c r="V337" s="3" t="inlineStr">
        <is>
          <t>G13</t>
        </is>
      </c>
      <c r="W337" s="3" t="inlineStr">
        <is>
          <t>中</t>
        </is>
      </c>
    </row>
    <row r="338">
      <c r="A338" s="3" t="inlineStr">
        <is>
          <t>Interface</t>
        </is>
      </c>
      <c r="B338" s="3" t="n">
        <v>74</v>
      </c>
      <c r="C338" s="3" t="inlineStr">
        <is>
          <t>後訓練占比（FLOPs 口徑）　[IF_PostShareFLOP_Astra]</t>
        </is>
      </c>
      <c r="D338" s="3" t="inlineStr">
        <is>
          <t>%</t>
        </is>
      </c>
      <c r="E338" s="3" t="n">
        <v>20</v>
      </c>
      <c r="F338" s="3" t="n">
        <v>6</v>
      </c>
      <c r="G338" s="3" t="inlineStr">
        <is>
          <t>C74</t>
        </is>
      </c>
      <c r="H338" s="3">
        <f>INDEX(Training!$C$110:$Q$110,3*(Unit_Cost!C$6-1)+3)</f>
        <v/>
      </c>
      <c r="I338" s="3" t="n">
        <v>0.268885</v>
      </c>
      <c r="J338" s="3" t="inlineStr">
        <is>
          <t>—</t>
        </is>
      </c>
      <c r="K338" s="3" t="inlineStr">
        <is>
          <t>—</t>
        </is>
      </c>
      <c r="L338" s="3" t="inlineStr">
        <is>
          <t>—</t>
        </is>
      </c>
      <c r="M338" s="3" t="inlineStr">
        <is>
          <t>—</t>
        </is>
      </c>
      <c r="N338" s="3" t="inlineStr">
        <is>
          <t>—</t>
        </is>
      </c>
      <c r="O338" s="3" t="inlineStr">
        <is>
          <t>—</t>
        </is>
      </c>
      <c r="P338" s="3" t="inlineStr">
        <is>
          <t>—</t>
        </is>
      </c>
      <c r="Q338" s="3" t="inlineStr">
        <is>
          <t>上游含 Y1</t>
        </is>
      </c>
      <c r="R338" s="3" t="inlineStr">
        <is>
          <t>—</t>
        </is>
      </c>
      <c r="S338" s="3" t="inlineStr">
        <is>
          <t>Y1</t>
        </is>
      </c>
      <c r="T338" s="3" t="inlineStr"/>
      <c r="U338" s="3" t="n">
        <v>3</v>
      </c>
      <c r="V338" s="3" t="inlineStr"/>
      <c r="W338" s="3" t="inlineStr">
        <is>
          <t>資訊（只有 L8）</t>
        </is>
      </c>
    </row>
    <row r="339">
      <c r="A339" s="3" t="inlineStr">
        <is>
          <t>Interface</t>
        </is>
      </c>
      <c r="B339" s="3" t="n">
        <v>75</v>
      </c>
      <c r="C339" s="3" t="inlineStr">
        <is>
          <t>後訓練占比（GPU 小時口徑）　[IF_PostShareGPUh_Astra]</t>
        </is>
      </c>
      <c r="D339" s="3" t="inlineStr">
        <is>
          <t>%</t>
        </is>
      </c>
      <c r="E339" s="3" t="n">
        <v>20</v>
      </c>
      <c r="F339" s="3" t="n">
        <v>6</v>
      </c>
      <c r="G339" s="3" t="inlineStr">
        <is>
          <t>C75</t>
        </is>
      </c>
      <c r="H339" s="3">
        <f>INDEX(Training!$C$111:$Q$111,3*(Unit_Cost!C$6-1)+3)</f>
        <v/>
      </c>
      <c r="I339" s="3" t="n">
        <v>0.559685</v>
      </c>
      <c r="J339" s="3" t="inlineStr">
        <is>
          <t>—</t>
        </is>
      </c>
      <c r="K339" s="3" t="inlineStr">
        <is>
          <t>—</t>
        </is>
      </c>
      <c r="L339" s="3" t="inlineStr">
        <is>
          <t>—</t>
        </is>
      </c>
      <c r="M339" s="3" t="inlineStr">
        <is>
          <t>—</t>
        </is>
      </c>
      <c r="N339" s="3" t="inlineStr">
        <is>
          <t>—</t>
        </is>
      </c>
      <c r="O339" s="3" t="inlineStr">
        <is>
          <t>—</t>
        </is>
      </c>
      <c r="P339" s="3" t="inlineStr">
        <is>
          <t>—</t>
        </is>
      </c>
      <c r="Q339" s="3" t="inlineStr">
        <is>
          <t>上游含 Y1,Y5,Y8</t>
        </is>
      </c>
      <c r="R339" s="3" t="inlineStr">
        <is>
          <t>—</t>
        </is>
      </c>
      <c r="S339" s="3" t="inlineStr">
        <is>
          <t>Y1,Y5,Y8</t>
        </is>
      </c>
      <c r="T339" s="3" t="inlineStr"/>
      <c r="U339" s="3" t="n">
        <v>3</v>
      </c>
      <c r="V339" s="3" t="inlineStr"/>
      <c r="W339" s="3" t="inlineStr">
        <is>
          <t>資訊（只有 L8）</t>
        </is>
      </c>
    </row>
    <row r="340">
      <c r="A340" s="3" t="inlineStr">
        <is>
          <t>Interface</t>
        </is>
      </c>
      <c r="B340" s="3" t="n">
        <v>76</v>
      </c>
      <c r="C340" s="3" t="inlineStr">
        <is>
          <t>RL 有效 MFU（訓練峰值分母）　[IF_RLMFU_Astra]</t>
        </is>
      </c>
      <c r="D340" s="3" t="inlineStr">
        <is>
          <t>%</t>
        </is>
      </c>
      <c r="E340" s="3" t="n">
        <v>20</v>
      </c>
      <c r="F340" s="3" t="n">
        <v>6</v>
      </c>
      <c r="G340" s="3" t="inlineStr">
        <is>
          <t>C76</t>
        </is>
      </c>
      <c r="H340" s="3">
        <f>INDEX(Training!$C$77:$Q$77,3*(Unit_Cost!C$6-1)+3)</f>
        <v/>
      </c>
      <c r="I340" s="3" t="n">
        <v>0.064749</v>
      </c>
      <c r="J340" s="3" t="inlineStr">
        <is>
          <t>—</t>
        </is>
      </c>
      <c r="K340" s="3" t="inlineStr">
        <is>
          <t>—</t>
        </is>
      </c>
      <c r="L340" s="3" t="inlineStr">
        <is>
          <t>—</t>
        </is>
      </c>
      <c r="M340" s="3" t="inlineStr">
        <is>
          <t>—</t>
        </is>
      </c>
      <c r="N340" s="3" t="inlineStr">
        <is>
          <t>—</t>
        </is>
      </c>
      <c r="O340" s="3" t="inlineStr">
        <is>
          <t>—</t>
        </is>
      </c>
      <c r="P340" s="3" t="inlineStr">
        <is>
          <t>—</t>
        </is>
      </c>
      <c r="Q340" s="3" t="inlineStr">
        <is>
          <t>上游含 Y1,Y5,Y8</t>
        </is>
      </c>
      <c r="R340" s="3" t="inlineStr">
        <is>
          <t>—</t>
        </is>
      </c>
      <c r="S340" s="3" t="inlineStr">
        <is>
          <t>Y1,Y5,Y8</t>
        </is>
      </c>
      <c r="T340" s="3" t="inlineStr"/>
      <c r="U340" s="3" t="n">
        <v>3</v>
      </c>
      <c r="V340" s="3" t="inlineStr"/>
      <c r="W340" s="3" t="inlineStr">
        <is>
          <t>資訊（只有 L8）</t>
        </is>
      </c>
    </row>
    <row r="341">
      <c r="A341" s="3" t="inlineStr">
        <is>
          <t>Interface</t>
        </is>
      </c>
      <c r="B341" s="3" t="n">
        <v>77</v>
      </c>
      <c r="C341" s="3" t="inlineStr">
        <is>
          <t>研發計畫 GPU 小時（含研發倍數分攤）　[IF_ProgGPUh_Astra]</t>
        </is>
      </c>
      <c r="D341" s="3" t="inlineStr">
        <is>
          <t>GPU-hr</t>
        </is>
      </c>
      <c r="E341" s="3" t="n">
        <v>20</v>
      </c>
      <c r="F341" s="3" t="n">
        <v>6</v>
      </c>
      <c r="G341" s="3" t="inlineStr">
        <is>
          <t>C77</t>
        </is>
      </c>
      <c r="H341" s="3">
        <f>INDEX(Training!$C$120:$Q$120,3*(Unit_Cost!C$6-1)+3)</f>
        <v/>
      </c>
      <c r="I341" s="3" t="n">
        <v>897467704.166834</v>
      </c>
      <c r="J341" s="3" t="inlineStr">
        <is>
          <t>—</t>
        </is>
      </c>
      <c r="K341" s="3" t="inlineStr">
        <is>
          <t>—</t>
        </is>
      </c>
      <c r="L341" s="3" t="inlineStr">
        <is>
          <t>—</t>
        </is>
      </c>
      <c r="M341" s="3" t="inlineStr">
        <is>
          <t>—</t>
        </is>
      </c>
      <c r="N341" s="3" t="inlineStr">
        <is>
          <t>—</t>
        </is>
      </c>
      <c r="O341" s="3" t="inlineStr">
        <is>
          <t>—</t>
        </is>
      </c>
      <c r="P341" s="3" t="inlineStr">
        <is>
          <t>—</t>
        </is>
      </c>
      <c r="Q341" s="3" t="inlineStr">
        <is>
          <t>上游含 Y1,Y5,Y8</t>
        </is>
      </c>
      <c r="R341" s="3" t="inlineStr">
        <is>
          <t>—</t>
        </is>
      </c>
      <c r="S341" s="3" t="inlineStr">
        <is>
          <t>Y1,Y5,Y8</t>
        </is>
      </c>
      <c r="T341" s="3" t="inlineStr"/>
      <c r="U341" s="3" t="n">
        <v>3</v>
      </c>
      <c r="V341" s="3" t="inlineStr"/>
      <c r="W341" s="3" t="inlineStr">
        <is>
          <t>資訊（只有 L8）</t>
        </is>
      </c>
    </row>
    <row r="342">
      <c r="A342" s="3" t="inlineStr">
        <is>
          <t>Interface</t>
        </is>
      </c>
      <c r="B342" s="3" t="n">
        <v>78</v>
      </c>
      <c r="C342" s="3" t="inlineStr">
        <is>
          <t>研發計畫成本 — 經濟（依成本情境）　[IF_ProgCost_Astra]</t>
        </is>
      </c>
      <c r="D342" s="3" t="inlineStr">
        <is>
          <t>$M</t>
        </is>
      </c>
      <c r="E342" s="3" t="n">
        <v>20</v>
      </c>
      <c r="F342" s="3" t="n">
        <v>6</v>
      </c>
      <c r="G342" s="3" t="inlineStr">
        <is>
          <t>C78</t>
        </is>
      </c>
      <c r="H342" s="3">
        <f>INDEX(Training!$C$120:$Q$120,3*(Unit_Cost!C$6-1)+3)*Unit_Cost!C$8/1000000</f>
        <v/>
      </c>
      <c r="I342" s="3" t="n">
        <v>968.9463940000001</v>
      </c>
      <c r="J342" s="3" t="inlineStr">
        <is>
          <t>—</t>
        </is>
      </c>
      <c r="K342" s="3" t="inlineStr">
        <is>
          <t>[G13] 訓練與研發計畫成本 × Unit_Cost 第 8 列（經濟、100% 利用率，不除 IF_Util）；服務成本除 IF_Util 0.6。兩者對「閒置」的口徑不同</t>
        </is>
      </c>
      <c r="L342" s="3" t="inlineStr">
        <is>
          <t>—</t>
        </is>
      </c>
      <c r="M342" s="3" t="inlineStr">
        <is>
          <t>—</t>
        </is>
      </c>
      <c r="N342" s="3" t="inlineStr">
        <is>
          <t>—</t>
        </is>
      </c>
      <c r="O342" s="3" t="inlineStr">
        <is>
          <t>—</t>
        </is>
      </c>
      <c r="P342" s="3" t="inlineStr">
        <is>
          <t>—</t>
        </is>
      </c>
      <c r="Q342" s="3" t="inlineStr">
        <is>
          <t>上游含 Y1,Y4,Y5,Y7,Y8</t>
        </is>
      </c>
      <c r="R342" s="3" t="inlineStr">
        <is>
          <t>—</t>
        </is>
      </c>
      <c r="S342" s="3" t="inlineStr">
        <is>
          <t>Y1,Y4,Y5,Y7,Y8</t>
        </is>
      </c>
      <c r="T342" s="3" t="inlineStr"/>
      <c r="U342" s="3" t="n">
        <v>18</v>
      </c>
      <c r="V342" s="3" t="inlineStr">
        <is>
          <t>G13</t>
        </is>
      </c>
      <c r="W342" s="3" t="inlineStr">
        <is>
          <t>中</t>
        </is>
      </c>
    </row>
    <row r="343">
      <c r="A343" s="3" t="inlineStr">
        <is>
          <t>Interface</t>
        </is>
      </c>
      <c r="B343" s="3" t="n">
        <v>79</v>
      </c>
      <c r="C343" s="3" t="inlineStr">
        <is>
          <t>研發計畫占 1 GW 一年　[IF_ProgGWyr_Astra]</t>
        </is>
      </c>
      <c r="D343" s="3" t="inlineStr">
        <is>
          <t>%</t>
        </is>
      </c>
      <c r="E343" s="3" t="n">
        <v>20</v>
      </c>
      <c r="F343" s="3" t="n">
        <v>6</v>
      </c>
      <c r="G343" s="3" t="inlineStr">
        <is>
          <t>C79</t>
        </is>
      </c>
      <c r="H343" s="3">
        <f>INDEX(Training!$C$123:$Q$123,3*(Unit_Cost!C$6-1)+3)</f>
        <v/>
      </c>
      <c r="I343" s="3" t="n">
        <v>0.142679</v>
      </c>
      <c r="J343" s="3" t="inlineStr">
        <is>
          <t>—</t>
        </is>
      </c>
      <c r="K343" s="3" t="inlineStr">
        <is>
          <t>—</t>
        </is>
      </c>
      <c r="L343" s="3" t="inlineStr">
        <is>
          <t>—</t>
        </is>
      </c>
      <c r="M343" s="3" t="inlineStr">
        <is>
          <t>—</t>
        </is>
      </c>
      <c r="N343" s="3" t="inlineStr">
        <is>
          <t>—</t>
        </is>
      </c>
      <c r="O343" s="3" t="inlineStr">
        <is>
          <t>—</t>
        </is>
      </c>
      <c r="P343" s="3" t="inlineStr">
        <is>
          <t>—</t>
        </is>
      </c>
      <c r="Q343" s="3" t="inlineStr">
        <is>
          <t>上游含 Y1,Y5,Y8</t>
        </is>
      </c>
      <c r="R343" s="3" t="inlineStr">
        <is>
          <t>—</t>
        </is>
      </c>
      <c r="S343" s="3" t="inlineStr">
        <is>
          <t>Y1,Y5,Y8</t>
        </is>
      </c>
      <c r="T343" s="3" t="inlineStr"/>
      <c r="U343" s="3" t="n">
        <v>19</v>
      </c>
      <c r="V343" s="3" t="inlineStr"/>
      <c r="W343" s="3" t="inlineStr">
        <is>
          <t>資訊（只有 L8）</t>
        </is>
      </c>
    </row>
    <row r="344">
      <c r="A344" s="3" t="inlineStr">
        <is>
          <t>Interface</t>
        </is>
      </c>
      <c r="B344" s="3" t="n">
        <v>80</v>
      </c>
      <c r="C344" s="3" t="inlineStr">
        <is>
          <t>研發倍數（第 0 層基準；下游可覆寫）　[IF_RDMult]</t>
        </is>
      </c>
      <c r="D344" s="3" t="inlineStr">
        <is>
          <t>x</t>
        </is>
      </c>
      <c r="E344" s="3" t="n">
        <v>6</v>
      </c>
      <c r="F344" s="3" t="n">
        <v>6</v>
      </c>
      <c r="G344" s="3" t="inlineStr">
        <is>
          <t>C80</t>
        </is>
      </c>
      <c r="H344" s="3">
        <f>Train_In!$C$13</f>
        <v/>
      </c>
      <c r="I344" s="3" t="n">
        <v>8</v>
      </c>
      <c r="J344" s="3" t="inlineStr">
        <is>
          <t>—</t>
        </is>
      </c>
      <c r="K344" s="3" t="inlineStr">
        <is>
          <t>—</t>
        </is>
      </c>
      <c r="L344" s="3" t="inlineStr">
        <is>
          <t>—</t>
        </is>
      </c>
      <c r="M344" s="3" t="inlineStr">
        <is>
          <t>—</t>
        </is>
      </c>
      <c r="N344" s="3" t="inlineStr">
        <is>
          <t>—</t>
        </is>
      </c>
      <c r="O344" s="3" t="inlineStr">
        <is>
          <t>—</t>
        </is>
      </c>
      <c r="P344" s="3" t="inlineStr">
        <is>
          <t>—</t>
        </is>
      </c>
      <c r="Q344" s="3" t="inlineStr">
        <is>
          <t>—</t>
        </is>
      </c>
      <c r="R344" s="3" t="inlineStr">
        <is>
          <t>—</t>
        </is>
      </c>
      <c r="S344" s="3" t="inlineStr"/>
      <c r="T344" s="3" t="inlineStr"/>
      <c r="U344" s="3" t="n">
        <v>36</v>
      </c>
      <c r="V344" s="3" t="inlineStr"/>
      <c r="W344" s="3" t="inlineStr">
        <is>
          <t>—</t>
        </is>
      </c>
    </row>
    <row r="345">
      <c r="A345" s="3" t="inlineStr">
        <is>
          <t>Interface</t>
        </is>
      </c>
      <c r="B345" s="3" t="n">
        <v>81</v>
      </c>
      <c r="C345" s="3" t="inlineStr">
        <is>
          <t>下游預設訓練世代（索引；J13）　[IF_TrainGenDefault]</t>
        </is>
      </c>
      <c r="D345" s="3" t="inlineStr">
        <is>
          <t>索引</t>
        </is>
      </c>
      <c r="E345" s="3" t="n">
        <v>7</v>
      </c>
      <c r="F345" s="3" t="n">
        <v>7</v>
      </c>
      <c r="G345" s="3" t="inlineStr">
        <is>
          <t>C81</t>
        </is>
      </c>
      <c r="H345" s="3">
        <f>Train_In!$C$16</f>
        <v/>
      </c>
      <c r="I345" s="3" t="n">
        <v>4</v>
      </c>
      <c r="J345" s="3" t="inlineStr">
        <is>
          <t>—</t>
        </is>
      </c>
      <c r="K345" s="3" t="inlineStr">
        <is>
          <t>—</t>
        </is>
      </c>
      <c r="L345" s="3" t="inlineStr">
        <is>
          <t>—</t>
        </is>
      </c>
      <c r="M345" s="3" t="inlineStr">
        <is>
          <t>—</t>
        </is>
      </c>
      <c r="N345" s="3" t="inlineStr">
        <is>
          <t>—</t>
        </is>
      </c>
      <c r="O345" s="3" t="inlineStr">
        <is>
          <t>—</t>
        </is>
      </c>
      <c r="P345" s="3" t="inlineStr">
        <is>
          <t>—</t>
        </is>
      </c>
      <c r="Q345" s="3" t="inlineStr">
        <is>
          <t>—</t>
        </is>
      </c>
      <c r="R345" s="3" t="inlineStr">
        <is>
          <t>—</t>
        </is>
      </c>
      <c r="S345" s="3" t="inlineStr"/>
      <c r="T345" s="3" t="inlineStr"/>
      <c r="U345" s="3" t="n">
        <v>5</v>
      </c>
      <c r="V345" s="3" t="inlineStr"/>
      <c r="W345" s="3" t="inlineStr">
        <is>
          <t>—</t>
        </is>
      </c>
    </row>
    <row r="346">
      <c r="A346" s="3" t="inlineStr">
        <is>
          <t>Interface</t>
        </is>
      </c>
      <c r="B346" s="3" t="n">
        <v>82</v>
      </c>
      <c r="C346" s="3" t="inlineStr">
        <is>
          <t>並列訓練世代（索引；J13）　[IF_TrainGenAlt]</t>
        </is>
      </c>
      <c r="D346" s="3" t="inlineStr">
        <is>
          <t>索引</t>
        </is>
      </c>
      <c r="E346" s="3" t="n">
        <v>7</v>
      </c>
      <c r="F346" s="3" t="n">
        <v>7</v>
      </c>
      <c r="G346" s="3" t="inlineStr">
        <is>
          <t>C82</t>
        </is>
      </c>
      <c r="H346" s="3">
        <f>Train_In!$C$17</f>
        <v/>
      </c>
      <c r="I346" s="3" t="n">
        <v>3</v>
      </c>
      <c r="J346" s="3" t="inlineStr">
        <is>
          <t>—</t>
        </is>
      </c>
      <c r="K346" s="3" t="inlineStr">
        <is>
          <t>—</t>
        </is>
      </c>
      <c r="L346" s="3" t="inlineStr">
        <is>
          <t>—</t>
        </is>
      </c>
      <c r="M346" s="3" t="inlineStr">
        <is>
          <t>—</t>
        </is>
      </c>
      <c r="N346" s="3" t="inlineStr">
        <is>
          <t>—</t>
        </is>
      </c>
      <c r="O346" s="3" t="inlineStr">
        <is>
          <t>—</t>
        </is>
      </c>
      <c r="P346" s="3" t="inlineStr">
        <is>
          <t>—</t>
        </is>
      </c>
      <c r="Q346" s="3" t="inlineStr">
        <is>
          <t>—</t>
        </is>
      </c>
      <c r="R346" s="3" t="inlineStr">
        <is>
          <t>—</t>
        </is>
      </c>
      <c r="S346" s="3" t="inlineStr"/>
      <c r="T346" s="3" t="inlineStr"/>
      <c r="U346" s="3" t="n">
        <v>4</v>
      </c>
      <c r="V346" s="3" t="inlineStr"/>
      <c r="W346" s="3" t="inlineStr">
        <is>
          <t>—</t>
        </is>
      </c>
    </row>
    <row r="347">
      <c r="A347" s="3" t="inlineStr">
        <is>
          <t>Interface</t>
        </is>
      </c>
      <c r="B347" s="3" t="n">
        <v>86</v>
      </c>
      <c r="C347" s="3" t="inlineStr">
        <is>
          <t>新鮮輸入 $/M — OpenAI 有效　[IF_PriceFresh_Luna]</t>
        </is>
      </c>
      <c r="D347" s="3" t="inlineStr">
        <is>
          <t>$/M</t>
        </is>
      </c>
      <c r="E347" s="3" t="n">
        <v>6</v>
      </c>
      <c r="F347" s="3" t="n">
        <v>6</v>
      </c>
      <c r="G347" s="3" t="inlineStr">
        <is>
          <t>C86</t>
        </is>
      </c>
      <c r="H347" s="3">
        <f>Price_Frontier!C41</f>
        <v/>
      </c>
      <c r="I347" s="3" t="n">
        <v>0.08</v>
      </c>
      <c r="J347" s="3" t="inlineStr">
        <is>
          <t>—</t>
        </is>
      </c>
      <c r="K347" s="3" t="inlineStr">
        <is>
          <t>—</t>
        </is>
      </c>
      <c r="L347" s="3" t="inlineStr">
        <is>
          <t>—</t>
        </is>
      </c>
      <c r="M347" s="3" t="inlineStr">
        <is>
          <t>—</t>
        </is>
      </c>
      <c r="N347" s="3" t="inlineStr">
        <is>
          <t>—</t>
        </is>
      </c>
      <c r="O347" s="3" t="inlineStr">
        <is>
          <t>—</t>
        </is>
      </c>
      <c r="P347" s="3" t="inlineStr">
        <is>
          <t>—</t>
        </is>
      </c>
      <c r="Q347" s="3" t="inlineStr">
        <is>
          <t>上游含 Y2</t>
        </is>
      </c>
      <c r="R347" s="3" t="inlineStr">
        <is>
          <t>—</t>
        </is>
      </c>
      <c r="S347" s="3" t="inlineStr">
        <is>
          <t>Y2</t>
        </is>
      </c>
      <c r="T347" s="3" t="inlineStr"/>
      <c r="U347" s="3" t="n">
        <v>3</v>
      </c>
      <c r="V347" s="3" t="inlineStr"/>
      <c r="W347" s="3" t="inlineStr">
        <is>
          <t>資訊（只有 L8）</t>
        </is>
      </c>
    </row>
    <row r="348">
      <c r="A348" s="3" t="inlineStr">
        <is>
          <t>Interface</t>
        </is>
      </c>
      <c r="B348" s="3" t="n">
        <v>87</v>
      </c>
      <c r="C348" s="3" t="inlineStr">
        <is>
          <t>快取輸入 $/M — OpenAI 有效　[IF_PriceCached_Luna]</t>
        </is>
      </c>
      <c r="D348" s="3" t="inlineStr">
        <is>
          <t>$/M</t>
        </is>
      </c>
      <c r="E348" s="3" t="n">
        <v>6</v>
      </c>
      <c r="F348" s="3" t="n">
        <v>6</v>
      </c>
      <c r="G348" s="3" t="inlineStr">
        <is>
          <t>C87</t>
        </is>
      </c>
      <c r="H348" s="3">
        <f>Price_Frontier!C42</f>
        <v/>
      </c>
      <c r="I348" s="3" t="n">
        <v>0.008</v>
      </c>
      <c r="J348" s="3" t="inlineStr">
        <is>
          <t>—</t>
        </is>
      </c>
      <c r="K348" s="3" t="inlineStr">
        <is>
          <t>—</t>
        </is>
      </c>
      <c r="L348" s="3" t="inlineStr">
        <is>
          <t>—</t>
        </is>
      </c>
      <c r="M348" s="3" t="inlineStr">
        <is>
          <t>—</t>
        </is>
      </c>
      <c r="N348" s="3" t="inlineStr">
        <is>
          <t>—</t>
        </is>
      </c>
      <c r="O348" s="3" t="inlineStr">
        <is>
          <t>—</t>
        </is>
      </c>
      <c r="P348" s="3" t="inlineStr">
        <is>
          <t>—</t>
        </is>
      </c>
      <c r="Q348" s="3" t="inlineStr">
        <is>
          <t>上游含 Y2</t>
        </is>
      </c>
      <c r="R348" s="3" t="inlineStr">
        <is>
          <t>—</t>
        </is>
      </c>
      <c r="S348" s="3" t="inlineStr">
        <is>
          <t>Y2</t>
        </is>
      </c>
      <c r="T348" s="3" t="inlineStr"/>
      <c r="U348" s="3" t="n">
        <v>3</v>
      </c>
      <c r="V348" s="3" t="inlineStr"/>
      <c r="W348" s="3" t="inlineStr">
        <is>
          <t>資訊（只有 L8）</t>
        </is>
      </c>
    </row>
    <row r="349">
      <c r="A349" s="3" t="inlineStr">
        <is>
          <t>Interface</t>
        </is>
      </c>
      <c r="B349" s="3" t="n">
        <v>88</v>
      </c>
      <c r="C349" s="3" t="inlineStr">
        <is>
          <t>思考 $/M — OpenAI 有效（依輸出計費）　[IF_PriceThink_Luna]</t>
        </is>
      </c>
      <c r="D349" s="3" t="inlineStr">
        <is>
          <t>$/M</t>
        </is>
      </c>
      <c r="E349" s="3" t="n">
        <v>6</v>
      </c>
      <c r="F349" s="3" t="n">
        <v>6</v>
      </c>
      <c r="G349" s="3" t="inlineStr">
        <is>
          <t>C88</t>
        </is>
      </c>
      <c r="H349" s="3">
        <f>Price_Frontier!C43</f>
        <v/>
      </c>
      <c r="I349" s="3" t="n">
        <v>0.4</v>
      </c>
      <c r="J349" s="3" t="inlineStr">
        <is>
          <t>—</t>
        </is>
      </c>
      <c r="K349" s="3" t="inlineStr">
        <is>
          <t>—</t>
        </is>
      </c>
      <c r="L349" s="3" t="inlineStr">
        <is>
          <t>—</t>
        </is>
      </c>
      <c r="M349" s="3" t="inlineStr">
        <is>
          <t>—</t>
        </is>
      </c>
      <c r="N349" s="3" t="inlineStr">
        <is>
          <t>—</t>
        </is>
      </c>
      <c r="O349" s="3" t="inlineStr">
        <is>
          <t>—</t>
        </is>
      </c>
      <c r="P349" s="3" t="inlineStr">
        <is>
          <t>—</t>
        </is>
      </c>
      <c r="Q349" s="3" t="inlineStr">
        <is>
          <t>上游含 Y2</t>
        </is>
      </c>
      <c r="R349" s="3" t="inlineStr">
        <is>
          <t>—</t>
        </is>
      </c>
      <c r="S349" s="3" t="inlineStr">
        <is>
          <t>Y2</t>
        </is>
      </c>
      <c r="T349" s="3" t="inlineStr"/>
      <c r="U349" s="3" t="n">
        <v>3</v>
      </c>
      <c r="V349" s="3" t="inlineStr"/>
      <c r="W349" s="3" t="inlineStr">
        <is>
          <t>資訊（只有 L8）</t>
        </is>
      </c>
    </row>
    <row r="350">
      <c r="A350" s="3" t="inlineStr">
        <is>
          <t>Interface</t>
        </is>
      </c>
      <c r="B350" s="3" t="n">
        <v>89</v>
      </c>
      <c r="C350" s="3" t="inlineStr">
        <is>
          <t>可見輸出 $/M — OpenAI 有效　[IF_PriceOut_Luna]</t>
        </is>
      </c>
      <c r="D350" s="3" t="inlineStr">
        <is>
          <t>$/M</t>
        </is>
      </c>
      <c r="E350" s="3" t="n">
        <v>6</v>
      </c>
      <c r="F350" s="3" t="n">
        <v>6</v>
      </c>
      <c r="G350" s="3" t="inlineStr">
        <is>
          <t>C89</t>
        </is>
      </c>
      <c r="H350" s="3">
        <f>Price_Frontier!C44</f>
        <v/>
      </c>
      <c r="I350" s="3" t="n">
        <v>0.4</v>
      </c>
      <c r="J350" s="3" t="inlineStr">
        <is>
          <t>—</t>
        </is>
      </c>
      <c r="K350" s="3" t="inlineStr">
        <is>
          <t>—</t>
        </is>
      </c>
      <c r="L350" s="3" t="inlineStr">
        <is>
          <t>—</t>
        </is>
      </c>
      <c r="M350" s="3" t="inlineStr">
        <is>
          <t>—</t>
        </is>
      </c>
      <c r="N350" s="3" t="inlineStr">
        <is>
          <t>—</t>
        </is>
      </c>
      <c r="O350" s="3" t="inlineStr">
        <is>
          <t>—</t>
        </is>
      </c>
      <c r="P350" s="3" t="inlineStr">
        <is>
          <t>—</t>
        </is>
      </c>
      <c r="Q350" s="3" t="inlineStr">
        <is>
          <t>上游含 Y2</t>
        </is>
      </c>
      <c r="R350" s="3" t="inlineStr">
        <is>
          <t>—</t>
        </is>
      </c>
      <c r="S350" s="3" t="inlineStr">
        <is>
          <t>Y2</t>
        </is>
      </c>
      <c r="T350" s="3" t="inlineStr"/>
      <c r="U350" s="3" t="n">
        <v>3</v>
      </c>
      <c r="V350" s="3" t="inlineStr"/>
      <c r="W350" s="3" t="inlineStr">
        <is>
          <t>資訊（只有 L8）</t>
        </is>
      </c>
    </row>
    <row r="351">
      <c r="A351" s="3" t="inlineStr">
        <is>
          <t>Interface</t>
        </is>
      </c>
      <c r="B351" s="3" t="n">
        <v>91</v>
      </c>
      <c r="C351" s="3" t="inlineStr">
        <is>
          <t>參考請求混合 $/M — 前緣有效　[IF_FrontRef_Luna]</t>
        </is>
      </c>
      <c r="D351" s="3" t="inlineStr">
        <is>
          <t>$/M</t>
        </is>
      </c>
      <c r="E351" s="3" t="n">
        <v>6</v>
      </c>
      <c r="F351" s="3" t="n">
        <v>6</v>
      </c>
      <c r="G351" s="3" t="inlineStr">
        <is>
          <t>C91</t>
        </is>
      </c>
      <c r="H351" s="3">
        <f>Price_Frontier!C46</f>
        <v/>
      </c>
      <c r="I351" s="3" t="n">
        <v>0.080356</v>
      </c>
      <c r="J351" s="3" t="inlineStr">
        <is>
          <t>—</t>
        </is>
      </c>
      <c r="K351" s="3" t="inlineStr">
        <is>
          <t>—</t>
        </is>
      </c>
      <c r="L351" s="3" t="inlineStr">
        <is>
          <t>—</t>
        </is>
      </c>
      <c r="M351" s="3" t="inlineStr">
        <is>
          <t>—</t>
        </is>
      </c>
      <c r="N351" s="3" t="inlineStr">
        <is>
          <t>—</t>
        </is>
      </c>
      <c r="O351" s="3" t="inlineStr">
        <is>
          <t>—</t>
        </is>
      </c>
      <c r="P351" s="3" t="inlineStr">
        <is>
          <t>—</t>
        </is>
      </c>
      <c r="Q351" s="3" t="inlineStr">
        <is>
          <t>上游含 Y1,Y2,Y6</t>
        </is>
      </c>
      <c r="R351" s="3" t="inlineStr">
        <is>
          <t>—</t>
        </is>
      </c>
      <c r="S351" s="3" t="inlineStr">
        <is>
          <t>Y1,Y2,Y6</t>
        </is>
      </c>
      <c r="T351" s="3" t="inlineStr"/>
      <c r="U351" s="3" t="n">
        <v>3</v>
      </c>
      <c r="V351" s="3" t="inlineStr"/>
      <c r="W351" s="3" t="inlineStr">
        <is>
          <t>資訊（只有 L8）</t>
        </is>
      </c>
    </row>
    <row r="352">
      <c r="A352" s="3" t="inlineStr">
        <is>
          <t>Interface</t>
        </is>
      </c>
      <c r="B352" s="3" t="n">
        <v>92</v>
      </c>
      <c r="C352" s="3" t="inlineStr">
        <is>
          <t>前緣模型（顯示）　[IF_FrontModel_Luna]</t>
        </is>
      </c>
      <c r="D352" s="3" t="n"/>
      <c r="E352" s="3" t="n">
        <v>6</v>
      </c>
      <c r="F352" s="3" t="n">
        <v>6</v>
      </c>
      <c r="G352" s="3" t="inlineStr">
        <is>
          <t>C92</t>
        </is>
      </c>
      <c r="H352" s="3">
        <f>Price_Frontier!C26</f>
        <v/>
      </c>
      <c r="I352" s="3" t="inlineStr">
        <is>
          <t>GPT-6 Luna</t>
        </is>
      </c>
      <c r="J352" s="3" t="inlineStr">
        <is>
          <t>—</t>
        </is>
      </c>
      <c r="K352" s="3" t="inlineStr">
        <is>
          <t>—</t>
        </is>
      </c>
      <c r="L352" s="3" t="inlineStr">
        <is>
          <t>—</t>
        </is>
      </c>
      <c r="M352" s="3" t="inlineStr">
        <is>
          <t>—</t>
        </is>
      </c>
      <c r="N352" s="3" t="inlineStr">
        <is>
          <t>—</t>
        </is>
      </c>
      <c r="O352" s="3" t="inlineStr">
        <is>
          <t>—</t>
        </is>
      </c>
      <c r="P352" s="3" t="inlineStr">
        <is>
          <t>—</t>
        </is>
      </c>
      <c r="Q352" s="3" t="inlineStr">
        <is>
          <t>上游含 Y1,Y2,Y6</t>
        </is>
      </c>
      <c r="R352" s="3" t="inlineStr">
        <is>
          <t>—</t>
        </is>
      </c>
      <c r="S352" s="3" t="inlineStr">
        <is>
          <t>Y1,Y2,Y6</t>
        </is>
      </c>
      <c r="T352" s="3" t="inlineStr"/>
      <c r="U352" s="3" t="n">
        <v>3</v>
      </c>
      <c r="V352" s="3" t="inlineStr"/>
      <c r="W352" s="3" t="inlineStr">
        <is>
          <t>資訊（只有 L8）</t>
        </is>
      </c>
    </row>
    <row r="353">
      <c r="A353" s="3" t="inlineStr">
        <is>
          <t>Interface</t>
        </is>
      </c>
      <c r="B353" s="3" t="n">
        <v>93</v>
      </c>
      <c r="C353" s="3" t="inlineStr">
        <is>
          <t>商業壽命　[IF_Life_Luna]</t>
        </is>
      </c>
      <c r="D353" s="3" t="inlineStr">
        <is>
          <t>月</t>
        </is>
      </c>
      <c r="E353" s="3" t="n">
        <v>6</v>
      </c>
      <c r="F353" s="3" t="n">
        <v>6</v>
      </c>
      <c r="G353" s="3" t="inlineStr">
        <is>
          <t>C93</t>
        </is>
      </c>
      <c r="H353" s="3">
        <f>INDEX(B4_Life,1,1)</f>
        <v/>
      </c>
      <c r="I353" s="3" t="n">
        <v>12</v>
      </c>
      <c r="J353" s="3" t="inlineStr">
        <is>
          <t>—</t>
        </is>
      </c>
      <c r="K353" s="3" t="inlineStr">
        <is>
          <t>—</t>
        </is>
      </c>
      <c r="L353" s="3" t="inlineStr">
        <is>
          <t>—</t>
        </is>
      </c>
      <c r="M353" s="3" t="inlineStr">
        <is>
          <t>—</t>
        </is>
      </c>
      <c r="N353" s="3" t="inlineStr">
        <is>
          <t>—</t>
        </is>
      </c>
      <c r="O353" s="3" t="inlineStr">
        <is>
          <t>—</t>
        </is>
      </c>
      <c r="P353" s="3" t="inlineStr">
        <is>
          <t>—</t>
        </is>
      </c>
      <c r="Q353" s="3" t="inlineStr">
        <is>
          <t>—</t>
        </is>
      </c>
      <c r="R353" s="3" t="inlineStr">
        <is>
          <t>—</t>
        </is>
      </c>
      <c r="S353" s="3" t="inlineStr"/>
      <c r="T353" s="3" t="inlineStr"/>
      <c r="U353" s="3" t="n">
        <v>3</v>
      </c>
      <c r="V353" s="3" t="inlineStr"/>
      <c r="W353" s="3" t="inlineStr">
        <is>
          <t>—</t>
        </is>
      </c>
    </row>
    <row r="354">
      <c r="A354" s="3" t="inlineStr">
        <is>
          <t>Interface</t>
        </is>
      </c>
      <c r="B354" s="3" t="n">
        <v>94</v>
      </c>
      <c r="C354" s="3" t="inlineStr">
        <is>
          <t>快取儲存 $/M 快取命中 token　[IF_CacheStore_Luna]</t>
        </is>
      </c>
      <c r="D354" s="3" t="inlineStr">
        <is>
          <t>$/M</t>
        </is>
      </c>
      <c r="E354" s="3" t="n">
        <v>20</v>
      </c>
      <c r="F354" s="3" t="n">
        <v>6</v>
      </c>
      <c r="G354" s="3" t="inlineStr">
        <is>
          <t>C94</t>
        </is>
      </c>
      <c r="H354" s="3">
        <f>Cache_Store!C17</f>
        <v/>
      </c>
      <c r="I354" s="3" t="n">
        <v>1.3e-05</v>
      </c>
      <c r="J354" s="3" t="inlineStr">
        <is>
          <t>—</t>
        </is>
      </c>
      <c r="K354" s="3" t="inlineStr">
        <is>
          <t>—</t>
        </is>
      </c>
      <c r="L354" s="3" t="inlineStr">
        <is>
          <t>—</t>
        </is>
      </c>
      <c r="M354" s="3" t="inlineStr">
        <is>
          <t>—</t>
        </is>
      </c>
      <c r="N354" s="3" t="inlineStr">
        <is>
          <t>—</t>
        </is>
      </c>
      <c r="O354" s="3" t="inlineStr">
        <is>
          <t>—</t>
        </is>
      </c>
      <c r="P354" s="3" t="inlineStr">
        <is>
          <t>—</t>
        </is>
      </c>
      <c r="Q354" s="3" t="inlineStr">
        <is>
          <t>上游含 Y1,Y4,Y7</t>
        </is>
      </c>
      <c r="R354" s="3" t="inlineStr">
        <is>
          <t>—</t>
        </is>
      </c>
      <c r="S354" s="3" t="inlineStr">
        <is>
          <t>Y1,Y4,Y7</t>
        </is>
      </c>
      <c r="T354" s="3" t="inlineStr"/>
      <c r="U354" s="3" t="n">
        <v>3</v>
      </c>
      <c r="V354" s="3" t="inlineStr"/>
      <c r="W354" s="3" t="inlineStr">
        <is>
          <t>資訊（只有 L8）</t>
        </is>
      </c>
    </row>
    <row r="355">
      <c r="A355" s="3" t="inlineStr">
        <is>
          <t>Interface</t>
        </is>
      </c>
      <c r="B355" s="3" t="n">
        <v>95</v>
      </c>
      <c r="C355" s="3" t="inlineStr">
        <is>
          <t>訓練攤提 自下而上＝回本所需溢價　[IF_AmortBU_Luna]</t>
        </is>
      </c>
      <c r="D355" s="3" t="inlineStr">
        <is>
          <t>$/M</t>
        </is>
      </c>
      <c r="E355" s="3" t="n">
        <v>20</v>
      </c>
      <c r="F355" s="3" t="n">
        <v>6</v>
      </c>
      <c r="G355" s="3" t="inlineStr">
        <is>
          <t>C95</t>
        </is>
      </c>
      <c r="H355" s="3">
        <f>Amortize!C13</f>
        <v/>
      </c>
      <c r="I355" s="3" t="n">
        <v>0.008030000000000001</v>
      </c>
      <c r="J355" s="3" t="inlineStr">
        <is>
          <t>—</t>
        </is>
      </c>
      <c r="K355" s="3" t="inlineStr">
        <is>
          <t>[G02] IF_AmortBU_*＝Amortize 第 13／22／32 列：以付費＋免費 token 為分母的「回本所需溢價」</t>
        </is>
      </c>
      <c r="L355" s="3" t="inlineStr">
        <is>
          <t>—</t>
        </is>
      </c>
      <c r="M355" s="3" t="inlineStr">
        <is>
          <t>—</t>
        </is>
      </c>
      <c r="N355" s="3" t="inlineStr">
        <is>
          <t>—</t>
        </is>
      </c>
      <c r="O355" s="3" t="inlineStr">
        <is>
          <t>—</t>
        </is>
      </c>
      <c r="P355" s="3" t="inlineStr">
        <is>
          <t>[G06] 下游契約名稱：一個層級不可達即令可達層級的攤提與全成本也變文字（例：Serving C18＝0.7 時 Interface 第 100 列 Luna 變文字）</t>
        </is>
      </c>
      <c r="Q355" s="3" t="inlineStr">
        <is>
          <t>上游含 Y1,Y2,Y3,Y4,Y5,Y6,Y7,Y8</t>
        </is>
      </c>
      <c r="R355" s="3" t="inlineStr">
        <is>
          <t>—</t>
        </is>
      </c>
      <c r="S355" s="3" t="inlineStr">
        <is>
          <t>Y1,Y2,Y3,Y4,Y5,Y6,Y7,Y8</t>
        </is>
      </c>
      <c r="T355" s="3" t="inlineStr"/>
      <c r="U355" s="3" t="n">
        <v>3</v>
      </c>
      <c r="V355" s="3" t="inlineStr">
        <is>
          <t>G02,G06</t>
        </is>
      </c>
      <c r="W355" s="3" t="inlineStr">
        <is>
          <t>高</t>
        </is>
      </c>
    </row>
    <row r="356">
      <c r="A356" s="3" t="inlineStr">
        <is>
          <t>Interface</t>
        </is>
      </c>
      <c r="B356" s="3" t="n">
        <v>96</v>
      </c>
      <c r="C356" s="3" t="inlineStr">
        <is>
          <t>訓練攤提 由上而下（機隊訓練占比）　[IF_AmortTD_Luna]</t>
        </is>
      </c>
      <c r="D356" s="3" t="inlineStr">
        <is>
          <t>$/M</t>
        </is>
      </c>
      <c r="E356" s="3" t="n">
        <v>20</v>
      </c>
      <c r="F356" s="3" t="n">
        <v>6</v>
      </c>
      <c r="G356" s="3" t="inlineStr">
        <is>
          <t>C96</t>
        </is>
      </c>
      <c r="H356" s="3">
        <f>Amortize!C15</f>
        <v/>
      </c>
      <c r="I356" s="3" t="n">
        <v>0.174582</v>
      </c>
      <c r="J356" s="3" t="inlineStr">
        <is>
          <t>—</t>
        </is>
      </c>
      <c r="K356" s="3" t="inlineStr">
        <is>
          <t>—</t>
        </is>
      </c>
      <c r="L356" s="3" t="inlineStr">
        <is>
          <t>—</t>
        </is>
      </c>
      <c r="M356" s="3" t="inlineStr">
        <is>
          <t>[G01] 下游契約名稱（IF_AmortTD_*、IF_AmortDefault_*）承接由上而下總額的閉合差 0.82–0.88</t>
        </is>
      </c>
      <c r="N356" s="3" t="inlineStr">
        <is>
          <t>—</t>
        </is>
      </c>
      <c r="O356" s="3" t="inlineStr">
        <is>
          <t>—</t>
        </is>
      </c>
      <c r="P356" s="3" t="inlineStr">
        <is>
          <t>[G06] 下游契約名稱：一個層級不可達即令可達層級的攤提與全成本也變文字（例：Serving C18＝0.7 時 Interface 第 100 列 Luna 變文字）</t>
        </is>
      </c>
      <c r="Q356" s="3" t="inlineStr">
        <is>
          <t>上游含 Y1,Y2,Y3,Y4,Y5,Y6,Y7,Y8</t>
        </is>
      </c>
      <c r="R356" s="3" t="inlineStr">
        <is>
          <t>—</t>
        </is>
      </c>
      <c r="S356" s="3" t="inlineStr">
        <is>
          <t>Y1,Y2,Y3,Y4,Y5,Y6,Y7,Y8</t>
        </is>
      </c>
      <c r="T356" s="3" t="inlineStr"/>
      <c r="U356" s="3" t="n">
        <v>3</v>
      </c>
      <c r="V356" s="3" t="inlineStr">
        <is>
          <t>G01,G06</t>
        </is>
      </c>
      <c r="W356" s="3" t="inlineStr">
        <is>
          <t>高</t>
        </is>
      </c>
    </row>
    <row r="357">
      <c r="A357" s="3" t="inlineStr">
        <is>
          <t>Interface</t>
        </is>
      </c>
      <c r="B357" s="3" t="n">
        <v>97</v>
      </c>
      <c r="C357" s="3" t="inlineStr">
        <is>
          <t>全成本 $/M（服務＋快取儲存＋自下而上攤提；基準利用率）　[IF_FullCost_Luna]</t>
        </is>
      </c>
      <c r="D357" s="3" t="inlineStr">
        <is>
          <t>$/M</t>
        </is>
      </c>
      <c r="E357" s="3" t="n">
        <v>20</v>
      </c>
      <c r="F357" s="3" t="n">
        <v>6</v>
      </c>
      <c r="G357" s="3" t="inlineStr">
        <is>
          <t>C97</t>
        </is>
      </c>
      <c r="H357" s="3">
        <f>Theory_Rev!C18</f>
        <v/>
      </c>
      <c r="I357" s="3" t="n">
        <v>0.12935</v>
      </c>
      <c r="J357" s="3" t="inlineStr">
        <is>
          <t>—</t>
        </is>
      </c>
      <c r="K357" s="3" t="inlineStr">
        <is>
          <t>[G02] IF_FullCost_*＝服務成本＋自下而上攤提（分母含免費 token）</t>
        </is>
      </c>
      <c r="L357" s="3" t="inlineStr">
        <is>
          <t>—</t>
        </is>
      </c>
      <c r="M357" s="3" t="inlineStr">
        <is>
          <t>—</t>
        </is>
      </c>
      <c r="N357" s="3" t="inlineStr">
        <is>
          <t>—</t>
        </is>
      </c>
      <c r="O357" s="3" t="inlineStr">
        <is>
          <t>—</t>
        </is>
      </c>
      <c r="P357" s="3" t="inlineStr">
        <is>
          <t>[G06] 下游契約名稱：一個層級不可達即令可達層級的攤提與全成本也變文字（例：Serving C18＝0.7 時 Interface 第 100 列 Luna 變文字）</t>
        </is>
      </c>
      <c r="Q357" s="3" t="inlineStr">
        <is>
          <t>上游含 Y1,Y2,Y3,Y4,Y5,Y6,Y7,Y8</t>
        </is>
      </c>
      <c r="R357" s="3" t="inlineStr">
        <is>
          <t>—</t>
        </is>
      </c>
      <c r="S357" s="3" t="inlineStr">
        <is>
          <t>Y1,Y2,Y3,Y4,Y5,Y6,Y7,Y8</t>
        </is>
      </c>
      <c r="T357" s="3" t="inlineStr"/>
      <c r="U357" s="3" t="n">
        <v>3</v>
      </c>
      <c r="V357" s="3" t="inlineStr">
        <is>
          <t>G02,G06</t>
        </is>
      </c>
      <c r="W357" s="3" t="inlineStr">
        <is>
          <t>高</t>
        </is>
      </c>
    </row>
    <row r="358">
      <c r="A358" s="3" t="inlineStr">
        <is>
          <t>Interface</t>
        </is>
      </c>
      <c r="B358" s="3" t="n">
        <v>98</v>
      </c>
      <c r="C358" s="3" t="inlineStr">
        <is>
          <t>訓練攤提 K6 預設 (c)：由上而下總額 × 自下而上權重（下游預設）　[IF_AmortDefault_Luna]</t>
        </is>
      </c>
      <c r="D358" s="3" t="inlineStr">
        <is>
          <t>$/M</t>
        </is>
      </c>
      <c r="E358" s="3" t="n">
        <v>20</v>
      </c>
      <c r="F358" s="3" t="n">
        <v>6</v>
      </c>
      <c r="G358" s="3" t="inlineStr">
        <is>
          <t>C98</t>
        </is>
      </c>
      <c r="H358" s="3">
        <f>Amortize!C43</f>
        <v/>
      </c>
      <c r="I358" s="3" t="n">
        <v>0.017533</v>
      </c>
      <c r="J358" s="3" t="inlineStr">
        <is>
          <t>—</t>
        </is>
      </c>
      <c r="K358" s="3" t="inlineStr">
        <is>
          <t>[G14] 下游預設（K6 (c)）攤提的總額由 2025 支出比 B4_Serve 決定，並套到全部世代（Y11）</t>
        </is>
      </c>
      <c r="L358" s="3" t="inlineStr">
        <is>
          <t>—</t>
        </is>
      </c>
      <c r="M358" s="3" t="inlineStr">
        <is>
          <t>[G01] 下游契約名稱（IF_AmortTD_*、IF_AmortDefault_*）承接由上而下總額的閉合差 0.82–0.88</t>
        </is>
      </c>
      <c r="N358" s="3" t="inlineStr">
        <is>
          <t>—</t>
        </is>
      </c>
      <c r="O358" s="3" t="inlineStr">
        <is>
          <t>—</t>
        </is>
      </c>
      <c r="P358" s="3" t="inlineStr">
        <is>
          <t>[G06] 下游契約名稱：一個層級不可達即令可達層級的攤提與全成本也變文字（例：Serving C18＝0.7 時 Interface 第 100 列 Luna 變文字）</t>
        </is>
      </c>
      <c r="Q358" s="3" t="inlineStr">
        <is>
          <t>上游含 Y1,Y2,Y3,Y4,Y5,Y6,Y7,Y8</t>
        </is>
      </c>
      <c r="R358" s="3" t="inlineStr">
        <is>
          <t>—</t>
        </is>
      </c>
      <c r="S358" s="3" t="inlineStr">
        <is>
          <t>Y1,Y2,Y3,Y4,Y5,Y6,Y7,Y8</t>
        </is>
      </c>
      <c r="T358" s="3" t="inlineStr"/>
      <c r="U358" s="3" t="n">
        <v>3</v>
      </c>
      <c r="V358" s="3" t="inlineStr">
        <is>
          <t>G01,G06,G14</t>
        </is>
      </c>
      <c r="W358" s="3" t="inlineStr">
        <is>
          <t>高</t>
        </is>
      </c>
    </row>
    <row r="359">
      <c r="A359" s="3" t="inlineStr">
        <is>
          <t>Interface</t>
        </is>
      </c>
      <c r="B359" s="3" t="n">
        <v>99</v>
      </c>
      <c r="C359" s="3" t="inlineStr">
        <is>
          <t>訓練攤提 (d)：由上而下總額 × 營收權重　[IF_AmortRev_Luna]</t>
        </is>
      </c>
      <c r="D359" s="3" t="inlineStr">
        <is>
          <t>$/M</t>
        </is>
      </c>
      <c r="E359" s="3" t="n">
        <v>20</v>
      </c>
      <c r="F359" s="3" t="n">
        <v>6</v>
      </c>
      <c r="G359" s="3" t="inlineStr">
        <is>
          <t>C99</t>
        </is>
      </c>
      <c r="H359" s="3">
        <f>Amortize!C44</f>
        <v/>
      </c>
      <c r="I359" s="3" t="n">
        <v>0.007828999999999999</v>
      </c>
      <c r="J359" s="3" t="inlineStr">
        <is>
          <t>—</t>
        </is>
      </c>
      <c r="K359" s="3" t="inlineStr">
        <is>
          <t>—</t>
        </is>
      </c>
      <c r="L359" s="3" t="inlineStr">
        <is>
          <t>—</t>
        </is>
      </c>
      <c r="M359" s="3" t="inlineStr">
        <is>
          <t>[G01] 承接由上而下總額的閉合差（IF_AmortRev_*、IF_FullCostDefault_*）</t>
        </is>
      </c>
      <c r="N359" s="3" t="inlineStr">
        <is>
          <t>—</t>
        </is>
      </c>
      <c r="O359" s="3" t="inlineStr">
        <is>
          <t>—</t>
        </is>
      </c>
      <c r="P359" s="3" t="inlineStr">
        <is>
          <t>[G06] 下游契約名稱：一個層級不可達即令可達層級的攤提與全成本也變文字（例：Serving C18＝0.7 時 Interface 第 100 列 Luna 變文字）</t>
        </is>
      </c>
      <c r="Q359" s="3" t="inlineStr">
        <is>
          <t>上游含 Y1,Y2,Y3,Y4,Y5,Y6,Y7,Y8</t>
        </is>
      </c>
      <c r="R359" s="3" t="inlineStr">
        <is>
          <t>—</t>
        </is>
      </c>
      <c r="S359" s="3" t="inlineStr">
        <is>
          <t>Y1,Y2,Y3,Y4,Y5,Y6,Y7,Y8</t>
        </is>
      </c>
      <c r="T359" s="3" t="inlineStr"/>
      <c r="U359" s="3" t="n">
        <v>3</v>
      </c>
      <c r="V359" s="3" t="inlineStr">
        <is>
          <t>G01,G06</t>
        </is>
      </c>
      <c r="W359" s="3" t="inlineStr">
        <is>
          <t>高</t>
        </is>
      </c>
    </row>
    <row r="360">
      <c r="A360" s="3" t="inlineStr">
        <is>
          <t>Interface</t>
        </is>
      </c>
      <c r="B360" s="3" t="n">
        <v>100</v>
      </c>
      <c r="C360" s="3" t="inlineStr">
        <is>
          <t>全成本 $/M（服務＋快取儲存＋K6 預設攤提；基準利用率；下游預設）　[IF_FullCostDefault_Luna]</t>
        </is>
      </c>
      <c r="D360" s="3" t="inlineStr">
        <is>
          <t>$/M</t>
        </is>
      </c>
      <c r="E360" s="3" t="n">
        <v>20</v>
      </c>
      <c r="F360" s="3" t="n">
        <v>6</v>
      </c>
      <c r="G360" s="3" t="inlineStr">
        <is>
          <t>C100</t>
        </is>
      </c>
      <c r="H360" s="3">
        <f>Theory_Rev!C20</f>
        <v/>
      </c>
      <c r="I360" s="3" t="n">
        <v>0.138853</v>
      </c>
      <c r="J360" s="3" t="inlineStr">
        <is>
          <t>—</t>
        </is>
      </c>
      <c r="K360" s="3" t="inlineStr">
        <is>
          <t>[G14] 下游預設（K6 (c)）攤提的總額由 2025 支出比 B4_Serve 決定，並套到全部世代（Y11）</t>
        </is>
      </c>
      <c r="L360" s="3" t="inlineStr">
        <is>
          <t>—</t>
        </is>
      </c>
      <c r="M360" s="3" t="inlineStr">
        <is>
          <t>[G01] 承接由上而下總額的閉合差（IF_AmortRev_*、IF_FullCostDefault_*）</t>
        </is>
      </c>
      <c r="N360" s="3" t="inlineStr">
        <is>
          <t>—</t>
        </is>
      </c>
      <c r="O360" s="3" t="inlineStr">
        <is>
          <t>—</t>
        </is>
      </c>
      <c r="P360" s="3" t="inlineStr">
        <is>
          <t>[G06] 下游契約名稱：一個層級不可達即令可達層級的攤提與全成本也變文字（例：Serving C18＝0.7 時 Interface 第 100 列 Luna 變文字）</t>
        </is>
      </c>
      <c r="Q360" s="3" t="inlineStr">
        <is>
          <t>上游含 Y1,Y2,Y3,Y4,Y5,Y6,Y7,Y8</t>
        </is>
      </c>
      <c r="R360" s="3" t="inlineStr">
        <is>
          <t>—</t>
        </is>
      </c>
      <c r="S360" s="3" t="inlineStr">
        <is>
          <t>Y1,Y2,Y3,Y4,Y5,Y6,Y7,Y8</t>
        </is>
      </c>
      <c r="T360" s="3" t="inlineStr"/>
      <c r="U360" s="3" t="n">
        <v>3</v>
      </c>
      <c r="V360" s="3" t="inlineStr">
        <is>
          <t>G01,G06,G14</t>
        </is>
      </c>
      <c r="W360" s="3" t="inlineStr">
        <is>
          <t>高</t>
        </is>
      </c>
    </row>
    <row r="361">
      <c r="A361" s="3" t="inlineStr">
        <is>
          <t>Interface</t>
        </is>
      </c>
      <c r="B361" s="3" t="n">
        <v>101</v>
      </c>
      <c r="C361" s="3" t="inlineStr">
        <is>
          <t>每 GW 理論營收 — OpenAI 有效單價（理想上限）　[IF_RevGW_Luna]</t>
        </is>
      </c>
      <c r="D361" s="3" t="inlineStr">
        <is>
          <t>$B/年</t>
        </is>
      </c>
      <c r="E361" s="3" t="n">
        <v>20</v>
      </c>
      <c r="F361" s="3" t="n">
        <v>6</v>
      </c>
      <c r="G361" s="3" t="inlineStr">
        <is>
          <t>C101</t>
        </is>
      </c>
      <c r="H361" s="3">
        <f>Theory_Rev!C11</f>
        <v/>
      </c>
      <c r="I361" s="3" t="n">
        <v>3.571029</v>
      </c>
      <c r="J361" s="3" t="inlineStr">
        <is>
          <t>—</t>
        </is>
      </c>
      <c r="K361" s="3" t="inlineStr">
        <is>
          <t>—</t>
        </is>
      </c>
      <c r="L361" s="3" t="inlineStr">
        <is>
          <t>—</t>
        </is>
      </c>
      <c r="M361" s="3" t="inlineStr">
        <is>
          <t>—</t>
        </is>
      </c>
      <c r="N361" s="3" t="inlineStr">
        <is>
          <t>—</t>
        </is>
      </c>
      <c r="O361" s="3" t="inlineStr">
        <is>
          <t>—</t>
        </is>
      </c>
      <c r="P361" s="3" t="inlineStr">
        <is>
          <t>[G06] 單一層級列不可達時輸出 0（數值）而非文字；與組合列的文字處理方式相反（第 2 段 F09）</t>
        </is>
      </c>
      <c r="Q361" s="3" t="inlineStr">
        <is>
          <t>上游含 Y1,Y2,Y5,Y6,Y8</t>
        </is>
      </c>
      <c r="R361" s="3" t="inlineStr">
        <is>
          <t>—</t>
        </is>
      </c>
      <c r="S361" s="3" t="inlineStr">
        <is>
          <t>Y1,Y2,Y5,Y6,Y8</t>
        </is>
      </c>
      <c r="T361" s="3" t="inlineStr"/>
      <c r="U361" s="3" t="n">
        <v>66</v>
      </c>
      <c r="V361" s="3" t="inlineStr">
        <is>
          <t>G06</t>
        </is>
      </c>
      <c r="W361" s="3" t="inlineStr">
        <is>
          <t>中</t>
        </is>
      </c>
    </row>
    <row r="362">
      <c r="A362" s="3" t="inlineStr">
        <is>
          <t>Interface</t>
        </is>
      </c>
      <c r="B362" s="3" t="n">
        <v>104</v>
      </c>
      <c r="C362" s="3" t="inlineStr">
        <is>
          <t>新鮮輸入 $/M — OpenAI 有效　[IF_PriceFresh_Sol]</t>
        </is>
      </c>
      <c r="D362" s="3" t="inlineStr">
        <is>
          <t>$/M</t>
        </is>
      </c>
      <c r="E362" s="3" t="n">
        <v>6</v>
      </c>
      <c r="F362" s="3" t="n">
        <v>6</v>
      </c>
      <c r="G362" s="3" t="inlineStr">
        <is>
          <t>C104</t>
        </is>
      </c>
      <c r="H362" s="3">
        <f>Price_Frontier!D41</f>
        <v/>
      </c>
      <c r="I362" s="3" t="n">
        <v>1.6</v>
      </c>
      <c r="J362" s="3" t="inlineStr">
        <is>
          <t>—</t>
        </is>
      </c>
      <c r="K362" s="3" t="inlineStr">
        <is>
          <t>—</t>
        </is>
      </c>
      <c r="L362" s="3" t="inlineStr">
        <is>
          <t>—</t>
        </is>
      </c>
      <c r="M362" s="3" t="inlineStr">
        <is>
          <t>—</t>
        </is>
      </c>
      <c r="N362" s="3" t="inlineStr">
        <is>
          <t>—</t>
        </is>
      </c>
      <c r="O362" s="3" t="inlineStr">
        <is>
          <t>—</t>
        </is>
      </c>
      <c r="P362" s="3" t="inlineStr">
        <is>
          <t>—</t>
        </is>
      </c>
      <c r="Q362" s="3" t="inlineStr">
        <is>
          <t>上游含 Y2</t>
        </is>
      </c>
      <c r="R362" s="3" t="inlineStr">
        <is>
          <t>—</t>
        </is>
      </c>
      <c r="S362" s="3" t="inlineStr">
        <is>
          <t>Y2</t>
        </is>
      </c>
      <c r="T362" s="3" t="inlineStr"/>
      <c r="U362" s="3" t="n">
        <v>6</v>
      </c>
      <c r="V362" s="3" t="inlineStr"/>
      <c r="W362" s="3" t="inlineStr">
        <is>
          <t>資訊（只有 L8）</t>
        </is>
      </c>
    </row>
    <row r="363">
      <c r="A363" s="3" t="inlineStr">
        <is>
          <t>Interface</t>
        </is>
      </c>
      <c r="B363" s="3" t="n">
        <v>105</v>
      </c>
      <c r="C363" s="3" t="inlineStr">
        <is>
          <t>快取輸入 $/M — OpenAI 有效　[IF_PriceCached_Sol]</t>
        </is>
      </c>
      <c r="D363" s="3" t="inlineStr">
        <is>
          <t>$/M</t>
        </is>
      </c>
      <c r="E363" s="3" t="n">
        <v>6</v>
      </c>
      <c r="F363" s="3" t="n">
        <v>6</v>
      </c>
      <c r="G363" s="3" t="inlineStr">
        <is>
          <t>C105</t>
        </is>
      </c>
      <c r="H363" s="3">
        <f>Price_Frontier!D42</f>
        <v/>
      </c>
      <c r="I363" s="3" t="n">
        <v>0.16</v>
      </c>
      <c r="J363" s="3" t="inlineStr">
        <is>
          <t>—</t>
        </is>
      </c>
      <c r="K363" s="3" t="inlineStr">
        <is>
          <t>—</t>
        </is>
      </c>
      <c r="L363" s="3" t="inlineStr">
        <is>
          <t>—</t>
        </is>
      </c>
      <c r="M363" s="3" t="inlineStr">
        <is>
          <t>—</t>
        </is>
      </c>
      <c r="N363" s="3" t="inlineStr">
        <is>
          <t>—</t>
        </is>
      </c>
      <c r="O363" s="3" t="inlineStr">
        <is>
          <t>—</t>
        </is>
      </c>
      <c r="P363" s="3" t="inlineStr">
        <is>
          <t>—</t>
        </is>
      </c>
      <c r="Q363" s="3" t="inlineStr">
        <is>
          <t>上游含 Y2</t>
        </is>
      </c>
      <c r="R363" s="3" t="inlineStr">
        <is>
          <t>—</t>
        </is>
      </c>
      <c r="S363" s="3" t="inlineStr">
        <is>
          <t>Y2</t>
        </is>
      </c>
      <c r="T363" s="3" t="inlineStr"/>
      <c r="U363" s="3" t="n">
        <v>6</v>
      </c>
      <c r="V363" s="3" t="inlineStr"/>
      <c r="W363" s="3" t="inlineStr">
        <is>
          <t>資訊（只有 L8）</t>
        </is>
      </c>
    </row>
    <row r="364">
      <c r="A364" s="3" t="inlineStr">
        <is>
          <t>Interface</t>
        </is>
      </c>
      <c r="B364" s="3" t="n">
        <v>106</v>
      </c>
      <c r="C364" s="3" t="inlineStr">
        <is>
          <t>思考 $/M — OpenAI 有效（依輸出計費）　[IF_PriceThink_Sol]</t>
        </is>
      </c>
      <c r="D364" s="3" t="inlineStr">
        <is>
          <t>$/M</t>
        </is>
      </c>
      <c r="E364" s="3" t="n">
        <v>6</v>
      </c>
      <c r="F364" s="3" t="n">
        <v>6</v>
      </c>
      <c r="G364" s="3" t="inlineStr">
        <is>
          <t>C106</t>
        </is>
      </c>
      <c r="H364" s="3">
        <f>Price_Frontier!D43</f>
        <v/>
      </c>
      <c r="I364" s="3" t="n">
        <v>8</v>
      </c>
      <c r="J364" s="3" t="inlineStr">
        <is>
          <t>—</t>
        </is>
      </c>
      <c r="K364" s="3" t="inlineStr">
        <is>
          <t>—</t>
        </is>
      </c>
      <c r="L364" s="3" t="inlineStr">
        <is>
          <t>—</t>
        </is>
      </c>
      <c r="M364" s="3" t="inlineStr">
        <is>
          <t>—</t>
        </is>
      </c>
      <c r="N364" s="3" t="inlineStr">
        <is>
          <t>—</t>
        </is>
      </c>
      <c r="O364" s="3" t="inlineStr">
        <is>
          <t>—</t>
        </is>
      </c>
      <c r="P364" s="3" t="inlineStr">
        <is>
          <t>—</t>
        </is>
      </c>
      <c r="Q364" s="3" t="inlineStr">
        <is>
          <t>上游含 Y2</t>
        </is>
      </c>
      <c r="R364" s="3" t="inlineStr">
        <is>
          <t>—</t>
        </is>
      </c>
      <c r="S364" s="3" t="inlineStr">
        <is>
          <t>Y2</t>
        </is>
      </c>
      <c r="T364" s="3" t="inlineStr"/>
      <c r="U364" s="3" t="n">
        <v>3</v>
      </c>
      <c r="V364" s="3" t="inlineStr"/>
      <c r="W364" s="3" t="inlineStr">
        <is>
          <t>資訊（只有 L8）</t>
        </is>
      </c>
    </row>
    <row r="365">
      <c r="A365" s="3" t="inlineStr">
        <is>
          <t>Interface</t>
        </is>
      </c>
      <c r="B365" s="3" t="n">
        <v>107</v>
      </c>
      <c r="C365" s="3" t="inlineStr">
        <is>
          <t>可見輸出 $/M — OpenAI 有效　[IF_PriceOut_Sol]</t>
        </is>
      </c>
      <c r="D365" s="3" t="inlineStr">
        <is>
          <t>$/M</t>
        </is>
      </c>
      <c r="E365" s="3" t="n">
        <v>6</v>
      </c>
      <c r="F365" s="3" t="n">
        <v>6</v>
      </c>
      <c r="G365" s="3" t="inlineStr">
        <is>
          <t>C107</t>
        </is>
      </c>
      <c r="H365" s="3">
        <f>Price_Frontier!D44</f>
        <v/>
      </c>
      <c r="I365" s="3" t="n">
        <v>8</v>
      </c>
      <c r="J365" s="3" t="inlineStr">
        <is>
          <t>—</t>
        </is>
      </c>
      <c r="K365" s="3" t="inlineStr">
        <is>
          <t>—</t>
        </is>
      </c>
      <c r="L365" s="3" t="inlineStr">
        <is>
          <t>—</t>
        </is>
      </c>
      <c r="M365" s="3" t="inlineStr">
        <is>
          <t>—</t>
        </is>
      </c>
      <c r="N365" s="3" t="inlineStr">
        <is>
          <t>—</t>
        </is>
      </c>
      <c r="O365" s="3" t="inlineStr">
        <is>
          <t>—</t>
        </is>
      </c>
      <c r="P365" s="3" t="inlineStr">
        <is>
          <t>—</t>
        </is>
      </c>
      <c r="Q365" s="3" t="inlineStr">
        <is>
          <t>上游含 Y2</t>
        </is>
      </c>
      <c r="R365" s="3" t="inlineStr">
        <is>
          <t>—</t>
        </is>
      </c>
      <c r="S365" s="3" t="inlineStr">
        <is>
          <t>Y2</t>
        </is>
      </c>
      <c r="T365" s="3" t="inlineStr"/>
      <c r="U365" s="3" t="n">
        <v>6</v>
      </c>
      <c r="V365" s="3" t="inlineStr"/>
      <c r="W365" s="3" t="inlineStr">
        <is>
          <t>資訊（只有 L8）</t>
        </is>
      </c>
    </row>
    <row r="366">
      <c r="A366" s="3" t="inlineStr">
        <is>
          <t>Interface</t>
        </is>
      </c>
      <c r="B366" s="3" t="n">
        <v>109</v>
      </c>
      <c r="C366" s="3" t="inlineStr">
        <is>
          <t>參考請求混合 $/M — 前緣有效　[IF_FrontRef_Sol]</t>
        </is>
      </c>
      <c r="D366" s="3" t="inlineStr">
        <is>
          <t>$/M</t>
        </is>
      </c>
      <c r="E366" s="3" t="n">
        <v>6</v>
      </c>
      <c r="F366" s="3" t="n">
        <v>6</v>
      </c>
      <c r="G366" s="3" t="inlineStr">
        <is>
          <t>C109</t>
        </is>
      </c>
      <c r="H366" s="3">
        <f>Price_Frontier!D46</f>
        <v/>
      </c>
      <c r="I366" s="3" t="n">
        <v>1.607111</v>
      </c>
      <c r="J366" s="3" t="inlineStr">
        <is>
          <t>—</t>
        </is>
      </c>
      <c r="K366" s="3" t="inlineStr">
        <is>
          <t>—</t>
        </is>
      </c>
      <c r="L366" s="3" t="inlineStr">
        <is>
          <t>—</t>
        </is>
      </c>
      <c r="M366" s="3" t="inlineStr">
        <is>
          <t>—</t>
        </is>
      </c>
      <c r="N366" s="3" t="inlineStr">
        <is>
          <t>—</t>
        </is>
      </c>
      <c r="O366" s="3" t="inlineStr">
        <is>
          <t>—</t>
        </is>
      </c>
      <c r="P366" s="3" t="inlineStr">
        <is>
          <t>—</t>
        </is>
      </c>
      <c r="Q366" s="3" t="inlineStr">
        <is>
          <t>上游含 Y1,Y2,Y6</t>
        </is>
      </c>
      <c r="R366" s="3" t="inlineStr">
        <is>
          <t>—</t>
        </is>
      </c>
      <c r="S366" s="3" t="inlineStr">
        <is>
          <t>Y1,Y2,Y6</t>
        </is>
      </c>
      <c r="T366" s="3" t="inlineStr"/>
      <c r="U366" s="3" t="n">
        <v>6</v>
      </c>
      <c r="V366" s="3" t="inlineStr"/>
      <c r="W366" s="3" t="inlineStr">
        <is>
          <t>資訊（只有 L8）</t>
        </is>
      </c>
    </row>
    <row r="367">
      <c r="A367" s="3" t="inlineStr">
        <is>
          <t>Interface</t>
        </is>
      </c>
      <c r="B367" s="3" t="n">
        <v>110</v>
      </c>
      <c r="C367" s="3" t="inlineStr">
        <is>
          <t>前緣模型（顯示）　[IF_FrontModel_Sol]</t>
        </is>
      </c>
      <c r="D367" s="3" t="n"/>
      <c r="E367" s="3" t="n">
        <v>6</v>
      </c>
      <c r="F367" s="3" t="n">
        <v>6</v>
      </c>
      <c r="G367" s="3" t="inlineStr">
        <is>
          <t>C110</t>
        </is>
      </c>
      <c r="H367" s="3">
        <f>Price_Frontier!D26</f>
        <v/>
      </c>
      <c r="I367" s="3" t="inlineStr">
        <is>
          <t>GPT-6 Sol</t>
        </is>
      </c>
      <c r="J367" s="3" t="inlineStr">
        <is>
          <t>—</t>
        </is>
      </c>
      <c r="K367" s="3" t="inlineStr">
        <is>
          <t>—</t>
        </is>
      </c>
      <c r="L367" s="3" t="inlineStr">
        <is>
          <t>—</t>
        </is>
      </c>
      <c r="M367" s="3" t="inlineStr">
        <is>
          <t>—</t>
        </is>
      </c>
      <c r="N367" s="3" t="inlineStr">
        <is>
          <t>—</t>
        </is>
      </c>
      <c r="O367" s="3" t="inlineStr">
        <is>
          <t>—</t>
        </is>
      </c>
      <c r="P367" s="3" t="inlineStr">
        <is>
          <t>—</t>
        </is>
      </c>
      <c r="Q367" s="3" t="inlineStr">
        <is>
          <t>上游含 Y1,Y2,Y6</t>
        </is>
      </c>
      <c r="R367" s="3" t="inlineStr">
        <is>
          <t>—</t>
        </is>
      </c>
      <c r="S367" s="3" t="inlineStr">
        <is>
          <t>Y1,Y2,Y6</t>
        </is>
      </c>
      <c r="T367" s="3" t="inlineStr"/>
      <c r="U367" s="3" t="n">
        <v>3</v>
      </c>
      <c r="V367" s="3" t="inlineStr"/>
      <c r="W367" s="3" t="inlineStr">
        <is>
          <t>資訊（只有 L8）</t>
        </is>
      </c>
    </row>
    <row r="368">
      <c r="A368" s="3" t="inlineStr">
        <is>
          <t>Interface</t>
        </is>
      </c>
      <c r="B368" s="3" t="n">
        <v>111</v>
      </c>
      <c r="C368" s="3" t="inlineStr">
        <is>
          <t>商業壽命　[IF_Life_Sol]</t>
        </is>
      </c>
      <c r="D368" s="3" t="inlineStr">
        <is>
          <t>月</t>
        </is>
      </c>
      <c r="E368" s="3" t="n">
        <v>6</v>
      </c>
      <c r="F368" s="3" t="n">
        <v>6</v>
      </c>
      <c r="G368" s="3" t="inlineStr">
        <is>
          <t>C111</t>
        </is>
      </c>
      <c r="H368" s="3">
        <f>INDEX(B4_Life,1,2)</f>
        <v/>
      </c>
      <c r="I368" s="3" t="n">
        <v>12</v>
      </c>
      <c r="J368" s="3" t="inlineStr">
        <is>
          <t>—</t>
        </is>
      </c>
      <c r="K368" s="3" t="inlineStr">
        <is>
          <t>—</t>
        </is>
      </c>
      <c r="L368" s="3" t="inlineStr">
        <is>
          <t>—</t>
        </is>
      </c>
      <c r="M368" s="3" t="inlineStr">
        <is>
          <t>—</t>
        </is>
      </c>
      <c r="N368" s="3" t="inlineStr">
        <is>
          <t>—</t>
        </is>
      </c>
      <c r="O368" s="3" t="inlineStr">
        <is>
          <t>—</t>
        </is>
      </c>
      <c r="P368" s="3" t="inlineStr">
        <is>
          <t>—</t>
        </is>
      </c>
      <c r="Q368" s="3" t="inlineStr">
        <is>
          <t>—</t>
        </is>
      </c>
      <c r="R368" s="3" t="inlineStr">
        <is>
          <t>—</t>
        </is>
      </c>
      <c r="S368" s="3" t="inlineStr"/>
      <c r="T368" s="3" t="inlineStr"/>
      <c r="U368" s="3" t="n">
        <v>3</v>
      </c>
      <c r="V368" s="3" t="inlineStr"/>
      <c r="W368" s="3" t="inlineStr">
        <is>
          <t>—</t>
        </is>
      </c>
    </row>
    <row r="369">
      <c r="A369" s="3" t="inlineStr">
        <is>
          <t>Interface</t>
        </is>
      </c>
      <c r="B369" s="3" t="n">
        <v>112</v>
      </c>
      <c r="C369" s="3" t="inlineStr">
        <is>
          <t>快取儲存 $/M 快取命中 token　[IF_CacheStore_Sol]</t>
        </is>
      </c>
      <c r="D369" s="3" t="inlineStr">
        <is>
          <t>$/M</t>
        </is>
      </c>
      <c r="E369" s="3" t="n">
        <v>20</v>
      </c>
      <c r="F369" s="3" t="n">
        <v>6</v>
      </c>
      <c r="G369" s="3" t="inlineStr">
        <is>
          <t>C112</t>
        </is>
      </c>
      <c r="H369" s="3">
        <f>Cache_Store!C23</f>
        <v/>
      </c>
      <c r="I369" s="3" t="n">
        <v>1.9e-05</v>
      </c>
      <c r="J369" s="3" t="inlineStr">
        <is>
          <t>—</t>
        </is>
      </c>
      <c r="K369" s="3" t="inlineStr">
        <is>
          <t>—</t>
        </is>
      </c>
      <c r="L369" s="3" t="inlineStr">
        <is>
          <t>—</t>
        </is>
      </c>
      <c r="M369" s="3" t="inlineStr">
        <is>
          <t>—</t>
        </is>
      </c>
      <c r="N369" s="3" t="inlineStr">
        <is>
          <t>—</t>
        </is>
      </c>
      <c r="O369" s="3" t="inlineStr">
        <is>
          <t>—</t>
        </is>
      </c>
      <c r="P369" s="3" t="inlineStr">
        <is>
          <t>—</t>
        </is>
      </c>
      <c r="Q369" s="3" t="inlineStr">
        <is>
          <t>上游含 Y1,Y4,Y7</t>
        </is>
      </c>
      <c r="R369" s="3" t="inlineStr">
        <is>
          <t>—</t>
        </is>
      </c>
      <c r="S369" s="3" t="inlineStr">
        <is>
          <t>Y1,Y4,Y7</t>
        </is>
      </c>
      <c r="T369" s="3" t="inlineStr"/>
      <c r="U369" s="3" t="n">
        <v>3</v>
      </c>
      <c r="V369" s="3" t="inlineStr"/>
      <c r="W369" s="3" t="inlineStr">
        <is>
          <t>資訊（只有 L8）</t>
        </is>
      </c>
    </row>
    <row r="370">
      <c r="A370" s="3" t="inlineStr">
        <is>
          <t>Interface</t>
        </is>
      </c>
      <c r="B370" s="3" t="n">
        <v>113</v>
      </c>
      <c r="C370" s="3" t="inlineStr">
        <is>
          <t>訓練攤提 自下而上＝回本所需溢價　[IF_AmortBU_Sol]</t>
        </is>
      </c>
      <c r="D370" s="3" t="inlineStr">
        <is>
          <t>$/M</t>
        </is>
      </c>
      <c r="E370" s="3" t="n">
        <v>20</v>
      </c>
      <c r="F370" s="3" t="n">
        <v>6</v>
      </c>
      <c r="G370" s="3" t="inlineStr">
        <is>
          <t>C113</t>
        </is>
      </c>
      <c r="H370" s="3">
        <f>Amortize!C22</f>
        <v/>
      </c>
      <c r="I370" s="3" t="n">
        <v>0.098701</v>
      </c>
      <c r="J370" s="3" t="inlineStr">
        <is>
          <t>—</t>
        </is>
      </c>
      <c r="K370" s="3" t="inlineStr">
        <is>
          <t>[G02] IF_AmortBU_*＝Amortize 第 13／22／32 列：以付費＋免費 token 為分母的「回本所需溢價」</t>
        </is>
      </c>
      <c r="L370" s="3" t="inlineStr">
        <is>
          <t>—</t>
        </is>
      </c>
      <c r="M370" s="3" t="inlineStr">
        <is>
          <t>—</t>
        </is>
      </c>
      <c r="N370" s="3" t="inlineStr">
        <is>
          <t>—</t>
        </is>
      </c>
      <c r="O370" s="3" t="inlineStr">
        <is>
          <t>—</t>
        </is>
      </c>
      <c r="P370" s="3" t="inlineStr">
        <is>
          <t>[G06] 下游契約名稱：一個層級不可達即令可達層級的攤提與全成本也變文字（例：Serving C18＝0.7 時 Interface 第 100 列 Luna 變文字）</t>
        </is>
      </c>
      <c r="Q370" s="3" t="inlineStr">
        <is>
          <t>上游含 Y1,Y2,Y3,Y4,Y5,Y6,Y7,Y8</t>
        </is>
      </c>
      <c r="R370" s="3" t="inlineStr">
        <is>
          <t>—</t>
        </is>
      </c>
      <c r="S370" s="3" t="inlineStr">
        <is>
          <t>Y1,Y2,Y3,Y4,Y5,Y6,Y7,Y8</t>
        </is>
      </c>
      <c r="T370" s="3" t="inlineStr"/>
      <c r="U370" s="3" t="n">
        <v>6</v>
      </c>
      <c r="V370" s="3" t="inlineStr">
        <is>
          <t>G02,G06</t>
        </is>
      </c>
      <c r="W370" s="3" t="inlineStr">
        <is>
          <t>高</t>
        </is>
      </c>
    </row>
    <row r="371">
      <c r="A371" s="3" t="inlineStr">
        <is>
          <t>Interface</t>
        </is>
      </c>
      <c r="B371" s="3" t="n">
        <v>114</v>
      </c>
      <c r="C371" s="3" t="inlineStr">
        <is>
          <t>訓練攤提 由上而下（機隊訓練占比）　[IF_AmortTD_Sol]</t>
        </is>
      </c>
      <c r="D371" s="3" t="inlineStr">
        <is>
          <t>$/M</t>
        </is>
      </c>
      <c r="E371" s="3" t="n">
        <v>20</v>
      </c>
      <c r="F371" s="3" t="n">
        <v>6</v>
      </c>
      <c r="G371" s="3" t="inlineStr">
        <is>
          <t>C114</t>
        </is>
      </c>
      <c r="H371" s="3">
        <f>Amortize!C24</f>
        <v/>
      </c>
      <c r="I371" s="3" t="n">
        <v>0.60055</v>
      </c>
      <c r="J371" s="3" t="inlineStr">
        <is>
          <t>—</t>
        </is>
      </c>
      <c r="K371" s="3" t="inlineStr">
        <is>
          <t>—</t>
        </is>
      </c>
      <c r="L371" s="3" t="inlineStr">
        <is>
          <t>—</t>
        </is>
      </c>
      <c r="M371" s="3" t="inlineStr">
        <is>
          <t>[G01] 下游契約名稱（IF_AmortTD_*、IF_AmortDefault_*）承接由上而下總額的閉合差 0.82–0.88</t>
        </is>
      </c>
      <c r="N371" s="3" t="inlineStr">
        <is>
          <t>—</t>
        </is>
      </c>
      <c r="O371" s="3" t="inlineStr">
        <is>
          <t>—</t>
        </is>
      </c>
      <c r="P371" s="3" t="inlineStr">
        <is>
          <t>[G06] 下游契約名稱：一個層級不可達即令可達層級的攤提與全成本也變文字（例：Serving C18＝0.7 時 Interface 第 100 列 Luna 變文字）</t>
        </is>
      </c>
      <c r="Q371" s="3" t="inlineStr">
        <is>
          <t>上游含 Y1,Y2,Y3,Y4,Y5,Y6,Y7,Y8</t>
        </is>
      </c>
      <c r="R371" s="3" t="inlineStr">
        <is>
          <t>—</t>
        </is>
      </c>
      <c r="S371" s="3" t="inlineStr">
        <is>
          <t>Y1,Y2,Y3,Y4,Y5,Y6,Y7,Y8</t>
        </is>
      </c>
      <c r="T371" s="3" t="inlineStr"/>
      <c r="U371" s="3" t="n">
        <v>3</v>
      </c>
      <c r="V371" s="3" t="inlineStr">
        <is>
          <t>G01,G06</t>
        </is>
      </c>
      <c r="W371" s="3" t="inlineStr">
        <is>
          <t>高</t>
        </is>
      </c>
    </row>
    <row r="372">
      <c r="A372" s="3" t="inlineStr">
        <is>
          <t>Interface</t>
        </is>
      </c>
      <c r="B372" s="3" t="n">
        <v>115</v>
      </c>
      <c r="C372" s="3" t="inlineStr">
        <is>
          <t>全成本 $/M（服務＋快取儲存＋自下而上攤提；基準利用率）　[IF_FullCost_Sol]</t>
        </is>
      </c>
      <c r="D372" s="3" t="inlineStr">
        <is>
          <t>$/M</t>
        </is>
      </c>
      <c r="E372" s="3" t="n">
        <v>20</v>
      </c>
      <c r="F372" s="3" t="n">
        <v>6</v>
      </c>
      <c r="G372" s="3" t="inlineStr">
        <is>
          <t>C115</t>
        </is>
      </c>
      <c r="H372" s="3">
        <f>Theory_Rev!C36</f>
        <v/>
      </c>
      <c r="I372" s="3" t="n">
        <v>0.516032</v>
      </c>
      <c r="J372" s="3" t="inlineStr">
        <is>
          <t>—</t>
        </is>
      </c>
      <c r="K372" s="3" t="inlineStr">
        <is>
          <t>[G02] IF_FullCost_*＝服務成本＋自下而上攤提（分母含免費 token）</t>
        </is>
      </c>
      <c r="L372" s="3" t="inlineStr">
        <is>
          <t>—</t>
        </is>
      </c>
      <c r="M372" s="3" t="inlineStr">
        <is>
          <t>—</t>
        </is>
      </c>
      <c r="N372" s="3" t="inlineStr">
        <is>
          <t>—</t>
        </is>
      </c>
      <c r="O372" s="3" t="inlineStr">
        <is>
          <t>—</t>
        </is>
      </c>
      <c r="P372" s="3" t="inlineStr">
        <is>
          <t>[G06] 下游契約名稱：一個層級不可達即令可達層級的攤提與全成本也變文字（例：Serving C18＝0.7 時 Interface 第 100 列 Luna 變文字）</t>
        </is>
      </c>
      <c r="Q372" s="3" t="inlineStr">
        <is>
          <t>上游含 Y1,Y2,Y3,Y4,Y5,Y6,Y7,Y8</t>
        </is>
      </c>
      <c r="R372" s="3" t="inlineStr">
        <is>
          <t>—</t>
        </is>
      </c>
      <c r="S372" s="3" t="inlineStr">
        <is>
          <t>Y1,Y2,Y3,Y4,Y5,Y6,Y7,Y8</t>
        </is>
      </c>
      <c r="T372" s="3" t="inlineStr"/>
      <c r="U372" s="3" t="n">
        <v>6</v>
      </c>
      <c r="V372" s="3" t="inlineStr">
        <is>
          <t>G02,G06</t>
        </is>
      </c>
      <c r="W372" s="3" t="inlineStr">
        <is>
          <t>高</t>
        </is>
      </c>
    </row>
    <row r="373">
      <c r="A373" s="3" t="inlineStr">
        <is>
          <t>Interface</t>
        </is>
      </c>
      <c r="B373" s="3" t="n">
        <v>116</v>
      </c>
      <c r="C373" s="3" t="inlineStr">
        <is>
          <t>訓練攤提 K6 預設 (c)：由上而下總額 × 自下而上權重（下游預設）　[IF_AmortDefault_Sol]</t>
        </is>
      </c>
      <c r="D373" s="3" t="inlineStr">
        <is>
          <t>$/M</t>
        </is>
      </c>
      <c r="E373" s="3" t="n">
        <v>20</v>
      </c>
      <c r="F373" s="3" t="n">
        <v>6</v>
      </c>
      <c r="G373" s="3" t="inlineStr">
        <is>
          <t>C116</t>
        </is>
      </c>
      <c r="H373" s="3">
        <f>Amortize!C45</f>
        <v/>
      </c>
      <c r="I373" s="3" t="n">
        <v>0.215508</v>
      </c>
      <c r="J373" s="3" t="inlineStr">
        <is>
          <t>—</t>
        </is>
      </c>
      <c r="K373" s="3" t="inlineStr">
        <is>
          <t>[G14] 下游預設（K6 (c)）攤提的總額由 2025 支出比 B4_Serve 決定，並套到全部世代（Y11）</t>
        </is>
      </c>
      <c r="L373" s="3" t="inlineStr">
        <is>
          <t>—</t>
        </is>
      </c>
      <c r="M373" s="3" t="inlineStr">
        <is>
          <t>[G01] 下游契約名稱（IF_AmortTD_*、IF_AmortDefault_*）承接由上而下總額的閉合差 0.82–0.88</t>
        </is>
      </c>
      <c r="N373" s="3" t="inlineStr">
        <is>
          <t>—</t>
        </is>
      </c>
      <c r="O373" s="3" t="inlineStr">
        <is>
          <t>—</t>
        </is>
      </c>
      <c r="P373" s="3" t="inlineStr">
        <is>
          <t>[G06] 下游契約名稱：一個層級不可達即令可達層級的攤提與全成本也變文字（例：Serving C18＝0.7 時 Interface 第 100 列 Luna 變文字）</t>
        </is>
      </c>
      <c r="Q373" s="3" t="inlineStr">
        <is>
          <t>上游含 Y1,Y2,Y3,Y4,Y5,Y6,Y7,Y8</t>
        </is>
      </c>
      <c r="R373" s="3" t="inlineStr">
        <is>
          <t>—</t>
        </is>
      </c>
      <c r="S373" s="3" t="inlineStr">
        <is>
          <t>Y1,Y2,Y3,Y4,Y5,Y6,Y7,Y8</t>
        </is>
      </c>
      <c r="T373" s="3" t="inlineStr"/>
      <c r="U373" s="3" t="n">
        <v>3</v>
      </c>
      <c r="V373" s="3" t="inlineStr">
        <is>
          <t>G01,G06,G14</t>
        </is>
      </c>
      <c r="W373" s="3" t="inlineStr">
        <is>
          <t>高</t>
        </is>
      </c>
    </row>
    <row r="374">
      <c r="A374" s="3" t="inlineStr">
        <is>
          <t>Interface</t>
        </is>
      </c>
      <c r="B374" s="3" t="n">
        <v>117</v>
      </c>
      <c r="C374" s="3" t="inlineStr">
        <is>
          <t>訓練攤提 (d)：由上而下總額 × 營收權重　[IF_AmortRev_Sol]</t>
        </is>
      </c>
      <c r="D374" s="3" t="inlineStr">
        <is>
          <t>$/M</t>
        </is>
      </c>
      <c r="E374" s="3" t="n">
        <v>20</v>
      </c>
      <c r="F374" s="3" t="n">
        <v>6</v>
      </c>
      <c r="G374" s="3" t="inlineStr">
        <is>
          <t>C117</t>
        </is>
      </c>
      <c r="H374" s="3">
        <f>Amortize!C46</f>
        <v/>
      </c>
      <c r="I374" s="3" t="n">
        <v>0.760751</v>
      </c>
      <c r="J374" s="3" t="inlineStr">
        <is>
          <t>—</t>
        </is>
      </c>
      <c r="K374" s="3" t="inlineStr">
        <is>
          <t>—</t>
        </is>
      </c>
      <c r="L374" s="3" t="inlineStr">
        <is>
          <t>—</t>
        </is>
      </c>
      <c r="M374" s="3" t="inlineStr">
        <is>
          <t>[G01] 承接由上而下總額的閉合差（IF_AmortRev_*、IF_FullCostDefault_*）</t>
        </is>
      </c>
      <c r="N374" s="3" t="inlineStr">
        <is>
          <t>—</t>
        </is>
      </c>
      <c r="O374" s="3" t="inlineStr">
        <is>
          <t>—</t>
        </is>
      </c>
      <c r="P374" s="3" t="inlineStr">
        <is>
          <t>[G06] 下游契約名稱：一個層級不可達即令可達層級的攤提與全成本也變文字（例：Serving C18＝0.7 時 Interface 第 100 列 Luna 變文字）</t>
        </is>
      </c>
      <c r="Q374" s="3" t="inlineStr">
        <is>
          <t>上游含 Y1,Y2,Y3,Y4,Y5,Y6,Y7,Y8</t>
        </is>
      </c>
      <c r="R374" s="3" t="inlineStr">
        <is>
          <t>—</t>
        </is>
      </c>
      <c r="S374" s="3" t="inlineStr">
        <is>
          <t>Y1,Y2,Y3,Y4,Y5,Y6,Y7,Y8</t>
        </is>
      </c>
      <c r="T374" s="3" t="inlineStr"/>
      <c r="U374" s="3" t="n">
        <v>3</v>
      </c>
      <c r="V374" s="3" t="inlineStr">
        <is>
          <t>G01,G06</t>
        </is>
      </c>
      <c r="W374" s="3" t="inlineStr">
        <is>
          <t>高</t>
        </is>
      </c>
    </row>
    <row r="375">
      <c r="A375" s="3" t="inlineStr">
        <is>
          <t>Interface</t>
        </is>
      </c>
      <c r="B375" s="3" t="n">
        <v>118</v>
      </c>
      <c r="C375" s="3" t="inlineStr">
        <is>
          <t>全成本 $/M（服務＋快取儲存＋K6 預設攤提；基準利用率；下游預設）　[IF_FullCostDefault_Sol]</t>
        </is>
      </c>
      <c r="D375" s="3" t="inlineStr">
        <is>
          <t>$/M</t>
        </is>
      </c>
      <c r="E375" s="3" t="n">
        <v>20</v>
      </c>
      <c r="F375" s="3" t="n">
        <v>6</v>
      </c>
      <c r="G375" s="3" t="inlineStr">
        <is>
          <t>C118</t>
        </is>
      </c>
      <c r="H375" s="3">
        <f>Theory_Rev!C38</f>
        <v/>
      </c>
      <c r="I375" s="3" t="n">
        <v>0.632839</v>
      </c>
      <c r="J375" s="3" t="inlineStr">
        <is>
          <t>—</t>
        </is>
      </c>
      <c r="K375" s="3" t="inlineStr">
        <is>
          <t>[G14] 下游預設（K6 (c)）攤提的總額由 2025 支出比 B4_Serve 決定，並套到全部世代（Y11）</t>
        </is>
      </c>
      <c r="L375" s="3" t="inlineStr">
        <is>
          <t>—</t>
        </is>
      </c>
      <c r="M375" s="3" t="inlineStr">
        <is>
          <t>[G01] 承接由上而下總額的閉合差（IF_AmortRev_*、IF_FullCostDefault_*）</t>
        </is>
      </c>
      <c r="N375" s="3" t="inlineStr">
        <is>
          <t>—</t>
        </is>
      </c>
      <c r="O375" s="3" t="inlineStr">
        <is>
          <t>—</t>
        </is>
      </c>
      <c r="P375" s="3" t="inlineStr">
        <is>
          <t>[G06] 下游契約名稱：一個層級不可達即令可達層級的攤提與全成本也變文字（例：Serving C18＝0.7 時 Interface 第 100 列 Luna 變文字）</t>
        </is>
      </c>
      <c r="Q375" s="3" t="inlineStr">
        <is>
          <t>上游含 Y1,Y2,Y3,Y4,Y5,Y6,Y7,Y8</t>
        </is>
      </c>
      <c r="R375" s="3" t="inlineStr">
        <is>
          <t>—</t>
        </is>
      </c>
      <c r="S375" s="3" t="inlineStr">
        <is>
          <t>Y1,Y2,Y3,Y4,Y5,Y6,Y7,Y8</t>
        </is>
      </c>
      <c r="T375" s="3" t="inlineStr"/>
      <c r="U375" s="3" t="n">
        <v>6</v>
      </c>
      <c r="V375" s="3" t="inlineStr">
        <is>
          <t>G01,G06,G14</t>
        </is>
      </c>
      <c r="W375" s="3" t="inlineStr">
        <is>
          <t>高</t>
        </is>
      </c>
    </row>
    <row r="376">
      <c r="A376" s="3" t="inlineStr">
        <is>
          <t>Interface</t>
        </is>
      </c>
      <c r="B376" s="3" t="n">
        <v>119</v>
      </c>
      <c r="C376" s="3" t="inlineStr">
        <is>
          <t>每 GW 理論營收 — OpenAI 有效單價（理想上限）　[IF_RevGW_Sol]</t>
        </is>
      </c>
      <c r="D376" s="3" t="inlineStr">
        <is>
          <t>$B/年</t>
        </is>
      </c>
      <c r="E376" s="3" t="n">
        <v>20</v>
      </c>
      <c r="F376" s="3" t="n">
        <v>6</v>
      </c>
      <c r="G376" s="3" t="inlineStr">
        <is>
          <t>C119</t>
        </is>
      </c>
      <c r="H376" s="3">
        <f>Theory_Rev!C29</f>
        <v/>
      </c>
      <c r="I376" s="3" t="n">
        <v>20.722505</v>
      </c>
      <c r="J376" s="3" t="inlineStr">
        <is>
          <t>—</t>
        </is>
      </c>
      <c r="K376" s="3" t="inlineStr">
        <is>
          <t>—</t>
        </is>
      </c>
      <c r="L376" s="3" t="inlineStr">
        <is>
          <t>—</t>
        </is>
      </c>
      <c r="M376" s="3" t="inlineStr">
        <is>
          <t>—</t>
        </is>
      </c>
      <c r="N376" s="3" t="inlineStr">
        <is>
          <t>—</t>
        </is>
      </c>
      <c r="O376" s="3" t="inlineStr">
        <is>
          <t>—</t>
        </is>
      </c>
      <c r="P376" s="3" t="inlineStr">
        <is>
          <t>[G06] 單一層級列不可達時輸出 0（數值）而非文字；與組合列的文字處理方式相反（第 2 段 F09）</t>
        </is>
      </c>
      <c r="Q376" s="3" t="inlineStr">
        <is>
          <t>上游含 Y1,Y2,Y5,Y6,Y8</t>
        </is>
      </c>
      <c r="R376" s="3" t="inlineStr">
        <is>
          <t>—</t>
        </is>
      </c>
      <c r="S376" s="3" t="inlineStr">
        <is>
          <t>Y1,Y2,Y5,Y6,Y8</t>
        </is>
      </c>
      <c r="T376" s="3" t="inlineStr"/>
      <c r="U376" s="3" t="n">
        <v>66</v>
      </c>
      <c r="V376" s="3" t="inlineStr">
        <is>
          <t>G06</t>
        </is>
      </c>
      <c r="W376" s="3" t="inlineStr">
        <is>
          <t>中</t>
        </is>
      </c>
    </row>
    <row r="377">
      <c r="A377" s="3" t="inlineStr">
        <is>
          <t>Interface</t>
        </is>
      </c>
      <c r="B377" s="3" t="n">
        <v>122</v>
      </c>
      <c r="C377" s="3" t="inlineStr">
        <is>
          <t>新鮮輸入 $/M — OpenAI 有效　[IF_PriceFresh_Astra]</t>
        </is>
      </c>
      <c r="D377" s="3" t="inlineStr">
        <is>
          <t>$/M</t>
        </is>
      </c>
      <c r="E377" s="3" t="n">
        <v>6</v>
      </c>
      <c r="F377" s="3" t="n">
        <v>6</v>
      </c>
      <c r="G377" s="3" t="inlineStr">
        <is>
          <t>C122</t>
        </is>
      </c>
      <c r="H377" s="3">
        <f>Price_Frontier!E41</f>
        <v/>
      </c>
      <c r="I377" s="3" t="n">
        <v>8</v>
      </c>
      <c r="J377" s="3" t="inlineStr">
        <is>
          <t>—</t>
        </is>
      </c>
      <c r="K377" s="3" t="inlineStr">
        <is>
          <t>—</t>
        </is>
      </c>
      <c r="L377" s="3" t="inlineStr">
        <is>
          <t>—</t>
        </is>
      </c>
      <c r="M377" s="3" t="inlineStr">
        <is>
          <t>—</t>
        </is>
      </c>
      <c r="N377" s="3" t="inlineStr">
        <is>
          <t>—</t>
        </is>
      </c>
      <c r="O377" s="3" t="inlineStr">
        <is>
          <t>—</t>
        </is>
      </c>
      <c r="P377" s="3" t="inlineStr">
        <is>
          <t>—</t>
        </is>
      </c>
      <c r="Q377" s="3" t="inlineStr">
        <is>
          <t>上游含 Y2</t>
        </is>
      </c>
      <c r="R377" s="3" t="inlineStr">
        <is>
          <t>—</t>
        </is>
      </c>
      <c r="S377" s="3" t="inlineStr">
        <is>
          <t>Y2</t>
        </is>
      </c>
      <c r="T377" s="3" t="inlineStr"/>
      <c r="U377" s="3" t="n">
        <v>3</v>
      </c>
      <c r="V377" s="3" t="inlineStr"/>
      <c r="W377" s="3" t="inlineStr">
        <is>
          <t>資訊（只有 L8）</t>
        </is>
      </c>
    </row>
    <row r="378">
      <c r="A378" s="3" t="inlineStr">
        <is>
          <t>Interface</t>
        </is>
      </c>
      <c r="B378" s="3" t="n">
        <v>123</v>
      </c>
      <c r="C378" s="3" t="inlineStr">
        <is>
          <t>快取輸入 $/M — OpenAI 有效　[IF_PriceCached_Astra]</t>
        </is>
      </c>
      <c r="D378" s="3" t="inlineStr">
        <is>
          <t>$/M</t>
        </is>
      </c>
      <c r="E378" s="3" t="n">
        <v>6</v>
      </c>
      <c r="F378" s="3" t="n">
        <v>6</v>
      </c>
      <c r="G378" s="3" t="inlineStr">
        <is>
          <t>C123</t>
        </is>
      </c>
      <c r="H378" s="3">
        <f>Price_Frontier!E42</f>
        <v/>
      </c>
      <c r="I378" s="3" t="n">
        <v>0.8</v>
      </c>
      <c r="J378" s="3" t="inlineStr">
        <is>
          <t>—</t>
        </is>
      </c>
      <c r="K378" s="3" t="inlineStr">
        <is>
          <t>—</t>
        </is>
      </c>
      <c r="L378" s="3" t="inlineStr">
        <is>
          <t>—</t>
        </is>
      </c>
      <c r="M378" s="3" t="inlineStr">
        <is>
          <t>—</t>
        </is>
      </c>
      <c r="N378" s="3" t="inlineStr">
        <is>
          <t>—</t>
        </is>
      </c>
      <c r="O378" s="3" t="inlineStr">
        <is>
          <t>—</t>
        </is>
      </c>
      <c r="P378" s="3" t="inlineStr">
        <is>
          <t>—</t>
        </is>
      </c>
      <c r="Q378" s="3" t="inlineStr">
        <is>
          <t>上游含 Y2</t>
        </is>
      </c>
      <c r="R378" s="3" t="inlineStr">
        <is>
          <t>—</t>
        </is>
      </c>
      <c r="S378" s="3" t="inlineStr">
        <is>
          <t>Y2</t>
        </is>
      </c>
      <c r="T378" s="3" t="inlineStr"/>
      <c r="U378" s="3" t="n">
        <v>3</v>
      </c>
      <c r="V378" s="3" t="inlineStr"/>
      <c r="W378" s="3" t="inlineStr">
        <is>
          <t>資訊（只有 L8）</t>
        </is>
      </c>
    </row>
    <row r="379">
      <c r="A379" s="3" t="inlineStr">
        <is>
          <t>Interface</t>
        </is>
      </c>
      <c r="B379" s="3" t="n">
        <v>124</v>
      </c>
      <c r="C379" s="3" t="inlineStr">
        <is>
          <t>思考 $/M — OpenAI 有效（依輸出計費）　[IF_PriceThink_Astra]</t>
        </is>
      </c>
      <c r="D379" s="3" t="inlineStr">
        <is>
          <t>$/M</t>
        </is>
      </c>
      <c r="E379" s="3" t="n">
        <v>6</v>
      </c>
      <c r="F379" s="3" t="n">
        <v>6</v>
      </c>
      <c r="G379" s="3" t="inlineStr">
        <is>
          <t>C124</t>
        </is>
      </c>
      <c r="H379" s="3">
        <f>Price_Frontier!E43</f>
        <v/>
      </c>
      <c r="I379" s="3" t="n">
        <v>40</v>
      </c>
      <c r="J379" s="3" t="inlineStr">
        <is>
          <t>—</t>
        </is>
      </c>
      <c r="K379" s="3" t="inlineStr">
        <is>
          <t>—</t>
        </is>
      </c>
      <c r="L379" s="3" t="inlineStr">
        <is>
          <t>—</t>
        </is>
      </c>
      <c r="M379" s="3" t="inlineStr">
        <is>
          <t>—</t>
        </is>
      </c>
      <c r="N379" s="3" t="inlineStr">
        <is>
          <t>—</t>
        </is>
      </c>
      <c r="O379" s="3" t="inlineStr">
        <is>
          <t>—</t>
        </is>
      </c>
      <c r="P379" s="3" t="inlineStr">
        <is>
          <t>—</t>
        </is>
      </c>
      <c r="Q379" s="3" t="inlineStr">
        <is>
          <t>上游含 Y2</t>
        </is>
      </c>
      <c r="R379" s="3" t="inlineStr">
        <is>
          <t>—</t>
        </is>
      </c>
      <c r="S379" s="3" t="inlineStr">
        <is>
          <t>Y2</t>
        </is>
      </c>
      <c r="T379" s="3" t="inlineStr"/>
      <c r="U379" s="3" t="n">
        <v>3</v>
      </c>
      <c r="V379" s="3" t="inlineStr"/>
      <c r="W379" s="3" t="inlineStr">
        <is>
          <t>資訊（只有 L8）</t>
        </is>
      </c>
    </row>
    <row r="380">
      <c r="A380" s="3" t="inlineStr">
        <is>
          <t>Interface</t>
        </is>
      </c>
      <c r="B380" s="3" t="n">
        <v>125</v>
      </c>
      <c r="C380" s="3" t="inlineStr">
        <is>
          <t>可見輸出 $/M — OpenAI 有效　[IF_PriceOut_Astra]</t>
        </is>
      </c>
      <c r="D380" s="3" t="inlineStr">
        <is>
          <t>$/M</t>
        </is>
      </c>
      <c r="E380" s="3" t="n">
        <v>6</v>
      </c>
      <c r="F380" s="3" t="n">
        <v>6</v>
      </c>
      <c r="G380" s="3" t="inlineStr">
        <is>
          <t>C125</t>
        </is>
      </c>
      <c r="H380" s="3">
        <f>Price_Frontier!E44</f>
        <v/>
      </c>
      <c r="I380" s="3" t="n">
        <v>40</v>
      </c>
      <c r="J380" s="3" t="inlineStr">
        <is>
          <t>—</t>
        </is>
      </c>
      <c r="K380" s="3" t="inlineStr">
        <is>
          <t>—</t>
        </is>
      </c>
      <c r="L380" s="3" t="inlineStr">
        <is>
          <t>—</t>
        </is>
      </c>
      <c r="M380" s="3" t="inlineStr">
        <is>
          <t>—</t>
        </is>
      </c>
      <c r="N380" s="3" t="inlineStr">
        <is>
          <t>—</t>
        </is>
      </c>
      <c r="O380" s="3" t="inlineStr">
        <is>
          <t>—</t>
        </is>
      </c>
      <c r="P380" s="3" t="inlineStr">
        <is>
          <t>—</t>
        </is>
      </c>
      <c r="Q380" s="3" t="inlineStr">
        <is>
          <t>上游含 Y2</t>
        </is>
      </c>
      <c r="R380" s="3" t="inlineStr">
        <is>
          <t>—</t>
        </is>
      </c>
      <c r="S380" s="3" t="inlineStr">
        <is>
          <t>Y2</t>
        </is>
      </c>
      <c r="T380" s="3" t="inlineStr"/>
      <c r="U380" s="3" t="n">
        <v>3</v>
      </c>
      <c r="V380" s="3" t="inlineStr"/>
      <c r="W380" s="3" t="inlineStr">
        <is>
          <t>資訊（只有 L8）</t>
        </is>
      </c>
    </row>
    <row r="381">
      <c r="A381" s="3" t="inlineStr">
        <is>
          <t>Interface</t>
        </is>
      </c>
      <c r="B381" s="3" t="n">
        <v>127</v>
      </c>
      <c r="C381" s="3" t="inlineStr">
        <is>
          <t>參考請求混合 $/M — 前緣有效　[IF_FrontRef_Astra]</t>
        </is>
      </c>
      <c r="D381" s="3" t="inlineStr">
        <is>
          <t>$/M</t>
        </is>
      </c>
      <c r="E381" s="3" t="n">
        <v>6</v>
      </c>
      <c r="F381" s="3" t="n">
        <v>6</v>
      </c>
      <c r="G381" s="3" t="inlineStr">
        <is>
          <t>C127</t>
        </is>
      </c>
      <c r="H381" s="3">
        <f>Price_Frontier!E46</f>
        <v/>
      </c>
      <c r="I381" s="3" t="n">
        <v>7.742222</v>
      </c>
      <c r="J381" s="3" t="inlineStr">
        <is>
          <t>—</t>
        </is>
      </c>
      <c r="K381" s="3" t="inlineStr">
        <is>
          <t>—</t>
        </is>
      </c>
      <c r="L381" s="3" t="inlineStr">
        <is>
          <t>—</t>
        </is>
      </c>
      <c r="M381" s="3" t="inlineStr">
        <is>
          <t>—</t>
        </is>
      </c>
      <c r="N381" s="3" t="inlineStr">
        <is>
          <t>—</t>
        </is>
      </c>
      <c r="O381" s="3" t="inlineStr">
        <is>
          <t>—</t>
        </is>
      </c>
      <c r="P381" s="3" t="inlineStr">
        <is>
          <t>—</t>
        </is>
      </c>
      <c r="Q381" s="3" t="inlineStr">
        <is>
          <t>上游含 Y1,Y2,Y6</t>
        </is>
      </c>
      <c r="R381" s="3" t="inlineStr">
        <is>
          <t>—</t>
        </is>
      </c>
      <c r="S381" s="3" t="inlineStr">
        <is>
          <t>Y1,Y2,Y6</t>
        </is>
      </c>
      <c r="T381" s="3" t="inlineStr"/>
      <c r="U381" s="3" t="n">
        <v>3</v>
      </c>
      <c r="V381" s="3" t="inlineStr"/>
      <c r="W381" s="3" t="inlineStr">
        <is>
          <t>資訊（只有 L8）</t>
        </is>
      </c>
    </row>
    <row r="382">
      <c r="A382" s="3" t="inlineStr">
        <is>
          <t>Interface</t>
        </is>
      </c>
      <c r="B382" s="3" t="n">
        <v>128</v>
      </c>
      <c r="C382" s="3" t="inlineStr">
        <is>
          <t>前緣模型（顯示）　[IF_FrontModel_Astra]</t>
        </is>
      </c>
      <c r="D382" s="3" t="n"/>
      <c r="E382" s="3" t="n">
        <v>6</v>
      </c>
      <c r="F382" s="3" t="n">
        <v>6</v>
      </c>
      <c r="G382" s="3" t="inlineStr">
        <is>
          <t>C128</t>
        </is>
      </c>
      <c r="H382" s="3">
        <f>Price_Frontier!E26</f>
        <v/>
      </c>
      <c r="I382" s="3" t="inlineStr">
        <is>
          <t>Claude Fable 5.1</t>
        </is>
      </c>
      <c r="J382" s="3" t="inlineStr">
        <is>
          <t>—</t>
        </is>
      </c>
      <c r="K382" s="3" t="inlineStr">
        <is>
          <t>—</t>
        </is>
      </c>
      <c r="L382" s="3" t="inlineStr">
        <is>
          <t>—</t>
        </is>
      </c>
      <c r="M382" s="3" t="inlineStr">
        <is>
          <t>—</t>
        </is>
      </c>
      <c r="N382" s="3" t="inlineStr">
        <is>
          <t>—</t>
        </is>
      </c>
      <c r="O382" s="3" t="inlineStr">
        <is>
          <t>—</t>
        </is>
      </c>
      <c r="P382" s="3" t="inlineStr">
        <is>
          <t>—</t>
        </is>
      </c>
      <c r="Q382" s="3" t="inlineStr">
        <is>
          <t>上游含 Y1,Y2,Y6</t>
        </is>
      </c>
      <c r="R382" s="3" t="inlineStr">
        <is>
          <t>—</t>
        </is>
      </c>
      <c r="S382" s="3" t="inlineStr">
        <is>
          <t>Y1,Y2,Y6</t>
        </is>
      </c>
      <c r="T382" s="3" t="inlineStr"/>
      <c r="U382" s="3" t="n">
        <v>3</v>
      </c>
      <c r="V382" s="3" t="inlineStr"/>
      <c r="W382" s="3" t="inlineStr">
        <is>
          <t>資訊（只有 L8）</t>
        </is>
      </c>
    </row>
    <row r="383">
      <c r="A383" s="3" t="inlineStr">
        <is>
          <t>Interface</t>
        </is>
      </c>
      <c r="B383" s="3" t="n">
        <v>129</v>
      </c>
      <c r="C383" s="3" t="inlineStr">
        <is>
          <t>商業壽命　[IF_Life_Astra]</t>
        </is>
      </c>
      <c r="D383" s="3" t="inlineStr">
        <is>
          <t>月</t>
        </is>
      </c>
      <c r="E383" s="3" t="n">
        <v>6</v>
      </c>
      <c r="F383" s="3" t="n">
        <v>6</v>
      </c>
      <c r="G383" s="3" t="inlineStr">
        <is>
          <t>C129</t>
        </is>
      </c>
      <c r="H383" s="3">
        <f>INDEX(B4_Life,1,3)</f>
        <v/>
      </c>
      <c r="I383" s="3" t="n">
        <v>9</v>
      </c>
      <c r="J383" s="3" t="inlineStr">
        <is>
          <t>—</t>
        </is>
      </c>
      <c r="K383" s="3" t="inlineStr">
        <is>
          <t>—</t>
        </is>
      </c>
      <c r="L383" s="3" t="inlineStr">
        <is>
          <t>—</t>
        </is>
      </c>
      <c r="M383" s="3" t="inlineStr">
        <is>
          <t>—</t>
        </is>
      </c>
      <c r="N383" s="3" t="inlineStr">
        <is>
          <t>—</t>
        </is>
      </c>
      <c r="O383" s="3" t="inlineStr">
        <is>
          <t>—</t>
        </is>
      </c>
      <c r="P383" s="3" t="inlineStr">
        <is>
          <t>—</t>
        </is>
      </c>
      <c r="Q383" s="3" t="inlineStr">
        <is>
          <t>—</t>
        </is>
      </c>
      <c r="R383" s="3" t="inlineStr">
        <is>
          <t>—</t>
        </is>
      </c>
      <c r="S383" s="3" t="inlineStr"/>
      <c r="T383" s="3" t="inlineStr"/>
      <c r="U383" s="3" t="n">
        <v>3</v>
      </c>
      <c r="V383" s="3" t="inlineStr"/>
      <c r="W383" s="3" t="inlineStr">
        <is>
          <t>—</t>
        </is>
      </c>
    </row>
    <row r="384">
      <c r="A384" s="3" t="inlineStr">
        <is>
          <t>Interface</t>
        </is>
      </c>
      <c r="B384" s="3" t="n">
        <v>130</v>
      </c>
      <c r="C384" s="3" t="inlineStr">
        <is>
          <t>快取儲存 $/M 快取命中 token　[IF_CacheStore_Astra]</t>
        </is>
      </c>
      <c r="D384" s="3" t="inlineStr">
        <is>
          <t>$/M</t>
        </is>
      </c>
      <c r="E384" s="3" t="n">
        <v>20</v>
      </c>
      <c r="F384" s="3" t="n">
        <v>6</v>
      </c>
      <c r="G384" s="3" t="inlineStr">
        <is>
          <t>C130</t>
        </is>
      </c>
      <c r="H384" s="3">
        <f>Cache_Store!C29</f>
        <v/>
      </c>
      <c r="I384" s="3" t="n">
        <v>0.000274</v>
      </c>
      <c r="J384" s="3" t="inlineStr">
        <is>
          <t>—</t>
        </is>
      </c>
      <c r="K384" s="3" t="inlineStr">
        <is>
          <t>—</t>
        </is>
      </c>
      <c r="L384" s="3" t="inlineStr">
        <is>
          <t>—</t>
        </is>
      </c>
      <c r="M384" s="3" t="inlineStr">
        <is>
          <t>—</t>
        </is>
      </c>
      <c r="N384" s="3" t="inlineStr">
        <is>
          <t>—</t>
        </is>
      </c>
      <c r="O384" s="3" t="inlineStr">
        <is>
          <t>—</t>
        </is>
      </c>
      <c r="P384" s="3" t="inlineStr">
        <is>
          <t>—</t>
        </is>
      </c>
      <c r="Q384" s="3" t="inlineStr">
        <is>
          <t>上游含 Y1,Y4,Y7</t>
        </is>
      </c>
      <c r="R384" s="3" t="inlineStr">
        <is>
          <t>—</t>
        </is>
      </c>
      <c r="S384" s="3" t="inlineStr">
        <is>
          <t>Y1,Y4,Y7</t>
        </is>
      </c>
      <c r="T384" s="3" t="inlineStr"/>
      <c r="U384" s="3" t="n">
        <v>3</v>
      </c>
      <c r="V384" s="3" t="inlineStr"/>
      <c r="W384" s="3" t="inlineStr">
        <is>
          <t>資訊（只有 L8）</t>
        </is>
      </c>
    </row>
    <row r="385">
      <c r="A385" s="3" t="inlineStr">
        <is>
          <t>Interface</t>
        </is>
      </c>
      <c r="B385" s="3" t="n">
        <v>131</v>
      </c>
      <c r="C385" s="3" t="inlineStr">
        <is>
          <t>訓練攤提 自下而上＝回本所需溢價　[IF_AmortBU_Astra]</t>
        </is>
      </c>
      <c r="D385" s="3" t="inlineStr">
        <is>
          <t>$/M</t>
        </is>
      </c>
      <c r="E385" s="3" t="n">
        <v>20</v>
      </c>
      <c r="F385" s="3" t="n">
        <v>6</v>
      </c>
      <c r="G385" s="3" t="inlineStr">
        <is>
          <t>C131</t>
        </is>
      </c>
      <c r="H385" s="3">
        <f>Amortize!C32</f>
        <v/>
      </c>
      <c r="I385" s="3" t="n">
        <v>4.216602</v>
      </c>
      <c r="J385" s="3" t="inlineStr">
        <is>
          <t>—</t>
        </is>
      </c>
      <c r="K385" s="3" t="inlineStr">
        <is>
          <t>[G02] IF_AmortBU_*＝Amortize 第 13／22／32 列：以付費＋免費 token 為分母的「回本所需溢價」</t>
        </is>
      </c>
      <c r="L385" s="3" t="inlineStr">
        <is>
          <t>—</t>
        </is>
      </c>
      <c r="M385" s="3" t="inlineStr">
        <is>
          <t>—</t>
        </is>
      </c>
      <c r="N385" s="3" t="inlineStr">
        <is>
          <t>—</t>
        </is>
      </c>
      <c r="O385" s="3" t="inlineStr">
        <is>
          <t>—</t>
        </is>
      </c>
      <c r="P385" s="3" t="inlineStr">
        <is>
          <t>[G06] 下游契約名稱：一個層級不可達即令可達層級的攤提與全成本也變文字（例：Serving C18＝0.7 時 Interface 第 100 列 Luna 變文字）</t>
        </is>
      </c>
      <c r="Q385" s="3" t="inlineStr">
        <is>
          <t>上游含 Y1,Y2,Y3,Y4,Y5,Y6,Y7,Y8</t>
        </is>
      </c>
      <c r="R385" s="3" t="inlineStr">
        <is>
          <t>—</t>
        </is>
      </c>
      <c r="S385" s="3" t="inlineStr">
        <is>
          <t>Y1,Y2,Y3,Y4,Y5,Y6,Y7,Y8</t>
        </is>
      </c>
      <c r="T385" s="3" t="inlineStr"/>
      <c r="U385" s="3" t="n">
        <v>3</v>
      </c>
      <c r="V385" s="3" t="inlineStr">
        <is>
          <t>G02,G06</t>
        </is>
      </c>
      <c r="W385" s="3" t="inlineStr">
        <is>
          <t>高</t>
        </is>
      </c>
    </row>
    <row r="386">
      <c r="A386" s="3" t="inlineStr">
        <is>
          <t>Interface</t>
        </is>
      </c>
      <c r="B386" s="3" t="n">
        <v>132</v>
      </c>
      <c r="C386" s="3" t="inlineStr">
        <is>
          <t>訓練攤提 由上而下（機隊訓練占比）　[IF_AmortTD_Astra]</t>
        </is>
      </c>
      <c r="D386" s="3" t="inlineStr">
        <is>
          <t>$/M</t>
        </is>
      </c>
      <c r="E386" s="3" t="n">
        <v>20</v>
      </c>
      <c r="F386" s="3" t="n">
        <v>6</v>
      </c>
      <c r="G386" s="3" t="inlineStr">
        <is>
          <t>C132</t>
        </is>
      </c>
      <c r="H386" s="3">
        <f>Amortize!C34</f>
        <v/>
      </c>
      <c r="I386" s="3" t="n">
        <v>3.68</v>
      </c>
      <c r="J386" s="3" t="inlineStr">
        <is>
          <t>—</t>
        </is>
      </c>
      <c r="K386" s="3" t="inlineStr">
        <is>
          <t>—</t>
        </is>
      </c>
      <c r="L386" s="3" t="inlineStr">
        <is>
          <t>—</t>
        </is>
      </c>
      <c r="M386" s="3" t="inlineStr">
        <is>
          <t>[G01] 下游契約名稱（IF_AmortTD_*、IF_AmortDefault_*）承接由上而下總額的閉合差 0.82–0.88</t>
        </is>
      </c>
      <c r="N386" s="3" t="inlineStr">
        <is>
          <t>—</t>
        </is>
      </c>
      <c r="O386" s="3" t="inlineStr">
        <is>
          <t>—</t>
        </is>
      </c>
      <c r="P386" s="3" t="inlineStr">
        <is>
          <t>[G06] 下游契約名稱：一個層級不可達即令可達層級的攤提與全成本也變文字（例：Serving C18＝0.7 時 Interface 第 100 列 Luna 變文字）</t>
        </is>
      </c>
      <c r="Q386" s="3" t="inlineStr">
        <is>
          <t>上游含 Y1,Y2,Y3,Y4,Y5,Y6,Y7,Y8</t>
        </is>
      </c>
      <c r="R386" s="3" t="inlineStr">
        <is>
          <t>—</t>
        </is>
      </c>
      <c r="S386" s="3" t="inlineStr">
        <is>
          <t>Y1,Y2,Y3,Y4,Y5,Y6,Y7,Y8</t>
        </is>
      </c>
      <c r="T386" s="3" t="inlineStr"/>
      <c r="U386" s="3" t="n">
        <v>3</v>
      </c>
      <c r="V386" s="3" t="inlineStr">
        <is>
          <t>G01,G06</t>
        </is>
      </c>
      <c r="W386" s="3" t="inlineStr">
        <is>
          <t>高</t>
        </is>
      </c>
    </row>
    <row r="387">
      <c r="A387" s="3" t="inlineStr">
        <is>
          <t>Interface</t>
        </is>
      </c>
      <c r="B387" s="3" t="n">
        <v>133</v>
      </c>
      <c r="C387" s="3" t="inlineStr">
        <is>
          <t>全成本 $/M（服務＋快取儲存＋自下而上攤提；基準利用率）　[IF_FullCost_Astra]</t>
        </is>
      </c>
      <c r="D387" s="3" t="inlineStr">
        <is>
          <t>$/M</t>
        </is>
      </c>
      <c r="E387" s="3" t="n">
        <v>20</v>
      </c>
      <c r="F387" s="3" t="n">
        <v>6</v>
      </c>
      <c r="G387" s="3" t="inlineStr">
        <is>
          <t>C133</t>
        </is>
      </c>
      <c r="H387" s="3">
        <f>Theory_Rev!C54</f>
        <v/>
      </c>
      <c r="I387" s="3" t="n">
        <v>6.77389</v>
      </c>
      <c r="J387" s="3" t="inlineStr">
        <is>
          <t>—</t>
        </is>
      </c>
      <c r="K387" s="3" t="inlineStr">
        <is>
          <t>[G02] IF_FullCost_*＝服務成本＋自下而上攤提（分母含免費 token）</t>
        </is>
      </c>
      <c r="L387" s="3" t="inlineStr">
        <is>
          <t>—</t>
        </is>
      </c>
      <c r="M387" s="3" t="inlineStr">
        <is>
          <t>—</t>
        </is>
      </c>
      <c r="N387" s="3" t="inlineStr">
        <is>
          <t>—</t>
        </is>
      </c>
      <c r="O387" s="3" t="inlineStr">
        <is>
          <t>—</t>
        </is>
      </c>
      <c r="P387" s="3" t="inlineStr">
        <is>
          <t>[G06] 下游契約名稱：一個層級不可達即令可達層級的攤提與全成本也變文字（例：Serving C18＝0.7 時 Interface 第 100 列 Luna 變文字）</t>
        </is>
      </c>
      <c r="Q387" s="3" t="inlineStr">
        <is>
          <t>上游含 Y1,Y2,Y3,Y4,Y5,Y6,Y7,Y8</t>
        </is>
      </c>
      <c r="R387" s="3" t="inlineStr">
        <is>
          <t>—</t>
        </is>
      </c>
      <c r="S387" s="3" t="inlineStr">
        <is>
          <t>Y1,Y2,Y3,Y4,Y5,Y6,Y7,Y8</t>
        </is>
      </c>
      <c r="T387" s="3" t="inlineStr"/>
      <c r="U387" s="3" t="n">
        <v>3</v>
      </c>
      <c r="V387" s="3" t="inlineStr">
        <is>
          <t>G02,G06</t>
        </is>
      </c>
      <c r="W387" s="3" t="inlineStr">
        <is>
          <t>高</t>
        </is>
      </c>
    </row>
    <row r="388">
      <c r="A388" s="3" t="inlineStr">
        <is>
          <t>Interface</t>
        </is>
      </c>
      <c r="B388" s="3" t="n">
        <v>134</v>
      </c>
      <c r="C388" s="3" t="inlineStr">
        <is>
          <t>訓練攤提 K6 預設 (c)：由上而下總額 × 自下而上權重（下游預設）　[IF_AmortDefault_Astra]</t>
        </is>
      </c>
      <c r="D388" s="3" t="inlineStr">
        <is>
          <t>$/M</t>
        </is>
      </c>
      <c r="E388" s="3" t="n">
        <v>20</v>
      </c>
      <c r="F388" s="3" t="n">
        <v>6</v>
      </c>
      <c r="G388" s="3" t="inlineStr">
        <is>
          <t>C134</t>
        </is>
      </c>
      <c r="H388" s="3">
        <f>Amortize!C47</f>
        <v/>
      </c>
      <c r="I388" s="3" t="n">
        <v>9.206697999999999</v>
      </c>
      <c r="J388" s="3" t="inlineStr">
        <is>
          <t>—</t>
        </is>
      </c>
      <c r="K388" s="3" t="inlineStr">
        <is>
          <t>[G14] 下游預設（K6 (c)）攤提的總額由 2025 支出比 B4_Serve 決定，並套到全部世代（Y11）</t>
        </is>
      </c>
      <c r="L388" s="3" t="inlineStr">
        <is>
          <t>—</t>
        </is>
      </c>
      <c r="M388" s="3" t="inlineStr">
        <is>
          <t>[G01] 下游契約名稱（IF_AmortTD_*、IF_AmortDefault_*）承接由上而下總額的閉合差 0.82–0.88</t>
        </is>
      </c>
      <c r="N388" s="3" t="inlineStr">
        <is>
          <t>—</t>
        </is>
      </c>
      <c r="O388" s="3" t="inlineStr">
        <is>
          <t>—</t>
        </is>
      </c>
      <c r="P388" s="3" t="inlineStr">
        <is>
          <t>[G06] 下游契約名稱：一個層級不可達即令可達層級的攤提與全成本也變文字（例：Serving C18＝0.7 時 Interface 第 100 列 Luna 變文字）</t>
        </is>
      </c>
      <c r="Q388" s="3" t="inlineStr">
        <is>
          <t>上游含 Y1,Y2,Y3,Y4,Y5,Y6,Y7,Y8</t>
        </is>
      </c>
      <c r="R388" s="3" t="inlineStr">
        <is>
          <t>—</t>
        </is>
      </c>
      <c r="S388" s="3" t="inlineStr">
        <is>
          <t>Y1,Y2,Y3,Y4,Y5,Y6,Y7,Y8</t>
        </is>
      </c>
      <c r="T388" s="3" t="inlineStr"/>
      <c r="U388" s="3" t="n">
        <v>3</v>
      </c>
      <c r="V388" s="3" t="inlineStr">
        <is>
          <t>G01,G06,G14</t>
        </is>
      </c>
      <c r="W388" s="3" t="inlineStr">
        <is>
          <t>高</t>
        </is>
      </c>
    </row>
    <row r="389">
      <c r="A389" s="3" t="inlineStr">
        <is>
          <t>Interface</t>
        </is>
      </c>
      <c r="B389" s="3" t="n">
        <v>135</v>
      </c>
      <c r="C389" s="3" t="inlineStr">
        <is>
          <t>訓練攤提 (d)：由上而下總額 × 營收權重　[IF_AmortRev_Astra]</t>
        </is>
      </c>
      <c r="D389" s="3" t="inlineStr">
        <is>
          <t>$/M</t>
        </is>
      </c>
      <c r="E389" s="3" t="n">
        <v>20</v>
      </c>
      <c r="F389" s="3" t="n">
        <v>6</v>
      </c>
      <c r="G389" s="3" t="inlineStr">
        <is>
          <t>C135</t>
        </is>
      </c>
      <c r="H389" s="3">
        <f>Amortize!C48</f>
        <v/>
      </c>
      <c r="I389" s="3" t="n">
        <v>6.590435</v>
      </c>
      <c r="J389" s="3" t="inlineStr">
        <is>
          <t>—</t>
        </is>
      </c>
      <c r="K389" s="3" t="inlineStr">
        <is>
          <t>—</t>
        </is>
      </c>
      <c r="L389" s="3" t="inlineStr">
        <is>
          <t>—</t>
        </is>
      </c>
      <c r="M389" s="3" t="inlineStr">
        <is>
          <t>[G01] 承接由上而下總額的閉合差（IF_AmortRev_*、IF_FullCostDefault_*）</t>
        </is>
      </c>
      <c r="N389" s="3" t="inlineStr">
        <is>
          <t>—</t>
        </is>
      </c>
      <c r="O389" s="3" t="inlineStr">
        <is>
          <t>—</t>
        </is>
      </c>
      <c r="P389" s="3" t="inlineStr">
        <is>
          <t>[G06] 下游契約名稱：一個層級不可達即令可達層級的攤提與全成本也變文字（例：Serving C18＝0.7 時 Interface 第 100 列 Luna 變文字）</t>
        </is>
      </c>
      <c r="Q389" s="3" t="inlineStr">
        <is>
          <t>上游含 Y1,Y2,Y3,Y4,Y5,Y6,Y7,Y8</t>
        </is>
      </c>
      <c r="R389" s="3" t="inlineStr">
        <is>
          <t>—</t>
        </is>
      </c>
      <c r="S389" s="3" t="inlineStr">
        <is>
          <t>Y1,Y2,Y3,Y4,Y5,Y6,Y7,Y8</t>
        </is>
      </c>
      <c r="T389" s="3" t="inlineStr"/>
      <c r="U389" s="3" t="n">
        <v>3</v>
      </c>
      <c r="V389" s="3" t="inlineStr">
        <is>
          <t>G01,G06</t>
        </is>
      </c>
      <c r="W389" s="3" t="inlineStr">
        <is>
          <t>高</t>
        </is>
      </c>
    </row>
    <row r="390">
      <c r="A390" s="3" t="inlineStr">
        <is>
          <t>Interface</t>
        </is>
      </c>
      <c r="B390" s="3" t="n">
        <v>136</v>
      </c>
      <c r="C390" s="3" t="inlineStr">
        <is>
          <t>全成本 $/M（服務＋快取儲存＋K6 預設攤提；基準利用率；下游預設）　[IF_FullCostDefault_Astra]</t>
        </is>
      </c>
      <c r="D390" s="3" t="inlineStr">
        <is>
          <t>$/M</t>
        </is>
      </c>
      <c r="E390" s="3" t="n">
        <v>20</v>
      </c>
      <c r="F390" s="3" t="n">
        <v>6</v>
      </c>
      <c r="G390" s="3" t="inlineStr">
        <is>
          <t>C136</t>
        </is>
      </c>
      <c r="H390" s="3">
        <f>Theory_Rev!C56</f>
        <v/>
      </c>
      <c r="I390" s="3" t="n">
        <v>11.763987</v>
      </c>
      <c r="J390" s="3" t="inlineStr">
        <is>
          <t>—</t>
        </is>
      </c>
      <c r="K390" s="3" t="inlineStr">
        <is>
          <t>[G14] 下游預設（K6 (c)）攤提的總額由 2025 支出比 B4_Serve 決定，並套到全部世代（Y11）</t>
        </is>
      </c>
      <c r="L390" s="3" t="inlineStr">
        <is>
          <t>—</t>
        </is>
      </c>
      <c r="M390" s="3" t="inlineStr">
        <is>
          <t>[G01] 承接由上而下總額的閉合差（IF_AmortRev_*、IF_FullCostDefault_*）</t>
        </is>
      </c>
      <c r="N390" s="3" t="inlineStr">
        <is>
          <t>—</t>
        </is>
      </c>
      <c r="O390" s="3" t="inlineStr">
        <is>
          <t>—</t>
        </is>
      </c>
      <c r="P390" s="3" t="inlineStr">
        <is>
          <t>[G06] 下游契約名稱：一個層級不可達即令可達層級的攤提與全成本也變文字（例：Serving C18＝0.7 時 Interface 第 100 列 Luna 變文字）</t>
        </is>
      </c>
      <c r="Q390" s="3" t="inlineStr">
        <is>
          <t>上游含 Y1,Y2,Y3,Y4,Y5,Y6,Y7,Y8</t>
        </is>
      </c>
      <c r="R390" s="3" t="inlineStr">
        <is>
          <t>—</t>
        </is>
      </c>
      <c r="S390" s="3" t="inlineStr">
        <is>
          <t>Y1,Y2,Y3,Y4,Y5,Y6,Y7,Y8</t>
        </is>
      </c>
      <c r="T390" s="3" t="inlineStr"/>
      <c r="U390" s="3" t="n">
        <v>3</v>
      </c>
      <c r="V390" s="3" t="inlineStr">
        <is>
          <t>G01,G06,G14</t>
        </is>
      </c>
      <c r="W390" s="3" t="inlineStr">
        <is>
          <t>高</t>
        </is>
      </c>
    </row>
    <row r="391">
      <c r="A391" s="3" t="inlineStr">
        <is>
          <t>Interface</t>
        </is>
      </c>
      <c r="B391" s="3" t="n">
        <v>137</v>
      </c>
      <c r="C391" s="3" t="inlineStr">
        <is>
          <t>每 GW 理論營收 — OpenAI 有效單價（理想上限）　[IF_RevGW_Astra]</t>
        </is>
      </c>
      <c r="D391" s="3" t="inlineStr">
        <is>
          <t>$B/年</t>
        </is>
      </c>
      <c r="E391" s="3" t="n">
        <v>20</v>
      </c>
      <c r="F391" s="3" t="n">
        <v>6</v>
      </c>
      <c r="G391" s="3" t="inlineStr">
        <is>
          <t>C137</t>
        </is>
      </c>
      <c r="H391" s="3">
        <f>Theory_Rev!C47</f>
        <v/>
      </c>
      <c r="I391" s="3" t="n">
        <v>18.689987</v>
      </c>
      <c r="J391" s="3" t="inlineStr">
        <is>
          <t>—</t>
        </is>
      </c>
      <c r="K391" s="3" t="inlineStr">
        <is>
          <t>—</t>
        </is>
      </c>
      <c r="L391" s="3" t="inlineStr">
        <is>
          <t>—</t>
        </is>
      </c>
      <c r="M391" s="3" t="inlineStr">
        <is>
          <t>—</t>
        </is>
      </c>
      <c r="N391" s="3" t="inlineStr">
        <is>
          <t>—</t>
        </is>
      </c>
      <c r="O391" s="3" t="inlineStr">
        <is>
          <t>—</t>
        </is>
      </c>
      <c r="P391" s="3" t="inlineStr">
        <is>
          <t>[G06] 單一層級列不可達時輸出 0（數值）而非文字；與組合列的文字處理方式相反（第 2 段 F09）</t>
        </is>
      </c>
      <c r="Q391" s="3" t="inlineStr">
        <is>
          <t>上游含 Y1,Y2,Y5,Y6,Y8</t>
        </is>
      </c>
      <c r="R391" s="3" t="inlineStr">
        <is>
          <t>—</t>
        </is>
      </c>
      <c r="S391" s="3" t="inlineStr">
        <is>
          <t>Y1,Y2,Y5,Y6,Y8</t>
        </is>
      </c>
      <c r="T391" s="3" t="inlineStr"/>
      <c r="U391" s="3" t="n">
        <v>66</v>
      </c>
      <c r="V391" s="3" t="inlineStr">
        <is>
          <t>G06</t>
        </is>
      </c>
      <c r="W391" s="3" t="inlineStr">
        <is>
          <t>中</t>
        </is>
      </c>
    </row>
    <row r="392">
      <c r="A392" s="3" t="inlineStr">
        <is>
          <t>Interface</t>
        </is>
      </c>
      <c r="B392" s="3" t="n">
        <v>140</v>
      </c>
      <c r="C392" s="3" t="inlineStr">
        <is>
          <t>付費服務營收 Luna（低層） 貢獻 — OpenAI 有效單價　[IF_RevGWFleet_Luna]</t>
        </is>
      </c>
      <c r="D392" s="3" t="inlineStr">
        <is>
          <t>$B/年</t>
        </is>
      </c>
      <c r="E392" s="3" t="n">
        <v>20</v>
      </c>
      <c r="F392" s="3" t="n">
        <v>6</v>
      </c>
      <c r="G392" s="3" t="inlineStr">
        <is>
          <t>C140</t>
        </is>
      </c>
      <c r="H392" s="3">
        <f>Theory_Rev!C64</f>
        <v/>
      </c>
      <c r="I392" s="3" t="n">
        <v>0.065654</v>
      </c>
      <c r="J392" s="3" t="inlineStr">
        <is>
          <t>—</t>
        </is>
      </c>
      <c r="K392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L392" s="3" t="inlineStr">
        <is>
          <t>—</t>
        </is>
      </c>
      <c r="M392" s="3" t="inlineStr">
        <is>
          <t>—</t>
        </is>
      </c>
      <c r="N392" s="3" t="inlineStr">
        <is>
          <t>—</t>
        </is>
      </c>
      <c r="O392" s="3" t="inlineStr">
        <is>
          <t>—</t>
        </is>
      </c>
      <c r="P392" s="3" t="inlineStr">
        <is>
          <t>—</t>
        </is>
      </c>
      <c r="Q392" s="3" t="inlineStr">
        <is>
          <t>上游含 Y1,Y2,Y3,Y5,Y6,Y8</t>
        </is>
      </c>
      <c r="R392" s="3" t="inlineStr">
        <is>
          <t>—</t>
        </is>
      </c>
      <c r="S392" s="3" t="inlineStr">
        <is>
          <t>Y1,Y2,Y3,Y5,Y6,Y8</t>
        </is>
      </c>
      <c r="T392" s="3" t="inlineStr"/>
      <c r="U392" s="3" t="n">
        <v>3</v>
      </c>
      <c r="V392" s="3" t="inlineStr">
        <is>
          <t>G15</t>
        </is>
      </c>
      <c r="W392" s="3" t="inlineStr">
        <is>
          <t>高</t>
        </is>
      </c>
    </row>
    <row r="393">
      <c r="A393" s="3" t="inlineStr">
        <is>
          <t>Interface</t>
        </is>
      </c>
      <c r="B393" s="3" t="n">
        <v>141</v>
      </c>
      <c r="C393" s="3" t="inlineStr">
        <is>
          <t>付費服務營收 Sol（中層） 貢獻 — OpenAI 有效單價　[IF_RevGWFleet_Sol]</t>
        </is>
      </c>
      <c r="D393" s="3" t="inlineStr">
        <is>
          <t>$B/年</t>
        </is>
      </c>
      <c r="E393" s="3" t="n">
        <v>20</v>
      </c>
      <c r="F393" s="3" t="n">
        <v>6</v>
      </c>
      <c r="G393" s="3" t="inlineStr">
        <is>
          <t>C141</t>
        </is>
      </c>
      <c r="H393" s="3">
        <f>Theory_Rev!C65</f>
        <v/>
      </c>
      <c r="I393" s="3" t="n">
        <v>1.477213</v>
      </c>
      <c r="J393" s="3" t="inlineStr">
        <is>
          <t>—</t>
        </is>
      </c>
      <c r="K393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L393" s="3" t="inlineStr">
        <is>
          <t>—</t>
        </is>
      </c>
      <c r="M393" s="3" t="inlineStr">
        <is>
          <t>—</t>
        </is>
      </c>
      <c r="N393" s="3" t="inlineStr">
        <is>
          <t>—</t>
        </is>
      </c>
      <c r="O393" s="3" t="inlineStr">
        <is>
          <t>—</t>
        </is>
      </c>
      <c r="P393" s="3" t="inlineStr">
        <is>
          <t>—</t>
        </is>
      </c>
      <c r="Q393" s="3" t="inlineStr">
        <is>
          <t>上游含 Y1,Y2,Y3,Y5,Y6,Y8</t>
        </is>
      </c>
      <c r="R393" s="3" t="inlineStr">
        <is>
          <t>—</t>
        </is>
      </c>
      <c r="S393" s="3" t="inlineStr">
        <is>
          <t>Y1,Y2,Y3,Y5,Y6,Y8</t>
        </is>
      </c>
      <c r="T393" s="3" t="inlineStr"/>
      <c r="U393" s="3" t="n">
        <v>3</v>
      </c>
      <c r="V393" s="3" t="inlineStr">
        <is>
          <t>G15</t>
        </is>
      </c>
      <c r="W393" s="3" t="inlineStr">
        <is>
          <t>高</t>
        </is>
      </c>
    </row>
    <row r="394">
      <c r="A394" s="3" t="inlineStr">
        <is>
          <t>Interface</t>
        </is>
      </c>
      <c r="B394" s="3" t="n">
        <v>142</v>
      </c>
      <c r="C394" s="3" t="inlineStr">
        <is>
          <t>付費服務營收 Astra（頂層） 貢獻 — OpenAI 有效單價　[IF_RevGWFleet_Astra]</t>
        </is>
      </c>
      <c r="D394" s="3" t="inlineStr">
        <is>
          <t>$B/年</t>
        </is>
      </c>
      <c r="E394" s="3" t="n">
        <v>20</v>
      </c>
      <c r="F394" s="3" t="n">
        <v>6</v>
      </c>
      <c r="G394" s="3" t="inlineStr">
        <is>
          <t>C142</t>
        </is>
      </c>
      <c r="H394" s="3">
        <f>Theory_Rev!C66</f>
        <v/>
      </c>
      <c r="I394" s="3" t="n">
        <v>2.462021</v>
      </c>
      <c r="J394" s="3" t="inlineStr">
        <is>
          <t>—</t>
        </is>
      </c>
      <c r="K394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L394" s="3" t="inlineStr">
        <is>
          <t>—</t>
        </is>
      </c>
      <c r="M394" s="3" t="inlineStr">
        <is>
          <t>—</t>
        </is>
      </c>
      <c r="N394" s="3" t="inlineStr">
        <is>
          <t>—</t>
        </is>
      </c>
      <c r="O394" s="3" t="inlineStr">
        <is>
          <t>—</t>
        </is>
      </c>
      <c r="P394" s="3" t="inlineStr">
        <is>
          <t>—</t>
        </is>
      </c>
      <c r="Q394" s="3" t="inlineStr">
        <is>
          <t>上游含 Y1,Y2,Y3,Y5,Y6,Y8</t>
        </is>
      </c>
      <c r="R394" s="3" t="inlineStr">
        <is>
          <t>—</t>
        </is>
      </c>
      <c r="S394" s="3" t="inlineStr">
        <is>
          <t>Y1,Y2,Y3,Y5,Y6,Y8</t>
        </is>
      </c>
      <c r="T394" s="3" t="inlineStr"/>
      <c r="U394" s="3" t="n">
        <v>3</v>
      </c>
      <c r="V394" s="3" t="inlineStr">
        <is>
          <t>G15</t>
        </is>
      </c>
      <c r="W394" s="3" t="inlineStr">
        <is>
          <t>高</t>
        </is>
      </c>
    </row>
    <row r="395">
      <c r="A395" s="3" t="inlineStr">
        <is>
          <t>Interface</t>
        </is>
      </c>
      <c r="B395" s="3" t="n">
        <v>144</v>
      </c>
      <c r="C395" s="3" t="inlineStr">
        <is>
          <t>付費服務營收 Luna（低層） 貢獻 — 前緣單價　[IF_RevGWFleetFront_Luna]</t>
        </is>
      </c>
      <c r="D395" s="3" t="inlineStr">
        <is>
          <t>$B/年</t>
        </is>
      </c>
      <c r="E395" s="3" t="n">
        <v>20</v>
      </c>
      <c r="F395" s="3" t="n">
        <v>6</v>
      </c>
      <c r="G395" s="3" t="inlineStr">
        <is>
          <t>C144</t>
        </is>
      </c>
      <c r="H395" s="3">
        <f>Theory_Rev!C68</f>
        <v/>
      </c>
      <c r="I395" s="3" t="n">
        <v>0.065654</v>
      </c>
      <c r="J395" s="3" t="inlineStr">
        <is>
          <t>—</t>
        </is>
      </c>
      <c r="K395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L395" s="3" t="inlineStr">
        <is>
          <t>—</t>
        </is>
      </c>
      <c r="M395" s="3" t="inlineStr">
        <is>
          <t>—</t>
        </is>
      </c>
      <c r="N395" s="3" t="inlineStr">
        <is>
          <t>—</t>
        </is>
      </c>
      <c r="O395" s="3" t="inlineStr">
        <is>
          <t>—</t>
        </is>
      </c>
      <c r="P395" s="3" t="inlineStr">
        <is>
          <t>—</t>
        </is>
      </c>
      <c r="Q395" s="3" t="inlineStr">
        <is>
          <t>上游含 Y1,Y2,Y3,Y5,Y6,Y8</t>
        </is>
      </c>
      <c r="R395" s="3" t="inlineStr">
        <is>
          <t>—</t>
        </is>
      </c>
      <c r="S395" s="3" t="inlineStr">
        <is>
          <t>Y1,Y2,Y3,Y5,Y6,Y8</t>
        </is>
      </c>
      <c r="T395" s="3" t="inlineStr"/>
      <c r="U395" s="3" t="n">
        <v>3</v>
      </c>
      <c r="V395" s="3" t="inlineStr">
        <is>
          <t>G15</t>
        </is>
      </c>
      <c r="W395" s="3" t="inlineStr">
        <is>
          <t>高</t>
        </is>
      </c>
    </row>
    <row r="396">
      <c r="A396" s="3" t="inlineStr">
        <is>
          <t>Interface</t>
        </is>
      </c>
      <c r="B396" s="3" t="n">
        <v>145</v>
      </c>
      <c r="C396" s="3" t="inlineStr">
        <is>
          <t>付費服務營收 Sol（中層） 貢獻 — 前緣單價　[IF_RevGWFleetFront_Sol]</t>
        </is>
      </c>
      <c r="D396" s="3" t="inlineStr">
        <is>
          <t>$B/年</t>
        </is>
      </c>
      <c r="E396" s="3" t="n">
        <v>20</v>
      </c>
      <c r="F396" s="3" t="n">
        <v>6</v>
      </c>
      <c r="G396" s="3" t="inlineStr">
        <is>
          <t>C145</t>
        </is>
      </c>
      <c r="H396" s="3">
        <f>Theory_Rev!C69</f>
        <v/>
      </c>
      <c r="I396" s="3" t="n">
        <v>1.477213</v>
      </c>
      <c r="J396" s="3" t="inlineStr">
        <is>
          <t>—</t>
        </is>
      </c>
      <c r="K396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L396" s="3" t="inlineStr">
        <is>
          <t>—</t>
        </is>
      </c>
      <c r="M396" s="3" t="inlineStr">
        <is>
          <t>—</t>
        </is>
      </c>
      <c r="N396" s="3" t="inlineStr">
        <is>
          <t>—</t>
        </is>
      </c>
      <c r="O396" s="3" t="inlineStr">
        <is>
          <t>—</t>
        </is>
      </c>
      <c r="P396" s="3" t="inlineStr">
        <is>
          <t>—</t>
        </is>
      </c>
      <c r="Q396" s="3" t="inlineStr">
        <is>
          <t>上游含 Y1,Y2,Y3,Y5,Y6,Y8</t>
        </is>
      </c>
      <c r="R396" s="3" t="inlineStr">
        <is>
          <t>—</t>
        </is>
      </c>
      <c r="S396" s="3" t="inlineStr">
        <is>
          <t>Y1,Y2,Y3,Y5,Y6,Y8</t>
        </is>
      </c>
      <c r="T396" s="3" t="inlineStr"/>
      <c r="U396" s="3" t="n">
        <v>3</v>
      </c>
      <c r="V396" s="3" t="inlineStr">
        <is>
          <t>G15</t>
        </is>
      </c>
      <c r="W396" s="3" t="inlineStr">
        <is>
          <t>高</t>
        </is>
      </c>
    </row>
    <row r="397">
      <c r="A397" s="3" t="inlineStr">
        <is>
          <t>Interface</t>
        </is>
      </c>
      <c r="B397" s="3" t="n">
        <v>146</v>
      </c>
      <c r="C397" s="3" t="inlineStr">
        <is>
          <t>付費服務營收 Astra（頂層） 貢獻 — 前緣單價　[IF_RevGWFleetFront_Astra]</t>
        </is>
      </c>
      <c r="D397" s="3" t="inlineStr">
        <is>
          <t>$B/年</t>
        </is>
      </c>
      <c r="E397" s="3" t="n">
        <v>20</v>
      </c>
      <c r="F397" s="3" t="n">
        <v>6</v>
      </c>
      <c r="G397" s="3" t="inlineStr">
        <is>
          <t>C146</t>
        </is>
      </c>
      <c r="H397" s="3">
        <f>Theory_Rev!C70</f>
        <v/>
      </c>
      <c r="I397" s="3" t="n">
        <v>2.372146</v>
      </c>
      <c r="J397" s="3" t="inlineStr">
        <is>
          <t>—</t>
        </is>
      </c>
      <c r="K397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L397" s="3" t="inlineStr">
        <is>
          <t>—</t>
        </is>
      </c>
      <c r="M397" s="3" t="inlineStr">
        <is>
          <t>—</t>
        </is>
      </c>
      <c r="N397" s="3" t="inlineStr">
        <is>
          <t>—</t>
        </is>
      </c>
      <c r="O397" s="3" t="inlineStr">
        <is>
          <t>—</t>
        </is>
      </c>
      <c r="P397" s="3" t="inlineStr">
        <is>
          <t>—</t>
        </is>
      </c>
      <c r="Q397" s="3" t="inlineStr">
        <is>
          <t>上游含 Y1,Y2,Y3,Y5,Y6,Y8</t>
        </is>
      </c>
      <c r="R397" s="3" t="inlineStr">
        <is>
          <t>—</t>
        </is>
      </c>
      <c r="S397" s="3" t="inlineStr">
        <is>
          <t>Y1,Y2,Y3,Y5,Y6,Y8</t>
        </is>
      </c>
      <c r="T397" s="3" t="inlineStr"/>
      <c r="U397" s="3" t="n">
        <v>3</v>
      </c>
      <c r="V397" s="3" t="inlineStr">
        <is>
          <t>G15</t>
        </is>
      </c>
      <c r="W397" s="3" t="inlineStr">
        <is>
          <t>高</t>
        </is>
      </c>
    </row>
    <row r="398">
      <c r="A398" s="3" t="inlineStr">
        <is>
          <t>Interface</t>
        </is>
      </c>
      <c r="B398" s="3" t="n">
        <v>148</v>
      </c>
      <c r="C398" s="3" t="inlineStr">
        <is>
          <t>對外服務占機隊（第 0 層參考；下游覆寫）　[IF_ServeShare]</t>
        </is>
      </c>
      <c r="D398" s="3" t="inlineStr">
        <is>
          <t>%</t>
        </is>
      </c>
      <c r="E398" s="3" t="n">
        <v>6</v>
      </c>
      <c r="F398" s="3" t="n">
        <v>6</v>
      </c>
      <c r="G398" s="3" t="inlineStr">
        <is>
          <t>C148</t>
        </is>
      </c>
      <c r="H398" s="3">
        <f>B4_Serve</f>
        <v/>
      </c>
      <c r="I398" s="3" t="n">
        <v>0.41</v>
      </c>
      <c r="J398" s="3" t="inlineStr">
        <is>
          <t>—</t>
        </is>
      </c>
      <c r="K398" s="3" t="inlineStr">
        <is>
          <t>[G15] IF_ServeShare＝B4_Serve（2025 支出比），標示「下游覆寫」</t>
        </is>
      </c>
      <c r="L398" s="3" t="inlineStr">
        <is>
          <t>—</t>
        </is>
      </c>
      <c r="M398" s="3" t="inlineStr">
        <is>
          <t>—</t>
        </is>
      </c>
      <c r="N398" s="3" t="inlineStr">
        <is>
          <t>—</t>
        </is>
      </c>
      <c r="O398" s="3" t="inlineStr">
        <is>
          <t>—</t>
        </is>
      </c>
      <c r="P398" s="3" t="inlineStr">
        <is>
          <t>—</t>
        </is>
      </c>
      <c r="Q398" s="3" t="inlineStr">
        <is>
          <t>直接引用 Y3 類輸入</t>
        </is>
      </c>
      <c r="R398" s="3" t="inlineStr">
        <is>
          <t>—</t>
        </is>
      </c>
      <c r="S398" s="3" t="inlineStr">
        <is>
          <t>Y3</t>
        </is>
      </c>
      <c r="T398" s="3" t="inlineStr">
        <is>
          <t>Y3</t>
        </is>
      </c>
      <c r="U398" s="3" t="n">
        <v>3</v>
      </c>
      <c r="V398" s="3" t="inlineStr">
        <is>
          <t>G15</t>
        </is>
      </c>
      <c r="W398" s="3" t="inlineStr">
        <is>
          <t>中</t>
        </is>
      </c>
    </row>
    <row r="399">
      <c r="A399" s="3" t="inlineStr">
        <is>
          <t>Interface</t>
        </is>
      </c>
      <c r="B399" s="3" t="n">
        <v>152</v>
      </c>
      <c r="C399" s="3" t="inlineStr">
        <is>
          <t>任務　[IF_HdrTask]</t>
        </is>
      </c>
      <c r="D399" s="3" t="n"/>
      <c r="E399" s="3" t="n">
        <v>5</v>
      </c>
      <c r="F399" s="3" t="n">
        <v>1</v>
      </c>
      <c r="G399" s="3" t="inlineStr">
        <is>
          <t>C152</t>
        </is>
      </c>
      <c r="H399" s="3">
        <f>Workload!C4</f>
        <v/>
      </c>
      <c r="I399" s="3" t="inlineStr">
        <is>
          <t>一般聊天</t>
        </is>
      </c>
      <c r="J399" s="3" t="inlineStr">
        <is>
          <t>—</t>
        </is>
      </c>
      <c r="K399" s="3" t="inlineStr">
        <is>
          <t>—</t>
        </is>
      </c>
      <c r="L399" s="3" t="inlineStr">
        <is>
          <t>—</t>
        </is>
      </c>
      <c r="M399" s="3" t="inlineStr">
        <is>
          <t>—</t>
        </is>
      </c>
      <c r="N399" s="3" t="inlineStr">
        <is>
          <t>—</t>
        </is>
      </c>
      <c r="O399" s="3" t="inlineStr">
        <is>
          <t>—</t>
        </is>
      </c>
      <c r="P399" s="3" t="inlineStr">
        <is>
          <t>—</t>
        </is>
      </c>
      <c r="Q399" s="3" t="inlineStr">
        <is>
          <t>—</t>
        </is>
      </c>
      <c r="R399" s="3" t="inlineStr">
        <is>
          <t>—</t>
        </is>
      </c>
      <c r="S399" s="3" t="inlineStr"/>
      <c r="T399" s="3" t="inlineStr"/>
      <c r="U399" s="3" t="n">
        <v>0</v>
      </c>
      <c r="V399" s="3" t="inlineStr"/>
      <c r="W399" s="3" t="inlineStr">
        <is>
          <t>—</t>
        </is>
      </c>
    </row>
    <row r="400">
      <c r="A400" s="3" t="inlineStr">
        <is>
          <t>Interface</t>
        </is>
      </c>
      <c r="B400" s="3" t="n">
        <v>153</v>
      </c>
      <c r="C400" s="3" t="inlineStr">
        <is>
          <t>harness 混合權重 w（T12 開關 × 採用比例）　[IF_HarW]</t>
        </is>
      </c>
      <c r="D400" s="3" t="inlineStr">
        <is>
          <t>x</t>
        </is>
      </c>
      <c r="E400" s="3" t="n">
        <v>6</v>
      </c>
      <c r="F400" s="3" t="n">
        <v>6</v>
      </c>
      <c r="G400" s="3" t="inlineStr">
        <is>
          <t>C153</t>
        </is>
      </c>
      <c r="H400" s="3">
        <f>B5_W</f>
        <v/>
      </c>
      <c r="I400" s="3" t="n">
        <v>0</v>
      </c>
      <c r="J400" s="3" t="inlineStr">
        <is>
          <t>—</t>
        </is>
      </c>
      <c r="K400" s="3" t="inlineStr">
        <is>
          <t>—</t>
        </is>
      </c>
      <c r="L400" s="3" t="inlineStr">
        <is>
          <t>—</t>
        </is>
      </c>
      <c r="M400" s="3" t="inlineStr">
        <is>
          <t>—</t>
        </is>
      </c>
      <c r="N400" s="3" t="inlineStr">
        <is>
          <t>—</t>
        </is>
      </c>
      <c r="O400" s="3" t="inlineStr">
        <is>
          <t>—</t>
        </is>
      </c>
      <c r="P400" s="3" t="inlineStr">
        <is>
          <t>—</t>
        </is>
      </c>
      <c r="Q400" s="3" t="inlineStr">
        <is>
          <t>—</t>
        </is>
      </c>
      <c r="R400" s="3" t="inlineStr">
        <is>
          <t>—</t>
        </is>
      </c>
      <c r="S400" s="3" t="inlineStr"/>
      <c r="T400" s="3" t="inlineStr"/>
      <c r="U400" s="3" t="n">
        <v>3</v>
      </c>
      <c r="V400" s="3" t="inlineStr"/>
      <c r="W400" s="3" t="inlineStr">
        <is>
          <t>—</t>
        </is>
      </c>
    </row>
    <row r="401">
      <c r="A401" s="3" t="inlineStr">
        <is>
          <t>Interface</t>
        </is>
      </c>
      <c r="B401" s="3" t="n">
        <v>154</v>
      </c>
      <c r="C401" s="3" t="inlineStr">
        <is>
          <t>選定 harness 檔案（情境）　[IF_HarProfile]</t>
        </is>
      </c>
      <c r="D401" s="3" t="n"/>
      <c r="E401" s="3" t="n">
        <v>6</v>
      </c>
      <c r="F401" s="3" t="n">
        <v>6</v>
      </c>
      <c r="G401" s="3" t="inlineStr">
        <is>
          <t>C154</t>
        </is>
      </c>
      <c r="H401" s="3">
        <f>B5_ProfileName</f>
        <v/>
      </c>
      <c r="I401" s="3" t="inlineStr">
        <is>
          <t>供應商原生增強（保留推理狀態＋上下文壓縮）</t>
        </is>
      </c>
      <c r="J401" s="3" t="inlineStr">
        <is>
          <t>—</t>
        </is>
      </c>
      <c r="K401" s="3" t="inlineStr">
        <is>
          <t>—</t>
        </is>
      </c>
      <c r="L401" s="3" t="inlineStr">
        <is>
          <t>—</t>
        </is>
      </c>
      <c r="M401" s="3" t="inlineStr">
        <is>
          <t>—</t>
        </is>
      </c>
      <c r="N401" s="3" t="inlineStr">
        <is>
          <t>—</t>
        </is>
      </c>
      <c r="O401" s="3" t="inlineStr">
        <is>
          <t>—</t>
        </is>
      </c>
      <c r="P401" s="3" t="inlineStr">
        <is>
          <t>—</t>
        </is>
      </c>
      <c r="Q401" s="3" t="inlineStr">
        <is>
          <t>—</t>
        </is>
      </c>
      <c r="R401" s="3" t="inlineStr">
        <is>
          <t>—</t>
        </is>
      </c>
      <c r="S401" s="3" t="inlineStr"/>
      <c r="T401" s="3" t="inlineStr"/>
      <c r="U401" s="3" t="n">
        <v>3</v>
      </c>
      <c r="V401" s="3" t="inlineStr"/>
      <c r="W401" s="3" t="inlineStr">
        <is>
          <t>—</t>
        </is>
      </c>
    </row>
    <row r="402">
      <c r="A402" s="3" t="inlineStr">
        <is>
          <t>Interface</t>
        </is>
      </c>
      <c r="B402" s="3" t="n">
        <v>155</v>
      </c>
      <c r="C402" s="3" t="inlineStr">
        <is>
          <t>任務長度（人類完成時間）　[IF_TaskLen]</t>
        </is>
      </c>
      <c r="D402" s="3" t="inlineStr">
        <is>
          <t>hr</t>
        </is>
      </c>
      <c r="E402" s="3" t="n">
        <v>10</v>
      </c>
      <c r="F402" s="3" t="n">
        <v>10</v>
      </c>
      <c r="G402" s="3" t="inlineStr">
        <is>
          <t>C155</t>
        </is>
      </c>
      <c r="H402" s="3">
        <f>INDEX(B5_TaskLen,1,1)</f>
        <v/>
      </c>
      <c r="I402" s="3" t="n">
        <v>0.02</v>
      </c>
      <c r="J402" s="3" t="inlineStr">
        <is>
          <t>—</t>
        </is>
      </c>
      <c r="K402" s="3" t="inlineStr">
        <is>
          <t>—</t>
        </is>
      </c>
      <c r="L402" s="3" t="inlineStr">
        <is>
          <t>—</t>
        </is>
      </c>
      <c r="M402" s="3" t="inlineStr">
        <is>
          <t>—</t>
        </is>
      </c>
      <c r="N402" s="3" t="inlineStr">
        <is>
          <t>—</t>
        </is>
      </c>
      <c r="O402" s="3" t="inlineStr">
        <is>
          <t>—</t>
        </is>
      </c>
      <c r="P402" s="3" t="inlineStr">
        <is>
          <t>—</t>
        </is>
      </c>
      <c r="Q402" s="3" t="inlineStr">
        <is>
          <t>—</t>
        </is>
      </c>
      <c r="R402" s="3" t="inlineStr">
        <is>
          <t>—</t>
        </is>
      </c>
      <c r="S402" s="3" t="inlineStr"/>
      <c r="T402" s="3" t="inlineStr"/>
      <c r="U402" s="3" t="n">
        <v>3</v>
      </c>
      <c r="V402" s="3" t="inlineStr"/>
      <c r="W402" s="3" t="inlineStr">
        <is>
          <t>—</t>
        </is>
      </c>
    </row>
    <row r="403">
      <c r="A403" s="3" t="inlineStr">
        <is>
          <t>Interface</t>
        </is>
      </c>
      <c r="B403" s="3" t="n">
        <v>156</v>
      </c>
      <c r="C403" s="3" t="inlineStr">
        <is>
          <t>每次嘗試 新鮮輸入 token（現行）　[IF_TaskTokFresh]</t>
        </is>
      </c>
      <c r="D403" s="3" t="inlineStr">
        <is>
          <t>tok</t>
        </is>
      </c>
      <c r="E403" s="3" t="n">
        <v>10</v>
      </c>
      <c r="F403" s="3" t="n">
        <v>6</v>
      </c>
      <c r="G403" s="3" t="inlineStr">
        <is>
          <t>C156</t>
        </is>
      </c>
      <c r="H403" s="3">
        <f>Harness!C41</f>
        <v/>
      </c>
      <c r="I403" s="3" t="n">
        <v>1500</v>
      </c>
      <c r="J403" s="3" t="inlineStr">
        <is>
          <t>—</t>
        </is>
      </c>
      <c r="K403" s="3" t="inlineStr">
        <is>
          <t>[G16] 任務 token 來自 Workload／Harness，與 IF_PriceRef／IF_Cost* 的參考請求口徑不同</t>
        </is>
      </c>
      <c r="L403" s="3" t="inlineStr">
        <is>
          <t>—</t>
        </is>
      </c>
      <c r="M403" s="3" t="inlineStr">
        <is>
          <t>—</t>
        </is>
      </c>
      <c r="N403" s="3" t="inlineStr">
        <is>
          <t>—</t>
        </is>
      </c>
      <c r="O403" s="3" t="inlineStr">
        <is>
          <t>—</t>
        </is>
      </c>
      <c r="P403" s="3" t="inlineStr">
        <is>
          <t>—</t>
        </is>
      </c>
      <c r="Q403" s="3" t="inlineStr">
        <is>
          <t>上游含 Y5</t>
        </is>
      </c>
      <c r="R403" s="3" t="inlineStr">
        <is>
          <t>—</t>
        </is>
      </c>
      <c r="S403" s="3" t="inlineStr">
        <is>
          <t>Y5</t>
        </is>
      </c>
      <c r="T403" s="3" t="inlineStr"/>
      <c r="U403" s="3" t="n">
        <v>3</v>
      </c>
      <c r="V403" s="3" t="inlineStr">
        <is>
          <t>G16</t>
        </is>
      </c>
      <c r="W403" s="3" t="inlineStr">
        <is>
          <t>低</t>
        </is>
      </c>
    </row>
    <row r="404">
      <c r="A404" s="3" t="inlineStr">
        <is>
          <t>Interface</t>
        </is>
      </c>
      <c r="B404" s="3" t="n">
        <v>157</v>
      </c>
      <c r="C404" s="3" t="inlineStr">
        <is>
          <t>每次嘗試 快取輸入 token（現行）　[IF_TaskTokCached]</t>
        </is>
      </c>
      <c r="D404" s="3" t="inlineStr">
        <is>
          <t>tok</t>
        </is>
      </c>
      <c r="E404" s="3" t="n">
        <v>10</v>
      </c>
      <c r="F404" s="3" t="n">
        <v>6</v>
      </c>
      <c r="G404" s="3" t="inlineStr">
        <is>
          <t>C157</t>
        </is>
      </c>
      <c r="H404" s="3">
        <f>Harness!C42</f>
        <v/>
      </c>
      <c r="I404" s="3" t="n">
        <v>1000</v>
      </c>
      <c r="J404" s="3" t="inlineStr">
        <is>
          <t>—</t>
        </is>
      </c>
      <c r="K404" s="3" t="inlineStr">
        <is>
          <t>[G16] 任務 token 來自 Workload／Harness，與 IF_PriceRef／IF_Cost* 的參考請求口徑不同</t>
        </is>
      </c>
      <c r="L404" s="3" t="inlineStr">
        <is>
          <t>—</t>
        </is>
      </c>
      <c r="M404" s="3" t="inlineStr">
        <is>
          <t>—</t>
        </is>
      </c>
      <c r="N404" s="3" t="inlineStr">
        <is>
          <t>—</t>
        </is>
      </c>
      <c r="O404" s="3" t="inlineStr">
        <is>
          <t>—</t>
        </is>
      </c>
      <c r="P404" s="3" t="inlineStr">
        <is>
          <t>—</t>
        </is>
      </c>
      <c r="Q404" s="3" t="inlineStr">
        <is>
          <t>上游含 Y5</t>
        </is>
      </c>
      <c r="R404" s="3" t="inlineStr">
        <is>
          <t>—</t>
        </is>
      </c>
      <c r="S404" s="3" t="inlineStr">
        <is>
          <t>Y5</t>
        </is>
      </c>
      <c r="T404" s="3" t="inlineStr"/>
      <c r="U404" s="3" t="n">
        <v>3</v>
      </c>
      <c r="V404" s="3" t="inlineStr">
        <is>
          <t>G16</t>
        </is>
      </c>
      <c r="W404" s="3" t="inlineStr">
        <is>
          <t>低</t>
        </is>
      </c>
    </row>
    <row r="405">
      <c r="A405" s="3" t="inlineStr">
        <is>
          <t>Interface</t>
        </is>
      </c>
      <c r="B405" s="3" t="n">
        <v>158</v>
      </c>
      <c r="C405" s="3" t="inlineStr">
        <is>
          <t>每次嘗試 decode token（思考＋可見；現行）　[IF_TaskTokDec]</t>
        </is>
      </c>
      <c r="D405" s="3" t="inlineStr">
        <is>
          <t>tok</t>
        </is>
      </c>
      <c r="E405" s="3" t="n">
        <v>10</v>
      </c>
      <c r="F405" s="3" t="n">
        <v>6</v>
      </c>
      <c r="G405" s="3" t="inlineStr">
        <is>
          <t>C158</t>
        </is>
      </c>
      <c r="H405" s="3">
        <f>Harness!C43</f>
        <v/>
      </c>
      <c r="I405" s="3" t="n">
        <v>500</v>
      </c>
      <c r="J405" s="3" t="inlineStr">
        <is>
          <t>—</t>
        </is>
      </c>
      <c r="K405" s="3" t="inlineStr">
        <is>
          <t>[G16] 任務 token 來自 Workload／Harness，與 IF_PriceRef／IF_Cost* 的參考請求口徑不同</t>
        </is>
      </c>
      <c r="L405" s="3" t="inlineStr">
        <is>
          <t>—</t>
        </is>
      </c>
      <c r="M405" s="3" t="inlineStr">
        <is>
          <t>—</t>
        </is>
      </c>
      <c r="N405" s="3" t="inlineStr">
        <is>
          <t>—</t>
        </is>
      </c>
      <c r="O405" s="3" t="inlineStr">
        <is>
          <t>—</t>
        </is>
      </c>
      <c r="P405" s="3" t="inlineStr">
        <is>
          <t>—</t>
        </is>
      </c>
      <c r="Q405" s="3" t="inlineStr">
        <is>
          <t>上游含 Y5</t>
        </is>
      </c>
      <c r="R405" s="3" t="inlineStr">
        <is>
          <t>—</t>
        </is>
      </c>
      <c r="S405" s="3" t="inlineStr">
        <is>
          <t>Y5</t>
        </is>
      </c>
      <c r="T405" s="3" t="inlineStr"/>
      <c r="U405" s="3" t="n">
        <v>3</v>
      </c>
      <c r="V405" s="3" t="inlineStr">
        <is>
          <t>G16</t>
        </is>
      </c>
      <c r="W405" s="3" t="inlineStr">
        <is>
          <t>低</t>
        </is>
      </c>
    </row>
    <row r="406">
      <c r="A406" s="3" t="inlineStr">
        <is>
          <t>Interface</t>
        </is>
      </c>
      <c r="B406" s="3" t="n">
        <v>159</v>
      </c>
      <c r="C406" s="3" t="inlineStr">
        <is>
          <t>每次嘗試 總 token（選定檔案全採用；情境）　[IF_TaskTokSel]</t>
        </is>
      </c>
      <c r="D406" s="3" t="inlineStr">
        <is>
          <t>tok</t>
        </is>
      </c>
      <c r="E406" s="3" t="n">
        <v>10</v>
      </c>
      <c r="F406" s="3" t="n">
        <v>6</v>
      </c>
      <c r="G406" s="3" t="inlineStr">
        <is>
          <t>C159</t>
        </is>
      </c>
      <c r="H406" s="3">
        <f>Harness!C38</f>
        <v/>
      </c>
      <c r="I406" s="3" t="n">
        <v>3000</v>
      </c>
      <c r="J406" s="3" t="inlineStr">
        <is>
          <t>—</t>
        </is>
      </c>
      <c r="K406" s="3" t="inlineStr">
        <is>
          <t>[G16] 任務 token 來自 Workload／Harness，與 IF_PriceRef／IF_Cost* 的參考請求口徑不同</t>
        </is>
      </c>
      <c r="L406" s="3" t="inlineStr">
        <is>
          <t>—</t>
        </is>
      </c>
      <c r="M406" s="3" t="inlineStr">
        <is>
          <t>—</t>
        </is>
      </c>
      <c r="N406" s="3" t="inlineStr">
        <is>
          <t>—</t>
        </is>
      </c>
      <c r="O406" s="3" t="inlineStr">
        <is>
          <t>—</t>
        </is>
      </c>
      <c r="P406" s="3" t="inlineStr">
        <is>
          <t>—</t>
        </is>
      </c>
      <c r="Q406" s="3" t="inlineStr">
        <is>
          <t>上游含 Y5</t>
        </is>
      </c>
      <c r="R406" s="3" t="inlineStr">
        <is>
          <t>—</t>
        </is>
      </c>
      <c r="S406" s="3" t="inlineStr">
        <is>
          <t>Y5</t>
        </is>
      </c>
      <c r="T406" s="3" t="inlineStr"/>
      <c r="U406" s="3" t="n">
        <v>3</v>
      </c>
      <c r="V406" s="3" t="inlineStr">
        <is>
          <t>G16</t>
        </is>
      </c>
      <c r="W406" s="3" t="inlineStr">
        <is>
          <t>低</t>
        </is>
      </c>
    </row>
    <row r="407">
      <c r="A407" s="3" t="inlineStr">
        <is>
          <t>Interface</t>
        </is>
      </c>
      <c r="B407" s="3" t="n">
        <v>160</v>
      </c>
      <c r="C407" s="3" t="inlineStr">
        <is>
          <t>總 token：選定檔案 ÷ 標準　[IF_HarTokRatio]</t>
        </is>
      </c>
      <c r="D407" s="3" t="inlineStr">
        <is>
          <t>x</t>
        </is>
      </c>
      <c r="E407" s="3" t="n">
        <v>10</v>
      </c>
      <c r="F407" s="3" t="n">
        <v>6</v>
      </c>
      <c r="G407" s="3" t="inlineStr">
        <is>
          <t>C160</t>
        </is>
      </c>
      <c r="H407" s="3">
        <f>Harness!C45</f>
        <v/>
      </c>
      <c r="I407" s="3" t="n">
        <v>1</v>
      </c>
      <c r="J407" s="3" t="inlineStr">
        <is>
          <t>—</t>
        </is>
      </c>
      <c r="K407" s="3" t="inlineStr">
        <is>
          <t>[G16] 任務 token 來自 Workload／Harness，與 IF_PriceRef／IF_Cost* 的參考請求口徑不同</t>
        </is>
      </c>
      <c r="L407" s="3" t="inlineStr">
        <is>
          <t>—</t>
        </is>
      </c>
      <c r="M407" s="3" t="inlineStr">
        <is>
          <t>—</t>
        </is>
      </c>
      <c r="N407" s="3" t="inlineStr">
        <is>
          <t>—</t>
        </is>
      </c>
      <c r="O407" s="3" t="inlineStr">
        <is>
          <t>—</t>
        </is>
      </c>
      <c r="P407" s="3" t="inlineStr">
        <is>
          <t>—</t>
        </is>
      </c>
      <c r="Q407" s="3" t="inlineStr">
        <is>
          <t>上游含 Y5</t>
        </is>
      </c>
      <c r="R407" s="3" t="inlineStr">
        <is>
          <t>—</t>
        </is>
      </c>
      <c r="S407" s="3" t="inlineStr">
        <is>
          <t>Y5</t>
        </is>
      </c>
      <c r="T407" s="3" t="inlineStr"/>
      <c r="U407" s="3" t="n">
        <v>3</v>
      </c>
      <c r="V407" s="3" t="inlineStr">
        <is>
          <t>G16</t>
        </is>
      </c>
      <c r="W407" s="3" t="inlineStr">
        <is>
          <t>低</t>
        </is>
      </c>
    </row>
    <row r="408">
      <c r="A408" s="3" t="inlineStr">
        <is>
          <t>Interface</t>
        </is>
      </c>
      <c r="B408" s="3" t="n">
        <v>162</v>
      </c>
      <c r="C408" s="3" t="inlineStr">
        <is>
          <t>成功率 p（現行）　[IF_TaskSucc_Luna]</t>
        </is>
      </c>
      <c r="D408" s="3" t="inlineStr">
        <is>
          <t>%</t>
        </is>
      </c>
      <c r="E408" s="3" t="n">
        <v>10</v>
      </c>
      <c r="F408" s="3" t="n">
        <v>6</v>
      </c>
      <c r="G408" s="3" t="inlineStr">
        <is>
          <t>C162</t>
        </is>
      </c>
      <c r="H408" s="3">
        <f>Harness!C57</f>
        <v/>
      </c>
      <c r="I408" s="3" t="n">
        <v>0.962244</v>
      </c>
      <c r="J408" s="3" t="inlineStr">
        <is>
          <t>—</t>
        </is>
      </c>
      <c r="K408" s="3" t="inlineStr">
        <is>
          <t>—</t>
        </is>
      </c>
      <c r="L408" s="3" t="inlineStr">
        <is>
          <t>—</t>
        </is>
      </c>
      <c r="M408" s="3" t="inlineStr">
        <is>
          <t>—</t>
        </is>
      </c>
      <c r="N408" s="3" t="inlineStr">
        <is>
          <t>—</t>
        </is>
      </c>
      <c r="O408" s="3" t="inlineStr">
        <is>
          <t>—</t>
        </is>
      </c>
      <c r="P408" s="3" t="inlineStr">
        <is>
          <t>—</t>
        </is>
      </c>
      <c r="Q408" s="3" t="inlineStr">
        <is>
          <t>—</t>
        </is>
      </c>
      <c r="R408" s="3" t="inlineStr">
        <is>
          <t>—</t>
        </is>
      </c>
      <c r="S408" s="3" t="inlineStr"/>
      <c r="T408" s="3" t="inlineStr"/>
      <c r="U408" s="3" t="n">
        <v>3</v>
      </c>
      <c r="V408" s="3" t="inlineStr"/>
      <c r="W408" s="3" t="inlineStr">
        <is>
          <t>—</t>
        </is>
      </c>
    </row>
    <row r="409">
      <c r="A409" s="3" t="inlineStr">
        <is>
          <t>Interface</t>
        </is>
      </c>
      <c r="B409" s="3" t="n">
        <v>163</v>
      </c>
      <c r="C409" s="3" t="inlineStr">
        <is>
          <t>成功率 p（選定檔案全採用；情境）　[IF_TaskSuccSel_Luna]</t>
        </is>
      </c>
      <c r="D409" s="3" t="inlineStr">
        <is>
          <t>%</t>
        </is>
      </c>
      <c r="E409" s="3" t="n">
        <v>10</v>
      </c>
      <c r="F409" s="3" t="n">
        <v>6</v>
      </c>
      <c r="G409" s="3" t="inlineStr">
        <is>
          <t>C163</t>
        </is>
      </c>
      <c r="H409" s="3">
        <f>Harness!C58</f>
        <v/>
      </c>
      <c r="I409" s="3" t="n">
        <v>0.962244</v>
      </c>
      <c r="J409" s="3" t="inlineStr">
        <is>
          <t>—</t>
        </is>
      </c>
      <c r="K409" s="3" t="inlineStr">
        <is>
          <t>—</t>
        </is>
      </c>
      <c r="L409" s="3" t="inlineStr">
        <is>
          <t>—</t>
        </is>
      </c>
      <c r="M409" s="3" t="inlineStr">
        <is>
          <t>—</t>
        </is>
      </c>
      <c r="N409" s="3" t="inlineStr">
        <is>
          <t>—</t>
        </is>
      </c>
      <c r="O409" s="3" t="inlineStr">
        <is>
          <t>—</t>
        </is>
      </c>
      <c r="P409" s="3" t="inlineStr">
        <is>
          <t>—</t>
        </is>
      </c>
      <c r="Q409" s="3" t="inlineStr">
        <is>
          <t>—</t>
        </is>
      </c>
      <c r="R409" s="3" t="inlineStr">
        <is>
          <t>—</t>
        </is>
      </c>
      <c r="S409" s="3" t="inlineStr"/>
      <c r="T409" s="3" t="inlineStr"/>
      <c r="U409" s="3" t="n">
        <v>3</v>
      </c>
      <c r="V409" s="3" t="inlineStr"/>
      <c r="W409" s="3" t="inlineStr">
        <is>
          <t>—</t>
        </is>
      </c>
    </row>
    <row r="410">
      <c r="A410" s="3" t="inlineStr">
        <is>
          <t>Interface</t>
        </is>
      </c>
      <c r="B410" s="3" t="n">
        <v>164</v>
      </c>
      <c r="C410" s="3" t="inlineStr">
        <is>
          <t>每成功任務成本 — VR200（現行；經濟、基準成本、基準利用率）　[IF_CostSuccVR_Luna]</t>
        </is>
      </c>
      <c r="D410" s="3" t="inlineStr">
        <is>
          <t>$</t>
        </is>
      </c>
      <c r="E410" s="3" t="n">
        <v>10</v>
      </c>
      <c r="F410" s="3" t="n">
        <v>6</v>
      </c>
      <c r="G410" s="3" t="inlineStr">
        <is>
          <t>C164</t>
        </is>
      </c>
      <c r="H410" s="3">
        <f>Harness!C88</f>
        <v/>
      </c>
      <c r="I410" s="3" t="n">
        <v>0.000102</v>
      </c>
      <c r="J410" s="3" t="inlineStr">
        <is>
          <t>—</t>
        </is>
      </c>
      <c r="K410" s="3" t="inlineStr">
        <is>
          <t>—</t>
        </is>
      </c>
      <c r="L410" s="3" t="inlineStr">
        <is>
          <t>—</t>
        </is>
      </c>
      <c r="M410" s="3" t="inlineStr">
        <is>
          <t>—</t>
        </is>
      </c>
      <c r="N410" s="3" t="inlineStr">
        <is>
          <t>—</t>
        </is>
      </c>
      <c r="O410" s="3" t="inlineStr">
        <is>
          <t>—</t>
        </is>
      </c>
      <c r="P410" s="3" t="inlineStr">
        <is>
          <t>—</t>
        </is>
      </c>
      <c r="Q410" s="3" t="inlineStr">
        <is>
          <t>上游含 Y1,Y4,Y5,Y6,Y7,Y8</t>
        </is>
      </c>
      <c r="R410" s="3" t="inlineStr">
        <is>
          <t>—</t>
        </is>
      </c>
      <c r="S410" s="3" t="inlineStr">
        <is>
          <t>Y1,Y4,Y5,Y6,Y7,Y8</t>
        </is>
      </c>
      <c r="T410" s="3" t="inlineStr"/>
      <c r="U410" s="3" t="n">
        <v>3</v>
      </c>
      <c r="V410" s="3" t="inlineStr"/>
      <c r="W410" s="3" t="inlineStr">
        <is>
          <t>資訊（只有 L8）</t>
        </is>
      </c>
    </row>
    <row r="411">
      <c r="A411" s="3" t="inlineStr">
        <is>
          <t>Interface</t>
        </is>
      </c>
      <c r="B411" s="3" t="n">
        <v>165</v>
      </c>
      <c r="C411" s="3" t="inlineStr">
        <is>
          <t>每成功任務成本 — GB300（現行）　[IF_CostSuccGB_Luna]</t>
        </is>
      </c>
      <c r="D411" s="3" t="inlineStr">
        <is>
          <t>$</t>
        </is>
      </c>
      <c r="E411" s="3" t="n">
        <v>10</v>
      </c>
      <c r="F411" s="3" t="n">
        <v>6</v>
      </c>
      <c r="G411" s="3" t="inlineStr">
        <is>
          <t>C165</t>
        </is>
      </c>
      <c r="H411" s="3">
        <f>Harness!C97</f>
        <v/>
      </c>
      <c r="I411" s="3" t="n">
        <v>0.000135</v>
      </c>
      <c r="J411" s="3" t="inlineStr">
        <is>
          <t>—</t>
        </is>
      </c>
      <c r="K411" s="3" t="inlineStr">
        <is>
          <t>—</t>
        </is>
      </c>
      <c r="L411" s="3" t="inlineStr">
        <is>
          <t>—</t>
        </is>
      </c>
      <c r="M411" s="3" t="inlineStr">
        <is>
          <t>—</t>
        </is>
      </c>
      <c r="N411" s="3" t="inlineStr">
        <is>
          <t>—</t>
        </is>
      </c>
      <c r="O411" s="3" t="inlineStr">
        <is>
          <t>—</t>
        </is>
      </c>
      <c r="P411" s="3" t="inlineStr">
        <is>
          <t>—</t>
        </is>
      </c>
      <c r="Q411" s="3" t="inlineStr">
        <is>
          <t>上游含 Y1,Y4,Y5,Y6,Y7,Y8</t>
        </is>
      </c>
      <c r="R411" s="3" t="inlineStr">
        <is>
          <t>—</t>
        </is>
      </c>
      <c r="S411" s="3" t="inlineStr">
        <is>
          <t>Y1,Y4,Y5,Y6,Y7,Y8</t>
        </is>
      </c>
      <c r="T411" s="3" t="inlineStr"/>
      <c r="U411" s="3" t="n">
        <v>3</v>
      </c>
      <c r="V411" s="3" t="inlineStr"/>
      <c r="W411" s="3" t="inlineStr">
        <is>
          <t>資訊（只有 L8）</t>
        </is>
      </c>
    </row>
    <row r="412">
      <c r="A412" s="3" t="inlineStr">
        <is>
          <t>Interface</t>
        </is>
      </c>
      <c r="B412" s="3" t="n">
        <v>166</v>
      </c>
      <c r="C412" s="3" t="inlineStr">
        <is>
          <t>每成功任務營收 — OpenAI 有效單價（現行）　[IF_RevSucc_Luna]</t>
        </is>
      </c>
      <c r="D412" s="3" t="inlineStr">
        <is>
          <t>$</t>
        </is>
      </c>
      <c r="E412" s="3" t="n">
        <v>10</v>
      </c>
      <c r="F412" s="3" t="n">
        <v>6</v>
      </c>
      <c r="G412" s="3" t="inlineStr">
        <is>
          <t>C166</t>
        </is>
      </c>
      <c r="H412" s="3">
        <f>Harness!C126</f>
        <v/>
      </c>
      <c r="I412" s="3" t="n">
        <v>0.000341</v>
      </c>
      <c r="J412" s="3" t="inlineStr">
        <is>
          <t>—</t>
        </is>
      </c>
      <c r="K412" s="3" t="inlineStr">
        <is>
          <t>—</t>
        </is>
      </c>
      <c r="L412" s="3" t="inlineStr">
        <is>
          <t>—</t>
        </is>
      </c>
      <c r="M412" s="3" t="inlineStr">
        <is>
          <t>—</t>
        </is>
      </c>
      <c r="N412" s="3" t="inlineStr">
        <is>
          <t>—</t>
        </is>
      </c>
      <c r="O412" s="3" t="inlineStr">
        <is>
          <t>—</t>
        </is>
      </c>
      <c r="P412" s="3" t="inlineStr">
        <is>
          <t>—</t>
        </is>
      </c>
      <c r="Q412" s="3" t="inlineStr">
        <is>
          <t>上游含 Y2,Y5</t>
        </is>
      </c>
      <c r="R412" s="3" t="inlineStr">
        <is>
          <t>—</t>
        </is>
      </c>
      <c r="S412" s="3" t="inlineStr">
        <is>
          <t>Y2,Y5</t>
        </is>
      </c>
      <c r="T412" s="3" t="inlineStr"/>
      <c r="U412" s="3" t="n">
        <v>3</v>
      </c>
      <c r="V412" s="3" t="inlineStr"/>
      <c r="W412" s="3" t="inlineStr">
        <is>
          <t>資訊（只有 L8）</t>
        </is>
      </c>
    </row>
    <row r="413">
      <c r="A413" s="3" t="inlineStr">
        <is>
          <t>Interface</t>
        </is>
      </c>
      <c r="B413" s="3" t="n">
        <v>167</v>
      </c>
      <c r="C413" s="3" t="inlineStr">
        <is>
          <t>R＝每成功任務成本 選定 ÷ 標準（VR200）　[IF_HarR_Luna]</t>
        </is>
      </c>
      <c r="D413" s="3" t="inlineStr">
        <is>
          <t>x</t>
        </is>
      </c>
      <c r="E413" s="3" t="n">
        <v>10</v>
      </c>
      <c r="F413" s="3" t="n">
        <v>6</v>
      </c>
      <c r="G413" s="3" t="inlineStr">
        <is>
          <t>C167</t>
        </is>
      </c>
      <c r="H413" s="3">
        <f>Harness!C136</f>
        <v/>
      </c>
      <c r="I413" s="3" t="n">
        <v>1</v>
      </c>
      <c r="J413" s="3" t="inlineStr">
        <is>
          <t>—</t>
        </is>
      </c>
      <c r="K413" s="3" t="inlineStr">
        <is>
          <t>—</t>
        </is>
      </c>
      <c r="L413" s="3" t="inlineStr">
        <is>
          <t>—</t>
        </is>
      </c>
      <c r="M413" s="3" t="inlineStr">
        <is>
          <t>—</t>
        </is>
      </c>
      <c r="N413" s="3" t="inlineStr">
        <is>
          <t>—</t>
        </is>
      </c>
      <c r="O413" s="3" t="inlineStr">
        <is>
          <t>—</t>
        </is>
      </c>
      <c r="P413" s="3" t="inlineStr">
        <is>
          <t>—</t>
        </is>
      </c>
      <c r="Q413" s="3" t="inlineStr">
        <is>
          <t>上游含 Y1,Y4,Y5,Y6,Y7,Y8</t>
        </is>
      </c>
      <c r="R413" s="3" t="inlineStr">
        <is>
          <t>—</t>
        </is>
      </c>
      <c r="S413" s="3" t="inlineStr">
        <is>
          <t>Y1,Y4,Y5,Y6,Y7,Y8</t>
        </is>
      </c>
      <c r="T413" s="3" t="inlineStr"/>
      <c r="U413" s="3" t="n">
        <v>3</v>
      </c>
      <c r="V413" s="3" t="inlineStr"/>
      <c r="W413" s="3" t="inlineStr">
        <is>
          <t>資訊（只有 L8）</t>
        </is>
      </c>
    </row>
    <row r="414">
      <c r="A414" s="3" t="inlineStr">
        <is>
          <t>Interface</t>
        </is>
      </c>
      <c r="B414" s="3" t="n">
        <v>169</v>
      </c>
      <c r="C414" s="3" t="inlineStr">
        <is>
          <t>成功率 p（現行）　[IF_TaskSucc_Sol]</t>
        </is>
      </c>
      <c r="D414" s="3" t="inlineStr">
        <is>
          <t>%</t>
        </is>
      </c>
      <c r="E414" s="3" t="n">
        <v>10</v>
      </c>
      <c r="F414" s="3" t="n">
        <v>6</v>
      </c>
      <c r="G414" s="3" t="inlineStr">
        <is>
          <t>C169</t>
        </is>
      </c>
      <c r="H414" s="3">
        <f>Harness!C60</f>
        <v/>
      </c>
      <c r="I414" s="3" t="n">
        <v>0.988943</v>
      </c>
      <c r="J414" s="3" t="inlineStr">
        <is>
          <t>—</t>
        </is>
      </c>
      <c r="K414" s="3" t="inlineStr">
        <is>
          <t>—</t>
        </is>
      </c>
      <c r="L414" s="3" t="inlineStr">
        <is>
          <t>—</t>
        </is>
      </c>
      <c r="M414" s="3" t="inlineStr">
        <is>
          <t>—</t>
        </is>
      </c>
      <c r="N414" s="3" t="inlineStr">
        <is>
          <t>—</t>
        </is>
      </c>
      <c r="O414" s="3" t="inlineStr">
        <is>
          <t>—</t>
        </is>
      </c>
      <c r="P414" s="3" t="inlineStr">
        <is>
          <t>—</t>
        </is>
      </c>
      <c r="Q414" s="3" t="inlineStr">
        <is>
          <t>—</t>
        </is>
      </c>
      <c r="R414" s="3" t="inlineStr">
        <is>
          <t>—</t>
        </is>
      </c>
      <c r="S414" s="3" t="inlineStr"/>
      <c r="T414" s="3" t="inlineStr"/>
      <c r="U414" s="3" t="n">
        <v>3</v>
      </c>
      <c r="V414" s="3" t="inlineStr"/>
      <c r="W414" s="3" t="inlineStr">
        <is>
          <t>—</t>
        </is>
      </c>
    </row>
    <row r="415">
      <c r="A415" s="3" t="inlineStr">
        <is>
          <t>Interface</t>
        </is>
      </c>
      <c r="B415" s="3" t="n">
        <v>170</v>
      </c>
      <c r="C415" s="3" t="inlineStr">
        <is>
          <t>成功率 p（選定檔案全採用；情境）　[IF_TaskSuccSel_Sol]</t>
        </is>
      </c>
      <c r="D415" s="3" t="inlineStr">
        <is>
          <t>%</t>
        </is>
      </c>
      <c r="E415" s="3" t="n">
        <v>10</v>
      </c>
      <c r="F415" s="3" t="n">
        <v>6</v>
      </c>
      <c r="G415" s="3" t="inlineStr">
        <is>
          <t>C170</t>
        </is>
      </c>
      <c r="H415" s="3">
        <f>Harness!C61</f>
        <v/>
      </c>
      <c r="I415" s="3" t="n">
        <v>0.988943</v>
      </c>
      <c r="J415" s="3" t="inlineStr">
        <is>
          <t>—</t>
        </is>
      </c>
      <c r="K415" s="3" t="inlineStr">
        <is>
          <t>—</t>
        </is>
      </c>
      <c r="L415" s="3" t="inlineStr">
        <is>
          <t>—</t>
        </is>
      </c>
      <c r="M415" s="3" t="inlineStr">
        <is>
          <t>—</t>
        </is>
      </c>
      <c r="N415" s="3" t="inlineStr">
        <is>
          <t>—</t>
        </is>
      </c>
      <c r="O415" s="3" t="inlineStr">
        <is>
          <t>—</t>
        </is>
      </c>
      <c r="P415" s="3" t="inlineStr">
        <is>
          <t>—</t>
        </is>
      </c>
      <c r="Q415" s="3" t="inlineStr">
        <is>
          <t>—</t>
        </is>
      </c>
      <c r="R415" s="3" t="inlineStr">
        <is>
          <t>—</t>
        </is>
      </c>
      <c r="S415" s="3" t="inlineStr"/>
      <c r="T415" s="3" t="inlineStr"/>
      <c r="U415" s="3" t="n">
        <v>3</v>
      </c>
      <c r="V415" s="3" t="inlineStr"/>
      <c r="W415" s="3" t="inlineStr">
        <is>
          <t>—</t>
        </is>
      </c>
    </row>
    <row r="416">
      <c r="A416" s="3" t="inlineStr">
        <is>
          <t>Interface</t>
        </is>
      </c>
      <c r="B416" s="3" t="n">
        <v>171</v>
      </c>
      <c r="C416" s="3" t="inlineStr">
        <is>
          <t>每成功任務成本 — VR200（現行；經濟、基準成本、基準利用率）　[IF_CostSuccVR_Sol]</t>
        </is>
      </c>
      <c r="D416" s="3" t="inlineStr">
        <is>
          <t>$</t>
        </is>
      </c>
      <c r="E416" s="3" t="n">
        <v>10</v>
      </c>
      <c r="F416" s="3" t="n">
        <v>6</v>
      </c>
      <c r="G416" s="3" t="inlineStr">
        <is>
          <t>C171</t>
        </is>
      </c>
      <c r="H416" s="3">
        <f>Harness!C91</f>
        <v/>
      </c>
      <c r="I416" s="3" t="n">
        <v>0.00032</v>
      </c>
      <c r="J416" s="3" t="inlineStr">
        <is>
          <t>—</t>
        </is>
      </c>
      <c r="K416" s="3" t="inlineStr">
        <is>
          <t>—</t>
        </is>
      </c>
      <c r="L416" s="3" t="inlineStr">
        <is>
          <t>—</t>
        </is>
      </c>
      <c r="M416" s="3" t="inlineStr">
        <is>
          <t>—</t>
        </is>
      </c>
      <c r="N416" s="3" t="inlineStr">
        <is>
          <t>—</t>
        </is>
      </c>
      <c r="O416" s="3" t="inlineStr">
        <is>
          <t>—</t>
        </is>
      </c>
      <c r="P416" s="3" t="inlineStr">
        <is>
          <t>—</t>
        </is>
      </c>
      <c r="Q416" s="3" t="inlineStr">
        <is>
          <t>上游含 Y1,Y4,Y5,Y6,Y7,Y8</t>
        </is>
      </c>
      <c r="R416" s="3" t="inlineStr">
        <is>
          <t>—</t>
        </is>
      </c>
      <c r="S416" s="3" t="inlineStr">
        <is>
          <t>Y1,Y4,Y5,Y6,Y7,Y8</t>
        </is>
      </c>
      <c r="T416" s="3" t="inlineStr"/>
      <c r="U416" s="3" t="n">
        <v>3</v>
      </c>
      <c r="V416" s="3" t="inlineStr"/>
      <c r="W416" s="3" t="inlineStr">
        <is>
          <t>資訊（只有 L8）</t>
        </is>
      </c>
    </row>
    <row r="417">
      <c r="A417" s="3" t="inlineStr">
        <is>
          <t>Interface</t>
        </is>
      </c>
      <c r="B417" s="3" t="n">
        <v>172</v>
      </c>
      <c r="C417" s="3" t="inlineStr">
        <is>
          <t>每成功任務成本 — GB300（現行）　[IF_CostSuccGB_Sol]</t>
        </is>
      </c>
      <c r="D417" s="3" t="inlineStr">
        <is>
          <t>$</t>
        </is>
      </c>
      <c r="E417" s="3" t="n">
        <v>10</v>
      </c>
      <c r="F417" s="3" t="n">
        <v>6</v>
      </c>
      <c r="G417" s="3" t="inlineStr">
        <is>
          <t>C172</t>
        </is>
      </c>
      <c r="H417" s="3">
        <f>Harness!C100</f>
        <v/>
      </c>
      <c r="I417" s="3" t="n">
        <v>0.000457</v>
      </c>
      <c r="J417" s="3" t="inlineStr">
        <is>
          <t>—</t>
        </is>
      </c>
      <c r="K417" s="3" t="inlineStr">
        <is>
          <t>—</t>
        </is>
      </c>
      <c r="L417" s="3" t="inlineStr">
        <is>
          <t>—</t>
        </is>
      </c>
      <c r="M417" s="3" t="inlineStr">
        <is>
          <t>—</t>
        </is>
      </c>
      <c r="N417" s="3" t="inlineStr">
        <is>
          <t>—</t>
        </is>
      </c>
      <c r="O417" s="3" t="inlineStr">
        <is>
          <t>—</t>
        </is>
      </c>
      <c r="P417" s="3" t="inlineStr">
        <is>
          <t>—</t>
        </is>
      </c>
      <c r="Q417" s="3" t="inlineStr">
        <is>
          <t>上游含 Y1,Y4,Y5,Y6,Y7,Y8</t>
        </is>
      </c>
      <c r="R417" s="3" t="inlineStr">
        <is>
          <t>—</t>
        </is>
      </c>
      <c r="S417" s="3" t="inlineStr">
        <is>
          <t>Y1,Y4,Y5,Y6,Y7,Y8</t>
        </is>
      </c>
      <c r="T417" s="3" t="inlineStr"/>
      <c r="U417" s="3" t="n">
        <v>3</v>
      </c>
      <c r="V417" s="3" t="inlineStr"/>
      <c r="W417" s="3" t="inlineStr">
        <is>
          <t>資訊（只有 L8）</t>
        </is>
      </c>
    </row>
    <row r="418">
      <c r="A418" s="3" t="inlineStr">
        <is>
          <t>Interface</t>
        </is>
      </c>
      <c r="B418" s="3" t="n">
        <v>173</v>
      </c>
      <c r="C418" s="3" t="inlineStr">
        <is>
          <t>每成功任務營收 — OpenAI 有效單價（現行）　[IF_RevSucc_Sol]</t>
        </is>
      </c>
      <c r="D418" s="3" t="inlineStr">
        <is>
          <t>$</t>
        </is>
      </c>
      <c r="E418" s="3" t="n">
        <v>10</v>
      </c>
      <c r="F418" s="3" t="n">
        <v>6</v>
      </c>
      <c r="G418" s="3" t="inlineStr">
        <is>
          <t>C173</t>
        </is>
      </c>
      <c r="H418" s="3">
        <f>Harness!C129</f>
        <v/>
      </c>
      <c r="I418" s="3" t="n">
        <v>0.006633</v>
      </c>
      <c r="J418" s="3" t="inlineStr">
        <is>
          <t>—</t>
        </is>
      </c>
      <c r="K418" s="3" t="inlineStr">
        <is>
          <t>—</t>
        </is>
      </c>
      <c r="L418" s="3" t="inlineStr">
        <is>
          <t>—</t>
        </is>
      </c>
      <c r="M418" s="3" t="inlineStr">
        <is>
          <t>—</t>
        </is>
      </c>
      <c r="N418" s="3" t="inlineStr">
        <is>
          <t>—</t>
        </is>
      </c>
      <c r="O418" s="3" t="inlineStr">
        <is>
          <t>—</t>
        </is>
      </c>
      <c r="P418" s="3" t="inlineStr">
        <is>
          <t>—</t>
        </is>
      </c>
      <c r="Q418" s="3" t="inlineStr">
        <is>
          <t>上游含 Y2,Y5</t>
        </is>
      </c>
      <c r="R418" s="3" t="inlineStr">
        <is>
          <t>—</t>
        </is>
      </c>
      <c r="S418" s="3" t="inlineStr">
        <is>
          <t>Y2,Y5</t>
        </is>
      </c>
      <c r="T418" s="3" t="inlineStr"/>
      <c r="U418" s="3" t="n">
        <v>3</v>
      </c>
      <c r="V418" s="3" t="inlineStr"/>
      <c r="W418" s="3" t="inlineStr">
        <is>
          <t>資訊（只有 L8）</t>
        </is>
      </c>
    </row>
    <row r="419">
      <c r="A419" s="3" t="inlineStr">
        <is>
          <t>Interface</t>
        </is>
      </c>
      <c r="B419" s="3" t="n">
        <v>174</v>
      </c>
      <c r="C419" s="3" t="inlineStr">
        <is>
          <t>R＝每成功任務成本 選定 ÷ 標準（VR200）　[IF_HarR_Sol]</t>
        </is>
      </c>
      <c r="D419" s="3" t="inlineStr">
        <is>
          <t>x</t>
        </is>
      </c>
      <c r="E419" s="3" t="n">
        <v>10</v>
      </c>
      <c r="F419" s="3" t="n">
        <v>6</v>
      </c>
      <c r="G419" s="3" t="inlineStr">
        <is>
          <t>C174</t>
        </is>
      </c>
      <c r="H419" s="3">
        <f>Harness!C137</f>
        <v/>
      </c>
      <c r="I419" s="3" t="n">
        <v>1</v>
      </c>
      <c r="J419" s="3" t="inlineStr">
        <is>
          <t>—</t>
        </is>
      </c>
      <c r="K419" s="3" t="inlineStr">
        <is>
          <t>—</t>
        </is>
      </c>
      <c r="L419" s="3" t="inlineStr">
        <is>
          <t>—</t>
        </is>
      </c>
      <c r="M419" s="3" t="inlineStr">
        <is>
          <t>—</t>
        </is>
      </c>
      <c r="N419" s="3" t="inlineStr">
        <is>
          <t>—</t>
        </is>
      </c>
      <c r="O419" s="3" t="inlineStr">
        <is>
          <t>—</t>
        </is>
      </c>
      <c r="P419" s="3" t="inlineStr">
        <is>
          <t>—</t>
        </is>
      </c>
      <c r="Q419" s="3" t="inlineStr">
        <is>
          <t>上游含 Y1,Y4,Y5,Y6,Y7,Y8</t>
        </is>
      </c>
      <c r="R419" s="3" t="inlineStr">
        <is>
          <t>—</t>
        </is>
      </c>
      <c r="S419" s="3" t="inlineStr">
        <is>
          <t>Y1,Y4,Y5,Y6,Y7,Y8</t>
        </is>
      </c>
      <c r="T419" s="3" t="inlineStr"/>
      <c r="U419" s="3" t="n">
        <v>21</v>
      </c>
      <c r="V419" s="3" t="inlineStr"/>
      <c r="W419" s="3" t="inlineStr">
        <is>
          <t>資訊（只有 L8）</t>
        </is>
      </c>
    </row>
    <row r="420">
      <c r="A420" s="3" t="inlineStr">
        <is>
          <t>Interface</t>
        </is>
      </c>
      <c r="B420" s="3" t="n">
        <v>176</v>
      </c>
      <c r="C420" s="3" t="inlineStr">
        <is>
          <t>成功率 p（現行）　[IF_TaskSucc_Astra]</t>
        </is>
      </c>
      <c r="D420" s="3" t="inlineStr">
        <is>
          <t>%</t>
        </is>
      </c>
      <c r="E420" s="3" t="n">
        <v>10</v>
      </c>
      <c r="F420" s="3" t="n">
        <v>6</v>
      </c>
      <c r="G420" s="3" t="inlineStr">
        <is>
          <t>C176</t>
        </is>
      </c>
      <c r="H420" s="3">
        <f>Harness!C63</f>
        <v/>
      </c>
      <c r="I420" s="3" t="n">
        <v>0.9933959999999999</v>
      </c>
      <c r="J420" s="3" t="inlineStr">
        <is>
          <t>—</t>
        </is>
      </c>
      <c r="K420" s="3" t="inlineStr">
        <is>
          <t>—</t>
        </is>
      </c>
      <c r="L420" s="3" t="inlineStr">
        <is>
          <t>—</t>
        </is>
      </c>
      <c r="M420" s="3" t="inlineStr">
        <is>
          <t>—</t>
        </is>
      </c>
      <c r="N420" s="3" t="inlineStr">
        <is>
          <t>—</t>
        </is>
      </c>
      <c r="O420" s="3" t="inlineStr">
        <is>
          <t>—</t>
        </is>
      </c>
      <c r="P420" s="3" t="inlineStr">
        <is>
          <t>—</t>
        </is>
      </c>
      <c r="Q420" s="3" t="inlineStr">
        <is>
          <t>—</t>
        </is>
      </c>
      <c r="R420" s="3" t="inlineStr">
        <is>
          <t>—</t>
        </is>
      </c>
      <c r="S420" s="3" t="inlineStr"/>
      <c r="T420" s="3" t="inlineStr"/>
      <c r="U420" s="3" t="n">
        <v>3</v>
      </c>
      <c r="V420" s="3" t="inlineStr"/>
      <c r="W420" s="3" t="inlineStr">
        <is>
          <t>—</t>
        </is>
      </c>
    </row>
    <row r="421">
      <c r="A421" s="3" t="inlineStr">
        <is>
          <t>Interface</t>
        </is>
      </c>
      <c r="B421" s="3" t="n">
        <v>177</v>
      </c>
      <c r="C421" s="3" t="inlineStr">
        <is>
          <t>成功率 p（選定檔案全採用；情境）　[IF_TaskSuccSel_Astra]</t>
        </is>
      </c>
      <c r="D421" s="3" t="inlineStr">
        <is>
          <t>%</t>
        </is>
      </c>
      <c r="E421" s="3" t="n">
        <v>10</v>
      </c>
      <c r="F421" s="3" t="n">
        <v>6</v>
      </c>
      <c r="G421" s="3" t="inlineStr">
        <is>
          <t>C177</t>
        </is>
      </c>
      <c r="H421" s="3">
        <f>Harness!C64</f>
        <v/>
      </c>
      <c r="I421" s="3" t="n">
        <v>0.9933959999999999</v>
      </c>
      <c r="J421" s="3" t="inlineStr">
        <is>
          <t>—</t>
        </is>
      </c>
      <c r="K421" s="3" t="inlineStr">
        <is>
          <t>—</t>
        </is>
      </c>
      <c r="L421" s="3" t="inlineStr">
        <is>
          <t>—</t>
        </is>
      </c>
      <c r="M421" s="3" t="inlineStr">
        <is>
          <t>—</t>
        </is>
      </c>
      <c r="N421" s="3" t="inlineStr">
        <is>
          <t>—</t>
        </is>
      </c>
      <c r="O421" s="3" t="inlineStr">
        <is>
          <t>—</t>
        </is>
      </c>
      <c r="P421" s="3" t="inlineStr">
        <is>
          <t>—</t>
        </is>
      </c>
      <c r="Q421" s="3" t="inlineStr">
        <is>
          <t>—</t>
        </is>
      </c>
      <c r="R421" s="3" t="inlineStr">
        <is>
          <t>—</t>
        </is>
      </c>
      <c r="S421" s="3" t="inlineStr"/>
      <c r="T421" s="3" t="inlineStr"/>
      <c r="U421" s="3" t="n">
        <v>3</v>
      </c>
      <c r="V421" s="3" t="inlineStr"/>
      <c r="W421" s="3" t="inlineStr">
        <is>
          <t>—</t>
        </is>
      </c>
    </row>
    <row r="422">
      <c r="A422" s="3" t="inlineStr">
        <is>
          <t>Interface</t>
        </is>
      </c>
      <c r="B422" s="3" t="n">
        <v>178</v>
      </c>
      <c r="C422" s="3" t="inlineStr">
        <is>
          <t>每成功任務成本 — VR200（現行；經濟、基準成本、基準利用率）　[IF_CostSuccVR_Astra]</t>
        </is>
      </c>
      <c r="D422" s="3" t="inlineStr">
        <is>
          <t>$</t>
        </is>
      </c>
      <c r="E422" s="3" t="n">
        <v>10</v>
      </c>
      <c r="F422" s="3" t="n">
        <v>6</v>
      </c>
      <c r="G422" s="3" t="inlineStr">
        <is>
          <t>C178</t>
        </is>
      </c>
      <c r="H422" s="3">
        <f>Harness!C94</f>
        <v/>
      </c>
      <c r="I422" s="3" t="n">
        <v>0.001572</v>
      </c>
      <c r="J422" s="3" t="inlineStr">
        <is>
          <t>—</t>
        </is>
      </c>
      <c r="K422" s="3" t="inlineStr">
        <is>
          <t>—</t>
        </is>
      </c>
      <c r="L422" s="3" t="inlineStr">
        <is>
          <t>—</t>
        </is>
      </c>
      <c r="M422" s="3" t="inlineStr">
        <is>
          <t>—</t>
        </is>
      </c>
      <c r="N422" s="3" t="inlineStr">
        <is>
          <t>—</t>
        </is>
      </c>
      <c r="O422" s="3" t="inlineStr">
        <is>
          <t>—</t>
        </is>
      </c>
      <c r="P422" s="3" t="inlineStr">
        <is>
          <t>—</t>
        </is>
      </c>
      <c r="Q422" s="3" t="inlineStr">
        <is>
          <t>上游含 Y1,Y4,Y5,Y6,Y7,Y8</t>
        </is>
      </c>
      <c r="R422" s="3" t="inlineStr">
        <is>
          <t>—</t>
        </is>
      </c>
      <c r="S422" s="3" t="inlineStr">
        <is>
          <t>Y1,Y4,Y5,Y6,Y7,Y8</t>
        </is>
      </c>
      <c r="T422" s="3" t="inlineStr"/>
      <c r="U422" s="3" t="n">
        <v>3</v>
      </c>
      <c r="V422" s="3" t="inlineStr"/>
      <c r="W422" s="3" t="inlineStr">
        <is>
          <t>資訊（只有 L8）</t>
        </is>
      </c>
    </row>
    <row r="423">
      <c r="A423" s="3" t="inlineStr">
        <is>
          <t>Interface</t>
        </is>
      </c>
      <c r="B423" s="3" t="n">
        <v>179</v>
      </c>
      <c r="C423" s="3" t="inlineStr">
        <is>
          <t>每成功任務成本 — GB300（現行）　[IF_CostSuccGB_Astra]</t>
        </is>
      </c>
      <c r="D423" s="3" t="inlineStr">
        <is>
          <t>$</t>
        </is>
      </c>
      <c r="E423" s="3" t="n">
        <v>10</v>
      </c>
      <c r="F423" s="3" t="n">
        <v>6</v>
      </c>
      <c r="G423" s="3" t="inlineStr">
        <is>
          <t>C179</t>
        </is>
      </c>
      <c r="H423" s="3">
        <f>Harness!C103</f>
        <v/>
      </c>
      <c r="I423" s="3" t="n">
        <v>0.003101</v>
      </c>
      <c r="J423" s="3" t="inlineStr">
        <is>
          <t>—</t>
        </is>
      </c>
      <c r="K423" s="3" t="inlineStr">
        <is>
          <t>—</t>
        </is>
      </c>
      <c r="L423" s="3" t="inlineStr">
        <is>
          <t>—</t>
        </is>
      </c>
      <c r="M423" s="3" t="inlineStr">
        <is>
          <t>—</t>
        </is>
      </c>
      <c r="N423" s="3" t="inlineStr">
        <is>
          <t>—</t>
        </is>
      </c>
      <c r="O423" s="3" t="inlineStr">
        <is>
          <t>—</t>
        </is>
      </c>
      <c r="P423" s="3" t="inlineStr">
        <is>
          <t>—</t>
        </is>
      </c>
      <c r="Q423" s="3" t="inlineStr">
        <is>
          <t>上游含 Y1,Y4,Y5,Y6,Y7,Y8</t>
        </is>
      </c>
      <c r="R423" s="3" t="inlineStr">
        <is>
          <t>—</t>
        </is>
      </c>
      <c r="S423" s="3" t="inlineStr">
        <is>
          <t>Y1,Y4,Y5,Y6,Y7,Y8</t>
        </is>
      </c>
      <c r="T423" s="3" t="inlineStr"/>
      <c r="U423" s="3" t="n">
        <v>3</v>
      </c>
      <c r="V423" s="3" t="inlineStr"/>
      <c r="W423" s="3" t="inlineStr">
        <is>
          <t>資訊（只有 L8）</t>
        </is>
      </c>
    </row>
    <row r="424">
      <c r="A424" s="3" t="inlineStr">
        <is>
          <t>Interface</t>
        </is>
      </c>
      <c r="B424" s="3" t="n">
        <v>180</v>
      </c>
      <c r="C424" s="3" t="inlineStr">
        <is>
          <t>每成功任務營收 — OpenAI 有效單價（現行）　[IF_RevSucc_Astra]</t>
        </is>
      </c>
      <c r="D424" s="3" t="inlineStr">
        <is>
          <t>$</t>
        </is>
      </c>
      <c r="E424" s="3" t="n">
        <v>10</v>
      </c>
      <c r="F424" s="3" t="n">
        <v>6</v>
      </c>
      <c r="G424" s="3" t="inlineStr">
        <is>
          <t>C180</t>
        </is>
      </c>
      <c r="H424" s="3">
        <f>Harness!C132</f>
        <v/>
      </c>
      <c r="I424" s="3" t="n">
        <v>0.033018</v>
      </c>
      <c r="J424" s="3" t="inlineStr">
        <is>
          <t>—</t>
        </is>
      </c>
      <c r="K424" s="3" t="inlineStr">
        <is>
          <t>—</t>
        </is>
      </c>
      <c r="L424" s="3" t="inlineStr">
        <is>
          <t>—</t>
        </is>
      </c>
      <c r="M424" s="3" t="inlineStr">
        <is>
          <t>—</t>
        </is>
      </c>
      <c r="N424" s="3" t="inlineStr">
        <is>
          <t>—</t>
        </is>
      </c>
      <c r="O424" s="3" t="inlineStr">
        <is>
          <t>—</t>
        </is>
      </c>
      <c r="P424" s="3" t="inlineStr">
        <is>
          <t>—</t>
        </is>
      </c>
      <c r="Q424" s="3" t="inlineStr">
        <is>
          <t>上游含 Y2,Y5</t>
        </is>
      </c>
      <c r="R424" s="3" t="inlineStr">
        <is>
          <t>—</t>
        </is>
      </c>
      <c r="S424" s="3" t="inlineStr">
        <is>
          <t>Y2,Y5</t>
        </is>
      </c>
      <c r="T424" s="3" t="inlineStr"/>
      <c r="U424" s="3" t="n">
        <v>3</v>
      </c>
      <c r="V424" s="3" t="inlineStr"/>
      <c r="W424" s="3" t="inlineStr">
        <is>
          <t>資訊（只有 L8）</t>
        </is>
      </c>
    </row>
    <row r="425">
      <c r="A425" s="3" t="inlineStr">
        <is>
          <t>Interface</t>
        </is>
      </c>
      <c r="B425" s="3" t="n">
        <v>181</v>
      </c>
      <c r="C425" s="3" t="inlineStr">
        <is>
          <t>R＝每成功任務成本 選定 ÷ 標準（VR200）　[IF_HarR_Astra]</t>
        </is>
      </c>
      <c r="D425" s="3" t="inlineStr">
        <is>
          <t>x</t>
        </is>
      </c>
      <c r="E425" s="3" t="n">
        <v>10</v>
      </c>
      <c r="F425" s="3" t="n">
        <v>6</v>
      </c>
      <c r="G425" s="3" t="inlineStr">
        <is>
          <t>C181</t>
        </is>
      </c>
      <c r="H425" s="3">
        <f>Harness!C138</f>
        <v/>
      </c>
      <c r="I425" s="3" t="n">
        <v>1</v>
      </c>
      <c r="J425" s="3" t="inlineStr">
        <is>
          <t>—</t>
        </is>
      </c>
      <c r="K425" s="3" t="inlineStr">
        <is>
          <t>—</t>
        </is>
      </c>
      <c r="L425" s="3" t="inlineStr">
        <is>
          <t>—</t>
        </is>
      </c>
      <c r="M425" s="3" t="inlineStr">
        <is>
          <t>—</t>
        </is>
      </c>
      <c r="N425" s="3" t="inlineStr">
        <is>
          <t>—</t>
        </is>
      </c>
      <c r="O425" s="3" t="inlineStr">
        <is>
          <t>—</t>
        </is>
      </c>
      <c r="P425" s="3" t="inlineStr">
        <is>
          <t>—</t>
        </is>
      </c>
      <c r="Q425" s="3" t="inlineStr">
        <is>
          <t>上游含 Y1,Y4,Y5,Y6,Y7,Y8</t>
        </is>
      </c>
      <c r="R425" s="3" t="inlineStr">
        <is>
          <t>—</t>
        </is>
      </c>
      <c r="S425" s="3" t="inlineStr">
        <is>
          <t>Y1,Y4,Y5,Y6,Y7,Y8</t>
        </is>
      </c>
      <c r="T425" s="3" t="inlineStr"/>
      <c r="U425" s="3" t="n">
        <v>3</v>
      </c>
      <c r="V425" s="3" t="inlineStr"/>
      <c r="W425" s="3" t="inlineStr">
        <is>
          <t>資訊（只有 L8）</t>
        </is>
      </c>
    </row>
    <row r="426">
      <c r="A426" s="3" t="inlineStr">
        <is>
          <t>Interface</t>
        </is>
      </c>
      <c r="B426" s="3" t="n">
        <v>183</v>
      </c>
      <c r="C426" s="3" t="inlineStr">
        <is>
          <t>Luna（低層）｜每次嘗試成本 — VR200（現行；經濟、基準成本、基準利用率；÷ p＝每成功任務成本）　[IF_CostAttVR_Luna]</t>
        </is>
      </c>
      <c r="D426" s="3" t="inlineStr">
        <is>
          <t>$</t>
        </is>
      </c>
      <c r="E426" s="3" t="n">
        <v>10</v>
      </c>
      <c r="F426" s="3" t="n">
        <v>6</v>
      </c>
      <c r="G426" s="3" t="inlineStr">
        <is>
          <t>C183</t>
        </is>
      </c>
      <c r="H426" s="3">
        <f>Harness!C68</f>
        <v/>
      </c>
      <c r="I426" s="3" t="n">
        <v>9.899999999999999e-05</v>
      </c>
      <c r="J426" s="3" t="inlineStr">
        <is>
          <t>—</t>
        </is>
      </c>
      <c r="K426" s="3" t="inlineStr">
        <is>
          <t>—</t>
        </is>
      </c>
      <c r="L426" s="3" t="inlineStr">
        <is>
          <t>—</t>
        </is>
      </c>
      <c r="M426" s="3" t="inlineStr">
        <is>
          <t>—</t>
        </is>
      </c>
      <c r="N426" s="3" t="inlineStr">
        <is>
          <t>—</t>
        </is>
      </c>
      <c r="O426" s="3" t="inlineStr">
        <is>
          <t>—</t>
        </is>
      </c>
      <c r="P426" s="3" t="inlineStr">
        <is>
          <t>—</t>
        </is>
      </c>
      <c r="Q426" s="3" t="inlineStr">
        <is>
          <t>上游含 Y1,Y4,Y5,Y6,Y7,Y8</t>
        </is>
      </c>
      <c r="R426" s="3" t="inlineStr">
        <is>
          <t>—</t>
        </is>
      </c>
      <c r="S426" s="3" t="inlineStr">
        <is>
          <t>Y1,Y4,Y5,Y6,Y7,Y8</t>
        </is>
      </c>
      <c r="T426" s="3" t="inlineStr"/>
      <c r="U426" s="3" t="n">
        <v>3</v>
      </c>
      <c r="V426" s="3" t="inlineStr"/>
      <c r="W426" s="3" t="inlineStr">
        <is>
          <t>資訊（只有 L8）</t>
        </is>
      </c>
    </row>
    <row r="427">
      <c r="A427" s="3" t="inlineStr">
        <is>
          <t>Interface</t>
        </is>
      </c>
      <c r="B427" s="3" t="n">
        <v>184</v>
      </c>
      <c r="C427" s="3" t="inlineStr">
        <is>
          <t>Luna（低層）｜有效 50% 時間範圍（層級基準 × 時間範圍倍數；現行）　[IF_HzEff_Luna]</t>
        </is>
      </c>
      <c r="D427" s="3" t="inlineStr">
        <is>
          <t>hr</t>
        </is>
      </c>
      <c r="E427" s="3" t="n">
        <v>10</v>
      </c>
      <c r="F427" s="3" t="n">
        <v>6</v>
      </c>
      <c r="G427" s="3" t="inlineStr">
        <is>
          <t>C184</t>
        </is>
      </c>
      <c r="H427" s="3">
        <f>Harness!C160</f>
        <v/>
      </c>
      <c r="I427" s="3" t="n">
        <v>1.5</v>
      </c>
      <c r="J427" s="3" t="inlineStr">
        <is>
          <t>—</t>
        </is>
      </c>
      <c r="K427" s="3" t="inlineStr">
        <is>
          <t>—</t>
        </is>
      </c>
      <c r="L427" s="3" t="inlineStr">
        <is>
          <t>—</t>
        </is>
      </c>
      <c r="M427" s="3" t="inlineStr">
        <is>
          <t>—</t>
        </is>
      </c>
      <c r="N427" s="3" t="inlineStr">
        <is>
          <t>—</t>
        </is>
      </c>
      <c r="O427" s="3" t="inlineStr">
        <is>
          <t>—</t>
        </is>
      </c>
      <c r="P427" s="3" t="inlineStr">
        <is>
          <t>—</t>
        </is>
      </c>
      <c r="Q427" s="3" t="inlineStr">
        <is>
          <t>—</t>
        </is>
      </c>
      <c r="R427" s="3" t="inlineStr">
        <is>
          <t>—</t>
        </is>
      </c>
      <c r="S427" s="3" t="inlineStr"/>
      <c r="T427" s="3" t="inlineStr"/>
      <c r="U427" s="3" t="n">
        <v>3</v>
      </c>
      <c r="V427" s="3" t="inlineStr"/>
      <c r="W427" s="3" t="inlineStr">
        <is>
          <t>—</t>
        </is>
      </c>
    </row>
    <row r="428">
      <c r="A428" s="3" t="inlineStr">
        <is>
          <t>Interface</t>
        </is>
      </c>
      <c r="B428" s="3" t="n">
        <v>185</v>
      </c>
      <c r="C428" s="3" t="inlineStr">
        <is>
          <t>Sol（中層）｜每次嘗試成本 — VR200（現行；經濟、基準成本、基準利用率；÷ p＝每成功任務成本）　[IF_CostAttVR_Sol]</t>
        </is>
      </c>
      <c r="D428" s="3" t="inlineStr">
        <is>
          <t>$</t>
        </is>
      </c>
      <c r="E428" s="3" t="n">
        <v>10</v>
      </c>
      <c r="F428" s="3" t="n">
        <v>6</v>
      </c>
      <c r="G428" s="3" t="inlineStr">
        <is>
          <t>C185</t>
        </is>
      </c>
      <c r="H428" s="3">
        <f>Harness!C71</f>
        <v/>
      </c>
      <c r="I428" s="3" t="n">
        <v>0.000316</v>
      </c>
      <c r="J428" s="3" t="inlineStr">
        <is>
          <t>—</t>
        </is>
      </c>
      <c r="K428" s="3" t="inlineStr">
        <is>
          <t>—</t>
        </is>
      </c>
      <c r="L428" s="3" t="inlineStr">
        <is>
          <t>—</t>
        </is>
      </c>
      <c r="M428" s="3" t="inlineStr">
        <is>
          <t>—</t>
        </is>
      </c>
      <c r="N428" s="3" t="inlineStr">
        <is>
          <t>—</t>
        </is>
      </c>
      <c r="O428" s="3" t="inlineStr">
        <is>
          <t>—</t>
        </is>
      </c>
      <c r="P428" s="3" t="inlineStr">
        <is>
          <t>—</t>
        </is>
      </c>
      <c r="Q428" s="3" t="inlineStr">
        <is>
          <t>上游含 Y1,Y4,Y5,Y6,Y7,Y8</t>
        </is>
      </c>
      <c r="R428" s="3" t="inlineStr">
        <is>
          <t>—</t>
        </is>
      </c>
      <c r="S428" s="3" t="inlineStr">
        <is>
          <t>Y1,Y4,Y5,Y6,Y7,Y8</t>
        </is>
      </c>
      <c r="T428" s="3" t="inlineStr"/>
      <c r="U428" s="3" t="n">
        <v>3</v>
      </c>
      <c r="V428" s="3" t="inlineStr"/>
      <c r="W428" s="3" t="inlineStr">
        <is>
          <t>資訊（只有 L8）</t>
        </is>
      </c>
    </row>
    <row r="429">
      <c r="A429" s="3" t="inlineStr">
        <is>
          <t>Interface</t>
        </is>
      </c>
      <c r="B429" s="3" t="n">
        <v>186</v>
      </c>
      <c r="C429" s="3" t="inlineStr">
        <is>
          <t>Sol（中層）｜有效 50% 時間範圍（層級基準 × 時間範圍倍數；現行）　[IF_HzEff_Sol]</t>
        </is>
      </c>
      <c r="D429" s="3" t="inlineStr">
        <is>
          <t>hr</t>
        </is>
      </c>
      <c r="E429" s="3" t="n">
        <v>10</v>
      </c>
      <c r="F429" s="3" t="n">
        <v>6</v>
      </c>
      <c r="G429" s="3" t="inlineStr">
        <is>
          <t>C186</t>
        </is>
      </c>
      <c r="H429" s="3">
        <f>Harness!C161</f>
        <v/>
      </c>
      <c r="I429" s="3" t="n">
        <v>8</v>
      </c>
      <c r="J429" s="3" t="inlineStr">
        <is>
          <t>—</t>
        </is>
      </c>
      <c r="K429" s="3" t="inlineStr">
        <is>
          <t>—</t>
        </is>
      </c>
      <c r="L429" s="3" t="inlineStr">
        <is>
          <t>—</t>
        </is>
      </c>
      <c r="M429" s="3" t="inlineStr">
        <is>
          <t>—</t>
        </is>
      </c>
      <c r="N429" s="3" t="inlineStr">
        <is>
          <t>—</t>
        </is>
      </c>
      <c r="O429" s="3" t="inlineStr">
        <is>
          <t>—</t>
        </is>
      </c>
      <c r="P429" s="3" t="inlineStr">
        <is>
          <t>—</t>
        </is>
      </c>
      <c r="Q429" s="3" t="inlineStr">
        <is>
          <t>—</t>
        </is>
      </c>
      <c r="R429" s="3" t="inlineStr">
        <is>
          <t>—</t>
        </is>
      </c>
      <c r="S429" s="3" t="inlineStr"/>
      <c r="T429" s="3" t="inlineStr"/>
      <c r="U429" s="3" t="n">
        <v>3</v>
      </c>
      <c r="V429" s="3" t="inlineStr"/>
      <c r="W429" s="3" t="inlineStr">
        <is>
          <t>—</t>
        </is>
      </c>
    </row>
    <row r="430">
      <c r="A430" s="3" t="inlineStr">
        <is>
          <t>Interface</t>
        </is>
      </c>
      <c r="B430" s="3" t="n">
        <v>187</v>
      </c>
      <c r="C430" s="3" t="inlineStr">
        <is>
          <t>Astra（頂層）｜每次嘗試成本 — VR200（現行；經濟、基準成本、基準利用率；÷ p＝每成功任務成本）　[IF_CostAttVR_Astra]</t>
        </is>
      </c>
      <c r="D430" s="3" t="inlineStr">
        <is>
          <t>$</t>
        </is>
      </c>
      <c r="E430" s="3" t="n">
        <v>10</v>
      </c>
      <c r="F430" s="3" t="n">
        <v>6</v>
      </c>
      <c r="G430" s="3" t="inlineStr">
        <is>
          <t>C187</t>
        </is>
      </c>
      <c r="H430" s="3">
        <f>Harness!C74</f>
        <v/>
      </c>
      <c r="I430" s="3" t="n">
        <v>0.001561</v>
      </c>
      <c r="J430" s="3" t="inlineStr">
        <is>
          <t>—</t>
        </is>
      </c>
      <c r="K430" s="3" t="inlineStr">
        <is>
          <t>—</t>
        </is>
      </c>
      <c r="L430" s="3" t="inlineStr">
        <is>
          <t>—</t>
        </is>
      </c>
      <c r="M430" s="3" t="inlineStr">
        <is>
          <t>—</t>
        </is>
      </c>
      <c r="N430" s="3" t="inlineStr">
        <is>
          <t>—</t>
        </is>
      </c>
      <c r="O430" s="3" t="inlineStr">
        <is>
          <t>—</t>
        </is>
      </c>
      <c r="P430" s="3" t="inlineStr">
        <is>
          <t>—</t>
        </is>
      </c>
      <c r="Q430" s="3" t="inlineStr">
        <is>
          <t>上游含 Y1,Y4,Y5,Y6,Y7,Y8</t>
        </is>
      </c>
      <c r="R430" s="3" t="inlineStr">
        <is>
          <t>—</t>
        </is>
      </c>
      <c r="S430" s="3" t="inlineStr">
        <is>
          <t>Y1,Y4,Y5,Y6,Y7,Y8</t>
        </is>
      </c>
      <c r="T430" s="3" t="inlineStr"/>
      <c r="U430" s="3" t="n">
        <v>3</v>
      </c>
      <c r="V430" s="3" t="inlineStr"/>
      <c r="W430" s="3" t="inlineStr">
        <is>
          <t>資訊（只有 L8）</t>
        </is>
      </c>
    </row>
    <row r="431">
      <c r="A431" s="3" t="inlineStr">
        <is>
          <t>Interface</t>
        </is>
      </c>
      <c r="B431" s="3" t="n">
        <v>188</v>
      </c>
      <c r="C431" s="3" t="inlineStr">
        <is>
          <t>Astra（頂層）｜有效 50% 時間範圍（層級基準 × 時間範圍倍數；現行）　[IF_HzEff_Astra]</t>
        </is>
      </c>
      <c r="D431" s="3" t="inlineStr">
        <is>
          <t>hr</t>
        </is>
      </c>
      <c r="E431" s="3" t="n">
        <v>10</v>
      </c>
      <c r="F431" s="3" t="n">
        <v>6</v>
      </c>
      <c r="G431" s="3" t="inlineStr">
        <is>
          <t>C188</t>
        </is>
      </c>
      <c r="H431" s="3">
        <f>Harness!C162</f>
        <v/>
      </c>
      <c r="I431" s="3" t="n">
        <v>16</v>
      </c>
      <c r="J431" s="3" t="inlineStr">
        <is>
          <t>—</t>
        </is>
      </c>
      <c r="K431" s="3" t="inlineStr">
        <is>
          <t>—</t>
        </is>
      </c>
      <c r="L431" s="3" t="inlineStr">
        <is>
          <t>—</t>
        </is>
      </c>
      <c r="M431" s="3" t="inlineStr">
        <is>
          <t>—</t>
        </is>
      </c>
      <c r="N431" s="3" t="inlineStr">
        <is>
          <t>—</t>
        </is>
      </c>
      <c r="O431" s="3" t="inlineStr">
        <is>
          <t>—</t>
        </is>
      </c>
      <c r="P431" s="3" t="inlineStr">
        <is>
          <t>—</t>
        </is>
      </c>
      <c r="Q431" s="3" t="inlineStr">
        <is>
          <t>—</t>
        </is>
      </c>
      <c r="R431" s="3" t="inlineStr">
        <is>
          <t>—</t>
        </is>
      </c>
      <c r="S431" s="3" t="inlineStr"/>
      <c r="T431" s="3" t="inlineStr"/>
      <c r="U431" s="3" t="n">
        <v>3</v>
      </c>
      <c r="V431" s="3" t="inlineStr"/>
      <c r="W431" s="3" t="inlineStr">
        <is>
          <t>—</t>
        </is>
      </c>
    </row>
    <row r="432">
      <c r="A432" s="3" t="inlineStr">
        <is>
          <t>Interface</t>
        </is>
      </c>
      <c r="B432" s="3" t="n">
        <v>189</v>
      </c>
      <c r="C432" s="3" t="inlineStr">
        <is>
          <t>可靠度下限 p_min（M1 (b)）　[IF_PFloor]</t>
        </is>
      </c>
      <c r="D432" s="3" t="inlineStr">
        <is>
          <t>%</t>
        </is>
      </c>
      <c r="E432" s="3" t="n">
        <v>6</v>
      </c>
      <c r="F432" s="3" t="n">
        <v>6</v>
      </c>
      <c r="G432" s="3" t="inlineStr">
        <is>
          <t>C189</t>
        </is>
      </c>
      <c r="H432" s="3">
        <f>B5_PFloor</f>
        <v/>
      </c>
      <c r="I432" s="3" t="n">
        <v>0.5</v>
      </c>
      <c r="J432" s="3" t="inlineStr">
        <is>
          <t>—</t>
        </is>
      </c>
      <c r="K432" s="3" t="inlineStr">
        <is>
          <t>—</t>
        </is>
      </c>
      <c r="L432" s="3" t="inlineStr">
        <is>
          <t>—</t>
        </is>
      </c>
      <c r="M432" s="3" t="inlineStr">
        <is>
          <t>—</t>
        </is>
      </c>
      <c r="N432" s="3" t="inlineStr">
        <is>
          <t>—</t>
        </is>
      </c>
      <c r="O432" s="3" t="inlineStr">
        <is>
          <t>—</t>
        </is>
      </c>
      <c r="P432" s="3" t="inlineStr">
        <is>
          <t>—</t>
        </is>
      </c>
      <c r="Q432" s="3" t="inlineStr">
        <is>
          <t>—</t>
        </is>
      </c>
      <c r="R432" s="3" t="inlineStr">
        <is>
          <t>—</t>
        </is>
      </c>
      <c r="S432" s="3" t="inlineStr"/>
      <c r="T432" s="3" t="inlineStr"/>
      <c r="U432" s="3" t="n">
        <v>3</v>
      </c>
      <c r="V432" s="3" t="inlineStr"/>
      <c r="W432" s="3" t="inlineStr">
        <is>
          <t>—</t>
        </is>
      </c>
    </row>
    <row r="433">
      <c r="A433" s="3" t="inlineStr">
        <is>
          <t>Interface</t>
        </is>
      </c>
      <c r="B433" s="3" t="n">
        <v>190</v>
      </c>
      <c r="C433" s="3" t="inlineStr">
        <is>
          <t>成功任務成本前緣 — VR200（p ≥ p_min；3 層級 × 標準／選定檔案）　[IF_FrontSuccVR]</t>
        </is>
      </c>
      <c r="D433" s="3" t="inlineStr">
        <is>
          <t>$</t>
        </is>
      </c>
      <c r="E433" s="3" t="n">
        <v>10</v>
      </c>
      <c r="F433" s="3" t="n">
        <v>6</v>
      </c>
      <c r="G433" s="3" t="inlineStr">
        <is>
          <t>C190</t>
        </is>
      </c>
      <c r="H433" s="3">
        <f>Harness!C151</f>
        <v/>
      </c>
      <c r="I433" s="3" t="n">
        <v>0.000102</v>
      </c>
      <c r="J433" s="3" t="inlineStr">
        <is>
          <t>—</t>
        </is>
      </c>
      <c r="K433" s="3" t="inlineStr">
        <is>
          <t>—</t>
        </is>
      </c>
      <c r="L433" s="3" t="inlineStr">
        <is>
          <t>—</t>
        </is>
      </c>
      <c r="M433" s="3" t="inlineStr">
        <is>
          <t>—</t>
        </is>
      </c>
      <c r="N433" s="3" t="inlineStr">
        <is>
          <t>—</t>
        </is>
      </c>
      <c r="O433" s="3" t="inlineStr">
        <is>
          <t>—</t>
        </is>
      </c>
      <c r="P433" s="3" t="inlineStr">
        <is>
          <t>—</t>
        </is>
      </c>
      <c r="Q433" s="3" t="inlineStr">
        <is>
          <t>上游含 Y1,Y4,Y5,Y6,Y7,Y8</t>
        </is>
      </c>
      <c r="R433" s="3" t="inlineStr">
        <is>
          <t>—</t>
        </is>
      </c>
      <c r="S433" s="3" t="inlineStr">
        <is>
          <t>Y1,Y4,Y5,Y6,Y7,Y8</t>
        </is>
      </c>
      <c r="T433" s="3" t="inlineStr"/>
      <c r="U433" s="3" t="n">
        <v>6</v>
      </c>
      <c r="V433" s="3" t="inlineStr"/>
      <c r="W433" s="3" t="inlineStr">
        <is>
          <t>資訊（只有 L8）</t>
        </is>
      </c>
    </row>
    <row r="434">
      <c r="A434" s="3" t="inlineStr">
        <is>
          <t>Interface</t>
        </is>
      </c>
      <c r="B434" s="3" t="n">
        <v>191</v>
      </c>
      <c r="C434" s="3" t="inlineStr">
        <is>
          <t>成功任務成本前緣組合 — VR200（層級｜檔案；『無合格』＝無組合達下限）　[IF_FrontSuccVRName]</t>
        </is>
      </c>
      <c r="D434" s="3" t="n"/>
      <c r="E434" s="3" t="n">
        <v>10</v>
      </c>
      <c r="F434" s="3" t="n">
        <v>6</v>
      </c>
      <c r="G434" s="3" t="inlineStr">
        <is>
          <t>C191</t>
        </is>
      </c>
      <c r="H434" s="3">
        <f>Harness!C152</f>
        <v/>
      </c>
      <c r="I434" s="3" t="inlineStr">
        <is>
          <t>Luna｜標準</t>
        </is>
      </c>
      <c r="J434" s="3" t="inlineStr">
        <is>
          <t>—</t>
        </is>
      </c>
      <c r="K434" s="3" t="inlineStr">
        <is>
          <t>—</t>
        </is>
      </c>
      <c r="L434" s="3" t="inlineStr">
        <is>
          <t>—</t>
        </is>
      </c>
      <c r="M434" s="3" t="inlineStr">
        <is>
          <t>—</t>
        </is>
      </c>
      <c r="N434" s="3" t="inlineStr">
        <is>
          <t>—</t>
        </is>
      </c>
      <c r="O434" s="3" t="inlineStr">
        <is>
          <t>—</t>
        </is>
      </c>
      <c r="P434" s="3" t="inlineStr">
        <is>
          <t>—</t>
        </is>
      </c>
      <c r="Q434" s="3" t="inlineStr">
        <is>
          <t>上游含 Y1,Y4,Y5,Y6,Y7,Y8</t>
        </is>
      </c>
      <c r="R434" s="3" t="inlineStr">
        <is>
          <t>—</t>
        </is>
      </c>
      <c r="S434" s="3" t="inlineStr">
        <is>
          <t>Y1,Y4,Y5,Y6,Y7,Y8</t>
        </is>
      </c>
      <c r="T434" s="3" t="inlineStr"/>
      <c r="U434" s="3" t="n">
        <v>3</v>
      </c>
      <c r="V434" s="3" t="inlineStr"/>
      <c r="W434" s="3" t="inlineStr">
        <is>
          <t>資訊（只有 L8）</t>
        </is>
      </c>
    </row>
    <row r="435">
      <c r="A435" s="3" t="inlineStr">
        <is>
          <t>Interface</t>
        </is>
      </c>
      <c r="B435" s="3" t="n">
        <v>192</v>
      </c>
      <c r="C435" s="3" t="inlineStr">
        <is>
          <t>成功任務成本前緣組合的成功率 p — VR200　[IF_FrontSuccVRP]</t>
        </is>
      </c>
      <c r="D435" s="3" t="inlineStr">
        <is>
          <t>%</t>
        </is>
      </c>
      <c r="E435" s="3" t="n">
        <v>10</v>
      </c>
      <c r="F435" s="3" t="n">
        <v>6</v>
      </c>
      <c r="G435" s="3" t="inlineStr">
        <is>
          <t>C192</t>
        </is>
      </c>
      <c r="H435" s="3">
        <f>Harness!C153</f>
        <v/>
      </c>
      <c r="I435" s="3" t="n">
        <v>0.962244</v>
      </c>
      <c r="J435" s="3" t="inlineStr">
        <is>
          <t>—</t>
        </is>
      </c>
      <c r="K435" s="3" t="inlineStr">
        <is>
          <t>—</t>
        </is>
      </c>
      <c r="L435" s="3" t="inlineStr">
        <is>
          <t>—</t>
        </is>
      </c>
      <c r="M435" s="3" t="inlineStr">
        <is>
          <t>—</t>
        </is>
      </c>
      <c r="N435" s="3" t="inlineStr">
        <is>
          <t>—</t>
        </is>
      </c>
      <c r="O435" s="3" t="inlineStr">
        <is>
          <t>—</t>
        </is>
      </c>
      <c r="P435" s="3" t="inlineStr">
        <is>
          <t>—</t>
        </is>
      </c>
      <c r="Q435" s="3" t="inlineStr">
        <is>
          <t>上游含 Y1,Y4,Y5,Y6,Y7,Y8</t>
        </is>
      </c>
      <c r="R435" s="3" t="inlineStr">
        <is>
          <t>—</t>
        </is>
      </c>
      <c r="S435" s="3" t="inlineStr">
        <is>
          <t>Y1,Y4,Y5,Y6,Y7,Y8</t>
        </is>
      </c>
      <c r="T435" s="3" t="inlineStr"/>
      <c r="U435" s="3" t="n">
        <v>3</v>
      </c>
      <c r="V435" s="3" t="inlineStr"/>
      <c r="W435" s="3" t="inlineStr">
        <is>
          <t>資訊（只有 L8）</t>
        </is>
      </c>
    </row>
    <row r="436">
      <c r="A436" s="3" t="inlineStr">
        <is>
          <t>Interface</t>
        </is>
      </c>
      <c r="B436" s="3" t="n">
        <v>195</v>
      </c>
      <c r="C436" s="3" t="inlineStr">
        <is>
          <t>研發算力占比 Q1（R1：研發 GW ÷ 研發＋服務 GW）　[IF_AllocQ1]</t>
        </is>
      </c>
      <c r="D436" s="3" t="inlineStr">
        <is>
          <t>%</t>
        </is>
      </c>
      <c r="E436" s="3" t="n">
        <v>6</v>
      </c>
      <c r="F436" s="3" t="n">
        <v>6</v>
      </c>
      <c r="G436" s="3" t="inlineStr">
        <is>
          <t>C195</t>
        </is>
      </c>
      <c r="H436" s="3">
        <f>AL_Q1</f>
        <v/>
      </c>
      <c r="I436" s="3" t="n">
        <v>0.331841</v>
      </c>
      <c r="J436" s="3" t="inlineStr">
        <is>
          <t>—</t>
        </is>
      </c>
      <c r="K436" s="3" t="inlineStr">
        <is>
          <t>—</t>
        </is>
      </c>
      <c r="L436" s="3" t="inlineStr">
        <is>
          <t>—</t>
        </is>
      </c>
      <c r="M436" s="3" t="inlineStr">
        <is>
          <t>—</t>
        </is>
      </c>
      <c r="N436" s="3" t="inlineStr">
        <is>
          <t>—</t>
        </is>
      </c>
      <c r="O436" s="3" t="inlineStr">
        <is>
          <t>—</t>
        </is>
      </c>
      <c r="P436" s="3" t="inlineStr">
        <is>
          <t>—</t>
        </is>
      </c>
      <c r="Q436" s="3" t="inlineStr">
        <is>
          <t>上游含 Y1,Y2,Y3,Y5,Y6,Y8</t>
        </is>
      </c>
      <c r="R436" s="3" t="inlineStr">
        <is>
          <t>—</t>
        </is>
      </c>
      <c r="S436" s="3" t="inlineStr">
        <is>
          <t>Y1,Y2,Y3,Y5,Y6,Y8</t>
        </is>
      </c>
      <c r="T436" s="3" t="inlineStr"/>
      <c r="U436" s="3" t="n">
        <v>6</v>
      </c>
      <c r="V436" s="3" t="inlineStr"/>
      <c r="W436" s="3" t="inlineStr">
        <is>
          <t>資訊（只有 L8）</t>
        </is>
      </c>
    </row>
    <row r="437">
      <c r="A437" s="3" t="inlineStr">
        <is>
          <t>Interface</t>
        </is>
      </c>
      <c r="B437" s="3" t="n">
        <v>196</v>
      </c>
      <c r="C437" s="3" t="inlineStr">
        <is>
          <t>研發算力占比 Q1（R2：免費服務算作產品改良）　[IF_AllocQ1_R2]</t>
        </is>
      </c>
      <c r="D437" s="3" t="inlineStr">
        <is>
          <t>%</t>
        </is>
      </c>
      <c r="E437" s="3" t="n">
        <v>6</v>
      </c>
      <c r="F437" s="3" t="n">
        <v>6</v>
      </c>
      <c r="G437" s="3" t="inlineStr">
        <is>
          <t>C196</t>
        </is>
      </c>
      <c r="H437" s="3">
        <f>AL_Q1R2</f>
        <v/>
      </c>
      <c r="I437" s="3" t="n">
        <v>0.419808</v>
      </c>
      <c r="J437" s="3" t="inlineStr">
        <is>
          <t>—</t>
        </is>
      </c>
      <c r="K437" s="3" t="inlineStr">
        <is>
          <t>—</t>
        </is>
      </c>
      <c r="L437" s="3" t="inlineStr">
        <is>
          <t>—</t>
        </is>
      </c>
      <c r="M437" s="3" t="inlineStr">
        <is>
          <t>—</t>
        </is>
      </c>
      <c r="N437" s="3" t="inlineStr">
        <is>
          <t>—</t>
        </is>
      </c>
      <c r="O437" s="3" t="inlineStr">
        <is>
          <t>—</t>
        </is>
      </c>
      <c r="P437" s="3" t="inlineStr">
        <is>
          <t>—</t>
        </is>
      </c>
      <c r="Q437" s="3" t="inlineStr">
        <is>
          <t>上游含 Y1,Y2,Y3,Y5,Y6,Y8</t>
        </is>
      </c>
      <c r="R437" s="3" t="inlineStr">
        <is>
          <t>—</t>
        </is>
      </c>
      <c r="S437" s="3" t="inlineStr">
        <is>
          <t>Y1,Y2,Y3,Y5,Y6,Y8</t>
        </is>
      </c>
      <c r="T437" s="3" t="inlineStr"/>
      <c r="U437" s="3" t="n">
        <v>3</v>
      </c>
      <c r="V437" s="3" t="inlineStr"/>
      <c r="W437" s="3" t="inlineStr">
        <is>
          <t>資訊（只有 L8）</t>
        </is>
      </c>
    </row>
    <row r="438">
      <c r="A438" s="3" t="inlineStr">
        <is>
          <t>Interface</t>
        </is>
      </c>
      <c r="B438" s="3" t="n">
        <v>197</v>
      </c>
      <c r="C438" s="3" t="inlineStr">
        <is>
          <t>研發算力成本占比 Q2（已裝 GW × 各世代每 GW 年持有成本；利用率不進入）　[IF_AllocQ2]</t>
        </is>
      </c>
      <c r="D438" s="3" t="inlineStr">
        <is>
          <t>%</t>
        </is>
      </c>
      <c r="E438" s="3" t="n">
        <v>6</v>
      </c>
      <c r="F438" s="3" t="n">
        <v>6</v>
      </c>
      <c r="G438" s="3" t="inlineStr">
        <is>
          <t>C197</t>
        </is>
      </c>
      <c r="H438" s="3">
        <f>AL_Q2</f>
        <v/>
      </c>
      <c r="I438" s="3" t="n">
        <v>0.393635</v>
      </c>
      <c r="J438" s="3" t="inlineStr">
        <is>
          <t>—</t>
        </is>
      </c>
      <c r="K438" s="3" t="inlineStr">
        <is>
          <t>—</t>
        </is>
      </c>
      <c r="L438" s="3" t="inlineStr">
        <is>
          <t>—</t>
        </is>
      </c>
      <c r="M438" s="3" t="inlineStr">
        <is>
          <t>—</t>
        </is>
      </c>
      <c r="N438" s="3" t="inlineStr">
        <is>
          <t>—</t>
        </is>
      </c>
      <c r="O438" s="3" t="inlineStr">
        <is>
          <t>—</t>
        </is>
      </c>
      <c r="P438" s="3" t="inlineStr">
        <is>
          <t>—</t>
        </is>
      </c>
      <c r="Q438" s="3" t="inlineStr">
        <is>
          <t>上游含 Y1,Y2,Y3,Y4,Y5,Y6,Y7,Y8</t>
        </is>
      </c>
      <c r="R438" s="3" t="inlineStr">
        <is>
          <t>—</t>
        </is>
      </c>
      <c r="S438" s="3" t="inlineStr">
        <is>
          <t>Y1,Y2,Y3,Y4,Y5,Y6,Y7,Y8</t>
        </is>
      </c>
      <c r="T438" s="3" t="inlineStr"/>
      <c r="U438" s="3" t="n">
        <v>6</v>
      </c>
      <c r="V438" s="3" t="inlineStr"/>
      <c r="W438" s="3" t="inlineStr">
        <is>
          <t>資訊（只有 L8）</t>
        </is>
      </c>
    </row>
    <row r="439">
      <c r="A439" s="3" t="inlineStr">
        <is>
          <t>Interface</t>
        </is>
      </c>
      <c r="B439" s="3" t="n">
        <v>198</v>
      </c>
      <c r="C439" s="3" t="inlineStr">
        <is>
          <t>服務 GW 合計（token 路線；付費＋免費；IT 關鍵電力）　[IF_AllocServeGW]</t>
        </is>
      </c>
      <c r="D439" s="3" t="inlineStr">
        <is>
          <t>GW</t>
        </is>
      </c>
      <c r="E439" s="3" t="n">
        <v>6</v>
      </c>
      <c r="F439" s="3" t="n">
        <v>6</v>
      </c>
      <c r="G439" s="3" t="inlineStr">
        <is>
          <t>C198</t>
        </is>
      </c>
      <c r="H439" s="3">
        <f>AL_ServeGW</f>
        <v/>
      </c>
      <c r="I439" s="3" t="n">
        <v>0.182593</v>
      </c>
      <c r="J439" s="3" t="inlineStr">
        <is>
          <t>—</t>
        </is>
      </c>
      <c r="K439" s="3" t="inlineStr">
        <is>
          <t>—</t>
        </is>
      </c>
      <c r="L439" s="3" t="inlineStr">
        <is>
          <t>—</t>
        </is>
      </c>
      <c r="M439" s="3" t="inlineStr">
        <is>
          <t>—</t>
        </is>
      </c>
      <c r="N439" s="3" t="inlineStr">
        <is>
          <t>—</t>
        </is>
      </c>
      <c r="O439" s="3" t="inlineStr">
        <is>
          <t>—</t>
        </is>
      </c>
      <c r="P439" s="3" t="inlineStr">
        <is>
          <t>—</t>
        </is>
      </c>
      <c r="Q439" s="3" t="inlineStr">
        <is>
          <t>上游含 Y1,Y2,Y3,Y5,Y6,Y8</t>
        </is>
      </c>
      <c r="R439" s="3" t="inlineStr">
        <is>
          <t>—</t>
        </is>
      </c>
      <c r="S439" s="3" t="inlineStr">
        <is>
          <t>Y1,Y2,Y3,Y5,Y6,Y8</t>
        </is>
      </c>
      <c r="T439" s="3" t="inlineStr"/>
      <c r="U439" s="3" t="n">
        <v>6</v>
      </c>
      <c r="V439" s="3" t="inlineStr"/>
      <c r="W439" s="3" t="inlineStr">
        <is>
          <t>資訊（只有 L8）</t>
        </is>
      </c>
    </row>
    <row r="440">
      <c r="A440" s="3" t="inlineStr">
        <is>
          <t>Interface</t>
        </is>
      </c>
      <c r="B440" s="3" t="n">
        <v>199</v>
      </c>
      <c r="C440" s="3" t="inlineStr">
        <is>
          <t>研發 GW 年（k ×（N_major × 家族＋N_refresh × 改版）；訓練世代＝IF_TrainGenDefault）　[IF_AllocRDGW]</t>
        </is>
      </c>
      <c r="D440" s="3" t="inlineStr">
        <is>
          <t>GW·年</t>
        </is>
      </c>
      <c r="E440" s="3" t="n">
        <v>6</v>
      </c>
      <c r="F440" s="3" t="n">
        <v>6</v>
      </c>
      <c r="G440" s="3" t="inlineStr">
        <is>
          <t>C199</t>
        </is>
      </c>
      <c r="H440" s="3">
        <f>AL_RDGW</f>
        <v/>
      </c>
      <c r="I440" s="3" t="n">
        <v>0.090685</v>
      </c>
      <c r="J440" s="3" t="inlineStr">
        <is>
          <t>—</t>
        </is>
      </c>
      <c r="K440" s="3" t="inlineStr">
        <is>
          <t>—</t>
        </is>
      </c>
      <c r="L440" s="3" t="inlineStr">
        <is>
          <t>—</t>
        </is>
      </c>
      <c r="M440" s="3" t="inlineStr">
        <is>
          <t>—</t>
        </is>
      </c>
      <c r="N440" s="3" t="inlineStr">
        <is>
          <t>—</t>
        </is>
      </c>
      <c r="O440" s="3" t="inlineStr">
        <is>
          <t>—</t>
        </is>
      </c>
      <c r="P440" s="3" t="inlineStr">
        <is>
          <t>—</t>
        </is>
      </c>
      <c r="Q440" s="3" t="inlineStr">
        <is>
          <t>上游含 Y1,Y5,Y8</t>
        </is>
      </c>
      <c r="R440" s="3" t="inlineStr">
        <is>
          <t>—</t>
        </is>
      </c>
      <c r="S440" s="3" t="inlineStr">
        <is>
          <t>Y1,Y5,Y8</t>
        </is>
      </c>
      <c r="T440" s="3" t="inlineStr"/>
      <c r="U440" s="3" t="n">
        <v>3</v>
      </c>
      <c r="V440" s="3" t="inlineStr"/>
      <c r="W440" s="3" t="inlineStr">
        <is>
          <t>資訊（只有 L8）</t>
        </is>
      </c>
    </row>
    <row r="441">
      <c r="A441" s="3" t="inlineStr">
        <is>
          <t>Interface</t>
        </is>
      </c>
      <c r="B441" s="3" t="n">
        <v>200</v>
      </c>
      <c r="C441" s="3" t="inlineStr">
        <is>
          <t>需求 D 合計（API＋ChatGPT；付費＋免費 token；2025）　[IF_AllocDemand]</t>
        </is>
      </c>
      <c r="D441" s="3" t="inlineStr">
        <is>
          <t>M tok/年</t>
        </is>
      </c>
      <c r="E441" s="3" t="n">
        <v>6</v>
      </c>
      <c r="F441" s="3" t="n">
        <v>6</v>
      </c>
      <c r="G441" s="3" t="inlineStr">
        <is>
          <t>C200</t>
        </is>
      </c>
      <c r="H441" s="3">
        <f>AL_D</f>
        <v/>
      </c>
      <c r="I441" s="3" t="n">
        <v>6015200000</v>
      </c>
      <c r="J441" s="3" t="inlineStr">
        <is>
          <t>—</t>
        </is>
      </c>
      <c r="K441" s="3" t="inlineStr">
        <is>
          <t>—</t>
        </is>
      </c>
      <c r="L441" s="3" t="inlineStr">
        <is>
          <t>—</t>
        </is>
      </c>
      <c r="M441" s="3" t="inlineStr">
        <is>
          <t>—</t>
        </is>
      </c>
      <c r="N441" s="3" t="inlineStr">
        <is>
          <t>—</t>
        </is>
      </c>
      <c r="O441" s="3" t="inlineStr">
        <is>
          <t>—</t>
        </is>
      </c>
      <c r="P441" s="3" t="inlineStr">
        <is>
          <t>—</t>
        </is>
      </c>
      <c r="Q441" s="3" t="inlineStr">
        <is>
          <t>上游含 Y3,Y6</t>
        </is>
      </c>
      <c r="R441" s="3" t="inlineStr">
        <is>
          <t>—</t>
        </is>
      </c>
      <c r="S441" s="3" t="inlineStr">
        <is>
          <t>Y3,Y6</t>
        </is>
      </c>
      <c r="T441" s="3" t="inlineStr"/>
      <c r="U441" s="3" t="n">
        <v>3</v>
      </c>
      <c r="V441" s="3" t="inlineStr"/>
      <c r="W441" s="3" t="inlineStr">
        <is>
          <t>資訊（只有 L8）</t>
        </is>
      </c>
    </row>
    <row r="442">
      <c r="A442" s="3" t="inlineStr">
        <is>
          <t>Interface</t>
        </is>
      </c>
      <c r="B442" s="3" t="n">
        <v>201</v>
      </c>
      <c r="C442" s="3" t="inlineStr">
        <is>
          <t>隱含 N × k（2025 支出比反推；以家族計畫當量；A3）　[IF_AllocImpliedNk]</t>
        </is>
      </c>
      <c r="D442" s="3" t="inlineStr">
        <is>
          <t>個</t>
        </is>
      </c>
      <c r="E442" s="3" t="n">
        <v>6</v>
      </c>
      <c r="F442" s="3" t="n">
        <v>6</v>
      </c>
      <c r="G442" s="3" t="inlineStr">
        <is>
          <t>C201</t>
        </is>
      </c>
      <c r="H442" s="3">
        <f>AL_ImpliedNk</f>
        <v/>
      </c>
      <c r="I442" s="3" t="n">
        <v>5.362444</v>
      </c>
      <c r="J442" s="3" t="inlineStr">
        <is>
          <t>—</t>
        </is>
      </c>
      <c r="K442" s="3" t="inlineStr">
        <is>
          <t>—</t>
        </is>
      </c>
      <c r="L442" s="3" t="inlineStr">
        <is>
          <t>—</t>
        </is>
      </c>
      <c r="M442" s="3" t="inlineStr">
        <is>
          <t>—</t>
        </is>
      </c>
      <c r="N442" s="3" t="inlineStr">
        <is>
          <t>—</t>
        </is>
      </c>
      <c r="O442" s="3" t="inlineStr">
        <is>
          <t>[G20] IF_AllocImpliedNk：列標籤自述「2025 支出比反推」（明示倒推）</t>
        </is>
      </c>
      <c r="P442" s="3" t="inlineStr">
        <is>
          <t>—</t>
        </is>
      </c>
      <c r="Q442" s="3" t="inlineStr">
        <is>
          <t>上游含 Y1,Y2,Y3,Y5,Y6,Y8</t>
        </is>
      </c>
      <c r="R442" s="3" t="inlineStr">
        <is>
          <t>—</t>
        </is>
      </c>
      <c r="S442" s="3" t="inlineStr">
        <is>
          <t>Y1,Y2,Y3,Y5,Y6,Y8</t>
        </is>
      </c>
      <c r="T442" s="3" t="inlineStr"/>
      <c r="U442" s="3" t="n">
        <v>3</v>
      </c>
      <c r="V442" s="3" t="inlineStr">
        <is>
          <t>G20</t>
        </is>
      </c>
      <c r="W442" s="3" t="inlineStr">
        <is>
          <t>低</t>
        </is>
      </c>
    </row>
    <row r="443">
      <c r="A443" s="3" t="inlineStr">
        <is>
          <t>Interface</t>
        </is>
      </c>
      <c r="B443" s="3" t="n">
        <v>204</v>
      </c>
      <c r="C443" s="3" t="inlineStr">
        <is>
          <t>全成本 $/M（服務＋快取儲存＋自下而上攤提；基準利用率）（生產折減 CTL_ProdDerate）　[IF_FullCost_Luna_Prod]</t>
        </is>
      </c>
      <c r="D443" s="3" t="inlineStr">
        <is>
          <t>$/M</t>
        </is>
      </c>
      <c r="E443" s="3" t="n">
        <v>20</v>
      </c>
      <c r="F443" s="3" t="n">
        <v>6</v>
      </c>
      <c r="G443" s="3" t="inlineStr">
        <is>
          <t>C204</t>
        </is>
      </c>
      <c r="H443" s="3">
        <f>Theory_Rev_Prod!C18</f>
        <v/>
      </c>
      <c r="I443" s="3" t="n">
        <v>0.199224</v>
      </c>
      <c r="J443" s="3" t="inlineStr">
        <is>
          <t>—</t>
        </is>
      </c>
      <c r="K443" s="3" t="inlineStr">
        <is>
          <t>[G03] IF_FullCost_*_Prod 來自 Theory_Rev_Prod（重解 SLO），與 IFW_TokGW_*_Prod（線性）並存</t>
        </is>
      </c>
      <c r="L443" s="3" t="inlineStr">
        <is>
          <t>—</t>
        </is>
      </c>
      <c r="M443" s="3" t="inlineStr">
        <is>
          <t>—</t>
        </is>
      </c>
      <c r="N443" s="3" t="inlineStr">
        <is>
          <t>—</t>
        </is>
      </c>
      <c r="O443" s="3" t="inlineStr">
        <is>
          <t>—</t>
        </is>
      </c>
      <c r="P443" s="3" t="inlineStr">
        <is>
          <t>—</t>
        </is>
      </c>
      <c r="Q443" s="3" t="inlineStr">
        <is>
          <t>上游含 Y1,Y2,Y3,Y4,Y5,Y6,Y7,Y8</t>
        </is>
      </c>
      <c r="R443" s="3" t="inlineStr">
        <is>
          <t>—</t>
        </is>
      </c>
      <c r="S443" s="3" t="inlineStr">
        <is>
          <t>Y1,Y2,Y3,Y4,Y5,Y6,Y7,Y8</t>
        </is>
      </c>
      <c r="T443" s="3" t="inlineStr"/>
      <c r="U443" s="3" t="n">
        <v>3</v>
      </c>
      <c r="V443" s="3" t="inlineStr">
        <is>
          <t>G03</t>
        </is>
      </c>
      <c r="W443" s="3" t="inlineStr">
        <is>
          <t>中</t>
        </is>
      </c>
    </row>
    <row r="444">
      <c r="A444" s="3" t="inlineStr">
        <is>
          <t>Interface</t>
        </is>
      </c>
      <c r="B444" s="3" t="n">
        <v>205</v>
      </c>
      <c r="C444" s="3" t="inlineStr">
        <is>
          <t>全成本 $/M（服務＋快取儲存＋自下而上攤提；基準利用率）（生產折減 CTL_ProdDerate）　[IF_FullCost_Sol_Prod]</t>
        </is>
      </c>
      <c r="D444" s="3" t="inlineStr">
        <is>
          <t>$/M</t>
        </is>
      </c>
      <c r="E444" s="3" t="n">
        <v>20</v>
      </c>
      <c r="F444" s="3" t="n">
        <v>6</v>
      </c>
      <c r="G444" s="3" t="inlineStr">
        <is>
          <t>C205</t>
        </is>
      </c>
      <c r="H444" s="3">
        <f>Theory_Rev_Prod!C36</f>
        <v/>
      </c>
      <c r="I444" s="3" t="n">
        <v>0.768864</v>
      </c>
      <c r="J444" s="3" t="inlineStr">
        <is>
          <t>—</t>
        </is>
      </c>
      <c r="K444" s="3" t="inlineStr">
        <is>
          <t>[G03] IF_FullCost_*_Prod 來自 Theory_Rev_Prod（重解 SLO），與 IFW_TokGW_*_Prod（線性）並存</t>
        </is>
      </c>
      <c r="L444" s="3" t="inlineStr">
        <is>
          <t>—</t>
        </is>
      </c>
      <c r="M444" s="3" t="inlineStr">
        <is>
          <t>—</t>
        </is>
      </c>
      <c r="N444" s="3" t="inlineStr">
        <is>
          <t>—</t>
        </is>
      </c>
      <c r="O444" s="3" t="inlineStr">
        <is>
          <t>—</t>
        </is>
      </c>
      <c r="P444" s="3" t="inlineStr">
        <is>
          <t>—</t>
        </is>
      </c>
      <c r="Q444" s="3" t="inlineStr">
        <is>
          <t>上游含 Y1,Y2,Y3,Y4,Y5,Y6,Y7,Y8</t>
        </is>
      </c>
      <c r="R444" s="3" t="inlineStr">
        <is>
          <t>—</t>
        </is>
      </c>
      <c r="S444" s="3" t="inlineStr">
        <is>
          <t>Y1,Y2,Y3,Y4,Y5,Y6,Y7,Y8</t>
        </is>
      </c>
      <c r="T444" s="3" t="inlineStr"/>
      <c r="U444" s="3" t="n">
        <v>3</v>
      </c>
      <c r="V444" s="3" t="inlineStr">
        <is>
          <t>G03</t>
        </is>
      </c>
      <c r="W444" s="3" t="inlineStr">
        <is>
          <t>中</t>
        </is>
      </c>
    </row>
    <row r="445">
      <c r="A445" s="3" t="inlineStr">
        <is>
          <t>Interface</t>
        </is>
      </c>
      <c r="B445" s="3" t="n">
        <v>206</v>
      </c>
      <c r="C445" s="3" t="inlineStr">
        <is>
          <t>全成本 $/M（服務＋快取儲存＋自下而上攤提；基準利用率）（生產折減 CTL_ProdDerate）　[IF_FullCost_Astra_Prod]</t>
        </is>
      </c>
      <c r="D445" s="3" t="inlineStr">
        <is>
          <t>$/M</t>
        </is>
      </c>
      <c r="E445" s="3" t="n">
        <v>20</v>
      </c>
      <c r="F445" s="3" t="n">
        <v>6</v>
      </c>
      <c r="G445" s="3" t="inlineStr">
        <is>
          <t>C206</t>
        </is>
      </c>
      <c r="H445" s="3">
        <f>Theory_Rev_Prod!C54</f>
        <v/>
      </c>
      <c r="I445" s="3" t="n">
        <v>13.818713</v>
      </c>
      <c r="J445" s="3" t="inlineStr">
        <is>
          <t>—</t>
        </is>
      </c>
      <c r="K445" s="3" t="inlineStr">
        <is>
          <t>[G03] IF_FullCost_*_Prod 來自 Theory_Rev_Prod（重解 SLO），與 IFW_TokGW_*_Prod（線性）並存</t>
        </is>
      </c>
      <c r="L445" s="3" t="inlineStr">
        <is>
          <t>—</t>
        </is>
      </c>
      <c r="M445" s="3" t="inlineStr">
        <is>
          <t>—</t>
        </is>
      </c>
      <c r="N445" s="3" t="inlineStr">
        <is>
          <t>—</t>
        </is>
      </c>
      <c r="O445" s="3" t="inlineStr">
        <is>
          <t>—</t>
        </is>
      </c>
      <c r="P445" s="3" t="inlineStr">
        <is>
          <t>—</t>
        </is>
      </c>
      <c r="Q445" s="3" t="inlineStr">
        <is>
          <t>上游含 Y1,Y2,Y3,Y4,Y5,Y6,Y7,Y8</t>
        </is>
      </c>
      <c r="R445" s="3" t="inlineStr">
        <is>
          <t>—</t>
        </is>
      </c>
      <c r="S445" s="3" t="inlineStr">
        <is>
          <t>Y1,Y2,Y3,Y4,Y5,Y6,Y7,Y8</t>
        </is>
      </c>
      <c r="T445" s="3" t="inlineStr"/>
      <c r="U445" s="3" t="n">
        <v>3</v>
      </c>
      <c r="V445" s="3" t="inlineStr">
        <is>
          <t>G03</t>
        </is>
      </c>
      <c r="W445" s="3" t="inlineStr">
        <is>
          <t>中</t>
        </is>
      </c>
    </row>
    <row r="446">
      <c r="A446" s="3" t="inlineStr">
        <is>
          <t>Interface</t>
        </is>
      </c>
      <c r="B446" s="3" t="n">
        <v>213</v>
      </c>
      <c r="C446" s="3" t="inlineStr">
        <is>
          <t>每 GW 理論營收 — OpenAI 有效單價（理想上限）（× L × m）　[IF_RevGW_Luna_Life]</t>
        </is>
      </c>
      <c r="D446" s="3" t="inlineStr">
        <is>
          <t>$B/年</t>
        </is>
      </c>
      <c r="E446" s="3" t="n">
        <v>20</v>
      </c>
      <c r="F446" s="3" t="n">
        <v>6</v>
      </c>
      <c r="G446" s="3" t="inlineStr">
        <is>
          <t>C213</t>
        </is>
      </c>
      <c r="H446" s="3">
        <f>Theory_Rev!C90</f>
        <v/>
      </c>
      <c r="I446" s="3" t="n">
        <v>3.571029</v>
      </c>
      <c r="J446" s="3" t="inlineStr">
        <is>
          <t>—</t>
        </is>
      </c>
      <c r="K446" s="3" t="inlineStr">
        <is>
          <t>—</t>
        </is>
      </c>
      <c r="L446" s="3" t="inlineStr">
        <is>
          <t>—</t>
        </is>
      </c>
      <c r="M446" s="3" t="inlineStr">
        <is>
          <t>[G04] IF_RevGW_*_Life＝Theory_Rev D 節 × L × m（不含生產折減）；同為契約名稱的 IFW_RevGW_*_Life（第 236／241／246／251 列）含重解折減。兩組 _Life 比值 0.49–0.81（Hopper Astra 0.486、Fleet Hopper 0.560、VR200 Sol 0.808）（第 2 段 F10 已列並存，本段量化）</t>
        </is>
      </c>
      <c r="N446" s="3" t="inlineStr">
        <is>
          <t>—</t>
        </is>
      </c>
      <c r="O446" s="3" t="inlineStr">
        <is>
          <t>—</t>
        </is>
      </c>
      <c r="P446" s="3" t="inlineStr">
        <is>
          <t>[G06] 單一層級列不可達時輸出 0（數值）而非文字；與組合列的文字處理方式相反（第 2 段 F09）</t>
        </is>
      </c>
      <c r="Q446" s="3" t="inlineStr">
        <is>
          <t>上游含 Y1,Y2,Y5,Y6,Y8</t>
        </is>
      </c>
      <c r="R446" s="3" t="inlineStr">
        <is>
          <t>—</t>
        </is>
      </c>
      <c r="S446" s="3" t="inlineStr">
        <is>
          <t>Y1,Y2,Y5,Y6,Y8</t>
        </is>
      </c>
      <c r="T446" s="3" t="inlineStr"/>
      <c r="U446" s="3" t="n">
        <v>18</v>
      </c>
      <c r="V446" s="3" t="inlineStr">
        <is>
          <t>G04,G06</t>
        </is>
      </c>
      <c r="W446" s="3" t="inlineStr">
        <is>
          <t>高</t>
        </is>
      </c>
    </row>
    <row r="447">
      <c r="A447" s="3" t="inlineStr">
        <is>
          <t>Interface</t>
        </is>
      </c>
      <c r="B447" s="3" t="n">
        <v>214</v>
      </c>
      <c r="C447" s="3" t="inlineStr">
        <is>
          <t>每 GW 理論營收 — OpenAI 有效單價（理想上限）（× L × m）　[IF_RevGW_Sol_Life]</t>
        </is>
      </c>
      <c r="D447" s="3" t="inlineStr">
        <is>
          <t>$B/年</t>
        </is>
      </c>
      <c r="E447" s="3" t="n">
        <v>20</v>
      </c>
      <c r="F447" s="3" t="n">
        <v>6</v>
      </c>
      <c r="G447" s="3" t="inlineStr">
        <is>
          <t>C214</t>
        </is>
      </c>
      <c r="H447" s="3">
        <f>Theory_Rev!C91</f>
        <v/>
      </c>
      <c r="I447" s="3" t="n">
        <v>20.722505</v>
      </c>
      <c r="J447" s="3" t="inlineStr">
        <is>
          <t>—</t>
        </is>
      </c>
      <c r="K447" s="3" t="inlineStr">
        <is>
          <t>—</t>
        </is>
      </c>
      <c r="L447" s="3" t="inlineStr">
        <is>
          <t>—</t>
        </is>
      </c>
      <c r="M447" s="3" t="inlineStr">
        <is>
          <t>[G04] IF_RevGW_*_Life＝Theory_Rev D 節 × L × m（不含生產折減）；同為契約名稱的 IFW_RevGW_*_Life（第 236／241／246／251 列）含重解折減。兩組 _Life 比值 0.49–0.81（Hopper Astra 0.486、Fleet Hopper 0.560、VR200 Sol 0.808）（第 2 段 F10 已列並存，本段量化）</t>
        </is>
      </c>
      <c r="N447" s="3" t="inlineStr">
        <is>
          <t>—</t>
        </is>
      </c>
      <c r="O447" s="3" t="inlineStr">
        <is>
          <t>—</t>
        </is>
      </c>
      <c r="P447" s="3" t="inlineStr">
        <is>
          <t>[G06] 單一層級列不可達時輸出 0（數值）而非文字；與組合列的文字處理方式相反（第 2 段 F09）</t>
        </is>
      </c>
      <c r="Q447" s="3" t="inlineStr">
        <is>
          <t>上游含 Y1,Y2,Y5,Y6,Y8</t>
        </is>
      </c>
      <c r="R447" s="3" t="inlineStr">
        <is>
          <t>—</t>
        </is>
      </c>
      <c r="S447" s="3" t="inlineStr">
        <is>
          <t>Y1,Y2,Y5,Y6,Y8</t>
        </is>
      </c>
      <c r="T447" s="3" t="inlineStr"/>
      <c r="U447" s="3" t="n">
        <v>18</v>
      </c>
      <c r="V447" s="3" t="inlineStr">
        <is>
          <t>G04,G06</t>
        </is>
      </c>
      <c r="W447" s="3" t="inlineStr">
        <is>
          <t>高</t>
        </is>
      </c>
    </row>
    <row r="448">
      <c r="A448" s="3" t="inlineStr">
        <is>
          <t>Interface</t>
        </is>
      </c>
      <c r="B448" s="3" t="n">
        <v>215</v>
      </c>
      <c r="C448" s="3" t="inlineStr">
        <is>
          <t>每 GW 理論營收 — OpenAI 有效單價（理想上限）（× L × m）　[IF_RevGW_Astra_Life]</t>
        </is>
      </c>
      <c r="D448" s="3" t="inlineStr">
        <is>
          <t>$B/年</t>
        </is>
      </c>
      <c r="E448" s="3" t="n">
        <v>20</v>
      </c>
      <c r="F448" s="3" t="n">
        <v>6</v>
      </c>
      <c r="G448" s="3" t="inlineStr">
        <is>
          <t>C215</t>
        </is>
      </c>
      <c r="H448" s="3">
        <f>Theory_Rev!C92</f>
        <v/>
      </c>
      <c r="I448" s="3" t="n">
        <v>18.689987</v>
      </c>
      <c r="J448" s="3" t="inlineStr">
        <is>
          <t>—</t>
        </is>
      </c>
      <c r="K448" s="3" t="inlineStr">
        <is>
          <t>—</t>
        </is>
      </c>
      <c r="L448" s="3" t="inlineStr">
        <is>
          <t>—</t>
        </is>
      </c>
      <c r="M448" s="3" t="inlineStr">
        <is>
          <t>[G04] IF_RevGW_*_Life＝Theory_Rev D 節 × L × m（不含生產折減）；同為契約名稱的 IFW_RevGW_*_Life（第 236／241／246／251 列）含重解折減。兩組 _Life 比值 0.49–0.81（Hopper Astra 0.486、Fleet Hopper 0.560、VR200 Sol 0.808）（第 2 段 F10 已列並存，本段量化）</t>
        </is>
      </c>
      <c r="N448" s="3" t="inlineStr">
        <is>
          <t>—</t>
        </is>
      </c>
      <c r="O448" s="3" t="inlineStr">
        <is>
          <t>—</t>
        </is>
      </c>
      <c r="P448" s="3" t="inlineStr">
        <is>
          <t>[G06] 單一層級列不可達時輸出 0（數值）而非文字；與組合列的文字處理方式相反（第 2 段 F09）</t>
        </is>
      </c>
      <c r="Q448" s="3" t="inlineStr">
        <is>
          <t>上游含 Y1,Y2,Y5,Y6,Y8</t>
        </is>
      </c>
      <c r="R448" s="3" t="inlineStr">
        <is>
          <t>—</t>
        </is>
      </c>
      <c r="S448" s="3" t="inlineStr">
        <is>
          <t>Y1,Y2,Y5,Y6,Y8</t>
        </is>
      </c>
      <c r="T448" s="3" t="inlineStr"/>
      <c r="U448" s="3" t="n">
        <v>18</v>
      </c>
      <c r="V448" s="3" t="inlineStr">
        <is>
          <t>G04,G06</t>
        </is>
      </c>
      <c r="W448" s="3" t="inlineStr">
        <is>
          <t>高</t>
        </is>
      </c>
    </row>
    <row r="449">
      <c r="A449" s="3" t="inlineStr">
        <is>
          <t>Interface</t>
        </is>
      </c>
      <c r="B449" s="3" t="n">
        <v>216</v>
      </c>
      <c r="C449" s="3" t="inlineStr">
        <is>
          <t>付費服務營收合計（層級組合）— OpenAI 有效單價（理想上限）（× L × m）　[IF_RevGWFleet_Life]</t>
        </is>
      </c>
      <c r="D449" s="3" t="inlineStr">
        <is>
          <t>$B/年</t>
        </is>
      </c>
      <c r="E449" s="3" t="n">
        <v>20</v>
      </c>
      <c r="F449" s="3" t="n">
        <v>6</v>
      </c>
      <c r="G449" s="3" t="inlineStr">
        <is>
          <t>C216</t>
        </is>
      </c>
      <c r="H449" s="3">
        <f>Theory_Rev!C93</f>
        <v/>
      </c>
      <c r="I449" s="3" t="n">
        <v>4.004888</v>
      </c>
      <c r="J449" s="3" t="inlineStr">
        <is>
          <t>—</t>
        </is>
      </c>
      <c r="K449" s="3" t="inlineStr">
        <is>
          <t>—</t>
        </is>
      </c>
      <c r="L449" s="3" t="inlineStr">
        <is>
          <t>—</t>
        </is>
      </c>
      <c r="M449" s="3" t="inlineStr">
        <is>
          <t>[G04] IF_RevGW_*_Life＝Theory_Rev D 節 × L × m（不含生產折減）；同為契約名稱的 IFW_RevGW_*_Life（第 236／241／246／251 列）含重解折減。兩組 _Life 比值 0.49–0.81（Hopper Astra 0.486、Fleet Hopper 0.560、VR200 Sol 0.808）（第 2 段 F10 已列並存，本段量化）</t>
        </is>
      </c>
      <c r="N449" s="3" t="inlineStr">
        <is>
          <t>—</t>
        </is>
      </c>
      <c r="O449" s="3" t="inlineStr">
        <is>
          <t>—</t>
        </is>
      </c>
      <c r="P449" s="3" t="inlineStr">
        <is>
          <t>—</t>
        </is>
      </c>
      <c r="Q449" s="3" t="inlineStr">
        <is>
          <t>上游含 Y1,Y2,Y3,Y5,Y6,Y8</t>
        </is>
      </c>
      <c r="R449" s="3" t="inlineStr">
        <is>
          <t>—</t>
        </is>
      </c>
      <c r="S449" s="3" t="inlineStr">
        <is>
          <t>Y1,Y2,Y3,Y5,Y6,Y8</t>
        </is>
      </c>
      <c r="T449" s="3" t="inlineStr"/>
      <c r="U449" s="3" t="n">
        <v>18</v>
      </c>
      <c r="V449" s="3" t="inlineStr">
        <is>
          <t>G04</t>
        </is>
      </c>
      <c r="W449" s="3" t="inlineStr">
        <is>
          <t>高</t>
        </is>
      </c>
    </row>
    <row r="450">
      <c r="A450" s="3" t="inlineStr">
        <is>
          <t>Interface</t>
        </is>
      </c>
      <c r="B450" s="3" t="n">
        <v>219</v>
      </c>
      <c r="C450" s="3" t="inlineStr">
        <is>
          <t>IT 折舊年限　[IF_DeprLifeIT]</t>
        </is>
      </c>
      <c r="D450" s="3" t="inlineStr">
        <is>
          <t>年</t>
        </is>
      </c>
      <c r="E450" s="3" t="n">
        <v>20</v>
      </c>
      <c r="F450" s="3" t="n">
        <v>6</v>
      </c>
      <c r="G450" s="3" t="inlineStr">
        <is>
          <t>C219</t>
        </is>
      </c>
      <c r="H450" s="3">
        <f>DC_Cost!C38</f>
        <v/>
      </c>
      <c r="I450" s="3" t="n">
        <v>6</v>
      </c>
      <c r="J450" s="3" t="inlineStr">
        <is>
          <t>—</t>
        </is>
      </c>
      <c r="K450" s="3" t="inlineStr">
        <is>
          <t>—</t>
        </is>
      </c>
      <c r="L450" s="3" t="inlineStr">
        <is>
          <t>—</t>
        </is>
      </c>
      <c r="M450" s="3" t="inlineStr">
        <is>
          <t>—</t>
        </is>
      </c>
      <c r="N450" s="3" t="inlineStr">
        <is>
          <t>—</t>
        </is>
      </c>
      <c r="O450" s="3" t="inlineStr">
        <is>
          <t>—</t>
        </is>
      </c>
      <c r="P450" s="3" t="inlineStr">
        <is>
          <t>—</t>
        </is>
      </c>
      <c r="Q450" s="3" t="inlineStr">
        <is>
          <t>—</t>
        </is>
      </c>
      <c r="R450" s="3" t="inlineStr">
        <is>
          <t>—</t>
        </is>
      </c>
      <c r="S450" s="3" t="inlineStr"/>
      <c r="T450" s="3" t="inlineStr"/>
      <c r="U450" s="3" t="n">
        <v>6</v>
      </c>
      <c r="V450" s="3" t="inlineStr"/>
      <c r="W450" s="3" t="inlineStr">
        <is>
          <t>—</t>
        </is>
      </c>
    </row>
    <row r="451">
      <c r="A451" s="3" t="inlineStr">
        <is>
          <t>Interface</t>
        </is>
      </c>
      <c r="B451" s="3" t="n">
        <v>220</v>
      </c>
      <c r="C451" s="3" t="inlineStr">
        <is>
          <t>每 GW IT 折舊　[IF_DeprIT]</t>
        </is>
      </c>
      <c r="D451" s="3" t="inlineStr">
        <is>
          <t>$B/年</t>
        </is>
      </c>
      <c r="E451" s="3" t="n">
        <v>20</v>
      </c>
      <c r="F451" s="3" t="n">
        <v>6</v>
      </c>
      <c r="G451" s="3" t="inlineStr">
        <is>
          <t>C220</t>
        </is>
      </c>
      <c r="H451" s="3">
        <f>(DC_Cost!C39)/CTL_GW</f>
        <v/>
      </c>
      <c r="I451" s="3" t="n">
        <v>3.570045</v>
      </c>
      <c r="J451" s="3" t="inlineStr">
        <is>
          <t>—</t>
        </is>
      </c>
      <c r="K451" s="3" t="inlineStr">
        <is>
          <t>—</t>
        </is>
      </c>
      <c r="L451" s="3" t="inlineStr">
        <is>
          <t>—</t>
        </is>
      </c>
      <c r="M451" s="3" t="inlineStr">
        <is>
          <t>—</t>
        </is>
      </c>
      <c r="N451" s="3" t="inlineStr">
        <is>
          <t>—</t>
        </is>
      </c>
      <c r="O451" s="3" t="inlineStr">
        <is>
          <t>—</t>
        </is>
      </c>
      <c r="P451" s="3" t="inlineStr">
        <is>
          <t>—</t>
        </is>
      </c>
      <c r="Q451" s="3" t="inlineStr">
        <is>
          <t>上游含 Y7</t>
        </is>
      </c>
      <c r="R451" s="3" t="inlineStr">
        <is>
          <t>—</t>
        </is>
      </c>
      <c r="S451" s="3" t="inlineStr">
        <is>
          <t>Y7</t>
        </is>
      </c>
      <c r="T451" s="3" t="inlineStr"/>
      <c r="U451" s="3" t="n">
        <v>18</v>
      </c>
      <c r="V451" s="3" t="inlineStr"/>
      <c r="W451" s="3" t="inlineStr">
        <is>
          <t>資訊（只有 L8）</t>
        </is>
      </c>
    </row>
    <row r="452">
      <c r="A452" s="3" t="inlineStr">
        <is>
          <t>Interface</t>
        </is>
      </c>
      <c r="B452" s="3" t="n">
        <v>221</v>
      </c>
      <c r="C452" s="3" t="inlineStr">
        <is>
          <t>每 GW 廠房折舊（土地不折舊）　[IF_DeprFac]</t>
        </is>
      </c>
      <c r="D452" s="3" t="inlineStr">
        <is>
          <t>$B/年</t>
        </is>
      </c>
      <c r="E452" s="3" t="n">
        <v>20</v>
      </c>
      <c r="F452" s="3" t="n">
        <v>6</v>
      </c>
      <c r="G452" s="3" t="inlineStr">
        <is>
          <t>C221</t>
        </is>
      </c>
      <c r="H452" s="3">
        <f>(DC_Cost!C40)/CTL_GW</f>
        <v/>
      </c>
      <c r="I452" s="3" t="n">
        <v>0.507733</v>
      </c>
      <c r="J452" s="3" t="inlineStr">
        <is>
          <t>—</t>
        </is>
      </c>
      <c r="K452" s="3" t="inlineStr">
        <is>
          <t>—</t>
        </is>
      </c>
      <c r="L452" s="3" t="inlineStr">
        <is>
          <t>—</t>
        </is>
      </c>
      <c r="M452" s="3" t="inlineStr">
        <is>
          <t>—</t>
        </is>
      </c>
      <c r="N452" s="3" t="inlineStr">
        <is>
          <t>—</t>
        </is>
      </c>
      <c r="O452" s="3" t="inlineStr">
        <is>
          <t>—</t>
        </is>
      </c>
      <c r="P452" s="3" t="inlineStr">
        <is>
          <t>—</t>
        </is>
      </c>
      <c r="Q452" s="3" t="inlineStr">
        <is>
          <t>上游含 Y4</t>
        </is>
      </c>
      <c r="R452" s="3" t="inlineStr">
        <is>
          <t>—</t>
        </is>
      </c>
      <c r="S452" s="3" t="inlineStr">
        <is>
          <t>Y4</t>
        </is>
      </c>
      <c r="T452" s="3" t="inlineStr"/>
      <c r="U452" s="3" t="n">
        <v>18</v>
      </c>
      <c r="V452" s="3" t="inlineStr"/>
      <c r="W452" s="3" t="inlineStr">
        <is>
          <t>資訊（只有 L8）</t>
        </is>
      </c>
    </row>
    <row r="453">
      <c r="A453" s="3" t="inlineStr">
        <is>
          <t>Interface</t>
        </is>
      </c>
      <c r="B453" s="3" t="n">
        <v>222</v>
      </c>
      <c r="C453" s="3" t="inlineStr">
        <is>
          <t>平均用電 ÷ 配電設計功率　[IF_AvgDraw]</t>
        </is>
      </c>
      <c r="D453" s="3" t="inlineStr">
        <is>
          <t>%</t>
        </is>
      </c>
      <c r="E453" s="3" t="n">
        <v>20</v>
      </c>
      <c r="F453" s="3" t="n">
        <v>6</v>
      </c>
      <c r="G453" s="3" t="inlineStr">
        <is>
          <t>C222</t>
        </is>
      </c>
      <c r="H453" s="3">
        <f>DC_Cost!C41</f>
        <v/>
      </c>
      <c r="I453" s="3" t="n">
        <v>0.7</v>
      </c>
      <c r="J453" s="3" t="inlineStr">
        <is>
          <t>—</t>
        </is>
      </c>
      <c r="K453" s="3" t="inlineStr">
        <is>
          <t>—</t>
        </is>
      </c>
      <c r="L453" s="3" t="inlineStr">
        <is>
          <t>—</t>
        </is>
      </c>
      <c r="M453" s="3" t="inlineStr">
        <is>
          <t>—</t>
        </is>
      </c>
      <c r="N453" s="3" t="inlineStr">
        <is>
          <t>—</t>
        </is>
      </c>
      <c r="O453" s="3" t="inlineStr">
        <is>
          <t>—</t>
        </is>
      </c>
      <c r="P453" s="3" t="inlineStr">
        <is>
          <t>—</t>
        </is>
      </c>
      <c r="Q453" s="3" t="inlineStr">
        <is>
          <t>—</t>
        </is>
      </c>
      <c r="R453" s="3" t="inlineStr">
        <is>
          <t>—</t>
        </is>
      </c>
      <c r="S453" s="3" t="inlineStr"/>
      <c r="T453" s="3" t="inlineStr"/>
      <c r="U453" s="3" t="n">
        <v>3</v>
      </c>
      <c r="V453" s="3" t="inlineStr"/>
      <c r="W453" s="3" t="inlineStr">
        <is>
          <t>—</t>
        </is>
      </c>
    </row>
    <row r="454">
      <c r="A454" s="3" t="inlineStr">
        <is>
          <t>Interface</t>
        </is>
      </c>
      <c r="B454" s="3" t="n">
        <v>223</v>
      </c>
      <c r="C454" s="3" t="inlineStr">
        <is>
          <t>電價　[IF_PowerPrice]</t>
        </is>
      </c>
      <c r="D454" s="3" t="inlineStr">
        <is>
          <t>$/kWh</t>
        </is>
      </c>
      <c r="E454" s="3" t="n">
        <v>20</v>
      </c>
      <c r="F454" s="3" t="n">
        <v>6</v>
      </c>
      <c r="G454" s="3" t="inlineStr">
        <is>
          <t>C223</t>
        </is>
      </c>
      <c r="H454" s="3">
        <f>DC_Cost!C42</f>
        <v/>
      </c>
      <c r="I454" s="3" t="n">
        <v>0.06</v>
      </c>
      <c r="J454" s="3" t="inlineStr">
        <is>
          <t>—</t>
        </is>
      </c>
      <c r="K454" s="3" t="inlineStr">
        <is>
          <t>—</t>
        </is>
      </c>
      <c r="L454" s="3" t="inlineStr">
        <is>
          <t>—</t>
        </is>
      </c>
      <c r="M454" s="3" t="inlineStr">
        <is>
          <t>—</t>
        </is>
      </c>
      <c r="N454" s="3" t="inlineStr">
        <is>
          <t>—</t>
        </is>
      </c>
      <c r="O454" s="3" t="inlineStr">
        <is>
          <t>—</t>
        </is>
      </c>
      <c r="P454" s="3" t="inlineStr">
        <is>
          <t>—</t>
        </is>
      </c>
      <c r="Q454" s="3" t="inlineStr">
        <is>
          <t>—</t>
        </is>
      </c>
      <c r="R454" s="3" t="inlineStr">
        <is>
          <t>—</t>
        </is>
      </c>
      <c r="S454" s="3" t="inlineStr"/>
      <c r="T454" s="3" t="inlineStr"/>
      <c r="U454" s="3" t="n">
        <v>3</v>
      </c>
      <c r="V454" s="3" t="inlineStr"/>
      <c r="W454" s="3" t="inlineStr">
        <is>
          <t>—</t>
        </is>
      </c>
    </row>
    <row r="455">
      <c r="A455" s="3" t="inlineStr">
        <is>
          <t>Interface</t>
        </is>
      </c>
      <c r="B455" s="3" t="n">
        <v>224</v>
      </c>
      <c r="C455" s="3" t="inlineStr">
        <is>
          <t>每 GW IT 維護　[IF_MaintIT]</t>
        </is>
      </c>
      <c r="D455" s="3" t="inlineStr">
        <is>
          <t>$B/年</t>
        </is>
      </c>
      <c r="E455" s="3" t="n">
        <v>20</v>
      </c>
      <c r="F455" s="3" t="n">
        <v>6</v>
      </c>
      <c r="G455" s="3" t="inlineStr">
        <is>
          <t>C224</t>
        </is>
      </c>
      <c r="H455" s="3">
        <f>(DC_Cost!C44)/CTL_GW</f>
        <v/>
      </c>
      <c r="I455" s="3" t="n">
        <v>0.219437</v>
      </c>
      <c r="J455" s="3" t="inlineStr">
        <is>
          <t>—</t>
        </is>
      </c>
      <c r="K455" s="3" t="inlineStr">
        <is>
          <t>[G19] IF_MaintIT＝IT 資本 × 壽命期等值費率（Inputs 第 30 列以 WACC 折現兩段費率），此值同時進會計口徑持有成本（DC_Cost 48→49 → IF_HoldAcct）</t>
        </is>
      </c>
      <c r="L455" s="3" t="inlineStr">
        <is>
          <t>—</t>
        </is>
      </c>
      <c r="M455" s="3" t="inlineStr">
        <is>
          <t>—</t>
        </is>
      </c>
      <c r="N455" s="3" t="inlineStr">
        <is>
          <t>—</t>
        </is>
      </c>
      <c r="O455" s="3" t="inlineStr">
        <is>
          <t>—</t>
        </is>
      </c>
      <c r="P455" s="3" t="inlineStr">
        <is>
          <t>—</t>
        </is>
      </c>
      <c r="Q455" s="3" t="inlineStr">
        <is>
          <t>上游含 Y7</t>
        </is>
      </c>
      <c r="R455" s="3" t="inlineStr">
        <is>
          <t>—</t>
        </is>
      </c>
      <c r="S455" s="3" t="inlineStr">
        <is>
          <t>Y7</t>
        </is>
      </c>
      <c r="T455" s="3" t="inlineStr"/>
      <c r="U455" s="3" t="n">
        <v>3</v>
      </c>
      <c r="V455" s="3" t="inlineStr">
        <is>
          <t>G19</t>
        </is>
      </c>
      <c r="W455" s="3" t="inlineStr">
        <is>
          <t>低</t>
        </is>
      </c>
    </row>
    <row r="456">
      <c r="A456" s="3" t="inlineStr">
        <is>
          <t>Interface</t>
        </is>
      </c>
      <c r="B456" s="3" t="n">
        <v>225</v>
      </c>
      <c r="C456" s="3" t="inlineStr">
        <is>
          <t>每 GW 廠房維護　[IF_MaintFac]</t>
        </is>
      </c>
      <c r="D456" s="3" t="inlineStr">
        <is>
          <t>$B/年</t>
        </is>
      </c>
      <c r="E456" s="3" t="n">
        <v>20</v>
      </c>
      <c r="F456" s="3" t="n">
        <v>6</v>
      </c>
      <c r="G456" s="3" t="inlineStr">
        <is>
          <t>C225</t>
        </is>
      </c>
      <c r="H456" s="3">
        <f>(DC_Cost!C45)/CTL_GW</f>
        <v/>
      </c>
      <c r="I456" s="3" t="n">
        <v>0.15318</v>
      </c>
      <c r="J456" s="3" t="inlineStr">
        <is>
          <t>—</t>
        </is>
      </c>
      <c r="K456" s="3" t="inlineStr">
        <is>
          <t>—</t>
        </is>
      </c>
      <c r="L456" s="3" t="inlineStr">
        <is>
          <t>—</t>
        </is>
      </c>
      <c r="M456" s="3" t="inlineStr">
        <is>
          <t>—</t>
        </is>
      </c>
      <c r="N456" s="3" t="inlineStr">
        <is>
          <t>—</t>
        </is>
      </c>
      <c r="O456" s="3" t="inlineStr">
        <is>
          <t>—</t>
        </is>
      </c>
      <c r="P456" s="3" t="inlineStr">
        <is>
          <t>—</t>
        </is>
      </c>
      <c r="Q456" s="3" t="inlineStr">
        <is>
          <t>上游含 Y4</t>
        </is>
      </c>
      <c r="R456" s="3" t="inlineStr">
        <is>
          <t>—</t>
        </is>
      </c>
      <c r="S456" s="3" t="inlineStr">
        <is>
          <t>Y4</t>
        </is>
      </c>
      <c r="T456" s="3" t="inlineStr"/>
      <c r="U456" s="3" t="n">
        <v>3</v>
      </c>
      <c r="V456" s="3" t="inlineStr"/>
      <c r="W456" s="3" t="inlineStr">
        <is>
          <t>資訊（只有 L8）</t>
        </is>
      </c>
    </row>
    <row r="457">
      <c r="A457" s="3" t="inlineStr">
        <is>
          <t>Interface</t>
        </is>
      </c>
      <c r="B457" s="3" t="n">
        <v>226</v>
      </c>
      <c r="C457" s="3" t="inlineStr">
        <is>
          <t>每 GW 人員、軟體、水與耗材（站點營運；不含平台研發）　[IF_StaffSW]</t>
        </is>
      </c>
      <c r="D457" s="3" t="inlineStr">
        <is>
          <t>$B/年</t>
        </is>
      </c>
      <c r="E457" s="3" t="n">
        <v>20</v>
      </c>
      <c r="F457" s="3" t="n">
        <v>6</v>
      </c>
      <c r="G457" s="3" t="inlineStr">
        <is>
          <t>C226</t>
        </is>
      </c>
      <c r="H457" s="3">
        <f>(DC_Cost!C46)/CTL_GW</f>
        <v/>
      </c>
      <c r="I457" s="3" t="n">
        <v>0.24</v>
      </c>
      <c r="J457" s="3" t="inlineStr">
        <is>
          <t>—</t>
        </is>
      </c>
      <c r="K457" s="3" t="inlineStr">
        <is>
          <t>—</t>
        </is>
      </c>
      <c r="L457" s="3" t="inlineStr">
        <is>
          <t>—</t>
        </is>
      </c>
      <c r="M457" s="3" t="inlineStr">
        <is>
          <t>—</t>
        </is>
      </c>
      <c r="N457" s="3" t="inlineStr">
        <is>
          <t>—</t>
        </is>
      </c>
      <c r="O457" s="3" t="inlineStr">
        <is>
          <t>—</t>
        </is>
      </c>
      <c r="P457" s="3" t="inlineStr">
        <is>
          <t>—</t>
        </is>
      </c>
      <c r="Q457" s="3" t="inlineStr">
        <is>
          <t>—</t>
        </is>
      </c>
      <c r="R457" s="3" t="inlineStr">
        <is>
          <t>—</t>
        </is>
      </c>
      <c r="S457" s="3" t="inlineStr"/>
      <c r="T457" s="3" t="inlineStr"/>
      <c r="U457" s="3" t="n">
        <v>3</v>
      </c>
      <c r="V457" s="3" t="inlineStr"/>
      <c r="W457" s="3" t="inlineStr">
        <is>
          <t>—</t>
        </is>
      </c>
    </row>
    <row r="458">
      <c r="A458" s="3" t="inlineStr">
        <is>
          <t>Interface</t>
        </is>
      </c>
      <c r="B458" s="3" t="n">
        <v>227</v>
      </c>
      <c r="C458" s="3" t="inlineStr">
        <is>
          <t>每 GW 財產稅與保險　[IF_TaxIns]</t>
        </is>
      </c>
      <c r="D458" s="3" t="inlineStr">
        <is>
          <t>$B/年</t>
        </is>
      </c>
      <c r="E458" s="3" t="n">
        <v>20</v>
      </c>
      <c r="F458" s="3" t="n">
        <v>6</v>
      </c>
      <c r="G458" s="3" t="inlineStr">
        <is>
          <t>C227</t>
        </is>
      </c>
      <c r="H458" s="3">
        <f>(DC_Cost!C47)/CTL_GW</f>
        <v/>
      </c>
      <c r="I458" s="3" t="n">
        <v>0.094897</v>
      </c>
      <c r="J458" s="3" t="inlineStr">
        <is>
          <t>—</t>
        </is>
      </c>
      <c r="K458" s="3" t="inlineStr">
        <is>
          <t>—</t>
        </is>
      </c>
      <c r="L458" s="3" t="inlineStr">
        <is>
          <t>—</t>
        </is>
      </c>
      <c r="M458" s="3" t="inlineStr">
        <is>
          <t>—</t>
        </is>
      </c>
      <c r="N458" s="3" t="inlineStr">
        <is>
          <t>—</t>
        </is>
      </c>
      <c r="O458" s="3" t="inlineStr">
        <is>
          <t>—</t>
        </is>
      </c>
      <c r="P458" s="3" t="inlineStr">
        <is>
          <t>—</t>
        </is>
      </c>
      <c r="Q458" s="3" t="inlineStr">
        <is>
          <t>上游含 Y4,Y7</t>
        </is>
      </c>
      <c r="R458" s="3" t="inlineStr">
        <is>
          <t>—</t>
        </is>
      </c>
      <c r="S458" s="3" t="inlineStr">
        <is>
          <t>Y4,Y7</t>
        </is>
      </c>
      <c r="T458" s="3" t="inlineStr"/>
      <c r="U458" s="3" t="n">
        <v>3</v>
      </c>
      <c r="V458" s="3" t="inlineStr"/>
      <c r="W458" s="3" t="inlineStr">
        <is>
          <t>資訊（只有 L8）</t>
        </is>
      </c>
    </row>
    <row r="459">
      <c r="A459" s="3" t="inlineStr">
        <is>
          <t>Interface</t>
        </is>
      </c>
      <c r="B459" s="3" t="n">
        <v>228</v>
      </c>
      <c r="C459" s="3" t="inlineStr">
        <is>
          <t>每 GW 營運費用小計（不含折舊；含電費）　[IF_OpexGW]</t>
        </is>
      </c>
      <c r="D459" s="3" t="inlineStr">
        <is>
          <t>$B/年</t>
        </is>
      </c>
      <c r="E459" s="3" t="n">
        <v>20</v>
      </c>
      <c r="F459" s="3" t="n">
        <v>6</v>
      </c>
      <c r="G459" s="3" t="inlineStr">
        <is>
          <t>C228</t>
        </is>
      </c>
      <c r="H459" s="3">
        <f>(DC_Cost!C48)/CTL_GW</f>
        <v/>
      </c>
      <c r="I459" s="3" t="n">
        <v>1.112226</v>
      </c>
      <c r="J459" s="3" t="inlineStr">
        <is>
          <t>—</t>
        </is>
      </c>
      <c r="K459" s="3" t="inlineStr">
        <is>
          <t>—</t>
        </is>
      </c>
      <c r="L459" s="3" t="inlineStr">
        <is>
          <t>—</t>
        </is>
      </c>
      <c r="M459" s="3" t="inlineStr">
        <is>
          <t>—</t>
        </is>
      </c>
      <c r="N459" s="3" t="inlineStr">
        <is>
          <t>—</t>
        </is>
      </c>
      <c r="O459" s="3" t="inlineStr">
        <is>
          <t>—</t>
        </is>
      </c>
      <c r="P459" s="3" t="inlineStr">
        <is>
          <t>—</t>
        </is>
      </c>
      <c r="Q459" s="3" t="inlineStr">
        <is>
          <t>上游含 Y4,Y7</t>
        </is>
      </c>
      <c r="R459" s="3" t="inlineStr">
        <is>
          <t>—</t>
        </is>
      </c>
      <c r="S459" s="3" t="inlineStr">
        <is>
          <t>Y4,Y7</t>
        </is>
      </c>
      <c r="T459" s="3" t="inlineStr"/>
      <c r="U459" s="3" t="n">
        <v>18</v>
      </c>
      <c r="V459" s="3" t="inlineStr"/>
      <c r="W459" s="3" t="inlineStr">
        <is>
          <t>資訊（只有 L8）</t>
        </is>
      </c>
    </row>
    <row r="460">
      <c r="A460" s="3" t="inlineStr">
        <is>
          <t>Interface</t>
        </is>
      </c>
      <c r="B460" s="3" t="n">
        <v>229</v>
      </c>
      <c r="C460" s="3" t="inlineStr">
        <is>
          <t>加總核對：IF_DeprIT＋IF_DeprFac＋IF_OpexGW − IF_HoldAcct（每欄應為 0；顯示用，不設名稱）</t>
        </is>
      </c>
      <c r="D460" s="3" t="inlineStr">
        <is>
          <t>$B/年</t>
        </is>
      </c>
      <c r="E460" s="3" t="n">
        <v>20</v>
      </c>
      <c r="F460" s="3" t="n">
        <v>6</v>
      </c>
      <c r="G460" s="3" t="inlineStr">
        <is>
          <t>C229</t>
        </is>
      </c>
      <c r="H460" s="3">
        <f>C220+C221+C228-C12</f>
        <v/>
      </c>
      <c r="I460" s="3" t="n">
        <v>0</v>
      </c>
      <c r="J460" s="3" t="inlineStr">
        <is>
          <t>—</t>
        </is>
      </c>
      <c r="K460" s="3" t="inlineStr">
        <is>
          <t>—</t>
        </is>
      </c>
      <c r="L460" s="3" t="inlineStr">
        <is>
          <t>—</t>
        </is>
      </c>
      <c r="M460" s="3" t="inlineStr">
        <is>
          <t>—</t>
        </is>
      </c>
      <c r="N460" s="3" t="inlineStr">
        <is>
          <t>[G17] 加總核對＝DeprIT＋DeprFac＋Opex − HoldAcct，而 HoldAcct 本身就是三者之和（DC_Cost 第 49 列）：恆為 0</t>
        </is>
      </c>
      <c r="O460" s="3" t="inlineStr">
        <is>
          <t>—</t>
        </is>
      </c>
      <c r="P460" s="3" t="inlineStr">
        <is>
          <t>—</t>
        </is>
      </c>
      <c r="Q460" s="3" t="inlineStr">
        <is>
          <t>上游含 Y4,Y7</t>
        </is>
      </c>
      <c r="R460" s="3" t="inlineStr">
        <is>
          <t>—</t>
        </is>
      </c>
      <c r="S460" s="3" t="inlineStr">
        <is>
          <t>Y4,Y7</t>
        </is>
      </c>
      <c r="T460" s="3" t="inlineStr"/>
      <c r="U460" s="3" t="n">
        <v>3</v>
      </c>
      <c r="V460" s="3" t="inlineStr">
        <is>
          <t>G17</t>
        </is>
      </c>
      <c r="W460" s="3" t="inlineStr">
        <is>
          <t>低</t>
        </is>
      </c>
    </row>
    <row r="461">
      <c r="A461" s="3" t="inlineStr">
        <is>
          <t>Interface</t>
        </is>
      </c>
      <c r="B461" s="3" t="n">
        <v>233</v>
      </c>
      <c r="C461" s="3" t="inlineStr">
        <is>
          <t>每 GW 理論營收 — OpenAI 有效單價（理想上限）｜100%（D 節列 ÷ IF_Util）　[IFW_RevGW_Luna_100]</t>
        </is>
      </c>
      <c r="D461" s="3" t="inlineStr">
        <is>
          <t>$B/年</t>
        </is>
      </c>
      <c r="E461" s="3" t="n">
        <v>20</v>
      </c>
      <c r="F461" s="3" t="n">
        <v>6</v>
      </c>
      <c r="G461" s="3" t="inlineStr">
        <is>
          <t>C233</t>
        </is>
      </c>
      <c r="H461" s="3">
        <f>IF(ISNUMBER(C101),C101/IF_Util,C101)</f>
        <v/>
      </c>
      <c r="I461" s="3" t="n">
        <v>5.951715</v>
      </c>
      <c r="J461" s="3" t="inlineStr">
        <is>
          <t>—</t>
        </is>
      </c>
      <c r="K461" s="3" t="inlineStr">
        <is>
          <t>—</t>
        </is>
      </c>
      <c r="L461" s="3" t="inlineStr">
        <is>
          <t>—</t>
        </is>
      </c>
      <c r="M461" s="3" t="inlineStr">
        <is>
          <t>—</t>
        </is>
      </c>
      <c r="N461" s="3" t="inlineStr">
        <is>
          <t>—</t>
        </is>
      </c>
      <c r="O461" s="3" t="inlineStr">
        <is>
          <t>—</t>
        </is>
      </c>
      <c r="P461" s="3" t="inlineStr">
        <is>
          <t>[G06] 單一層級列不可達時輸出 0（數值）而非文字；與組合列的文字處理方式相反（第 2 段 F09）</t>
        </is>
      </c>
      <c r="Q461" s="3" t="inlineStr">
        <is>
          <t>上游含 Y1,Y2,Y5,Y6,Y8</t>
        </is>
      </c>
      <c r="R461" s="3" t="inlineStr">
        <is>
          <t>—</t>
        </is>
      </c>
      <c r="S461" s="3" t="inlineStr">
        <is>
          <t>Y1,Y2,Y5,Y6,Y8</t>
        </is>
      </c>
      <c r="T461" s="3" t="inlineStr"/>
      <c r="U461" s="3" t="n">
        <v>18</v>
      </c>
      <c r="V461" s="3" t="inlineStr">
        <is>
          <t>G06</t>
        </is>
      </c>
      <c r="W461" s="3" t="inlineStr">
        <is>
          <t>中</t>
        </is>
      </c>
    </row>
    <row r="462">
      <c r="A462" s="3" t="inlineStr">
        <is>
          <t>Interface</t>
        </is>
      </c>
      <c r="B462" s="3" t="n">
        <v>234</v>
      </c>
      <c r="C462" s="3" t="inlineStr">
        <is>
          <t>每 GW 理論營收 — OpenAI 有效單價（理想上限）｜× IF_Util　[IFW_RevGW_Luna_Util]</t>
        </is>
      </c>
      <c r="D462" s="3" t="inlineStr">
        <is>
          <t>$B/年</t>
        </is>
      </c>
      <c r="E462" s="3" t="n">
        <v>20</v>
      </c>
      <c r="F462" s="3" t="n">
        <v>6</v>
      </c>
      <c r="G462" s="3" t="inlineStr">
        <is>
          <t>C234</t>
        </is>
      </c>
      <c r="H462" s="3">
        <f>C101</f>
        <v/>
      </c>
      <c r="I462" s="3" t="n">
        <v>3.571029</v>
      </c>
      <c r="J462" s="3" t="inlineStr">
        <is>
          <t>—</t>
        </is>
      </c>
      <c r="K462" s="3" t="inlineStr">
        <is>
          <t>—</t>
        </is>
      </c>
      <c r="L462" s="3" t="inlineStr">
        <is>
          <t>—</t>
        </is>
      </c>
      <c r="M462" s="3" t="inlineStr">
        <is>
          <t>—</t>
        </is>
      </c>
      <c r="N462" s="3" t="inlineStr">
        <is>
          <t>—</t>
        </is>
      </c>
      <c r="O462" s="3" t="inlineStr">
        <is>
          <t>—</t>
        </is>
      </c>
      <c r="P462" s="3" t="inlineStr">
        <is>
          <t>[G06] 單一層級列不可達時輸出 0（數值）而非文字；與組合列的文字處理方式相反（第 2 段 F09）</t>
        </is>
      </c>
      <c r="Q462" s="3" t="inlineStr">
        <is>
          <t>上游含 Y1,Y2,Y5,Y6,Y8</t>
        </is>
      </c>
      <c r="R462" s="3" t="inlineStr">
        <is>
          <t>—</t>
        </is>
      </c>
      <c r="S462" s="3" t="inlineStr">
        <is>
          <t>Y1,Y2,Y5,Y6,Y8</t>
        </is>
      </c>
      <c r="T462" s="3" t="inlineStr"/>
      <c r="U462" s="3" t="n">
        <v>33</v>
      </c>
      <c r="V462" s="3" t="inlineStr">
        <is>
          <t>G06</t>
        </is>
      </c>
      <c r="W462" s="3" t="inlineStr">
        <is>
          <t>中</t>
        </is>
      </c>
    </row>
    <row r="463">
      <c r="A463" s="3" t="inlineStr">
        <is>
          <t>Interface</t>
        </is>
      </c>
      <c r="B463" s="3" t="n">
        <v>238</v>
      </c>
      <c r="C463" s="3" t="inlineStr">
        <is>
          <t>每 GW 理論營收 — OpenAI 有效單價（理想上限）｜100%（D 節列 ÷ IF_Util）　[IFW_RevGW_Sol_100]</t>
        </is>
      </c>
      <c r="D463" s="3" t="inlineStr">
        <is>
          <t>$B/年</t>
        </is>
      </c>
      <c r="E463" s="3" t="n">
        <v>20</v>
      </c>
      <c r="F463" s="3" t="n">
        <v>6</v>
      </c>
      <c r="G463" s="3" t="inlineStr">
        <is>
          <t>C238</t>
        </is>
      </c>
      <c r="H463" s="3">
        <f>IF(ISNUMBER(C119),C119/IF_Util,C119)</f>
        <v/>
      </c>
      <c r="I463" s="3" t="n">
        <v>34.537508</v>
      </c>
      <c r="J463" s="3" t="inlineStr">
        <is>
          <t>—</t>
        </is>
      </c>
      <c r="K463" s="3" t="inlineStr">
        <is>
          <t>—</t>
        </is>
      </c>
      <c r="L463" s="3" t="inlineStr">
        <is>
          <t>—</t>
        </is>
      </c>
      <c r="M463" s="3" t="inlineStr">
        <is>
          <t>—</t>
        </is>
      </c>
      <c r="N463" s="3" t="inlineStr">
        <is>
          <t>—</t>
        </is>
      </c>
      <c r="O463" s="3" t="inlineStr">
        <is>
          <t>—</t>
        </is>
      </c>
      <c r="P463" s="3" t="inlineStr">
        <is>
          <t>[G06] 單一層級列不可達時輸出 0（數值）而非文字；與組合列的文字處理方式相反（第 2 段 F09）</t>
        </is>
      </c>
      <c r="Q463" s="3" t="inlineStr">
        <is>
          <t>上游含 Y1,Y2,Y5,Y6,Y8</t>
        </is>
      </c>
      <c r="R463" s="3" t="inlineStr">
        <is>
          <t>—</t>
        </is>
      </c>
      <c r="S463" s="3" t="inlineStr">
        <is>
          <t>Y1,Y2,Y5,Y6,Y8</t>
        </is>
      </c>
      <c r="T463" s="3" t="inlineStr"/>
      <c r="U463" s="3" t="n">
        <v>18</v>
      </c>
      <c r="V463" s="3" t="inlineStr">
        <is>
          <t>G06</t>
        </is>
      </c>
      <c r="W463" s="3" t="inlineStr">
        <is>
          <t>中</t>
        </is>
      </c>
    </row>
    <row r="464">
      <c r="A464" s="3" t="inlineStr">
        <is>
          <t>Interface</t>
        </is>
      </c>
      <c r="B464" s="3" t="n">
        <v>239</v>
      </c>
      <c r="C464" s="3" t="inlineStr">
        <is>
          <t>每 GW 理論營收 — OpenAI 有效單價（理想上限）｜× IF_Util　[IFW_RevGW_Sol_Util]</t>
        </is>
      </c>
      <c r="D464" s="3" t="inlineStr">
        <is>
          <t>$B/年</t>
        </is>
      </c>
      <c r="E464" s="3" t="n">
        <v>20</v>
      </c>
      <c r="F464" s="3" t="n">
        <v>6</v>
      </c>
      <c r="G464" s="3" t="inlineStr">
        <is>
          <t>C239</t>
        </is>
      </c>
      <c r="H464" s="3">
        <f>C119</f>
        <v/>
      </c>
      <c r="I464" s="3" t="n">
        <v>20.722505</v>
      </c>
      <c r="J464" s="3" t="inlineStr">
        <is>
          <t>—</t>
        </is>
      </c>
      <c r="K464" s="3" t="inlineStr">
        <is>
          <t>—</t>
        </is>
      </c>
      <c r="L464" s="3" t="inlineStr">
        <is>
          <t>—</t>
        </is>
      </c>
      <c r="M464" s="3" t="inlineStr">
        <is>
          <t>—</t>
        </is>
      </c>
      <c r="N464" s="3" t="inlineStr">
        <is>
          <t>—</t>
        </is>
      </c>
      <c r="O464" s="3" t="inlineStr">
        <is>
          <t>—</t>
        </is>
      </c>
      <c r="P464" s="3" t="inlineStr">
        <is>
          <t>[G06] 單一層級列不可達時輸出 0（數值）而非文字；與組合列的文字處理方式相反（第 2 段 F09）</t>
        </is>
      </c>
      <c r="Q464" s="3" t="inlineStr">
        <is>
          <t>上游含 Y1,Y2,Y5,Y6,Y8</t>
        </is>
      </c>
      <c r="R464" s="3" t="inlineStr">
        <is>
          <t>—</t>
        </is>
      </c>
      <c r="S464" s="3" t="inlineStr">
        <is>
          <t>Y1,Y2,Y5,Y6,Y8</t>
        </is>
      </c>
      <c r="T464" s="3" t="inlineStr"/>
      <c r="U464" s="3" t="n">
        <v>33</v>
      </c>
      <c r="V464" s="3" t="inlineStr">
        <is>
          <t>G06</t>
        </is>
      </c>
      <c r="W464" s="3" t="inlineStr">
        <is>
          <t>中</t>
        </is>
      </c>
    </row>
    <row r="465">
      <c r="A465" s="3" t="inlineStr">
        <is>
          <t>Interface</t>
        </is>
      </c>
      <c r="B465" s="3" t="n">
        <v>243</v>
      </c>
      <c r="C465" s="3" t="inlineStr">
        <is>
          <t>每 GW 理論營收 — OpenAI 有效單價（理想上限）｜100%（D 節列 ÷ IF_Util）　[IFW_RevGW_Astra_100]</t>
        </is>
      </c>
      <c r="D465" s="3" t="inlineStr">
        <is>
          <t>$B/年</t>
        </is>
      </c>
      <c r="E465" s="3" t="n">
        <v>20</v>
      </c>
      <c r="F465" s="3" t="n">
        <v>6</v>
      </c>
      <c r="G465" s="3" t="inlineStr">
        <is>
          <t>C243</t>
        </is>
      </c>
      <c r="H465" s="3">
        <f>IF(ISNUMBER(C137),C137/IF_Util,C137)</f>
        <v/>
      </c>
      <c r="I465" s="3" t="n">
        <v>31.149978</v>
      </c>
      <c r="J465" s="3" t="inlineStr">
        <is>
          <t>—</t>
        </is>
      </c>
      <c r="K465" s="3" t="inlineStr">
        <is>
          <t>—</t>
        </is>
      </c>
      <c r="L465" s="3" t="inlineStr">
        <is>
          <t>—</t>
        </is>
      </c>
      <c r="M465" s="3" t="inlineStr">
        <is>
          <t>—</t>
        </is>
      </c>
      <c r="N465" s="3" t="inlineStr">
        <is>
          <t>—</t>
        </is>
      </c>
      <c r="O465" s="3" t="inlineStr">
        <is>
          <t>—</t>
        </is>
      </c>
      <c r="P465" s="3" t="inlineStr">
        <is>
          <t>[G06] 單一層級列不可達時輸出 0（數值）而非文字；與組合列的文字處理方式相反（第 2 段 F09）</t>
        </is>
      </c>
      <c r="Q465" s="3" t="inlineStr">
        <is>
          <t>上游含 Y1,Y2,Y5,Y6,Y8</t>
        </is>
      </c>
      <c r="R465" s="3" t="inlineStr">
        <is>
          <t>—</t>
        </is>
      </c>
      <c r="S465" s="3" t="inlineStr">
        <is>
          <t>Y1,Y2,Y5,Y6,Y8</t>
        </is>
      </c>
      <c r="T465" s="3" t="inlineStr"/>
      <c r="U465" s="3" t="n">
        <v>18</v>
      </c>
      <c r="V465" s="3" t="inlineStr">
        <is>
          <t>G06</t>
        </is>
      </c>
      <c r="W465" s="3" t="inlineStr">
        <is>
          <t>中</t>
        </is>
      </c>
    </row>
    <row r="466">
      <c r="A466" s="3" t="inlineStr">
        <is>
          <t>Interface</t>
        </is>
      </c>
      <c r="B466" s="3" t="n">
        <v>244</v>
      </c>
      <c r="C466" s="3" t="inlineStr">
        <is>
          <t>每 GW 理論營收 — OpenAI 有效單價（理想上限）｜× IF_Util　[IFW_RevGW_Astra_Util]</t>
        </is>
      </c>
      <c r="D466" s="3" t="inlineStr">
        <is>
          <t>$B/年</t>
        </is>
      </c>
      <c r="E466" s="3" t="n">
        <v>20</v>
      </c>
      <c r="F466" s="3" t="n">
        <v>6</v>
      </c>
      <c r="G466" s="3" t="inlineStr">
        <is>
          <t>C244</t>
        </is>
      </c>
      <c r="H466" s="3">
        <f>C137</f>
        <v/>
      </c>
      <c r="I466" s="3" t="n">
        <v>18.689987</v>
      </c>
      <c r="J466" s="3" t="inlineStr">
        <is>
          <t>—</t>
        </is>
      </c>
      <c r="K466" s="3" t="inlineStr">
        <is>
          <t>—</t>
        </is>
      </c>
      <c r="L466" s="3" t="inlineStr">
        <is>
          <t>—</t>
        </is>
      </c>
      <c r="M466" s="3" t="inlineStr">
        <is>
          <t>—</t>
        </is>
      </c>
      <c r="N466" s="3" t="inlineStr">
        <is>
          <t>—</t>
        </is>
      </c>
      <c r="O466" s="3" t="inlineStr">
        <is>
          <t>—</t>
        </is>
      </c>
      <c r="P466" s="3" t="inlineStr">
        <is>
          <t>[G06] 單一層級列不可達時輸出 0（數值）而非文字；與組合列的文字處理方式相反（第 2 段 F09）</t>
        </is>
      </c>
      <c r="Q466" s="3" t="inlineStr">
        <is>
          <t>上游含 Y1,Y2,Y5,Y6,Y8</t>
        </is>
      </c>
      <c r="R466" s="3" t="inlineStr">
        <is>
          <t>—</t>
        </is>
      </c>
      <c r="S466" s="3" t="inlineStr">
        <is>
          <t>Y1,Y2,Y5,Y6,Y8</t>
        </is>
      </c>
      <c r="T466" s="3" t="inlineStr"/>
      <c r="U466" s="3" t="n">
        <v>33</v>
      </c>
      <c r="V466" s="3" t="inlineStr">
        <is>
          <t>G06</t>
        </is>
      </c>
      <c r="W466" s="3" t="inlineStr">
        <is>
          <t>中</t>
        </is>
      </c>
    </row>
    <row r="467">
      <c r="A467" s="3" t="inlineStr">
        <is>
          <t>Interface</t>
        </is>
      </c>
      <c r="B467" s="3" t="n">
        <v>248</v>
      </c>
      <c r="C467" s="3" t="inlineStr">
        <is>
          <t>付費服務營收合計（層級組合）— OpenAI 有效單價（理想上限）｜100%（D 節列 ÷ IF_Util）　[IFW_RevGWFleet_100]</t>
        </is>
      </c>
      <c r="D467" s="3" t="inlineStr">
        <is>
          <t>$B/年</t>
        </is>
      </c>
      <c r="E467" s="3" t="n">
        <v>20</v>
      </c>
      <c r="F467" s="3" t="n">
        <v>6</v>
      </c>
      <c r="G467" s="3" t="inlineStr">
        <is>
          <t>C248</t>
        </is>
      </c>
      <c r="H467" s="3">
        <f>IF(ISNUMBER(C143),C143/IF_Util,C143)</f>
        <v/>
      </c>
      <c r="I467" s="3" t="n">
        <v>6.674813</v>
      </c>
      <c r="J467" s="3" t="inlineStr">
        <is>
          <t>—</t>
        </is>
      </c>
      <c r="K467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L467" s="3" t="inlineStr">
        <is>
          <t>—</t>
        </is>
      </c>
      <c r="M467" s="3" t="inlineStr">
        <is>
          <t>—</t>
        </is>
      </c>
      <c r="N467" s="3" t="inlineStr">
        <is>
          <t>—</t>
        </is>
      </c>
      <c r="O467" s="3" t="inlineStr">
        <is>
          <t>—</t>
        </is>
      </c>
      <c r="P467" s="3" t="inlineStr">
        <is>
          <t>—</t>
        </is>
      </c>
      <c r="Q467" s="3" t="inlineStr">
        <is>
          <t>上游含 Y1,Y2,Y3,Y5,Y6,Y8</t>
        </is>
      </c>
      <c r="R467" s="3" t="inlineStr">
        <is>
          <t>—</t>
        </is>
      </c>
      <c r="S467" s="3" t="inlineStr">
        <is>
          <t>Y1,Y2,Y3,Y5,Y6,Y8</t>
        </is>
      </c>
      <c r="T467" s="3" t="inlineStr"/>
      <c r="U467" s="3" t="n">
        <v>18</v>
      </c>
      <c r="V467" s="3" t="inlineStr">
        <is>
          <t>G15</t>
        </is>
      </c>
      <c r="W467" s="3" t="inlineStr">
        <is>
          <t>高</t>
        </is>
      </c>
    </row>
    <row r="468">
      <c r="A468" s="3" t="inlineStr">
        <is>
          <t>Interface</t>
        </is>
      </c>
      <c r="B468" s="3" t="n">
        <v>249</v>
      </c>
      <c r="C468" s="3" t="inlineStr">
        <is>
          <t>付費服務營收合計（層級組合）— OpenAI 有效單價（理想上限）｜× IF_Util　[IFW_RevGWFleet_Util]</t>
        </is>
      </c>
      <c r="D468" s="3" t="inlineStr">
        <is>
          <t>$B/年</t>
        </is>
      </c>
      <c r="E468" s="3" t="n">
        <v>20</v>
      </c>
      <c r="F468" s="3" t="n">
        <v>6</v>
      </c>
      <c r="G468" s="3" t="inlineStr">
        <is>
          <t>C249</t>
        </is>
      </c>
      <c r="H468" s="3">
        <f>C143</f>
        <v/>
      </c>
      <c r="I468" s="3" t="n">
        <v>4.004888</v>
      </c>
      <c r="J468" s="3" t="inlineStr">
        <is>
          <t>—</t>
        </is>
      </c>
      <c r="K468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L468" s="3" t="inlineStr">
        <is>
          <t>—</t>
        </is>
      </c>
      <c r="M468" s="3" t="inlineStr">
        <is>
          <t>—</t>
        </is>
      </c>
      <c r="N468" s="3" t="inlineStr">
        <is>
          <t>—</t>
        </is>
      </c>
      <c r="O468" s="3" t="inlineStr">
        <is>
          <t>—</t>
        </is>
      </c>
      <c r="P468" s="3" t="inlineStr">
        <is>
          <t>—</t>
        </is>
      </c>
      <c r="Q468" s="3" t="inlineStr">
        <is>
          <t>上游含 Y1,Y2,Y3,Y5,Y6,Y8</t>
        </is>
      </c>
      <c r="R468" s="3" t="inlineStr">
        <is>
          <t>—</t>
        </is>
      </c>
      <c r="S468" s="3" t="inlineStr">
        <is>
          <t>Y1,Y2,Y3,Y5,Y6,Y8</t>
        </is>
      </c>
      <c r="T468" s="3" t="inlineStr"/>
      <c r="U468" s="3" t="n">
        <v>33</v>
      </c>
      <c r="V468" s="3" t="inlineStr">
        <is>
          <t>G15</t>
        </is>
      </c>
      <c r="W468" s="3" t="inlineStr">
        <is>
          <t>高</t>
        </is>
      </c>
    </row>
    <row r="469">
      <c r="A469" s="3" t="inlineStr">
        <is>
          <t>Interface</t>
        </is>
      </c>
      <c r="B469" s="3" t="n">
        <v>253</v>
      </c>
      <c r="C469" s="3" t="inlineStr">
        <is>
          <t>每 GW 理論營收 — 前緣單價（理想上限）｜100%（D 節列 ÷ IF_Util）　[IFW_RevGWFront_Luna_100]</t>
        </is>
      </c>
      <c r="D469" s="3" t="inlineStr">
        <is>
          <t>$B/年</t>
        </is>
      </c>
      <c r="E469" s="3" t="n">
        <v>20</v>
      </c>
      <c r="F469" s="3" t="n">
        <v>6</v>
      </c>
      <c r="G469" s="3" t="inlineStr">
        <is>
          <t>C253</t>
        </is>
      </c>
      <c r="H469" s="3">
        <f>IF(ISNUMBER(C102),C102/IF_Util,C102)</f>
        <v/>
      </c>
      <c r="I469" s="3" t="n">
        <v>5.951715</v>
      </c>
      <c r="J469" s="3" t="inlineStr">
        <is>
          <t>—</t>
        </is>
      </c>
      <c r="K469" s="3" t="inlineStr">
        <is>
          <t>—</t>
        </is>
      </c>
      <c r="L469" s="3" t="inlineStr">
        <is>
          <t>—</t>
        </is>
      </c>
      <c r="M469" s="3" t="inlineStr">
        <is>
          <t>—</t>
        </is>
      </c>
      <c r="N469" s="3" t="inlineStr">
        <is>
          <t>—</t>
        </is>
      </c>
      <c r="O469" s="3" t="inlineStr">
        <is>
          <t>—</t>
        </is>
      </c>
      <c r="P469" s="3" t="inlineStr">
        <is>
          <t>[G06] 單一層級列不可達時輸出 0（數值）而非文字；與組合列的文字處理方式相反（第 2 段 F09）</t>
        </is>
      </c>
      <c r="Q469" s="3" t="inlineStr">
        <is>
          <t>上游含 Y1,Y2,Y5,Y6,Y8</t>
        </is>
      </c>
      <c r="R469" s="3" t="inlineStr">
        <is>
          <t>—</t>
        </is>
      </c>
      <c r="S469" s="3" t="inlineStr">
        <is>
          <t>Y1,Y2,Y5,Y6,Y8</t>
        </is>
      </c>
      <c r="T469" s="3" t="inlineStr"/>
      <c r="U469" s="3" t="n">
        <v>18</v>
      </c>
      <c r="V469" s="3" t="inlineStr">
        <is>
          <t>G06</t>
        </is>
      </c>
      <c r="W469" s="3" t="inlineStr">
        <is>
          <t>中</t>
        </is>
      </c>
    </row>
    <row r="470">
      <c r="A470" s="3" t="inlineStr">
        <is>
          <t>Interface</t>
        </is>
      </c>
      <c r="B470" s="3" t="n">
        <v>258</v>
      </c>
      <c r="C470" s="3" t="inlineStr">
        <is>
          <t>每 GW 理論營收 — 前緣單價（理想上限）｜100%（D 節列 ÷ IF_Util）　[IFW_RevGWFront_Sol_100]</t>
        </is>
      </c>
      <c r="D470" s="3" t="inlineStr">
        <is>
          <t>$B/年</t>
        </is>
      </c>
      <c r="E470" s="3" t="n">
        <v>20</v>
      </c>
      <c r="F470" s="3" t="n">
        <v>6</v>
      </c>
      <c r="G470" s="3" t="inlineStr">
        <is>
          <t>C258</t>
        </is>
      </c>
      <c r="H470" s="3">
        <f>IF(ISNUMBER(C120),C120/IF_Util,C120)</f>
        <v/>
      </c>
      <c r="I470" s="3" t="n">
        <v>34.537508</v>
      </c>
      <c r="J470" s="3" t="inlineStr">
        <is>
          <t>—</t>
        </is>
      </c>
      <c r="K470" s="3" t="inlineStr">
        <is>
          <t>—</t>
        </is>
      </c>
      <c r="L470" s="3" t="inlineStr">
        <is>
          <t>—</t>
        </is>
      </c>
      <c r="M470" s="3" t="inlineStr">
        <is>
          <t>—</t>
        </is>
      </c>
      <c r="N470" s="3" t="inlineStr">
        <is>
          <t>—</t>
        </is>
      </c>
      <c r="O470" s="3" t="inlineStr">
        <is>
          <t>—</t>
        </is>
      </c>
      <c r="P470" s="3" t="inlineStr">
        <is>
          <t>[G06] 單一層級列不可達時輸出 0（數值）而非文字；與組合列的文字處理方式相反（第 2 段 F09）</t>
        </is>
      </c>
      <c r="Q470" s="3" t="inlineStr">
        <is>
          <t>上游含 Y1,Y2,Y5,Y6,Y8</t>
        </is>
      </c>
      <c r="R470" s="3" t="inlineStr">
        <is>
          <t>—</t>
        </is>
      </c>
      <c r="S470" s="3" t="inlineStr">
        <is>
          <t>Y1,Y2,Y5,Y6,Y8</t>
        </is>
      </c>
      <c r="T470" s="3" t="inlineStr"/>
      <c r="U470" s="3" t="n">
        <v>18</v>
      </c>
      <c r="V470" s="3" t="inlineStr">
        <is>
          <t>G06</t>
        </is>
      </c>
      <c r="W470" s="3" t="inlineStr">
        <is>
          <t>中</t>
        </is>
      </c>
    </row>
    <row r="471">
      <c r="A471" s="3" t="inlineStr">
        <is>
          <t>Interface</t>
        </is>
      </c>
      <c r="B471" s="3" t="n">
        <v>263</v>
      </c>
      <c r="C471" s="3" t="inlineStr">
        <is>
          <t>每 GW 理論營收 — 前緣單價（理想上限）｜100%（D 節列 ÷ IF_Util）　[IFW_RevGWFront_Astra_100]</t>
        </is>
      </c>
      <c r="D471" s="3" t="inlineStr">
        <is>
          <t>$B/年</t>
        </is>
      </c>
      <c r="E471" s="3" t="n">
        <v>20</v>
      </c>
      <c r="F471" s="3" t="n">
        <v>6</v>
      </c>
      <c r="G471" s="3" t="inlineStr">
        <is>
          <t>C263</t>
        </is>
      </c>
      <c r="H471" s="3">
        <f>IF(ISNUMBER(C138),C138/IF_Util,C138)</f>
        <v/>
      </c>
      <c r="I471" s="3" t="n">
        <v>30.012866</v>
      </c>
      <c r="J471" s="3" t="inlineStr">
        <is>
          <t>—</t>
        </is>
      </c>
      <c r="K471" s="3" t="inlineStr">
        <is>
          <t>—</t>
        </is>
      </c>
      <c r="L471" s="3" t="inlineStr">
        <is>
          <t>—</t>
        </is>
      </c>
      <c r="M471" s="3" t="inlineStr">
        <is>
          <t>—</t>
        </is>
      </c>
      <c r="N471" s="3" t="inlineStr">
        <is>
          <t>—</t>
        </is>
      </c>
      <c r="O471" s="3" t="inlineStr">
        <is>
          <t>—</t>
        </is>
      </c>
      <c r="P471" s="3" t="inlineStr">
        <is>
          <t>[G06] 單一層級列不可達時輸出 0（數值）而非文字；與組合列的文字處理方式相反（第 2 段 F09）</t>
        </is>
      </c>
      <c r="Q471" s="3" t="inlineStr">
        <is>
          <t>上游含 Y1,Y2,Y5,Y6,Y8</t>
        </is>
      </c>
      <c r="R471" s="3" t="inlineStr">
        <is>
          <t>—</t>
        </is>
      </c>
      <c r="S471" s="3" t="inlineStr">
        <is>
          <t>Y1,Y2,Y5,Y6,Y8</t>
        </is>
      </c>
      <c r="T471" s="3" t="inlineStr"/>
      <c r="U471" s="3" t="n">
        <v>18</v>
      </c>
      <c r="V471" s="3" t="inlineStr">
        <is>
          <t>G06</t>
        </is>
      </c>
      <c r="W471" s="3" t="inlineStr">
        <is>
          <t>中</t>
        </is>
      </c>
    </row>
    <row r="472">
      <c r="A472" s="3" t="inlineStr">
        <is>
          <t>Interface</t>
        </is>
      </c>
      <c r="B472" s="3" t="n">
        <v>268</v>
      </c>
      <c r="C472" s="3" t="inlineStr">
        <is>
          <t>付費服務營收合計（層級組合）— 前緣單價（理想上限）｜100%（D 節列 ÷ IF_Util）　[IFW_RevGWFleetFront_100]</t>
        </is>
      </c>
      <c r="D472" s="3" t="inlineStr">
        <is>
          <t>$B/年</t>
        </is>
      </c>
      <c r="E472" s="3" t="n">
        <v>20</v>
      </c>
      <c r="F472" s="3" t="n">
        <v>6</v>
      </c>
      <c r="G472" s="3" t="inlineStr">
        <is>
          <t>C268</t>
        </is>
      </c>
      <c r="H472" s="3">
        <f>IF(ISNUMBER(C147),C147/IF_Util,C147)</f>
        <v/>
      </c>
      <c r="I472" s="3" t="n">
        <v>6.525022</v>
      </c>
      <c r="J472" s="3" t="inlineStr">
        <is>
          <t>—</t>
        </is>
      </c>
      <c r="K472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L472" s="3" t="inlineStr">
        <is>
          <t>—</t>
        </is>
      </c>
      <c r="M472" s="3" t="inlineStr">
        <is>
          <t>—</t>
        </is>
      </c>
      <c r="N472" s="3" t="inlineStr">
        <is>
          <t>—</t>
        </is>
      </c>
      <c r="O472" s="3" t="inlineStr">
        <is>
          <t>—</t>
        </is>
      </c>
      <c r="P472" s="3" t="inlineStr">
        <is>
          <t>—</t>
        </is>
      </c>
      <c r="Q472" s="3" t="inlineStr">
        <is>
          <t>上游含 Y1,Y2,Y3,Y5,Y6,Y8</t>
        </is>
      </c>
      <c r="R472" s="3" t="inlineStr">
        <is>
          <t>—</t>
        </is>
      </c>
      <c r="S472" s="3" t="inlineStr">
        <is>
          <t>Y1,Y2,Y3,Y5,Y6,Y8</t>
        </is>
      </c>
      <c r="T472" s="3" t="inlineStr"/>
      <c r="U472" s="3" t="n">
        <v>18</v>
      </c>
      <c r="V472" s="3" t="inlineStr">
        <is>
          <t>G15</t>
        </is>
      </c>
      <c r="W472" s="3" t="inlineStr">
        <is>
          <t>高</t>
        </is>
      </c>
    </row>
    <row r="473">
      <c r="A473" s="3" t="inlineStr">
        <is>
          <t>Interface</t>
        </is>
      </c>
      <c r="B473" s="3" t="n">
        <v>273</v>
      </c>
      <c r="C473" s="3" t="inlineStr">
        <is>
          <t>每 GW 總產出（100%）｜100%　[IFW_TokGW_Luna_100]</t>
        </is>
      </c>
      <c r="D473" s="3" t="inlineStr">
        <is>
          <t>M tok/年</t>
        </is>
      </c>
      <c r="E473" s="3" t="n">
        <v>20</v>
      </c>
      <c r="F473" s="3" t="n">
        <v>6</v>
      </c>
      <c r="G473" s="3" t="inlineStr">
        <is>
          <t>C273</t>
        </is>
      </c>
      <c r="H473" s="3">
        <f>C21</f>
        <v/>
      </c>
      <c r="I473" s="3" t="n">
        <v>74067251304.9223</v>
      </c>
      <c r="J473" s="3" t="inlineStr">
        <is>
          <t>—</t>
        </is>
      </c>
      <c r="K473" s="3" t="inlineStr">
        <is>
          <t>—</t>
        </is>
      </c>
      <c r="L473" s="3" t="inlineStr">
        <is>
          <t>—</t>
        </is>
      </c>
      <c r="M473" s="3" t="inlineStr">
        <is>
          <t>—</t>
        </is>
      </c>
      <c r="N473" s="3" t="inlineStr">
        <is>
          <t>—</t>
        </is>
      </c>
      <c r="O473" s="3" t="inlineStr">
        <is>
          <t>—</t>
        </is>
      </c>
      <c r="P473" s="3" t="inlineStr">
        <is>
          <t>[G06] 單一層級列不可達時輸出 0（數值）而非文字；與組合列的文字處理方式相反（第 2 段 F09）</t>
        </is>
      </c>
      <c r="Q473" s="3" t="inlineStr">
        <is>
          <t>上游含 Y1,Y5,Y6,Y8</t>
        </is>
      </c>
      <c r="R473" s="3" t="inlineStr">
        <is>
          <t>—</t>
        </is>
      </c>
      <c r="S473" s="3" t="inlineStr">
        <is>
          <t>Y1,Y5,Y6,Y8</t>
        </is>
      </c>
      <c r="T473" s="3" t="inlineStr"/>
      <c r="U473" s="3" t="n">
        <v>33</v>
      </c>
      <c r="V473" s="3" t="inlineStr">
        <is>
          <t>G06</t>
        </is>
      </c>
      <c r="W473" s="3" t="inlineStr">
        <is>
          <t>中</t>
        </is>
      </c>
    </row>
    <row r="474">
      <c r="A474" s="3" t="inlineStr">
        <is>
          <t>Interface</t>
        </is>
      </c>
      <c r="B474" s="3" t="n">
        <v>274</v>
      </c>
      <c r="C474" s="3" t="inlineStr">
        <is>
          <t>每 GW 總產出（100%）｜× IF_Util（B 節 100% 列 × IF_Util；無 D 節對應）　[IFW_TokGW_Luna_Util]</t>
        </is>
      </c>
      <c r="D474" s="3" t="inlineStr">
        <is>
          <t>M tok/年</t>
        </is>
      </c>
      <c r="E474" s="3" t="n">
        <v>20</v>
      </c>
      <c r="F474" s="3" t="n">
        <v>6</v>
      </c>
      <c r="G474" s="3" t="inlineStr">
        <is>
          <t>C274</t>
        </is>
      </c>
      <c r="H474" s="3">
        <f>IF(ISNUMBER(C21),C21*IF_Util,C21)</f>
        <v/>
      </c>
      <c r="I474" s="3" t="n">
        <v>44440350782.9534</v>
      </c>
      <c r="J474" s="3" t="inlineStr">
        <is>
          <t>—</t>
        </is>
      </c>
      <c r="K474" s="3" t="inlineStr">
        <is>
          <t>—</t>
        </is>
      </c>
      <c r="L474" s="3" t="inlineStr">
        <is>
          <t>—</t>
        </is>
      </c>
      <c r="M474" s="3" t="inlineStr">
        <is>
          <t>—</t>
        </is>
      </c>
      <c r="N474" s="3" t="inlineStr">
        <is>
          <t>—</t>
        </is>
      </c>
      <c r="O474" s="3" t="inlineStr">
        <is>
          <t>—</t>
        </is>
      </c>
      <c r="P474" s="3" t="inlineStr">
        <is>
          <t>[G06] 單一層級列不可達時輸出 0（數值）而非文字；與組合列的文字處理方式相反（第 2 段 F09）</t>
        </is>
      </c>
      <c r="Q474" s="3" t="inlineStr">
        <is>
          <t>上游含 Y1,Y5,Y6,Y8</t>
        </is>
      </c>
      <c r="R474" s="3" t="inlineStr">
        <is>
          <t>—</t>
        </is>
      </c>
      <c r="S474" s="3" t="inlineStr">
        <is>
          <t>Y1,Y5,Y6,Y8</t>
        </is>
      </c>
      <c r="T474" s="3" t="inlineStr"/>
      <c r="U474" s="3" t="n">
        <v>33</v>
      </c>
      <c r="V474" s="3" t="inlineStr">
        <is>
          <t>G06</t>
        </is>
      </c>
      <c r="W474" s="3" t="inlineStr">
        <is>
          <t>中</t>
        </is>
      </c>
    </row>
    <row r="475">
      <c r="A475" s="3" t="inlineStr">
        <is>
          <t>Interface</t>
        </is>
      </c>
      <c r="B475" s="3" t="n">
        <v>275</v>
      </c>
      <c r="C475" s="3" t="inlineStr">
        <is>
          <t>每 GW 總產出（100%）｜× CTL_ProdDerate（＝Util 列 × CTL_ProdDerate，線性；Interface_Prod 同列為 100% 口徑重解值，保留原處作對照）　[IFW_TokGW_Luna_Prod]</t>
        </is>
      </c>
      <c r="D475" s="3" t="inlineStr">
        <is>
          <t>M tok/年</t>
        </is>
      </c>
      <c r="E475" s="3" t="n">
        <v>20</v>
      </c>
      <c r="F475" s="3" t="n">
        <v>6</v>
      </c>
      <c r="G475" s="3" t="inlineStr">
        <is>
          <t>C275</t>
        </is>
      </c>
      <c r="H475" s="3">
        <f>IF(ISNUMBER(C274),C274*CTL_ProdDerate,C274)</f>
        <v/>
      </c>
      <c r="I475" s="3" t="n">
        <v>37774298165.5104</v>
      </c>
      <c r="J475" s="3" t="inlineStr">
        <is>
          <t>—</t>
        </is>
      </c>
      <c r="K475" s="3" t="inlineStr">
        <is>
          <t>[G03] 每 GW 產出的 _Prod 層＝Util 列 × CTL_ProdDerate（線性 0.85），同一瀑布的營收 _Prod 層（第 235／240／245／250 列）＝重解 SLO 後的值，比 Util 低 0.49–0.81 倍（Hopper Astra 0.486、VR200 Sol 0.808）。同一層名稱，token 與營收的折減方式不同，_Prod 層的營收 ÷ token 不再等於單價。契約第 2 條寫「_Prod＝_Util × CTL_ProdDerate」（線性）</t>
        </is>
      </c>
      <c r="L475" s="3" t="inlineStr">
        <is>
          <t>—</t>
        </is>
      </c>
      <c r="M475" s="3" t="inlineStr">
        <is>
          <t>—</t>
        </is>
      </c>
      <c r="N475" s="3" t="inlineStr">
        <is>
          <t>—</t>
        </is>
      </c>
      <c r="O475" s="3" t="inlineStr">
        <is>
          <t>—</t>
        </is>
      </c>
      <c r="P475" s="3" t="inlineStr">
        <is>
          <t>[G06] 單一層級列不可達時輸出 0（數值）而非文字；與組合列的文字處理方式相反（第 2 段 F09）</t>
        </is>
      </c>
      <c r="Q475" s="3" t="inlineStr">
        <is>
          <t>直接引用 Y5 類輸入</t>
        </is>
      </c>
      <c r="R475" s="3" t="inlineStr">
        <is>
          <t>—</t>
        </is>
      </c>
      <c r="S475" s="3" t="inlineStr">
        <is>
          <t>Y1,Y5,Y6,Y8</t>
        </is>
      </c>
      <c r="T475" s="3" t="inlineStr">
        <is>
          <t>Y5</t>
        </is>
      </c>
      <c r="U475" s="3" t="n">
        <v>33</v>
      </c>
      <c r="V475" s="3" t="inlineStr">
        <is>
          <t>G03,G06</t>
        </is>
      </c>
      <c r="W475" s="3" t="inlineStr">
        <is>
          <t>高</t>
        </is>
      </c>
    </row>
    <row r="476">
      <c r="A476" s="3" t="inlineStr">
        <is>
          <t>Interface</t>
        </is>
      </c>
      <c r="B476" s="3" t="n">
        <v>276</v>
      </c>
      <c r="C476" s="3" t="inlineStr">
        <is>
          <t>每 GW 總產出（100%）｜× L × m（無 H 節對應：＝Prod 列 × 1；L、m 不作用於產能）　[IFW_TokGW_Luna_Life]</t>
        </is>
      </c>
      <c r="D476" s="3" t="inlineStr">
        <is>
          <t>M tok/年</t>
        </is>
      </c>
      <c r="E476" s="3" t="n">
        <v>20</v>
      </c>
      <c r="F476" s="3" t="n">
        <v>6</v>
      </c>
      <c r="G476" s="3" t="inlineStr">
        <is>
          <t>C276</t>
        </is>
      </c>
      <c r="H476" s="3">
        <f>IF(ISNUMBER(C275),C275*1,C275)</f>
        <v/>
      </c>
      <c r="I476" s="3" t="n">
        <v>37774298165.5104</v>
      </c>
      <c r="J476" s="3" t="inlineStr">
        <is>
          <t>—</t>
        </is>
      </c>
      <c r="K476" s="3" t="inlineStr">
        <is>
          <t>—</t>
        </is>
      </c>
      <c r="L476" s="3" t="inlineStr">
        <is>
          <t>—</t>
        </is>
      </c>
      <c r="M476" s="3" t="inlineStr">
        <is>
          <t>[G03] token 的 _Life 層＝Prod × 1（標籤自述 L、m 不作用於產能）；契約第 2 條寫「_Life＝_Prod × L × m」，名稱相同但定義不同</t>
        </is>
      </c>
      <c r="N476" s="3" t="inlineStr">
        <is>
          <t>—</t>
        </is>
      </c>
      <c r="O476" s="3" t="inlineStr">
        <is>
          <t>—</t>
        </is>
      </c>
      <c r="P476" s="3" t="inlineStr">
        <is>
          <t>[G06] 單一層級列不可達時輸出 0（數值）而非文字；與組合列的文字處理方式相反（第 2 段 F09）</t>
        </is>
      </c>
      <c r="Q476" s="3" t="inlineStr">
        <is>
          <t>上游含 Y1,Y5,Y6,Y8</t>
        </is>
      </c>
      <c r="R476" s="3" t="inlineStr">
        <is>
          <t>—</t>
        </is>
      </c>
      <c r="S476" s="3" t="inlineStr">
        <is>
          <t>Y1,Y5,Y6,Y8</t>
        </is>
      </c>
      <c r="T476" s="3" t="inlineStr"/>
      <c r="U476" s="3" t="n">
        <v>18</v>
      </c>
      <c r="V476" s="3" t="inlineStr">
        <is>
          <t>G03,G06</t>
        </is>
      </c>
      <c r="W476" s="3" t="inlineStr">
        <is>
          <t>中</t>
        </is>
      </c>
    </row>
    <row r="477">
      <c r="A477" s="3" t="inlineStr">
        <is>
          <t>Interface</t>
        </is>
      </c>
      <c r="B477" s="3" t="n">
        <v>278</v>
      </c>
      <c r="C477" s="3" t="inlineStr">
        <is>
          <t>每 GW 總產出（100%）｜100%　[IFW_TokGW_Sol_100]</t>
        </is>
      </c>
      <c r="D477" s="3" t="inlineStr">
        <is>
          <t>M tok/年</t>
        </is>
      </c>
      <c r="E477" s="3" t="n">
        <v>20</v>
      </c>
      <c r="F477" s="3" t="n">
        <v>6</v>
      </c>
      <c r="G477" s="3" t="inlineStr">
        <is>
          <t>C278</t>
        </is>
      </c>
      <c r="H477" s="3">
        <f>C31</f>
        <v/>
      </c>
      <c r="I477" s="3" t="n">
        <v>21490429685.4234</v>
      </c>
      <c r="J477" s="3" t="inlineStr">
        <is>
          <t>—</t>
        </is>
      </c>
      <c r="K477" s="3" t="inlineStr">
        <is>
          <t>—</t>
        </is>
      </c>
      <c r="L477" s="3" t="inlineStr">
        <is>
          <t>—</t>
        </is>
      </c>
      <c r="M477" s="3" t="inlineStr">
        <is>
          <t>—</t>
        </is>
      </c>
      <c r="N477" s="3" t="inlineStr">
        <is>
          <t>—</t>
        </is>
      </c>
      <c r="O477" s="3" t="inlineStr">
        <is>
          <t>—</t>
        </is>
      </c>
      <c r="P477" s="3" t="inlineStr">
        <is>
          <t>[G06] 單一層級列不可達時輸出 0（數值）而非文字；與組合列的文字處理方式相反（第 2 段 F09）</t>
        </is>
      </c>
      <c r="Q477" s="3" t="inlineStr">
        <is>
          <t>上游含 Y1,Y5,Y6,Y8</t>
        </is>
      </c>
      <c r="R477" s="3" t="inlineStr">
        <is>
          <t>—</t>
        </is>
      </c>
      <c r="S477" s="3" t="inlineStr">
        <is>
          <t>Y1,Y5,Y6,Y8</t>
        </is>
      </c>
      <c r="T477" s="3" t="inlineStr"/>
      <c r="U477" s="3" t="n">
        <v>33</v>
      </c>
      <c r="V477" s="3" t="inlineStr">
        <is>
          <t>G06</t>
        </is>
      </c>
      <c r="W477" s="3" t="inlineStr">
        <is>
          <t>中</t>
        </is>
      </c>
    </row>
    <row r="478">
      <c r="A478" s="3" t="inlineStr">
        <is>
          <t>Interface</t>
        </is>
      </c>
      <c r="B478" s="3" t="n">
        <v>279</v>
      </c>
      <c r="C478" s="3" t="inlineStr">
        <is>
          <t>每 GW 總產出（100%）｜× IF_Util（B 節 100% 列 × IF_Util；無 D 節對應）　[IFW_TokGW_Sol_Util]</t>
        </is>
      </c>
      <c r="D478" s="3" t="inlineStr">
        <is>
          <t>M tok/年</t>
        </is>
      </c>
      <c r="E478" s="3" t="n">
        <v>20</v>
      </c>
      <c r="F478" s="3" t="n">
        <v>6</v>
      </c>
      <c r="G478" s="3" t="inlineStr">
        <is>
          <t>C279</t>
        </is>
      </c>
      <c r="H478" s="3">
        <f>IF(ISNUMBER(C31),C31*IF_Util,C31)</f>
        <v/>
      </c>
      <c r="I478" s="3" t="n">
        <v>12894257811.2541</v>
      </c>
      <c r="J478" s="3" t="inlineStr">
        <is>
          <t>—</t>
        </is>
      </c>
      <c r="K478" s="3" t="inlineStr">
        <is>
          <t>—</t>
        </is>
      </c>
      <c r="L478" s="3" t="inlineStr">
        <is>
          <t>—</t>
        </is>
      </c>
      <c r="M478" s="3" t="inlineStr">
        <is>
          <t>—</t>
        </is>
      </c>
      <c r="N478" s="3" t="inlineStr">
        <is>
          <t>—</t>
        </is>
      </c>
      <c r="O478" s="3" t="inlineStr">
        <is>
          <t>—</t>
        </is>
      </c>
      <c r="P478" s="3" t="inlineStr">
        <is>
          <t>[G06] 單一層級列不可達時輸出 0（數值）而非文字；與組合列的文字處理方式相反（第 2 段 F09）</t>
        </is>
      </c>
      <c r="Q478" s="3" t="inlineStr">
        <is>
          <t>上游含 Y1,Y5,Y6,Y8</t>
        </is>
      </c>
      <c r="R478" s="3" t="inlineStr">
        <is>
          <t>—</t>
        </is>
      </c>
      <c r="S478" s="3" t="inlineStr">
        <is>
          <t>Y1,Y5,Y6,Y8</t>
        </is>
      </c>
      <c r="T478" s="3" t="inlineStr"/>
      <c r="U478" s="3" t="n">
        <v>33</v>
      </c>
      <c r="V478" s="3" t="inlineStr">
        <is>
          <t>G06</t>
        </is>
      </c>
      <c r="W478" s="3" t="inlineStr">
        <is>
          <t>中</t>
        </is>
      </c>
    </row>
    <row r="479">
      <c r="A479" s="3" t="inlineStr">
        <is>
          <t>Interface</t>
        </is>
      </c>
      <c r="B479" s="3" t="n">
        <v>280</v>
      </c>
      <c r="C479" s="3" t="inlineStr">
        <is>
          <t>每 GW 總產出（100%）｜× CTL_ProdDerate（＝Util 列 × CTL_ProdDerate，線性；Interface_Prod 同列為 100% 口徑重解值，保留原處作對照）　[IFW_TokGW_Sol_Prod]</t>
        </is>
      </c>
      <c r="D479" s="3" t="inlineStr">
        <is>
          <t>M tok/年</t>
        </is>
      </c>
      <c r="E479" s="3" t="n">
        <v>20</v>
      </c>
      <c r="F479" s="3" t="n">
        <v>6</v>
      </c>
      <c r="G479" s="3" t="inlineStr">
        <is>
          <t>C280</t>
        </is>
      </c>
      <c r="H479" s="3">
        <f>IF(ISNUMBER(C279),C279*CTL_ProdDerate,C279)</f>
        <v/>
      </c>
      <c r="I479" s="3" t="n">
        <v>10960119139.5659</v>
      </c>
      <c r="J479" s="3" t="inlineStr">
        <is>
          <t>—</t>
        </is>
      </c>
      <c r="K479" s="3" t="inlineStr">
        <is>
          <t>[G03] 每 GW 產出的 _Prod 層＝Util 列 × CTL_ProdDerate（線性 0.85），同一瀑布的營收 _Prod 層（第 235／240／245／250 列）＝重解 SLO 後的值，比 Util 低 0.49–0.81 倍（Hopper Astra 0.486、VR200 Sol 0.808）。同一層名稱，token 與營收的折減方式不同，_Prod 層的營收 ÷ token 不再等於單價。契約第 2 條寫「_Prod＝_Util × CTL_ProdDerate」（線性）</t>
        </is>
      </c>
      <c r="L479" s="3" t="inlineStr">
        <is>
          <t>—</t>
        </is>
      </c>
      <c r="M479" s="3" t="inlineStr">
        <is>
          <t>—</t>
        </is>
      </c>
      <c r="N479" s="3" t="inlineStr">
        <is>
          <t>—</t>
        </is>
      </c>
      <c r="O479" s="3" t="inlineStr">
        <is>
          <t>—</t>
        </is>
      </c>
      <c r="P479" s="3" t="inlineStr">
        <is>
          <t>[G06] 單一層級列不可達時輸出 0（數值）而非文字；與組合列的文字處理方式相反（第 2 段 F09）</t>
        </is>
      </c>
      <c r="Q479" s="3" t="inlineStr">
        <is>
          <t>直接引用 Y5 類輸入</t>
        </is>
      </c>
      <c r="R479" s="3" t="inlineStr">
        <is>
          <t>—</t>
        </is>
      </c>
      <c r="S479" s="3" t="inlineStr">
        <is>
          <t>Y1,Y5,Y6,Y8</t>
        </is>
      </c>
      <c r="T479" s="3" t="inlineStr">
        <is>
          <t>Y5</t>
        </is>
      </c>
      <c r="U479" s="3" t="n">
        <v>33</v>
      </c>
      <c r="V479" s="3" t="inlineStr">
        <is>
          <t>G03,G06</t>
        </is>
      </c>
      <c r="W479" s="3" t="inlineStr">
        <is>
          <t>高</t>
        </is>
      </c>
    </row>
    <row r="480">
      <c r="A480" s="3" t="inlineStr">
        <is>
          <t>Interface</t>
        </is>
      </c>
      <c r="B480" s="3" t="n">
        <v>281</v>
      </c>
      <c r="C480" s="3" t="inlineStr">
        <is>
          <t>每 GW 總產出（100%）｜× L × m（無 H 節對應：＝Prod 列 × 1；L、m 不作用於產能）　[IFW_TokGW_Sol_Life]</t>
        </is>
      </c>
      <c r="D480" s="3" t="inlineStr">
        <is>
          <t>M tok/年</t>
        </is>
      </c>
      <c r="E480" s="3" t="n">
        <v>20</v>
      </c>
      <c r="F480" s="3" t="n">
        <v>6</v>
      </c>
      <c r="G480" s="3" t="inlineStr">
        <is>
          <t>C281</t>
        </is>
      </c>
      <c r="H480" s="3">
        <f>IF(ISNUMBER(C280),C280*1,C280)</f>
        <v/>
      </c>
      <c r="I480" s="3" t="n">
        <v>10960119139.5659</v>
      </c>
      <c r="J480" s="3" t="inlineStr">
        <is>
          <t>—</t>
        </is>
      </c>
      <c r="K480" s="3" t="inlineStr">
        <is>
          <t>—</t>
        </is>
      </c>
      <c r="L480" s="3" t="inlineStr">
        <is>
          <t>—</t>
        </is>
      </c>
      <c r="M480" s="3" t="inlineStr">
        <is>
          <t>[G03] token 的 _Life 層＝Prod × 1（標籤自述 L、m 不作用於產能）；契約第 2 條寫「_Life＝_Prod × L × m」，名稱相同但定義不同</t>
        </is>
      </c>
      <c r="N480" s="3" t="inlineStr">
        <is>
          <t>—</t>
        </is>
      </c>
      <c r="O480" s="3" t="inlineStr">
        <is>
          <t>—</t>
        </is>
      </c>
      <c r="P480" s="3" t="inlineStr">
        <is>
          <t>[G06] 單一層級列不可達時輸出 0（數值）而非文字；與組合列的文字處理方式相反（第 2 段 F09）</t>
        </is>
      </c>
      <c r="Q480" s="3" t="inlineStr">
        <is>
          <t>上游含 Y1,Y5,Y6,Y8</t>
        </is>
      </c>
      <c r="R480" s="3" t="inlineStr">
        <is>
          <t>—</t>
        </is>
      </c>
      <c r="S480" s="3" t="inlineStr">
        <is>
          <t>Y1,Y5,Y6,Y8</t>
        </is>
      </c>
      <c r="T480" s="3" t="inlineStr"/>
      <c r="U480" s="3" t="n">
        <v>18</v>
      </c>
      <c r="V480" s="3" t="inlineStr">
        <is>
          <t>G03,G06</t>
        </is>
      </c>
      <c r="W480" s="3" t="inlineStr">
        <is>
          <t>中</t>
        </is>
      </c>
    </row>
    <row r="481">
      <c r="A481" s="3" t="inlineStr">
        <is>
          <t>Interface</t>
        </is>
      </c>
      <c r="B481" s="3" t="n">
        <v>283</v>
      </c>
      <c r="C481" s="3" t="inlineStr">
        <is>
          <t>每 GW 總產出（100%）｜100%　[IFW_TokGW_Astra_100]</t>
        </is>
      </c>
      <c r="D481" s="3" t="inlineStr">
        <is>
          <t>M tok/年</t>
        </is>
      </c>
      <c r="E481" s="3" t="n">
        <v>20</v>
      </c>
      <c r="F481" s="3" t="n">
        <v>6</v>
      </c>
      <c r="G481" s="3" t="inlineStr">
        <is>
          <t>C283</t>
        </is>
      </c>
      <c r="H481" s="3">
        <f>C41</f>
        <v/>
      </c>
      <c r="I481" s="3" t="n">
        <v>3876518295.93805</v>
      </c>
      <c r="J481" s="3" t="inlineStr">
        <is>
          <t>—</t>
        </is>
      </c>
      <c r="K481" s="3" t="inlineStr">
        <is>
          <t>—</t>
        </is>
      </c>
      <c r="L481" s="3" t="inlineStr">
        <is>
          <t>—</t>
        </is>
      </c>
      <c r="M481" s="3" t="inlineStr">
        <is>
          <t>—</t>
        </is>
      </c>
      <c r="N481" s="3" t="inlineStr">
        <is>
          <t>—</t>
        </is>
      </c>
      <c r="O481" s="3" t="inlineStr">
        <is>
          <t>—</t>
        </is>
      </c>
      <c r="P481" s="3" t="inlineStr">
        <is>
          <t>[G06] 單一層級列不可達時輸出 0（數值）而非文字；與組合列的文字處理方式相反（第 2 段 F09）</t>
        </is>
      </c>
      <c r="Q481" s="3" t="inlineStr">
        <is>
          <t>上游含 Y1,Y5,Y6,Y8</t>
        </is>
      </c>
      <c r="R481" s="3" t="inlineStr">
        <is>
          <t>—</t>
        </is>
      </c>
      <c r="S481" s="3" t="inlineStr">
        <is>
          <t>Y1,Y5,Y6,Y8</t>
        </is>
      </c>
      <c r="T481" s="3" t="inlineStr"/>
      <c r="U481" s="3" t="n">
        <v>33</v>
      </c>
      <c r="V481" s="3" t="inlineStr">
        <is>
          <t>G06</t>
        </is>
      </c>
      <c r="W481" s="3" t="inlineStr">
        <is>
          <t>中</t>
        </is>
      </c>
    </row>
    <row r="482">
      <c r="A482" s="3" t="inlineStr">
        <is>
          <t>Interface</t>
        </is>
      </c>
      <c r="B482" s="3" t="n">
        <v>284</v>
      </c>
      <c r="C482" s="3" t="inlineStr">
        <is>
          <t>每 GW 總產出（100%）｜× IF_Util（B 節 100% 列 × IF_Util；無 D 節對應）　[IFW_TokGW_Astra_Util]</t>
        </is>
      </c>
      <c r="D482" s="3" t="inlineStr">
        <is>
          <t>M tok/年</t>
        </is>
      </c>
      <c r="E482" s="3" t="n">
        <v>20</v>
      </c>
      <c r="F482" s="3" t="n">
        <v>6</v>
      </c>
      <c r="G482" s="3" t="inlineStr">
        <is>
          <t>C284</t>
        </is>
      </c>
      <c r="H482" s="3">
        <f>IF(ISNUMBER(C41),C41*IF_Util,C41)</f>
        <v/>
      </c>
      <c r="I482" s="3" t="n">
        <v>2325910977.56283</v>
      </c>
      <c r="J482" s="3" t="inlineStr">
        <is>
          <t>—</t>
        </is>
      </c>
      <c r="K482" s="3" t="inlineStr">
        <is>
          <t>—</t>
        </is>
      </c>
      <c r="L482" s="3" t="inlineStr">
        <is>
          <t>—</t>
        </is>
      </c>
      <c r="M482" s="3" t="inlineStr">
        <is>
          <t>—</t>
        </is>
      </c>
      <c r="N482" s="3" t="inlineStr">
        <is>
          <t>—</t>
        </is>
      </c>
      <c r="O482" s="3" t="inlineStr">
        <is>
          <t>—</t>
        </is>
      </c>
      <c r="P482" s="3" t="inlineStr">
        <is>
          <t>[G06] 單一層級列不可達時輸出 0（數值）而非文字；與組合列的文字處理方式相反（第 2 段 F09）</t>
        </is>
      </c>
      <c r="Q482" s="3" t="inlineStr">
        <is>
          <t>上游含 Y1,Y5,Y6,Y8</t>
        </is>
      </c>
      <c r="R482" s="3" t="inlineStr">
        <is>
          <t>—</t>
        </is>
      </c>
      <c r="S482" s="3" t="inlineStr">
        <is>
          <t>Y1,Y5,Y6,Y8</t>
        </is>
      </c>
      <c r="T482" s="3" t="inlineStr"/>
      <c r="U482" s="3" t="n">
        <v>33</v>
      </c>
      <c r="V482" s="3" t="inlineStr">
        <is>
          <t>G06</t>
        </is>
      </c>
      <c r="W482" s="3" t="inlineStr">
        <is>
          <t>中</t>
        </is>
      </c>
    </row>
    <row r="483">
      <c r="A483" s="3" t="inlineStr">
        <is>
          <t>Interface</t>
        </is>
      </c>
      <c r="B483" s="3" t="n">
        <v>285</v>
      </c>
      <c r="C483" s="3" t="inlineStr">
        <is>
          <t>每 GW 總產出（100%）｜× CTL_ProdDerate（＝Util 列 × CTL_ProdDerate，線性；Interface_Prod 同列為 100% 口徑重解值，保留原處作對照）　[IFW_TokGW_Astra_Prod]</t>
        </is>
      </c>
      <c r="D483" s="3" t="inlineStr">
        <is>
          <t>M tok/年</t>
        </is>
      </c>
      <c r="E483" s="3" t="n">
        <v>20</v>
      </c>
      <c r="F483" s="3" t="n">
        <v>6</v>
      </c>
      <c r="G483" s="3" t="inlineStr">
        <is>
          <t>C285</t>
        </is>
      </c>
      <c r="H483" s="3">
        <f>IF(ISNUMBER(C284),C284*CTL_ProdDerate,C284)</f>
        <v/>
      </c>
      <c r="I483" s="3" t="n">
        <v>1977024330.9284</v>
      </c>
      <c r="J483" s="3" t="inlineStr">
        <is>
          <t>—</t>
        </is>
      </c>
      <c r="K483" s="3" t="inlineStr">
        <is>
          <t>[G03] 每 GW 產出的 _Prod 層＝Util 列 × CTL_ProdDerate（線性 0.85），同一瀑布的營收 _Prod 層（第 235／240／245／250 列）＝重解 SLO 後的值，比 Util 低 0.49–0.81 倍（Hopper Astra 0.486、VR200 Sol 0.808）。同一層名稱，token 與營收的折減方式不同，_Prod 層的營收 ÷ token 不再等於單價。契約第 2 條寫「_Prod＝_Util × CTL_ProdDerate」（線性）</t>
        </is>
      </c>
      <c r="L483" s="3" t="inlineStr">
        <is>
          <t>—</t>
        </is>
      </c>
      <c r="M483" s="3" t="inlineStr">
        <is>
          <t>—</t>
        </is>
      </c>
      <c r="N483" s="3" t="inlineStr">
        <is>
          <t>—</t>
        </is>
      </c>
      <c r="O483" s="3" t="inlineStr">
        <is>
          <t>—</t>
        </is>
      </c>
      <c r="P483" s="3" t="inlineStr">
        <is>
          <t>[G06] 單一層級列不可達時輸出 0（數值）而非文字；與組合列的文字處理方式相反（第 2 段 F09）</t>
        </is>
      </c>
      <c r="Q483" s="3" t="inlineStr">
        <is>
          <t>直接引用 Y5 類輸入</t>
        </is>
      </c>
      <c r="R483" s="3" t="inlineStr">
        <is>
          <t>—</t>
        </is>
      </c>
      <c r="S483" s="3" t="inlineStr">
        <is>
          <t>Y1,Y5,Y6,Y8</t>
        </is>
      </c>
      <c r="T483" s="3" t="inlineStr">
        <is>
          <t>Y5</t>
        </is>
      </c>
      <c r="U483" s="3" t="n">
        <v>33</v>
      </c>
      <c r="V483" s="3" t="inlineStr">
        <is>
          <t>G03,G06</t>
        </is>
      </c>
      <c r="W483" s="3" t="inlineStr">
        <is>
          <t>高</t>
        </is>
      </c>
    </row>
    <row r="484">
      <c r="A484" s="3" t="inlineStr">
        <is>
          <t>Interface</t>
        </is>
      </c>
      <c r="B484" s="3" t="n">
        <v>286</v>
      </c>
      <c r="C484" s="3" t="inlineStr">
        <is>
          <t>每 GW 總產出（100%）｜× L × m（無 H 節對應：＝Prod 列 × 1；L、m 不作用於產能）　[IFW_TokGW_Astra_Life]</t>
        </is>
      </c>
      <c r="D484" s="3" t="inlineStr">
        <is>
          <t>M tok/年</t>
        </is>
      </c>
      <c r="E484" s="3" t="n">
        <v>20</v>
      </c>
      <c r="F484" s="3" t="n">
        <v>6</v>
      </c>
      <c r="G484" s="3" t="inlineStr">
        <is>
          <t>C286</t>
        </is>
      </c>
      <c r="H484" s="3">
        <f>IF(ISNUMBER(C285),C285*1,C285)</f>
        <v/>
      </c>
      <c r="I484" s="3" t="n">
        <v>1977024330.9284</v>
      </c>
      <c r="J484" s="3" t="inlineStr">
        <is>
          <t>—</t>
        </is>
      </c>
      <c r="K484" s="3" t="inlineStr">
        <is>
          <t>—</t>
        </is>
      </c>
      <c r="L484" s="3" t="inlineStr">
        <is>
          <t>—</t>
        </is>
      </c>
      <c r="M484" s="3" t="inlineStr">
        <is>
          <t>[G03] token 的 _Life 層＝Prod × 1（標籤自述 L、m 不作用於產能）；契約第 2 條寫「_Life＝_Prod × L × m」，名稱相同但定義不同</t>
        </is>
      </c>
      <c r="N484" s="3" t="inlineStr">
        <is>
          <t>—</t>
        </is>
      </c>
      <c r="O484" s="3" t="inlineStr">
        <is>
          <t>—</t>
        </is>
      </c>
      <c r="P484" s="3" t="inlineStr">
        <is>
          <t>[G06] 單一層級列不可達時輸出 0（數值）而非文字；與組合列的文字處理方式相反（第 2 段 F09）</t>
        </is>
      </c>
      <c r="Q484" s="3" t="inlineStr">
        <is>
          <t>上游含 Y1,Y5,Y6,Y8</t>
        </is>
      </c>
      <c r="R484" s="3" t="inlineStr">
        <is>
          <t>—</t>
        </is>
      </c>
      <c r="S484" s="3" t="inlineStr">
        <is>
          <t>Y1,Y5,Y6,Y8</t>
        </is>
      </c>
      <c r="T484" s="3" t="inlineStr"/>
      <c r="U484" s="3" t="n">
        <v>18</v>
      </c>
      <c r="V484" s="3" t="inlineStr">
        <is>
          <t>G03,G06</t>
        </is>
      </c>
      <c r="W484" s="3" t="inlineStr">
        <is>
          <t>中</t>
        </is>
      </c>
    </row>
    <row r="485">
      <c r="A485" s="3" t="inlineStr">
        <is>
          <t>Interface</t>
        </is>
      </c>
      <c r="B485" s="3" t="n">
        <v>289</v>
      </c>
      <c r="C485" s="3" t="inlineStr">
        <is>
          <t>IFW_RevGW_Luna_Util：Interface 列 vs Interface 第 101 列</t>
        </is>
      </c>
      <c r="D485" s="3" t="n"/>
      <c r="E485" s="3" t="n">
        <v>15</v>
      </c>
      <c r="F485" s="3" t="n">
        <v>1</v>
      </c>
      <c r="G485" s="3" t="inlineStr">
        <is>
          <t>C289</t>
        </is>
      </c>
      <c r="H485" s="3">
        <f>IF(AND(ISNUMBER(C234),ISNUMBER(C101)),IF(ABS(C234-C101)&lt;=0.000000001,0,1),IF(AND(NOT(ISNUMBER(C234)),NOT(ISNUMBER(C101))),IF(C234=C101,0,1),1))</f>
        <v/>
      </c>
      <c r="I485" s="3" t="n">
        <v>0</v>
      </c>
      <c r="J485" s="3" t="inlineStr">
        <is>
          <t>—</t>
        </is>
      </c>
      <c r="K485" s="3" t="inlineStr">
        <is>
          <t>—</t>
        </is>
      </c>
      <c r="L485" s="3" t="inlineStr">
        <is>
          <t>—</t>
        </is>
      </c>
      <c r="M485" s="3" t="inlineStr">
        <is>
          <t>—</t>
        </is>
      </c>
      <c r="N485" s="3" t="inlineStr">
        <is>
          <t>[G17] 連結一致性檢查：比較的兩格中一格直接等於另一格（例：第 234 列＝第 101 列），恆為 0</t>
        </is>
      </c>
      <c r="O485" s="3" t="inlineStr">
        <is>
          <t>—</t>
        </is>
      </c>
      <c r="P485" s="3" t="inlineStr">
        <is>
          <t>—</t>
        </is>
      </c>
      <c r="Q485" s="3" t="inlineStr">
        <is>
          <t>上游含 Y1,Y2,Y5,Y6,Y8</t>
        </is>
      </c>
      <c r="R485" s="3" t="inlineStr">
        <is>
          <t>—</t>
        </is>
      </c>
      <c r="S485" s="3" t="inlineStr">
        <is>
          <t>Y1,Y2,Y5,Y6,Y8</t>
        </is>
      </c>
      <c r="T485" s="3" t="inlineStr"/>
      <c r="U485" s="3" t="n">
        <v>0</v>
      </c>
      <c r="V485" s="3" t="inlineStr">
        <is>
          <t>G17</t>
        </is>
      </c>
      <c r="W485" s="3" t="inlineStr">
        <is>
          <t>低</t>
        </is>
      </c>
    </row>
    <row r="486">
      <c r="A486" s="3" t="inlineStr">
        <is>
          <t>Interface</t>
        </is>
      </c>
      <c r="B486" s="3" t="n">
        <v>290</v>
      </c>
      <c r="C486" s="3" t="inlineStr">
        <is>
          <t>IFW_RevGW_Sol_Util：Interface 列 vs Interface 第 119 列</t>
        </is>
      </c>
      <c r="D486" s="3" t="n"/>
      <c r="E486" s="3" t="n">
        <v>15</v>
      </c>
      <c r="F486" s="3" t="n">
        <v>1</v>
      </c>
      <c r="G486" s="3" t="inlineStr">
        <is>
          <t>C290</t>
        </is>
      </c>
      <c r="H486" s="3">
        <f>IF(AND(ISNUMBER(C239),ISNUMBER(C119)),IF(ABS(C239-C119)&lt;=0.000000001,0,1),IF(AND(NOT(ISNUMBER(C239)),NOT(ISNUMBER(C119))),IF(C239=C119,0,1),1))</f>
        <v/>
      </c>
      <c r="I486" s="3" t="n">
        <v>0</v>
      </c>
      <c r="J486" s="3" t="inlineStr">
        <is>
          <t>—</t>
        </is>
      </c>
      <c r="K486" s="3" t="inlineStr">
        <is>
          <t>—</t>
        </is>
      </c>
      <c r="L486" s="3" t="inlineStr">
        <is>
          <t>—</t>
        </is>
      </c>
      <c r="M486" s="3" t="inlineStr">
        <is>
          <t>—</t>
        </is>
      </c>
      <c r="N486" s="3" t="inlineStr">
        <is>
          <t>[G17] 連結一致性檢查：比較的兩格中一格直接等於另一格（例：第 234 列＝第 101 列），恆為 0</t>
        </is>
      </c>
      <c r="O486" s="3" t="inlineStr">
        <is>
          <t>—</t>
        </is>
      </c>
      <c r="P486" s="3" t="inlineStr">
        <is>
          <t>—</t>
        </is>
      </c>
      <c r="Q486" s="3" t="inlineStr">
        <is>
          <t>上游含 Y1,Y2,Y5,Y6,Y8</t>
        </is>
      </c>
      <c r="R486" s="3" t="inlineStr">
        <is>
          <t>—</t>
        </is>
      </c>
      <c r="S486" s="3" t="inlineStr">
        <is>
          <t>Y1,Y2,Y5,Y6,Y8</t>
        </is>
      </c>
      <c r="T486" s="3" t="inlineStr"/>
      <c r="U486" s="3" t="n">
        <v>0</v>
      </c>
      <c r="V486" s="3" t="inlineStr">
        <is>
          <t>G17</t>
        </is>
      </c>
      <c r="W486" s="3" t="inlineStr">
        <is>
          <t>低</t>
        </is>
      </c>
    </row>
    <row r="487">
      <c r="A487" s="3" t="inlineStr">
        <is>
          <t>Interface</t>
        </is>
      </c>
      <c r="B487" s="3" t="n">
        <v>291</v>
      </c>
      <c r="C487" s="3" t="inlineStr">
        <is>
          <t>IFW_RevGW_Astra_Util：Interface 列 vs Interface 第 137 列</t>
        </is>
      </c>
      <c r="D487" s="3" t="n"/>
      <c r="E487" s="3" t="n">
        <v>15</v>
      </c>
      <c r="F487" s="3" t="n">
        <v>1</v>
      </c>
      <c r="G487" s="3" t="inlineStr">
        <is>
          <t>C291</t>
        </is>
      </c>
      <c r="H487" s="3">
        <f>IF(AND(ISNUMBER(C244),ISNUMBER(C137)),IF(ABS(C244-C137)&lt;=0.000000001,0,1),IF(AND(NOT(ISNUMBER(C244)),NOT(ISNUMBER(C137))),IF(C244=C137,0,1),1))</f>
        <v/>
      </c>
      <c r="I487" s="3" t="n">
        <v>0</v>
      </c>
      <c r="J487" s="3" t="inlineStr">
        <is>
          <t>—</t>
        </is>
      </c>
      <c r="K487" s="3" t="inlineStr">
        <is>
          <t>—</t>
        </is>
      </c>
      <c r="L487" s="3" t="inlineStr">
        <is>
          <t>—</t>
        </is>
      </c>
      <c r="M487" s="3" t="inlineStr">
        <is>
          <t>—</t>
        </is>
      </c>
      <c r="N487" s="3" t="inlineStr">
        <is>
          <t>[G17] 連結一致性檢查：比較的兩格中一格直接等於另一格（例：第 234 列＝第 101 列），恆為 0</t>
        </is>
      </c>
      <c r="O487" s="3" t="inlineStr">
        <is>
          <t>—</t>
        </is>
      </c>
      <c r="P487" s="3" t="inlineStr">
        <is>
          <t>—</t>
        </is>
      </c>
      <c r="Q487" s="3" t="inlineStr">
        <is>
          <t>上游含 Y1,Y2,Y5,Y6,Y8</t>
        </is>
      </c>
      <c r="R487" s="3" t="inlineStr">
        <is>
          <t>—</t>
        </is>
      </c>
      <c r="S487" s="3" t="inlineStr">
        <is>
          <t>Y1,Y2,Y5,Y6,Y8</t>
        </is>
      </c>
      <c r="T487" s="3" t="inlineStr"/>
      <c r="U487" s="3" t="n">
        <v>0</v>
      </c>
      <c r="V487" s="3" t="inlineStr">
        <is>
          <t>G17</t>
        </is>
      </c>
      <c r="W487" s="3" t="inlineStr">
        <is>
          <t>低</t>
        </is>
      </c>
    </row>
    <row r="488">
      <c r="A488" s="3" t="inlineStr">
        <is>
          <t>Interface</t>
        </is>
      </c>
      <c r="B488" s="3" t="n">
        <v>292</v>
      </c>
      <c r="C488" s="3" t="inlineStr">
        <is>
          <t>IFW_RevGWFleet_Util：Interface 列 vs Interface 第 143 列</t>
        </is>
      </c>
      <c r="D488" s="3" t="n"/>
      <c r="E488" s="3" t="n">
        <v>15</v>
      </c>
      <c r="F488" s="3" t="n">
        <v>1</v>
      </c>
      <c r="G488" s="3" t="inlineStr">
        <is>
          <t>C292</t>
        </is>
      </c>
      <c r="H488" s="3">
        <f>IF(AND(ISNUMBER(C249),ISNUMBER(C143)),IF(ABS(C249-C143)&lt;=0.000000001,0,1),IF(AND(NOT(ISNUMBER(C249)),NOT(ISNUMBER(C143))),IF(C249=C143,0,1),1))</f>
        <v/>
      </c>
      <c r="I488" s="3" t="n">
        <v>0</v>
      </c>
      <c r="J488" s="3" t="inlineStr">
        <is>
          <t>—</t>
        </is>
      </c>
      <c r="K488" s="3" t="inlineStr">
        <is>
          <t>—</t>
        </is>
      </c>
      <c r="L488" s="3" t="inlineStr">
        <is>
          <t>—</t>
        </is>
      </c>
      <c r="M488" s="3" t="inlineStr">
        <is>
          <t>—</t>
        </is>
      </c>
      <c r="N488" s="3" t="inlineStr">
        <is>
          <t>[G17] 連結一致性檢查：比較的兩格中一格直接等於另一格（例：第 234 列＝第 101 列），恆為 0</t>
        </is>
      </c>
      <c r="O488" s="3" t="inlineStr">
        <is>
          <t>—</t>
        </is>
      </c>
      <c r="P488" s="3" t="inlineStr">
        <is>
          <t>—</t>
        </is>
      </c>
      <c r="Q488" s="3" t="inlineStr">
        <is>
          <t>上游含 Y1,Y2,Y3,Y5,Y6,Y8</t>
        </is>
      </c>
      <c r="R488" s="3" t="inlineStr">
        <is>
          <t>—</t>
        </is>
      </c>
      <c r="S488" s="3" t="inlineStr">
        <is>
          <t>Y1,Y2,Y3,Y5,Y6,Y8</t>
        </is>
      </c>
      <c r="T488" s="3" t="inlineStr"/>
      <c r="U488" s="3" t="n">
        <v>0</v>
      </c>
      <c r="V488" s="3" t="inlineStr">
        <is>
          <t>G17</t>
        </is>
      </c>
      <c r="W488" s="3" t="inlineStr">
        <is>
          <t>低</t>
        </is>
      </c>
    </row>
    <row r="489">
      <c r="A489" s="3" t="inlineStr">
        <is>
          <t>Interface</t>
        </is>
      </c>
      <c r="B489" s="3" t="n">
        <v>293</v>
      </c>
      <c r="C489" s="3" t="inlineStr">
        <is>
          <t>IFW_RevGWFront_Luna_Util：Interface 列 vs Interface 第 102 列</t>
        </is>
      </c>
      <c r="D489" s="3" t="n"/>
      <c r="E489" s="3" t="n">
        <v>15</v>
      </c>
      <c r="F489" s="3" t="n">
        <v>1</v>
      </c>
      <c r="G489" s="3" t="inlineStr">
        <is>
          <t>C293</t>
        </is>
      </c>
      <c r="H489" s="3">
        <f>IF(AND(ISNUMBER(C254),ISNUMBER(C102)),IF(ABS(C254-C102)&lt;=0.000000001,0,1),IF(AND(NOT(ISNUMBER(C254)),NOT(ISNUMBER(C102))),IF(C254=C102,0,1),1))</f>
        <v/>
      </c>
      <c r="I489" s="3" t="n">
        <v>0</v>
      </c>
      <c r="J489" s="3" t="inlineStr">
        <is>
          <t>—</t>
        </is>
      </c>
      <c r="K489" s="3" t="inlineStr">
        <is>
          <t>—</t>
        </is>
      </c>
      <c r="L489" s="3" t="inlineStr">
        <is>
          <t>—</t>
        </is>
      </c>
      <c r="M489" s="3" t="inlineStr">
        <is>
          <t>—</t>
        </is>
      </c>
      <c r="N489" s="3" t="inlineStr">
        <is>
          <t>[G17] 連結一致性檢查：比較的兩格中一格直接等於另一格（例：第 234 列＝第 101 列），恆為 0</t>
        </is>
      </c>
      <c r="O489" s="3" t="inlineStr">
        <is>
          <t>—</t>
        </is>
      </c>
      <c r="P489" s="3" t="inlineStr">
        <is>
          <t>—</t>
        </is>
      </c>
      <c r="Q489" s="3" t="inlineStr">
        <is>
          <t>上游含 Y1,Y2,Y5,Y6,Y8</t>
        </is>
      </c>
      <c r="R489" s="3" t="inlineStr">
        <is>
          <t>—</t>
        </is>
      </c>
      <c r="S489" s="3" t="inlineStr">
        <is>
          <t>Y1,Y2,Y5,Y6,Y8</t>
        </is>
      </c>
      <c r="T489" s="3" t="inlineStr"/>
      <c r="U489" s="3" t="n">
        <v>0</v>
      </c>
      <c r="V489" s="3" t="inlineStr">
        <is>
          <t>G17</t>
        </is>
      </c>
      <c r="W489" s="3" t="inlineStr">
        <is>
          <t>低</t>
        </is>
      </c>
    </row>
    <row r="490">
      <c r="A490" s="3" t="inlineStr">
        <is>
          <t>Interface</t>
        </is>
      </c>
      <c r="B490" s="3" t="n">
        <v>294</v>
      </c>
      <c r="C490" s="3" t="inlineStr">
        <is>
          <t>IFW_RevGWFront_Sol_Util：Interface 列 vs Interface 第 120 列</t>
        </is>
      </c>
      <c r="D490" s="3" t="n"/>
      <c r="E490" s="3" t="n">
        <v>15</v>
      </c>
      <c r="F490" s="3" t="n">
        <v>1</v>
      </c>
      <c r="G490" s="3" t="inlineStr">
        <is>
          <t>C294</t>
        </is>
      </c>
      <c r="H490" s="3">
        <f>IF(AND(ISNUMBER(C259),ISNUMBER(C120)),IF(ABS(C259-C120)&lt;=0.000000001,0,1),IF(AND(NOT(ISNUMBER(C259)),NOT(ISNUMBER(C120))),IF(C259=C120,0,1),1))</f>
        <v/>
      </c>
      <c r="I490" s="3" t="n">
        <v>0</v>
      </c>
      <c r="J490" s="3" t="inlineStr">
        <is>
          <t>—</t>
        </is>
      </c>
      <c r="K490" s="3" t="inlineStr">
        <is>
          <t>—</t>
        </is>
      </c>
      <c r="L490" s="3" t="inlineStr">
        <is>
          <t>—</t>
        </is>
      </c>
      <c r="M490" s="3" t="inlineStr">
        <is>
          <t>—</t>
        </is>
      </c>
      <c r="N490" s="3" t="inlineStr">
        <is>
          <t>[G17] 連結一致性檢查：比較的兩格中一格直接等於另一格（例：第 234 列＝第 101 列），恆為 0</t>
        </is>
      </c>
      <c r="O490" s="3" t="inlineStr">
        <is>
          <t>—</t>
        </is>
      </c>
      <c r="P490" s="3" t="inlineStr">
        <is>
          <t>—</t>
        </is>
      </c>
      <c r="Q490" s="3" t="inlineStr">
        <is>
          <t>上游含 Y1,Y2,Y5,Y6,Y8</t>
        </is>
      </c>
      <c r="R490" s="3" t="inlineStr">
        <is>
          <t>—</t>
        </is>
      </c>
      <c r="S490" s="3" t="inlineStr">
        <is>
          <t>Y1,Y2,Y5,Y6,Y8</t>
        </is>
      </c>
      <c r="T490" s="3" t="inlineStr"/>
      <c r="U490" s="3" t="n">
        <v>0</v>
      </c>
      <c r="V490" s="3" t="inlineStr">
        <is>
          <t>G17</t>
        </is>
      </c>
      <c r="W490" s="3" t="inlineStr">
        <is>
          <t>低</t>
        </is>
      </c>
    </row>
    <row r="491">
      <c r="A491" s="3" t="inlineStr">
        <is>
          <t>Interface</t>
        </is>
      </c>
      <c r="B491" s="3" t="n">
        <v>295</v>
      </c>
      <c r="C491" s="3" t="inlineStr">
        <is>
          <t>IFW_RevGWFront_Astra_Util：Interface 列 vs Interface 第 138 列</t>
        </is>
      </c>
      <c r="D491" s="3" t="n"/>
      <c r="E491" s="3" t="n">
        <v>15</v>
      </c>
      <c r="F491" s="3" t="n">
        <v>1</v>
      </c>
      <c r="G491" s="3" t="inlineStr">
        <is>
          <t>C295</t>
        </is>
      </c>
      <c r="H491" s="3">
        <f>IF(AND(ISNUMBER(C264),ISNUMBER(C138)),IF(ABS(C264-C138)&lt;=0.000000001,0,1),IF(AND(NOT(ISNUMBER(C264)),NOT(ISNUMBER(C138))),IF(C264=C138,0,1),1))</f>
        <v/>
      </c>
      <c r="I491" s="3" t="n">
        <v>0</v>
      </c>
      <c r="J491" s="3" t="inlineStr">
        <is>
          <t>—</t>
        </is>
      </c>
      <c r="K491" s="3" t="inlineStr">
        <is>
          <t>—</t>
        </is>
      </c>
      <c r="L491" s="3" t="inlineStr">
        <is>
          <t>—</t>
        </is>
      </c>
      <c r="M491" s="3" t="inlineStr">
        <is>
          <t>—</t>
        </is>
      </c>
      <c r="N491" s="3" t="inlineStr">
        <is>
          <t>[G17] 連結一致性檢查：比較的兩格中一格直接等於另一格（例：第 234 列＝第 101 列），恆為 0</t>
        </is>
      </c>
      <c r="O491" s="3" t="inlineStr">
        <is>
          <t>—</t>
        </is>
      </c>
      <c r="P491" s="3" t="inlineStr">
        <is>
          <t>—</t>
        </is>
      </c>
      <c r="Q491" s="3" t="inlineStr">
        <is>
          <t>上游含 Y1,Y2,Y5,Y6,Y8</t>
        </is>
      </c>
      <c r="R491" s="3" t="inlineStr">
        <is>
          <t>—</t>
        </is>
      </c>
      <c r="S491" s="3" t="inlineStr">
        <is>
          <t>Y1,Y2,Y5,Y6,Y8</t>
        </is>
      </c>
      <c r="T491" s="3" t="inlineStr"/>
      <c r="U491" s="3" t="n">
        <v>0</v>
      </c>
      <c r="V491" s="3" t="inlineStr">
        <is>
          <t>G17</t>
        </is>
      </c>
      <c r="W491" s="3" t="inlineStr">
        <is>
          <t>低</t>
        </is>
      </c>
    </row>
    <row r="492">
      <c r="A492" s="3" t="inlineStr">
        <is>
          <t>Interface</t>
        </is>
      </c>
      <c r="B492" s="3" t="n">
        <v>296</v>
      </c>
      <c r="C492" s="3" t="inlineStr">
        <is>
          <t>IFW_RevGWFleetFront_Util：Interface 列 vs Interface 第 147 列</t>
        </is>
      </c>
      <c r="D492" s="3" t="n"/>
      <c r="E492" s="3" t="n">
        <v>15</v>
      </c>
      <c r="F492" s="3" t="n">
        <v>1</v>
      </c>
      <c r="G492" s="3" t="inlineStr">
        <is>
          <t>C296</t>
        </is>
      </c>
      <c r="H492" s="3">
        <f>IF(AND(ISNUMBER(C269),ISNUMBER(C147)),IF(ABS(C269-C147)&lt;=0.000000001,0,1),IF(AND(NOT(ISNUMBER(C269)),NOT(ISNUMBER(C147))),IF(C269=C147,0,1),1))</f>
        <v/>
      </c>
      <c r="I492" s="3" t="n">
        <v>0</v>
      </c>
      <c r="J492" s="3" t="inlineStr">
        <is>
          <t>—</t>
        </is>
      </c>
      <c r="K492" s="3" t="inlineStr">
        <is>
          <t>—</t>
        </is>
      </c>
      <c r="L492" s="3" t="inlineStr">
        <is>
          <t>—</t>
        </is>
      </c>
      <c r="M492" s="3" t="inlineStr">
        <is>
          <t>—</t>
        </is>
      </c>
      <c r="N492" s="3" t="inlineStr">
        <is>
          <t>[G17] 連結一致性檢查：比較的兩格中一格直接等於另一格（例：第 234 列＝第 101 列），恆為 0</t>
        </is>
      </c>
      <c r="O492" s="3" t="inlineStr">
        <is>
          <t>—</t>
        </is>
      </c>
      <c r="P492" s="3" t="inlineStr">
        <is>
          <t>—</t>
        </is>
      </c>
      <c r="Q492" s="3" t="inlineStr">
        <is>
          <t>上游含 Y1,Y2,Y3,Y5,Y6,Y8</t>
        </is>
      </c>
      <c r="R492" s="3" t="inlineStr">
        <is>
          <t>—</t>
        </is>
      </c>
      <c r="S492" s="3" t="inlineStr">
        <is>
          <t>Y1,Y2,Y3,Y5,Y6,Y8</t>
        </is>
      </c>
      <c r="T492" s="3" t="inlineStr"/>
      <c r="U492" s="3" t="n">
        <v>0</v>
      </c>
      <c r="V492" s="3" t="inlineStr">
        <is>
          <t>G17</t>
        </is>
      </c>
      <c r="W492" s="3" t="inlineStr">
        <is>
          <t>低</t>
        </is>
      </c>
    </row>
    <row r="493">
      <c r="A493" s="3" t="inlineStr">
        <is>
          <t>Interface</t>
        </is>
      </c>
      <c r="B493" s="3" t="n">
        <v>297</v>
      </c>
      <c r="C493" s="3" t="inlineStr">
        <is>
          <t>IFW_TokGW_Luna_100：Interface 列 vs Interface 第 21 列</t>
        </is>
      </c>
      <c r="D493" s="3" t="n"/>
      <c r="E493" s="3" t="n">
        <v>15</v>
      </c>
      <c r="F493" s="3" t="n">
        <v>1</v>
      </c>
      <c r="G493" s="3" t="inlineStr">
        <is>
          <t>C297</t>
        </is>
      </c>
      <c r="H493" s="3">
        <f>IF(AND(ISNUMBER(C273),ISNUMBER(C21)),IF(ABS(C273-C21)&lt;=0.000000001,0,1),IF(AND(NOT(ISNUMBER(C273)),NOT(ISNUMBER(C21))),IF(C273=C21,0,1),1))</f>
        <v/>
      </c>
      <c r="I493" s="3" t="n">
        <v>0</v>
      </c>
      <c r="J493" s="3" t="inlineStr">
        <is>
          <t>—</t>
        </is>
      </c>
      <c r="K493" s="3" t="inlineStr">
        <is>
          <t>—</t>
        </is>
      </c>
      <c r="L493" s="3" t="inlineStr">
        <is>
          <t>—</t>
        </is>
      </c>
      <c r="M493" s="3" t="inlineStr">
        <is>
          <t>—</t>
        </is>
      </c>
      <c r="N493" s="3" t="inlineStr">
        <is>
          <t>[G17] 連結一致性檢查：比較的兩格中一格直接等於另一格（例：第 234 列＝第 101 列），恆為 0</t>
        </is>
      </c>
      <c r="O493" s="3" t="inlineStr">
        <is>
          <t>—</t>
        </is>
      </c>
      <c r="P493" s="3" t="inlineStr">
        <is>
          <t>—</t>
        </is>
      </c>
      <c r="Q493" s="3" t="inlineStr">
        <is>
          <t>上游含 Y1,Y5,Y6,Y8</t>
        </is>
      </c>
      <c r="R493" s="3" t="inlineStr">
        <is>
          <t>—</t>
        </is>
      </c>
      <c r="S493" s="3" t="inlineStr">
        <is>
          <t>Y1,Y5,Y6,Y8</t>
        </is>
      </c>
      <c r="T493" s="3" t="inlineStr"/>
      <c r="U493" s="3" t="n">
        <v>0</v>
      </c>
      <c r="V493" s="3" t="inlineStr">
        <is>
          <t>G17</t>
        </is>
      </c>
      <c r="W493" s="3" t="inlineStr">
        <is>
          <t>低</t>
        </is>
      </c>
    </row>
    <row r="494">
      <c r="A494" s="3" t="inlineStr">
        <is>
          <t>Interface</t>
        </is>
      </c>
      <c r="B494" s="3" t="n">
        <v>298</v>
      </c>
      <c r="C494" s="3" t="inlineStr">
        <is>
          <t>IFW_TokGW_Sol_100：Interface 列 vs Interface 第 31 列</t>
        </is>
      </c>
      <c r="D494" s="3" t="n"/>
      <c r="E494" s="3" t="n">
        <v>15</v>
      </c>
      <c r="F494" s="3" t="n">
        <v>1</v>
      </c>
      <c r="G494" s="3" t="inlineStr">
        <is>
          <t>C298</t>
        </is>
      </c>
      <c r="H494" s="3">
        <f>IF(AND(ISNUMBER(C278),ISNUMBER(C31)),IF(ABS(C278-C31)&lt;=0.000000001,0,1),IF(AND(NOT(ISNUMBER(C278)),NOT(ISNUMBER(C31))),IF(C278=C31,0,1),1))</f>
        <v/>
      </c>
      <c r="I494" s="3" t="n">
        <v>0</v>
      </c>
      <c r="J494" s="3" t="inlineStr">
        <is>
          <t>—</t>
        </is>
      </c>
      <c r="K494" s="3" t="inlineStr">
        <is>
          <t>—</t>
        </is>
      </c>
      <c r="L494" s="3" t="inlineStr">
        <is>
          <t>—</t>
        </is>
      </c>
      <c r="M494" s="3" t="inlineStr">
        <is>
          <t>—</t>
        </is>
      </c>
      <c r="N494" s="3" t="inlineStr">
        <is>
          <t>[G17] 連結一致性檢查：比較的兩格中一格直接等於另一格（例：第 234 列＝第 101 列），恆為 0</t>
        </is>
      </c>
      <c r="O494" s="3" t="inlineStr">
        <is>
          <t>—</t>
        </is>
      </c>
      <c r="P494" s="3" t="inlineStr">
        <is>
          <t>—</t>
        </is>
      </c>
      <c r="Q494" s="3" t="inlineStr">
        <is>
          <t>上游含 Y1,Y5,Y6,Y8</t>
        </is>
      </c>
      <c r="R494" s="3" t="inlineStr">
        <is>
          <t>—</t>
        </is>
      </c>
      <c r="S494" s="3" t="inlineStr">
        <is>
          <t>Y1,Y5,Y6,Y8</t>
        </is>
      </c>
      <c r="T494" s="3" t="inlineStr"/>
      <c r="U494" s="3" t="n">
        <v>0</v>
      </c>
      <c r="V494" s="3" t="inlineStr">
        <is>
          <t>G17</t>
        </is>
      </c>
      <c r="W494" s="3" t="inlineStr">
        <is>
          <t>低</t>
        </is>
      </c>
    </row>
    <row r="495">
      <c r="A495" s="3" t="inlineStr">
        <is>
          <t>Interface</t>
        </is>
      </c>
      <c r="B495" s="3" t="n">
        <v>299</v>
      </c>
      <c r="C495" s="3" t="inlineStr">
        <is>
          <t>IFW_TokGW_Astra_100：Interface 列 vs Interface 第 41 列</t>
        </is>
      </c>
      <c r="D495" s="3" t="n"/>
      <c r="E495" s="3" t="n">
        <v>15</v>
      </c>
      <c r="F495" s="3" t="n">
        <v>1</v>
      </c>
      <c r="G495" s="3" t="inlineStr">
        <is>
          <t>C299</t>
        </is>
      </c>
      <c r="H495" s="3">
        <f>IF(AND(ISNUMBER(C283),ISNUMBER(C41)),IF(ABS(C283-C41)&lt;=0.000000001,0,1),IF(AND(NOT(ISNUMBER(C283)),NOT(ISNUMBER(C41))),IF(C283=C41,0,1),1))</f>
        <v/>
      </c>
      <c r="I495" s="3" t="n">
        <v>0</v>
      </c>
      <c r="J495" s="3" t="inlineStr">
        <is>
          <t>—</t>
        </is>
      </c>
      <c r="K495" s="3" t="inlineStr">
        <is>
          <t>—</t>
        </is>
      </c>
      <c r="L495" s="3" t="inlineStr">
        <is>
          <t>—</t>
        </is>
      </c>
      <c r="M495" s="3" t="inlineStr">
        <is>
          <t>—</t>
        </is>
      </c>
      <c r="N495" s="3" t="inlineStr">
        <is>
          <t>[G17] 連結一致性檢查：比較的兩格中一格直接等於另一格（例：第 234 列＝第 101 列），恆為 0</t>
        </is>
      </c>
      <c r="O495" s="3" t="inlineStr">
        <is>
          <t>—</t>
        </is>
      </c>
      <c r="P495" s="3" t="inlineStr">
        <is>
          <t>—</t>
        </is>
      </c>
      <c r="Q495" s="3" t="inlineStr">
        <is>
          <t>上游含 Y1,Y5,Y6,Y8</t>
        </is>
      </c>
      <c r="R495" s="3" t="inlineStr">
        <is>
          <t>—</t>
        </is>
      </c>
      <c r="S495" s="3" t="inlineStr">
        <is>
          <t>Y1,Y5,Y6,Y8</t>
        </is>
      </c>
      <c r="T495" s="3" t="inlineStr"/>
      <c r="U495" s="3" t="n">
        <v>0</v>
      </c>
      <c r="V495" s="3" t="inlineStr">
        <is>
          <t>G17</t>
        </is>
      </c>
      <c r="W495" s="3" t="inlineStr">
        <is>
          <t>低</t>
        </is>
      </c>
    </row>
    <row r="496">
      <c r="A496" s="3" t="inlineStr">
        <is>
          <t>Interface</t>
        </is>
      </c>
      <c r="B496" s="3" t="n">
        <v>300</v>
      </c>
      <c r="C496" s="3" t="inlineStr">
        <is>
          <t>IFW_RevGW_Luna：Interface 四層單調（第 233–236 列：_100 ≥ _Util ≥ _Prod ≥ _Life）</t>
        </is>
      </c>
      <c r="D496" s="3" t="n"/>
      <c r="E496" s="3" t="n">
        <v>15</v>
      </c>
      <c r="F496" s="3" t="n">
        <v>1</v>
      </c>
      <c r="G496" s="3" t="inlineStr">
        <is>
          <t>C300</t>
        </is>
      </c>
      <c r="H496" s="3">
        <f>IF(IF(ISNUMBER(C233),IF(ISNUMBER(C234),IF(C234-C233&gt;0.000000001*MAX(1,ABS(C233)),1,0),0),0)+IF(ISNUMBER(C234),IF(ISNUMBER(C235),IF(C235-C234&gt;0.000000001*MAX(1,ABS(C234)),1,0),0),0)+IF(ISNUMBER(C235),IF(ISNUMBER(C236),IF(C236-C235&gt;0.000000001*MAX(1,ABS(C235)),1,0),0),0)&gt;0,1,0)</f>
        <v/>
      </c>
      <c r="I496" s="3" t="n">
        <v>0</v>
      </c>
      <c r="J496" s="3" t="inlineStr">
        <is>
          <t>—</t>
        </is>
      </c>
      <c r="K496" s="3" t="inlineStr">
        <is>
          <t>—</t>
        </is>
      </c>
      <c r="L496" s="3" t="inlineStr">
        <is>
          <t>—</t>
        </is>
      </c>
      <c r="M496" s="3" t="inlineStr">
        <is>
          <t>—</t>
        </is>
      </c>
      <c r="N496" s="3" t="inlineStr">
        <is>
          <t>[G03] 單調檢查只驗證 _100 ≥ _Util ≥ _Prod ≥ _Life，無法偵測兩種折減方式的差異；無下游使用（只進 Checks D120）</t>
        </is>
      </c>
      <c r="O496" s="3" t="inlineStr">
        <is>
          <t>—</t>
        </is>
      </c>
      <c r="P496" s="3" t="inlineStr">
        <is>
          <t>—</t>
        </is>
      </c>
      <c r="Q496" s="3" t="inlineStr">
        <is>
          <t>上游含 Y1,Y2,Y5,Y6,Y8</t>
        </is>
      </c>
      <c r="R496" s="3" t="inlineStr">
        <is>
          <t>—</t>
        </is>
      </c>
      <c r="S496" s="3" t="inlineStr">
        <is>
          <t>Y1,Y2,Y5,Y6,Y8</t>
        </is>
      </c>
      <c r="T496" s="3" t="inlineStr"/>
      <c r="U496" s="3" t="n">
        <v>0</v>
      </c>
      <c r="V496" s="3" t="inlineStr">
        <is>
          <t>G03</t>
        </is>
      </c>
      <c r="W496" s="3" t="inlineStr">
        <is>
          <t>低</t>
        </is>
      </c>
    </row>
    <row r="497">
      <c r="A497" s="3" t="inlineStr">
        <is>
          <t>Interface</t>
        </is>
      </c>
      <c r="B497" s="3" t="n">
        <v>301</v>
      </c>
      <c r="C497" s="3" t="inlineStr">
        <is>
          <t>IFW_RevGW_Sol：Interface 四層單調（第 238–241 列：_100 ≥ _Util ≥ _Prod ≥ _Life）</t>
        </is>
      </c>
      <c r="D497" s="3" t="n"/>
      <c r="E497" s="3" t="n">
        <v>15</v>
      </c>
      <c r="F497" s="3" t="n">
        <v>1</v>
      </c>
      <c r="G497" s="3" t="inlineStr">
        <is>
          <t>C301</t>
        </is>
      </c>
      <c r="H497" s="3">
        <f>IF(IF(ISNUMBER(C238),IF(ISNUMBER(C239),IF(C239-C238&gt;0.000000001*MAX(1,ABS(C238)),1,0),0),0)+IF(ISNUMBER(C239),IF(ISNUMBER(C240),IF(C240-C239&gt;0.000000001*MAX(1,ABS(C239)),1,0),0),0)+IF(ISNUMBER(C240),IF(ISNUMBER(C241),IF(C241-C240&gt;0.000000001*MAX(1,ABS(C240)),1,0),0),0)&gt;0,1,0)</f>
        <v/>
      </c>
      <c r="I497" s="3" t="n">
        <v>0</v>
      </c>
      <c r="J497" s="3" t="inlineStr">
        <is>
          <t>—</t>
        </is>
      </c>
      <c r="K497" s="3" t="inlineStr">
        <is>
          <t>—</t>
        </is>
      </c>
      <c r="L497" s="3" t="inlineStr">
        <is>
          <t>—</t>
        </is>
      </c>
      <c r="M497" s="3" t="inlineStr">
        <is>
          <t>—</t>
        </is>
      </c>
      <c r="N497" s="3" t="inlineStr">
        <is>
          <t>[G03] 單調檢查只驗證 _100 ≥ _Util ≥ _Prod ≥ _Life，無法偵測兩種折減方式的差異；無下游使用（只進 Checks D120）</t>
        </is>
      </c>
      <c r="O497" s="3" t="inlineStr">
        <is>
          <t>—</t>
        </is>
      </c>
      <c r="P497" s="3" t="inlineStr">
        <is>
          <t>—</t>
        </is>
      </c>
      <c r="Q497" s="3" t="inlineStr">
        <is>
          <t>上游含 Y1,Y2,Y5,Y6,Y8</t>
        </is>
      </c>
      <c r="R497" s="3" t="inlineStr">
        <is>
          <t>—</t>
        </is>
      </c>
      <c r="S497" s="3" t="inlineStr">
        <is>
          <t>Y1,Y2,Y5,Y6,Y8</t>
        </is>
      </c>
      <c r="T497" s="3" t="inlineStr"/>
      <c r="U497" s="3" t="n">
        <v>0</v>
      </c>
      <c r="V497" s="3" t="inlineStr">
        <is>
          <t>G03</t>
        </is>
      </c>
      <c r="W497" s="3" t="inlineStr">
        <is>
          <t>低</t>
        </is>
      </c>
    </row>
    <row r="498">
      <c r="A498" s="3" t="inlineStr">
        <is>
          <t>Interface</t>
        </is>
      </c>
      <c r="B498" s="3" t="n">
        <v>302</v>
      </c>
      <c r="C498" s="3" t="inlineStr">
        <is>
          <t>IFW_RevGW_Astra：Interface 四層單調（第 243–246 列：_100 ≥ _Util ≥ _Prod ≥ _Life）</t>
        </is>
      </c>
      <c r="D498" s="3" t="n"/>
      <c r="E498" s="3" t="n">
        <v>15</v>
      </c>
      <c r="F498" s="3" t="n">
        <v>1</v>
      </c>
      <c r="G498" s="3" t="inlineStr">
        <is>
          <t>C302</t>
        </is>
      </c>
      <c r="H498" s="3">
        <f>IF(IF(ISNUMBER(C243),IF(ISNUMBER(C244),IF(C244-C243&gt;0.000000001*MAX(1,ABS(C243)),1,0),0),0)+IF(ISNUMBER(C244),IF(ISNUMBER(C245),IF(C245-C244&gt;0.000000001*MAX(1,ABS(C244)),1,0),0),0)+IF(ISNUMBER(C245),IF(ISNUMBER(C246),IF(C246-C245&gt;0.000000001*MAX(1,ABS(C245)),1,0),0),0)&gt;0,1,0)</f>
        <v/>
      </c>
      <c r="I498" s="3" t="n">
        <v>0</v>
      </c>
      <c r="J498" s="3" t="inlineStr">
        <is>
          <t>—</t>
        </is>
      </c>
      <c r="K498" s="3" t="inlineStr">
        <is>
          <t>—</t>
        </is>
      </c>
      <c r="L498" s="3" t="inlineStr">
        <is>
          <t>—</t>
        </is>
      </c>
      <c r="M498" s="3" t="inlineStr">
        <is>
          <t>—</t>
        </is>
      </c>
      <c r="N498" s="3" t="inlineStr">
        <is>
          <t>[G03] 單調檢查只驗證 _100 ≥ _Util ≥ _Prod ≥ _Life，無法偵測兩種折減方式的差異；無下游使用（只進 Checks D120）</t>
        </is>
      </c>
      <c r="O498" s="3" t="inlineStr">
        <is>
          <t>—</t>
        </is>
      </c>
      <c r="P498" s="3" t="inlineStr">
        <is>
          <t>—</t>
        </is>
      </c>
      <c r="Q498" s="3" t="inlineStr">
        <is>
          <t>上游含 Y1,Y2,Y5,Y6,Y8</t>
        </is>
      </c>
      <c r="R498" s="3" t="inlineStr">
        <is>
          <t>—</t>
        </is>
      </c>
      <c r="S498" s="3" t="inlineStr">
        <is>
          <t>Y1,Y2,Y5,Y6,Y8</t>
        </is>
      </c>
      <c r="T498" s="3" t="inlineStr"/>
      <c r="U498" s="3" t="n">
        <v>0</v>
      </c>
      <c r="V498" s="3" t="inlineStr">
        <is>
          <t>G03</t>
        </is>
      </c>
      <c r="W498" s="3" t="inlineStr">
        <is>
          <t>低</t>
        </is>
      </c>
    </row>
    <row r="499">
      <c r="A499" s="3" t="inlineStr">
        <is>
          <t>Interface</t>
        </is>
      </c>
      <c r="B499" s="3" t="n">
        <v>303</v>
      </c>
      <c r="C499" s="3" t="inlineStr">
        <is>
          <t>IFW_RevGWFleet：Interface 四層單調（第 248–251 列：_100 ≥ _Util ≥ _Prod ≥ _Life）</t>
        </is>
      </c>
      <c r="D499" s="3" t="n"/>
      <c r="E499" s="3" t="n">
        <v>15</v>
      </c>
      <c r="F499" s="3" t="n">
        <v>1</v>
      </c>
      <c r="G499" s="3" t="inlineStr">
        <is>
          <t>C303</t>
        </is>
      </c>
      <c r="H499" s="3">
        <f>IF(IF(ISNUMBER(C248),IF(ISNUMBER(C249),IF(C249-C248&gt;0.000000001*MAX(1,ABS(C248)),1,0),0),0)+IF(ISNUMBER(C249),IF(ISNUMBER(C250),IF(C250-C249&gt;0.000000001*MAX(1,ABS(C249)),1,0),0),0)+IF(ISNUMBER(C250),IF(ISNUMBER(C251),IF(C251-C250&gt;0.000000001*MAX(1,ABS(C250)),1,0),0),0)&gt;0,1,0)</f>
        <v/>
      </c>
      <c r="I499" s="3" t="n">
        <v>0</v>
      </c>
      <c r="J499" s="3" t="inlineStr">
        <is>
          <t>—</t>
        </is>
      </c>
      <c r="K499" s="3" t="inlineStr">
        <is>
          <t>—</t>
        </is>
      </c>
      <c r="L499" s="3" t="inlineStr">
        <is>
          <t>—</t>
        </is>
      </c>
      <c r="M499" s="3" t="inlineStr">
        <is>
          <t>—</t>
        </is>
      </c>
      <c r="N499" s="3" t="inlineStr">
        <is>
          <t>[G03] 單調檢查只驗證 _100 ≥ _Util ≥ _Prod ≥ _Life，無法偵測兩種折減方式的差異；無下游使用（只進 Checks D120）</t>
        </is>
      </c>
      <c r="O499" s="3" t="inlineStr">
        <is>
          <t>—</t>
        </is>
      </c>
      <c r="P499" s="3" t="inlineStr">
        <is>
          <t>—</t>
        </is>
      </c>
      <c r="Q499" s="3" t="inlineStr">
        <is>
          <t>上游含 Y1,Y2,Y3,Y5,Y6,Y8</t>
        </is>
      </c>
      <c r="R499" s="3" t="inlineStr">
        <is>
          <t>—</t>
        </is>
      </c>
      <c r="S499" s="3" t="inlineStr">
        <is>
          <t>Y1,Y2,Y3,Y5,Y6,Y8</t>
        </is>
      </c>
      <c r="T499" s="3" t="inlineStr"/>
      <c r="U499" s="3" t="n">
        <v>0</v>
      </c>
      <c r="V499" s="3" t="inlineStr">
        <is>
          <t>G03</t>
        </is>
      </c>
      <c r="W499" s="3" t="inlineStr">
        <is>
          <t>低</t>
        </is>
      </c>
    </row>
    <row r="500">
      <c r="A500" s="3" t="inlineStr">
        <is>
          <t>Interface</t>
        </is>
      </c>
      <c r="B500" s="3" t="n">
        <v>304</v>
      </c>
      <c r="C500" s="3" t="inlineStr">
        <is>
          <t>IFW_RevGWFront_Luna：Interface 四層單調（第 253–256 列：_100 ≥ _Util ≥ _Prod ≥ _Life）</t>
        </is>
      </c>
      <c r="D500" s="3" t="n"/>
      <c r="E500" s="3" t="n">
        <v>15</v>
      </c>
      <c r="F500" s="3" t="n">
        <v>1</v>
      </c>
      <c r="G500" s="3" t="inlineStr">
        <is>
          <t>C304</t>
        </is>
      </c>
      <c r="H500" s="3">
        <f>IF(IF(ISNUMBER(C253),IF(ISNUMBER(C254),IF(C254-C253&gt;0.000000001*MAX(1,ABS(C253)),1,0),0),0)+IF(ISNUMBER(C254),IF(ISNUMBER(C255),IF(C255-C254&gt;0.000000001*MAX(1,ABS(C254)),1,0),0),0)+IF(ISNUMBER(C255),IF(ISNUMBER(C256),IF(C256-C255&gt;0.000000001*MAX(1,ABS(C255)),1,0),0),0)&gt;0,1,0)</f>
        <v/>
      </c>
      <c r="I500" s="3" t="n">
        <v>0</v>
      </c>
      <c r="J500" s="3" t="inlineStr">
        <is>
          <t>—</t>
        </is>
      </c>
      <c r="K500" s="3" t="inlineStr">
        <is>
          <t>—</t>
        </is>
      </c>
      <c r="L500" s="3" t="inlineStr">
        <is>
          <t>—</t>
        </is>
      </c>
      <c r="M500" s="3" t="inlineStr">
        <is>
          <t>—</t>
        </is>
      </c>
      <c r="N500" s="3" t="inlineStr">
        <is>
          <t>[G03] 單調檢查只驗證 _100 ≥ _Util ≥ _Prod ≥ _Life，無法偵測兩種折減方式的差異；無下游使用（只進 Checks D120）</t>
        </is>
      </c>
      <c r="O500" s="3" t="inlineStr">
        <is>
          <t>—</t>
        </is>
      </c>
      <c r="P500" s="3" t="inlineStr">
        <is>
          <t>—</t>
        </is>
      </c>
      <c r="Q500" s="3" t="inlineStr">
        <is>
          <t>上游含 Y1,Y2,Y5,Y6,Y8</t>
        </is>
      </c>
      <c r="R500" s="3" t="inlineStr">
        <is>
          <t>—</t>
        </is>
      </c>
      <c r="S500" s="3" t="inlineStr">
        <is>
          <t>Y1,Y2,Y5,Y6,Y8</t>
        </is>
      </c>
      <c r="T500" s="3" t="inlineStr"/>
      <c r="U500" s="3" t="n">
        <v>0</v>
      </c>
      <c r="V500" s="3" t="inlineStr">
        <is>
          <t>G03</t>
        </is>
      </c>
      <c r="W500" s="3" t="inlineStr">
        <is>
          <t>低</t>
        </is>
      </c>
    </row>
    <row r="501">
      <c r="A501" s="3" t="inlineStr">
        <is>
          <t>Interface</t>
        </is>
      </c>
      <c r="B501" s="3" t="n">
        <v>305</v>
      </c>
      <c r="C501" s="3" t="inlineStr">
        <is>
          <t>IFW_RevGWFront_Sol：Interface 四層單調（第 258–261 列：_100 ≥ _Util ≥ _Prod ≥ _Life）</t>
        </is>
      </c>
      <c r="D501" s="3" t="n"/>
      <c r="E501" s="3" t="n">
        <v>15</v>
      </c>
      <c r="F501" s="3" t="n">
        <v>1</v>
      </c>
      <c r="G501" s="3" t="inlineStr">
        <is>
          <t>C305</t>
        </is>
      </c>
      <c r="H501" s="3">
        <f>IF(IF(ISNUMBER(C258),IF(ISNUMBER(C259),IF(C259-C258&gt;0.000000001*MAX(1,ABS(C258)),1,0),0),0)+IF(ISNUMBER(C259),IF(ISNUMBER(C260),IF(C260-C259&gt;0.000000001*MAX(1,ABS(C259)),1,0),0),0)+IF(ISNUMBER(C260),IF(ISNUMBER(C261),IF(C261-C260&gt;0.000000001*MAX(1,ABS(C260)),1,0),0),0)&gt;0,1,0)</f>
        <v/>
      </c>
      <c r="I501" s="3" t="n">
        <v>0</v>
      </c>
      <c r="J501" s="3" t="inlineStr">
        <is>
          <t>—</t>
        </is>
      </c>
      <c r="K501" s="3" t="inlineStr">
        <is>
          <t>—</t>
        </is>
      </c>
      <c r="L501" s="3" t="inlineStr">
        <is>
          <t>—</t>
        </is>
      </c>
      <c r="M501" s="3" t="inlineStr">
        <is>
          <t>—</t>
        </is>
      </c>
      <c r="N501" s="3" t="inlineStr">
        <is>
          <t>[G03] 單調檢查只驗證 _100 ≥ _Util ≥ _Prod ≥ _Life，無法偵測兩種折減方式的差異；無下游使用（只進 Checks D120）</t>
        </is>
      </c>
      <c r="O501" s="3" t="inlineStr">
        <is>
          <t>—</t>
        </is>
      </c>
      <c r="P501" s="3" t="inlineStr">
        <is>
          <t>—</t>
        </is>
      </c>
      <c r="Q501" s="3" t="inlineStr">
        <is>
          <t>上游含 Y1,Y2,Y5,Y6,Y8</t>
        </is>
      </c>
      <c r="R501" s="3" t="inlineStr">
        <is>
          <t>—</t>
        </is>
      </c>
      <c r="S501" s="3" t="inlineStr">
        <is>
          <t>Y1,Y2,Y5,Y6,Y8</t>
        </is>
      </c>
      <c r="T501" s="3" t="inlineStr"/>
      <c r="U501" s="3" t="n">
        <v>0</v>
      </c>
      <c r="V501" s="3" t="inlineStr">
        <is>
          <t>G03</t>
        </is>
      </c>
      <c r="W501" s="3" t="inlineStr">
        <is>
          <t>低</t>
        </is>
      </c>
    </row>
    <row r="502">
      <c r="A502" s="3" t="inlineStr">
        <is>
          <t>Interface</t>
        </is>
      </c>
      <c r="B502" s="3" t="n">
        <v>306</v>
      </c>
      <c r="C502" s="3" t="inlineStr">
        <is>
          <t>IFW_RevGWFront_Astra：Interface 四層單調（第 263–266 列：_100 ≥ _Util ≥ _Prod ≥ _Life）</t>
        </is>
      </c>
      <c r="D502" s="3" t="n"/>
      <c r="E502" s="3" t="n">
        <v>15</v>
      </c>
      <c r="F502" s="3" t="n">
        <v>1</v>
      </c>
      <c r="G502" s="3" t="inlineStr">
        <is>
          <t>C306</t>
        </is>
      </c>
      <c r="H502" s="3">
        <f>IF(IF(ISNUMBER(C263),IF(ISNUMBER(C264),IF(C264-C263&gt;0.000000001*MAX(1,ABS(C263)),1,0),0),0)+IF(ISNUMBER(C264),IF(ISNUMBER(C265),IF(C265-C264&gt;0.000000001*MAX(1,ABS(C264)),1,0),0),0)+IF(ISNUMBER(C265),IF(ISNUMBER(C266),IF(C266-C265&gt;0.000000001*MAX(1,ABS(C265)),1,0),0),0)&gt;0,1,0)</f>
        <v/>
      </c>
      <c r="I502" s="3" t="n">
        <v>0</v>
      </c>
      <c r="J502" s="3" t="inlineStr">
        <is>
          <t>—</t>
        </is>
      </c>
      <c r="K502" s="3" t="inlineStr">
        <is>
          <t>—</t>
        </is>
      </c>
      <c r="L502" s="3" t="inlineStr">
        <is>
          <t>—</t>
        </is>
      </c>
      <c r="M502" s="3" t="inlineStr">
        <is>
          <t>—</t>
        </is>
      </c>
      <c r="N502" s="3" t="inlineStr">
        <is>
          <t>[G03] 單調檢查只驗證 _100 ≥ _Util ≥ _Prod ≥ _Life，無法偵測兩種折減方式的差異；無下游使用（只進 Checks D120）</t>
        </is>
      </c>
      <c r="O502" s="3" t="inlineStr">
        <is>
          <t>—</t>
        </is>
      </c>
      <c r="P502" s="3" t="inlineStr">
        <is>
          <t>—</t>
        </is>
      </c>
      <c r="Q502" s="3" t="inlineStr">
        <is>
          <t>上游含 Y1,Y2,Y5,Y6,Y8</t>
        </is>
      </c>
      <c r="R502" s="3" t="inlineStr">
        <is>
          <t>—</t>
        </is>
      </c>
      <c r="S502" s="3" t="inlineStr">
        <is>
          <t>Y1,Y2,Y5,Y6,Y8</t>
        </is>
      </c>
      <c r="T502" s="3" t="inlineStr"/>
      <c r="U502" s="3" t="n">
        <v>0</v>
      </c>
      <c r="V502" s="3" t="inlineStr">
        <is>
          <t>G03</t>
        </is>
      </c>
      <c r="W502" s="3" t="inlineStr">
        <is>
          <t>低</t>
        </is>
      </c>
    </row>
    <row r="503">
      <c r="A503" s="3" t="inlineStr">
        <is>
          <t>Interface</t>
        </is>
      </c>
      <c r="B503" s="3" t="n">
        <v>307</v>
      </c>
      <c r="C503" s="3" t="inlineStr">
        <is>
          <t>IFW_RevGWFleetFront：Interface 四層單調（第 268–271 列：_100 ≥ _Util ≥ _Prod ≥ _Life）</t>
        </is>
      </c>
      <c r="D503" s="3" t="n"/>
      <c r="E503" s="3" t="n">
        <v>15</v>
      </c>
      <c r="F503" s="3" t="n">
        <v>1</v>
      </c>
      <c r="G503" s="3" t="inlineStr">
        <is>
          <t>C307</t>
        </is>
      </c>
      <c r="H503" s="3">
        <f>IF(IF(ISNUMBER(C268),IF(ISNUMBER(C269),IF(C269-C268&gt;0.000000001*MAX(1,ABS(C268)),1,0),0),0)+IF(ISNUMBER(C269),IF(ISNUMBER(C270),IF(C270-C269&gt;0.000000001*MAX(1,ABS(C269)),1,0),0),0)+IF(ISNUMBER(C270),IF(ISNUMBER(C271),IF(C271-C270&gt;0.000000001*MAX(1,ABS(C270)),1,0),0),0)&gt;0,1,0)</f>
        <v/>
      </c>
      <c r="I503" s="3" t="n">
        <v>0</v>
      </c>
      <c r="J503" s="3" t="inlineStr">
        <is>
          <t>—</t>
        </is>
      </c>
      <c r="K503" s="3" t="inlineStr">
        <is>
          <t>—</t>
        </is>
      </c>
      <c r="L503" s="3" t="inlineStr">
        <is>
          <t>—</t>
        </is>
      </c>
      <c r="M503" s="3" t="inlineStr">
        <is>
          <t>—</t>
        </is>
      </c>
      <c r="N503" s="3" t="inlineStr">
        <is>
          <t>[G03] 單調檢查只驗證 _100 ≥ _Util ≥ _Prod ≥ _Life，無法偵測兩種折減方式的差異；無下游使用（只進 Checks D120）</t>
        </is>
      </c>
      <c r="O503" s="3" t="inlineStr">
        <is>
          <t>—</t>
        </is>
      </c>
      <c r="P503" s="3" t="inlineStr">
        <is>
          <t>—</t>
        </is>
      </c>
      <c r="Q503" s="3" t="inlineStr">
        <is>
          <t>上游含 Y1,Y2,Y3,Y5,Y6,Y8</t>
        </is>
      </c>
      <c r="R503" s="3" t="inlineStr">
        <is>
          <t>—</t>
        </is>
      </c>
      <c r="S503" s="3" t="inlineStr">
        <is>
          <t>Y1,Y2,Y3,Y5,Y6,Y8</t>
        </is>
      </c>
      <c r="T503" s="3" t="inlineStr"/>
      <c r="U503" s="3" t="n">
        <v>0</v>
      </c>
      <c r="V503" s="3" t="inlineStr">
        <is>
          <t>G03</t>
        </is>
      </c>
      <c r="W503" s="3" t="inlineStr">
        <is>
          <t>低</t>
        </is>
      </c>
    </row>
    <row r="504">
      <c r="A504" s="3" t="inlineStr">
        <is>
          <t>Interface</t>
        </is>
      </c>
      <c r="B504" s="3" t="n">
        <v>308</v>
      </c>
      <c r="C504" s="3" t="inlineStr">
        <is>
          <t>IFW_TokGW_Luna：Interface 四層單調（第 273–276 列：_100 ≥ _Util ≥ _Prod ≥ _Life）</t>
        </is>
      </c>
      <c r="D504" s="3" t="n"/>
      <c r="E504" s="3" t="n">
        <v>15</v>
      </c>
      <c r="F504" s="3" t="n">
        <v>1</v>
      </c>
      <c r="G504" s="3" t="inlineStr">
        <is>
          <t>C308</t>
        </is>
      </c>
      <c r="H504" s="3">
        <f>IF(IF(ISNUMBER(C273),IF(ISNUMBER(C274),IF(C274-C273&gt;0.000000001*MAX(1,ABS(C273)),1,0),0),0)+IF(ISNUMBER(C274),IF(ISNUMBER(C275),IF(C275-C274&gt;0.000000001*MAX(1,ABS(C274)),1,0),0),0)+IF(ISNUMBER(C275),IF(ISNUMBER(C276),IF(C276-C275&gt;0.000000001*MAX(1,ABS(C275)),1,0),0),0)&gt;0,1,0)</f>
        <v/>
      </c>
      <c r="I504" s="3" t="n">
        <v>0</v>
      </c>
      <c r="J504" s="3" t="inlineStr">
        <is>
          <t>—</t>
        </is>
      </c>
      <c r="K504" s="3" t="inlineStr">
        <is>
          <t>—</t>
        </is>
      </c>
      <c r="L504" s="3" t="inlineStr">
        <is>
          <t>—</t>
        </is>
      </c>
      <c r="M504" s="3" t="inlineStr">
        <is>
          <t>—</t>
        </is>
      </c>
      <c r="N504" s="3" t="inlineStr">
        <is>
          <t>[G03] 單調檢查只驗證 _100 ≥ _Util ≥ _Prod ≥ _Life，無法偵測兩種折減方式的差異；無下游使用（只進 Checks D120）</t>
        </is>
      </c>
      <c r="O504" s="3" t="inlineStr">
        <is>
          <t>—</t>
        </is>
      </c>
      <c r="P504" s="3" t="inlineStr">
        <is>
          <t>—</t>
        </is>
      </c>
      <c r="Q504" s="3" t="inlineStr">
        <is>
          <t>上游含 Y1,Y5,Y6,Y8</t>
        </is>
      </c>
      <c r="R504" s="3" t="inlineStr">
        <is>
          <t>—</t>
        </is>
      </c>
      <c r="S504" s="3" t="inlineStr">
        <is>
          <t>Y1,Y5,Y6,Y8</t>
        </is>
      </c>
      <c r="T504" s="3" t="inlineStr"/>
      <c r="U504" s="3" t="n">
        <v>0</v>
      </c>
      <c r="V504" s="3" t="inlineStr">
        <is>
          <t>G03</t>
        </is>
      </c>
      <c r="W504" s="3" t="inlineStr">
        <is>
          <t>低</t>
        </is>
      </c>
    </row>
    <row r="505">
      <c r="A505" s="3" t="inlineStr">
        <is>
          <t>Interface</t>
        </is>
      </c>
      <c r="B505" s="3" t="n">
        <v>309</v>
      </c>
      <c r="C505" s="3" t="inlineStr">
        <is>
          <t>IFW_TokGW_Sol：Interface 四層單調（第 278–281 列：_100 ≥ _Util ≥ _Prod ≥ _Life）</t>
        </is>
      </c>
      <c r="D505" s="3" t="n"/>
      <c r="E505" s="3" t="n">
        <v>15</v>
      </c>
      <c r="F505" s="3" t="n">
        <v>1</v>
      </c>
      <c r="G505" s="3" t="inlineStr">
        <is>
          <t>C309</t>
        </is>
      </c>
      <c r="H505" s="3">
        <f>IF(IF(ISNUMBER(C278),IF(ISNUMBER(C279),IF(C279-C278&gt;0.000000001*MAX(1,ABS(C278)),1,0),0),0)+IF(ISNUMBER(C279),IF(ISNUMBER(C280),IF(C280-C279&gt;0.000000001*MAX(1,ABS(C279)),1,0),0),0)+IF(ISNUMBER(C280),IF(ISNUMBER(C281),IF(C281-C280&gt;0.000000001*MAX(1,ABS(C280)),1,0),0),0)&gt;0,1,0)</f>
        <v/>
      </c>
      <c r="I505" s="3" t="n">
        <v>0</v>
      </c>
      <c r="J505" s="3" t="inlineStr">
        <is>
          <t>—</t>
        </is>
      </c>
      <c r="K505" s="3" t="inlineStr">
        <is>
          <t>—</t>
        </is>
      </c>
      <c r="L505" s="3" t="inlineStr">
        <is>
          <t>—</t>
        </is>
      </c>
      <c r="M505" s="3" t="inlineStr">
        <is>
          <t>—</t>
        </is>
      </c>
      <c r="N505" s="3" t="inlineStr">
        <is>
          <t>[G03] 單調檢查只驗證 _100 ≥ _Util ≥ _Prod ≥ _Life，無法偵測兩種折減方式的差異；無下游使用（只進 Checks D120）</t>
        </is>
      </c>
      <c r="O505" s="3" t="inlineStr">
        <is>
          <t>—</t>
        </is>
      </c>
      <c r="P505" s="3" t="inlineStr">
        <is>
          <t>—</t>
        </is>
      </c>
      <c r="Q505" s="3" t="inlineStr">
        <is>
          <t>上游含 Y1,Y5,Y6,Y8</t>
        </is>
      </c>
      <c r="R505" s="3" t="inlineStr">
        <is>
          <t>—</t>
        </is>
      </c>
      <c r="S505" s="3" t="inlineStr">
        <is>
          <t>Y1,Y5,Y6,Y8</t>
        </is>
      </c>
      <c r="T505" s="3" t="inlineStr"/>
      <c r="U505" s="3" t="n">
        <v>0</v>
      </c>
      <c r="V505" s="3" t="inlineStr">
        <is>
          <t>G03</t>
        </is>
      </c>
      <c r="W505" s="3" t="inlineStr">
        <is>
          <t>低</t>
        </is>
      </c>
    </row>
    <row r="506">
      <c r="A506" s="3" t="inlineStr">
        <is>
          <t>Interface</t>
        </is>
      </c>
      <c r="B506" s="3" t="n">
        <v>310</v>
      </c>
      <c r="C506" s="3" t="inlineStr">
        <is>
          <t>IFW_TokGW_Astra：Interface 四層單調（第 283–286 列：_100 ≥ _Util ≥ _Prod ≥ _Life）</t>
        </is>
      </c>
      <c r="D506" s="3" t="n"/>
      <c r="E506" s="3" t="n">
        <v>15</v>
      </c>
      <c r="F506" s="3" t="n">
        <v>1</v>
      </c>
      <c r="G506" s="3" t="inlineStr">
        <is>
          <t>C310</t>
        </is>
      </c>
      <c r="H506" s="3">
        <f>IF(IF(ISNUMBER(C283),IF(ISNUMBER(C284),IF(C284-C283&gt;0.000000001*MAX(1,ABS(C283)),1,0),0),0)+IF(ISNUMBER(C284),IF(ISNUMBER(C285),IF(C285-C284&gt;0.000000001*MAX(1,ABS(C284)),1,0),0),0)+IF(ISNUMBER(C285),IF(ISNUMBER(C286),IF(C286-C285&gt;0.000000001*MAX(1,ABS(C285)),1,0),0),0)&gt;0,1,0)</f>
        <v/>
      </c>
      <c r="I506" s="3" t="n">
        <v>0</v>
      </c>
      <c r="J506" s="3" t="inlineStr">
        <is>
          <t>—</t>
        </is>
      </c>
      <c r="K506" s="3" t="inlineStr">
        <is>
          <t>—</t>
        </is>
      </c>
      <c r="L506" s="3" t="inlineStr">
        <is>
          <t>—</t>
        </is>
      </c>
      <c r="M506" s="3" t="inlineStr">
        <is>
          <t>—</t>
        </is>
      </c>
      <c r="N506" s="3" t="inlineStr">
        <is>
          <t>[G03] 單調檢查只驗證 _100 ≥ _Util ≥ _Prod ≥ _Life，無法偵測兩種折減方式的差異；無下游使用（只進 Checks D120）</t>
        </is>
      </c>
      <c r="O506" s="3" t="inlineStr">
        <is>
          <t>—</t>
        </is>
      </c>
      <c r="P506" s="3" t="inlineStr">
        <is>
          <t>—</t>
        </is>
      </c>
      <c r="Q506" s="3" t="inlineStr">
        <is>
          <t>上游含 Y1,Y5,Y6,Y8</t>
        </is>
      </c>
      <c r="R506" s="3" t="inlineStr">
        <is>
          <t>—</t>
        </is>
      </c>
      <c r="S506" s="3" t="inlineStr">
        <is>
          <t>Y1,Y5,Y6,Y8</t>
        </is>
      </c>
      <c r="T506" s="3" t="inlineStr"/>
      <c r="U506" s="3" t="n">
        <v>0</v>
      </c>
      <c r="V506" s="3" t="inlineStr">
        <is>
          <t>G03</t>
        </is>
      </c>
      <c r="W506" s="3" t="inlineStr">
        <is>
          <t>低</t>
        </is>
      </c>
    </row>
    <row r="507">
      <c r="A507" s="3" t="inlineStr">
        <is>
          <t>Interface</t>
        </is>
      </c>
      <c r="B507" s="3" t="n">
        <v>313</v>
      </c>
      <c r="C507" s="3" t="inlineStr">
        <is>
          <t>每 GW IT 維護 — 保固期內（＝IT 資本 × 保固期內費率）　[IF_MaintITWarr]</t>
        </is>
      </c>
      <c r="D507" s="3" t="inlineStr">
        <is>
          <t>$B/年</t>
        </is>
      </c>
      <c r="E507" s="3" t="n">
        <v>20</v>
      </c>
      <c r="F507" s="3" t="n">
        <v>8</v>
      </c>
      <c r="G507" s="3" t="inlineStr">
        <is>
          <t>C313</t>
        </is>
      </c>
      <c r="H507" s="3">
        <f>(DC_Cost!C24*Inputs!$D$37)/CTL_GW</f>
        <v/>
      </c>
      <c r="I507" s="3" t="n">
        <v>0.053551</v>
      </c>
      <c r="J507" s="3" t="inlineStr">
        <is>
          <t>—</t>
        </is>
      </c>
      <c r="K507" s="3" t="inlineStr">
        <is>
          <t>—</t>
        </is>
      </c>
      <c r="L507" s="3" t="inlineStr">
        <is>
          <t>—</t>
        </is>
      </c>
      <c r="M507" s="3" t="inlineStr">
        <is>
          <t>—</t>
        </is>
      </c>
      <c r="N507" s="3" t="inlineStr">
        <is>
          <t>—</t>
        </is>
      </c>
      <c r="O507" s="3" t="inlineStr">
        <is>
          <t>—</t>
        </is>
      </c>
      <c r="P507" s="3" t="inlineStr">
        <is>
          <t>—</t>
        </is>
      </c>
      <c r="Q507" s="3" t="inlineStr">
        <is>
          <t>上游含 Y7</t>
        </is>
      </c>
      <c r="R507" s="3" t="inlineStr">
        <is>
          <t>—</t>
        </is>
      </c>
      <c r="S507" s="3" t="inlineStr">
        <is>
          <t>Y7</t>
        </is>
      </c>
      <c r="T507" s="3" t="inlineStr"/>
      <c r="U507" s="3" t="n">
        <v>3</v>
      </c>
      <c r="V507" s="3" t="inlineStr"/>
      <c r="W507" s="3" t="inlineStr">
        <is>
          <t>資訊（只有 L8）</t>
        </is>
      </c>
    </row>
    <row r="508">
      <c r="A508" s="3" t="inlineStr">
        <is>
          <t>Interface</t>
        </is>
      </c>
      <c r="B508" s="3" t="n">
        <v>314</v>
      </c>
      <c r="C508" s="3" t="inlineStr">
        <is>
          <t>每 GW IT 維護 — 保固期滿後（＝IT 資本 × 保固期滿後費率）　[IF_MaintITPost]</t>
        </is>
      </c>
      <c r="D508" s="3" t="inlineStr">
        <is>
          <t>$B/年</t>
        </is>
      </c>
      <c r="E508" s="3" t="n">
        <v>20</v>
      </c>
      <c r="F508" s="3" t="n">
        <v>8</v>
      </c>
      <c r="G508" s="3" t="inlineStr">
        <is>
          <t>C314</t>
        </is>
      </c>
      <c r="H508" s="3">
        <f>(DC_Cost!C24*Inputs!$D$38)/CTL_GW</f>
        <v/>
      </c>
      <c r="I508" s="3" t="n">
        <v>0.428405</v>
      </c>
      <c r="J508" s="3" t="inlineStr">
        <is>
          <t>—</t>
        </is>
      </c>
      <c r="K508" s="3" t="inlineStr">
        <is>
          <t>—</t>
        </is>
      </c>
      <c r="L508" s="3" t="inlineStr">
        <is>
          <t>—</t>
        </is>
      </c>
      <c r="M508" s="3" t="inlineStr">
        <is>
          <t>—</t>
        </is>
      </c>
      <c r="N508" s="3" t="inlineStr">
        <is>
          <t>—</t>
        </is>
      </c>
      <c r="O508" s="3" t="inlineStr">
        <is>
          <t>—</t>
        </is>
      </c>
      <c r="P508" s="3" t="inlineStr">
        <is>
          <t>—</t>
        </is>
      </c>
      <c r="Q508" s="3" t="inlineStr">
        <is>
          <t>上游含 Y7</t>
        </is>
      </c>
      <c r="R508" s="3" t="inlineStr">
        <is>
          <t>—</t>
        </is>
      </c>
      <c r="S508" s="3" t="inlineStr">
        <is>
          <t>Y7</t>
        </is>
      </c>
      <c r="T508" s="3" t="inlineStr"/>
      <c r="U508" s="3" t="n">
        <v>3</v>
      </c>
      <c r="V508" s="3" t="inlineStr"/>
      <c r="W508" s="3" t="inlineStr">
        <is>
          <t>資訊（只有 L8）</t>
        </is>
      </c>
    </row>
    <row r="509">
      <c r="A509" s="3" t="inlineStr">
        <is>
          <t>Interface</t>
        </is>
      </c>
      <c r="B509" s="3" t="n">
        <v>315</v>
      </c>
      <c r="C509" s="3" t="inlineStr">
        <is>
          <t>IT 原廠保固年限（單格；保固期內費率適用的年數）　[IF_WarrantyYrs]</t>
        </is>
      </c>
      <c r="D509" s="3" t="inlineStr">
        <is>
          <t>年</t>
        </is>
      </c>
      <c r="E509" s="3" t="n">
        <v>6</v>
      </c>
      <c r="F509" s="3" t="n">
        <v>6</v>
      </c>
      <c r="G509" s="3" t="inlineStr">
        <is>
          <t>C315</t>
        </is>
      </c>
      <c r="H509" s="3">
        <f>Inputs!E36</f>
        <v/>
      </c>
      <c r="I509" s="3" t="n">
        <v>3</v>
      </c>
      <c r="J509" s="3" t="inlineStr">
        <is>
          <t>—</t>
        </is>
      </c>
      <c r="K509" s="3" t="inlineStr">
        <is>
          <t>—</t>
        </is>
      </c>
      <c r="L509" s="3" t="inlineStr">
        <is>
          <t>—</t>
        </is>
      </c>
      <c r="M509" s="3" t="inlineStr">
        <is>
          <t>—</t>
        </is>
      </c>
      <c r="N509" s="3" t="inlineStr">
        <is>
          <t>—</t>
        </is>
      </c>
      <c r="O509" s="3" t="inlineStr">
        <is>
          <t>—</t>
        </is>
      </c>
      <c r="P509" s="3" t="inlineStr">
        <is>
          <t>—</t>
        </is>
      </c>
      <c r="Q509" s="3" t="inlineStr">
        <is>
          <t>—</t>
        </is>
      </c>
      <c r="R509" s="3" t="inlineStr">
        <is>
          <t>—</t>
        </is>
      </c>
      <c r="S509" s="3" t="inlineStr"/>
      <c r="T509" s="3" t="inlineStr"/>
      <c r="U509" s="3" t="n">
        <v>3</v>
      </c>
      <c r="V509" s="3" t="inlineStr"/>
      <c r="W509" s="3" t="inlineStr">
        <is>
          <t>—</t>
        </is>
      </c>
    </row>
    <row r="510">
      <c r="A510" s="3" t="inlineStr">
        <is>
          <t>Energy</t>
        </is>
      </c>
      <c r="B510" s="3" t="n">
        <v>5</v>
      </c>
      <c r="C510" s="3" t="inlineStr">
        <is>
          <t>GPU 功率中可歸於運算的比例</t>
        </is>
      </c>
      <c r="D510" s="3" t="inlineStr">
        <is>
          <t>%</t>
        </is>
      </c>
      <c r="E510" s="3" t="n">
        <v>0</v>
      </c>
      <c r="F510" s="3" t="n">
        <v>0</v>
      </c>
      <c r="G510" s="3" t="inlineStr"/>
      <c r="H510" s="3" t="inlineStr"/>
      <c r="I510" s="3" t="inlineStr"/>
      <c r="J510" s="3" t="inlineStr">
        <is>
          <t>—</t>
        </is>
      </c>
      <c r="K510" s="3" t="inlineStr">
        <is>
          <t>—</t>
        </is>
      </c>
      <c r="L510" s="3" t="inlineStr">
        <is>
          <t>—</t>
        </is>
      </c>
      <c r="M510" s="3" t="inlineStr">
        <is>
          <t>—</t>
        </is>
      </c>
      <c r="N510" s="3" t="inlineStr">
        <is>
          <t>—</t>
        </is>
      </c>
      <c r="O510" s="3" t="inlineStr">
        <is>
          <t>—</t>
        </is>
      </c>
      <c r="P510" s="3" t="inlineStr">
        <is>
          <t>—</t>
        </is>
      </c>
      <c r="Q510" s="3" t="inlineStr">
        <is>
          <t>—</t>
        </is>
      </c>
      <c r="R510" s="3" t="inlineStr">
        <is>
          <t>—</t>
        </is>
      </c>
      <c r="S510" s="3" t="inlineStr"/>
      <c r="T510" s="3" t="inlineStr"/>
      <c r="U510" s="3" t="n">
        <v>64</v>
      </c>
      <c r="V510" s="3" t="inlineStr"/>
      <c r="W510" s="3" t="inlineStr">
        <is>
          <t>—</t>
        </is>
      </c>
    </row>
    <row r="511">
      <c r="A511" s="3" t="inlineStr">
        <is>
          <t>Energy</t>
        </is>
      </c>
      <c r="B511" s="3" t="n">
        <v>6</v>
      </c>
      <c r="C511" s="3" t="inlineStr">
        <is>
          <t>EP 通訊能量 NVLink</t>
        </is>
      </c>
      <c r="D511" s="3" t="inlineStr">
        <is>
          <t>pJ/byte</t>
        </is>
      </c>
      <c r="E511" s="3" t="n">
        <v>0</v>
      </c>
      <c r="F511" s="3" t="n">
        <v>0</v>
      </c>
      <c r="G511" s="3" t="inlineStr"/>
      <c r="H511" s="3" t="inlineStr"/>
      <c r="I511" s="3" t="inlineStr"/>
      <c r="J511" s="3" t="inlineStr">
        <is>
          <t>—</t>
        </is>
      </c>
      <c r="K511" s="3" t="inlineStr">
        <is>
          <t>—</t>
        </is>
      </c>
      <c r="L511" s="3" t="inlineStr">
        <is>
          <t>—</t>
        </is>
      </c>
      <c r="M511" s="3" t="inlineStr">
        <is>
          <t>—</t>
        </is>
      </c>
      <c r="N511" s="3" t="inlineStr">
        <is>
          <t>—</t>
        </is>
      </c>
      <c r="O511" s="3" t="inlineStr">
        <is>
          <t>—</t>
        </is>
      </c>
      <c r="P511" s="3" t="inlineStr">
        <is>
          <t>—</t>
        </is>
      </c>
      <c r="Q511" s="3" t="inlineStr">
        <is>
          <t>—</t>
        </is>
      </c>
      <c r="R511" s="3" t="inlineStr">
        <is>
          <t>—</t>
        </is>
      </c>
      <c r="S511" s="3" t="inlineStr"/>
      <c r="T511" s="3" t="inlineStr"/>
      <c r="U511" s="3" t="n">
        <v>64</v>
      </c>
      <c r="V511" s="3" t="inlineStr"/>
      <c r="W511" s="3" t="inlineStr">
        <is>
          <t>—</t>
        </is>
      </c>
    </row>
    <row r="512">
      <c r="A512" s="3" t="inlineStr">
        <is>
          <t>Energy</t>
        </is>
      </c>
      <c r="B512" s="3" t="n">
        <v>7</v>
      </c>
      <c r="C512" s="3" t="inlineStr">
        <is>
          <t>EP 通訊能量 IB（Hopper）</t>
        </is>
      </c>
      <c r="D512" s="3" t="inlineStr">
        <is>
          <t>pJ/byte</t>
        </is>
      </c>
      <c r="E512" s="3" t="n">
        <v>0</v>
      </c>
      <c r="F512" s="3" t="n">
        <v>0</v>
      </c>
      <c r="G512" s="3" t="inlineStr"/>
      <c r="H512" s="3" t="inlineStr"/>
      <c r="I512" s="3" t="inlineStr"/>
      <c r="J512" s="3" t="inlineStr">
        <is>
          <t>—</t>
        </is>
      </c>
      <c r="K512" s="3" t="inlineStr">
        <is>
          <t>—</t>
        </is>
      </c>
      <c r="L512" s="3" t="inlineStr">
        <is>
          <t>—</t>
        </is>
      </c>
      <c r="M512" s="3" t="inlineStr">
        <is>
          <t>—</t>
        </is>
      </c>
      <c r="N512" s="3" t="inlineStr">
        <is>
          <t>—</t>
        </is>
      </c>
      <c r="O512" s="3" t="inlineStr">
        <is>
          <t>—</t>
        </is>
      </c>
      <c r="P512" s="3" t="inlineStr">
        <is>
          <t>—</t>
        </is>
      </c>
      <c r="Q512" s="3" t="inlineStr">
        <is>
          <t>—</t>
        </is>
      </c>
      <c r="R512" s="3" t="inlineStr">
        <is>
          <t>—</t>
        </is>
      </c>
      <c r="S512" s="3" t="inlineStr"/>
      <c r="T512" s="3" t="inlineStr"/>
      <c r="U512" s="3" t="n">
        <v>64</v>
      </c>
      <c r="V512" s="3" t="inlineStr"/>
      <c r="W512" s="3" t="inlineStr">
        <is>
          <t>—</t>
        </is>
      </c>
    </row>
  </sheetData>
  <autoFilter ref="A2:W512"/>
  <mergeCells count="1"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6" customWidth="1" min="2" max="2"/>
    <col width="50" customWidth="1" min="3" max="3"/>
    <col width="14" customWidth="1" min="4" max="4"/>
    <col width="110" customWidth="1" min="5" max="5"/>
    <col width="30" customWidth="1" min="6" max="6"/>
  </cols>
  <sheetData>
    <row r="1" ht="110" customHeight="1">
      <c r="A1" s="1" t="inlineStr">
        <is>
          <t>規則：嚴重度「高」的問題（G01–G06、G14、G15），估計對下游契約名稱（docs/plan/Tokenomics_downstream_contract.md：IF_／IFW_／L1_）的影響方向與大小。結構量直接由工作簿數值計算；端點擾動以第 2 段 20_eval.py（工作簿公式原文求值；3A 5,628 格對快取值 0 不符；LibreOffice 1 次 27 格 0 不符）單一輸入取 Gov_Map 區間端點、其他不變重算。「替代讀法」只重組工作簿數值，不是活頁簿機制，只用來顯示大小。G05（η_p）、G15（B4_Serve、B4_Free）的大小見端點列。</t>
        </is>
      </c>
    </row>
    <row r="2">
      <c r="A2" s="2" t="inlineStr">
        <is>
          <t>G 編號</t>
        </is>
      </c>
      <c r="B2" s="2" t="inlineStr">
        <is>
          <t>問題</t>
        </is>
      </c>
      <c r="C2" s="2" t="inlineStr">
        <is>
          <t>受影響的契約名稱</t>
        </is>
      </c>
      <c r="D2" s="2" t="inlineStr">
        <is>
          <t>方向</t>
        </is>
      </c>
      <c r="E2" s="2" t="inlineStr">
        <is>
          <t>大小</t>
        </is>
      </c>
      <c r="F2" s="2" t="inlineStr">
        <is>
          <t>方法</t>
        </is>
      </c>
    </row>
    <row r="3">
      <c r="A3" s="3" t="inlineStr">
        <is>
          <t>G01</t>
        </is>
      </c>
      <c r="B3" s="3" t="inlineStr">
        <is>
          <t>由上而下攤提閉合 0.82–0.88（Amortize 39）</t>
        </is>
      </c>
      <c r="C3" s="3" t="inlineStr">
        <is>
          <t>IF_AmortTD_*、IF_AmortDefault_*、IF_AmortRev_*、IF_FullCostDefault_*</t>
        </is>
      </c>
      <c r="D3" s="3" t="inlineStr">
        <is>
          <t>偏低</t>
        </is>
      </c>
      <c r="E3" s="3" t="inlineStr">
        <is>
          <t>Hopper 閉合 0.820（閉合到訓練 GW × 持有成本時攤提 +22%）；GB200 閉合 0.874（閉合到訓練 GW × 持有成本時攤提 +14%）；GB300 閉合 0.881（閉合到訓練 GW × 持有成本時攤提 +14%）；VR200 閉合 0.859（閉合到訓練 GW × 持有成本時攤提 +16%）；Rubin 閉合 0.855（閉合到訓練 GW × 持有成本時攤提 +17%）</t>
        </is>
      </c>
      <c r="F3" s="3" t="inlineStr">
        <is>
          <t>結構量（不擾動）；χ＝0 時閉合 1.00（Python 與 LibreOffice 各 1 次）</t>
        </is>
      </c>
    </row>
    <row r="4">
      <c r="A4" s="3" t="inlineStr">
        <is>
          <t>G02</t>
        </is>
      </c>
      <c r="B4" s="3" t="inlineStr">
        <is>
          <t>自下而上攤提分母含免費 token（Amortize 13／22／32）</t>
        </is>
      </c>
      <c r="C4" s="3" t="inlineStr">
        <is>
          <t>IF_AmortBU_*、IF_FullCost_*、IF_AmortDefault_*、IF_FullCostDefault_*</t>
        </is>
      </c>
      <c r="D4" s="3" t="inlineStr">
        <is>
          <t>偏低（以付費 token 為分母時）</t>
        </is>
      </c>
      <c r="E4" s="3" t="inlineStr">
        <is>
          <t>Hopper Luna：分母比 8.42，IF_FullCost +46%、IF_FullCostDefault +94%；Hopper Sol：分母比 1.73，IF_FullCost +14%、IF_FullCostDefault +25%；Hopper Astra：分母比 1.00，IF_FullCost +0%、IF_FullCostDefault +0%；VR200 Luna：分母比 7.46，IF_FullCost +10%、IF_FullCostDefault +75%；VR200 Sol：分母比 1.64，IF_FullCost +4%、IF_FullCostDefault +21%；VR200 Astra：分母比 1.00，IF_FullCost +0%、IF_FullCostDefault +0%</t>
        </is>
      </c>
      <c r="F4" s="3" t="inlineStr">
        <is>
          <t>替代讀法（只重組工作簿數值；33_alt.py）</t>
        </is>
      </c>
    </row>
    <row r="5">
      <c r="A5" s="3" t="inlineStr">
        <is>
          <t>G03</t>
        </is>
      </c>
      <c r="B5" s="3" t="inlineStr">
        <is>
          <t>_Prod 層 token 線性 0.85、營收重解 SLO</t>
        </is>
      </c>
      <c r="C5" s="3" t="inlineStr">
        <is>
          <t>IFW_TokGW_*_Prod、IFW_RevGW*_Prod</t>
        </is>
      </c>
      <c r="D5" s="3" t="inlineStr">
        <is>
          <t>token 層偏高（相對營收層）</t>
        </is>
      </c>
      <c r="E5" s="3" t="inlineStr">
        <is>
          <t>IFW_RevGW_Sol：Hopper 0.730、GB200 0.798、GB300 0.798、VR200 0.808、Rubin 0.810；IFW_RevGW_Astra：Hopper 0.486、GB200 0.733、GB300 0.699、VR200 0.766、Rubin 0.776；IFW_RevGWFleet：Hopper 0.560、GB200 0.758、GB300 0.732、VR200 0.782、Rubin 0.789；IFW_TokGW_Sol：Hopper 0.850、GB200 0.850、GB300 0.850、VR200 0.850、Rubin 0.850</t>
        </is>
      </c>
      <c r="F5" s="3" t="inlineStr">
        <is>
          <t>結構量（_Prod ÷ _Util）</t>
        </is>
      </c>
    </row>
    <row r="6">
      <c r="A6" s="3" t="inlineStr">
        <is>
          <t>G04</t>
        </is>
      </c>
      <c r="B6" s="3" t="inlineStr">
        <is>
          <t>兩組 _Life（IF_ 不含折減、IFW_ 含重解折減）</t>
        </is>
      </c>
      <c r="C6" s="3" t="inlineStr">
        <is>
          <t>IF_RevGW_*_Life、IF_RevGWFleet_Life 對 IFW_*_Life</t>
        </is>
      </c>
      <c r="D6" s="3" t="inlineStr">
        <is>
          <t>IF_ 組偏高</t>
        </is>
      </c>
      <c r="E6" s="3" t="inlineStr">
        <is>
          <t>IFW_RevGW_Luna_Life：Hopper 0.685、GB200 0.782、GB300 0.782、VR200 0.787、Rubin 0.788；IFW_RevGW_Sol_Life：Hopper 0.730、GB200 0.798、GB300 0.798、VR200 0.808、Rubin 0.810；IFW_RevGW_Astra_Life：Hopper 0.486、GB200 0.733、GB300 0.699、VR200 0.766、Rubin 0.776；IFW_RevGWFleet_Life：Hopper 0.560、GB200 0.758、GB300 0.732、VR200 0.782、Rubin 0.789</t>
        </is>
      </c>
      <c r="F6" s="3" t="inlineStr">
        <is>
          <t>結構量（IFW ÷ IF）</t>
        </is>
      </c>
    </row>
    <row r="7">
      <c r="A7" s="3" t="inlineStr">
        <is>
          <t>G06</t>
        </is>
      </c>
      <c r="B7" s="3" t="inlineStr">
        <is>
          <t>組合旗標使可達層級也變文字；單一層級列變 0</t>
        </is>
      </c>
      <c r="C7" s="3" t="inlineStr">
        <is>
          <t>IF_AmortBU_*、IF_AmortDefault_*、IF_FullCost*、IFW_RevGWFleet*；IFW_TokGW_Astra_*、IFW_RevGW_Astra_* 等</t>
        </is>
      </c>
      <c r="D7" s="3" t="inlineStr">
        <is>
          <t>文字／0</t>
        </is>
      </c>
      <c r="E7" s="3" t="inlineStr">
        <is>
          <t>Serving!C18=0.7：變文字 28 個名稱、變 0 13 個名稱；Arch!E8=160：變文字 31 個名稱、變 0 13 個名稱；Calib!C68=3：變文字 37 個名稱、變 0 39 個名稱；Serving!D21,E21=100：變文字 34 個名稱、變 0 26 個名稱</t>
        </is>
      </c>
      <c r="F7" s="3" t="inlineStr">
        <is>
          <t>4 個 L7 情境（20_l7_closure.py）</t>
        </is>
      </c>
    </row>
    <row r="8">
      <c r="A8" s="3" t="inlineStr">
        <is>
          <t>G14</t>
        </is>
      </c>
      <c r="B8" s="3" t="inlineStr">
        <is>
          <t>縮放倍數 2.2–12.0；預設攤提總額由 B4_Serve 決定</t>
        </is>
      </c>
      <c r="C8" s="3" t="inlineStr">
        <is>
          <t>IF_AmortDefault_*、IF_FullCostDefault_*</t>
        </is>
      </c>
      <c r="D8" s="3" t="inlineStr">
        <is>
          <t>視 B4_Serve</t>
        </is>
      </c>
      <c r="E8" s="3" t="inlineStr">
        <is>
          <t>見下方 A02 列（B4_Serve 0.3／0.6）</t>
        </is>
      </c>
      <c r="F8" s="3" t="inlineStr">
        <is>
          <t>端點擾動</t>
        </is>
      </c>
    </row>
    <row r="9">
      <c r="A9" s="3" t="inlineStr">
        <is>
          <t>端點</t>
        </is>
      </c>
      <c r="B9" s="3" t="inlineStr">
        <is>
          <t>A01／Y11 快取命中 χ（Cap_In C13）</t>
        </is>
      </c>
      <c r="C9" s="3" t="inlineStr">
        <is>
          <t>IF_AmortTD_Sol（VR200 基準）、IF_FullCost_Sol（VR200 基準）、IF_AmortDefault_Sol（VR200 基準）、IF_FullCostDefault_Sol（VR200 基準）、IF_FullCostDefault_Luna（Hopper 基準）、IFW_RevGW_Sol_Prod（VR200）、IFW_RevGWFleet_Prod（Hopper 基準）、IFW_RevGWFleet_Prod（VR200 基準）、縮放倍數 Amortize!M41</t>
        </is>
      </c>
      <c r="D9" s="3" t="inlineStr">
        <is>
          <t>低端／高端</t>
        </is>
      </c>
      <c r="E9" s="3" t="inlineStr">
        <is>
          <t>IF_AmortTD_Sol（VR200 基準） +8.6%／-6.9%；IF_FullCost_Sol（VR200 基準） +8.1%／-6.5%；IF_AmortDefault_Sol（VR200 基準） +7.4%／-6.0%；IF_FullCostDefault_Sol（VR200 基準） +8.2%／-6.6%；IF_FullCostDefault_Luna（Hopper 基準） +11.6%／-9.3%；IFW_RevGW_Sol_Prod（VR200） +19.9%／-15.9%；IFW_RevGWFleet_Prod（Hopper 基準） +19.9%／-15.9%；IFW_RevGWFleet_Prod（VR200 基準） +19.9%／-15.9%；縮放倍數 Amortize!M41 +7.4%／-6.0%</t>
        </is>
      </c>
      <c r="F9" s="3" t="inlineStr">
        <is>
          <t>單一輸入端點 0.3／0.75；20_eval.py</t>
        </is>
      </c>
    </row>
    <row r="10">
      <c r="A10" s="3" t="inlineStr">
        <is>
          <t>端點</t>
        </is>
      </c>
      <c r="B10" s="3" t="inlineStr">
        <is>
          <t>A02／Y11 對外服務占機隊（Cap_In C28）</t>
        </is>
      </c>
      <c r="C10" s="3" t="inlineStr">
        <is>
          <t>IF_AmortBU_Sol（VR200 基準）、IF_AmortTD_Sol（VR200 基準）、IF_FullCost_Sol（VR200 基準）、IF_AmortDefault_Sol（VR200 基準）、IF_FullCostDefault_Sol（VR200 基準）、IF_AmortBU_Luna（Hopper 基準）、IF_FullCostDefault_Luna（Hopper 基準）、IFW_RevGWFleet_Prod（Hopper 基準）、IFW_RevGWFleet_Prod（VR200 基準）、縮放倍數 Amortize!M41</t>
        </is>
      </c>
      <c r="D10" s="3" t="inlineStr">
        <is>
          <t>低端／高端</t>
        </is>
      </c>
      <c r="E10" s="3" t="inlineStr">
        <is>
          <t>IF_AmortBU_Sol（VR200 基準） +36.7%／-31.7%；IF_AmortTD_Sol（VR200 基準） +62.1%／-53.7%；IF_FullCost_Sol（VR200 基準） +2.1%／-1.8%；IF_AmortDefault_Sol（VR200 基準） +62.1%／-53.7%；IF_FullCostDefault_Sol（VR200 基準） +20.3%／-17.5%；IF_AmortBU_Luna（Hopper 基準） +36.7%／-31.7%；IF_FullCostDefault_Luna（Hopper 基準） +7.8%／-6.8%；IFW_RevGWFleet_Prod（Hopper 基準） -26.8%／+46.3%；IFW_RevGWFleet_Prod（VR200 基準） -26.8%／+46.3%；縮放倍數 Amortize!M41 +18.6%／-32.2%</t>
        </is>
      </c>
      <c r="F10" s="3" t="inlineStr">
        <is>
          <t>單一輸入端點 0.3／0.6；20_eval.py</t>
        </is>
      </c>
    </row>
    <row r="11">
      <c r="A11" s="3" t="inlineStr">
        <is>
          <t>端點</t>
        </is>
      </c>
      <c r="B11" s="3" t="inlineStr">
        <is>
          <t>A03／Y11 免費占服務（Cap_In C29）</t>
        </is>
      </c>
      <c r="C11" s="3" t="inlineStr">
        <is>
          <t>IF_AmortBU_Sol（VR200 基準）、IF_FullCost_Sol（VR200 基準）、IF_AmortDefault_Sol（VR200 基準）、IF_FullCostDefault_Sol（VR200 基準）、IF_AmortBU_Luna（Hopper 基準）、IF_FullCostDefault_Luna（Hopper 基準）、IFW_RevGWFleet_Prod（Hopper 基準）、IFW_RevGWFleet_Prod（VR200 基準）、縮放倍數 Amortize!M41</t>
        </is>
      </c>
      <c r="D11" s="3" t="inlineStr">
        <is>
          <t>低端／高端</t>
        </is>
      </c>
      <c r="E11" s="3" t="inlineStr">
        <is>
          <t>IF_AmortBU_Sol（VR200 基準） -3.0%／+4.1%；IF_FullCost_Sol（VR200 基準） -0.2%／+0.2%；IF_AmortDefault_Sol（VR200 基準） -2.8%／+3.8%；IF_FullCostDefault_Sol（VR200 基準） -0.9%／+1.2%；IF_AmortBU_Luna（Hopper 基準） +22.9%／-19.2%；IF_FullCostDefault_Luna（Hopper 基準） +3.0%／-2.5%；IFW_RevGWFleet_Prod（Hopper 基準） +20.4%／-25.9%；IFW_RevGWFleet_Prod（VR200 基準） +20.4%／-25.9%；縮放倍數 Amortize!M41 +0.2%／-0.3%</t>
        </is>
      </c>
      <c r="F11" s="3" t="inlineStr">
        <is>
          <t>單一輸入端點 0.35／0.6；20_eval.py</t>
        </is>
      </c>
    </row>
    <row r="12">
      <c r="A12" s="3" t="inlineStr">
        <is>
          <t>端點</t>
        </is>
      </c>
      <c r="B12" s="3" t="inlineStr">
        <is>
          <t>A02 研發倍數（Train_In C13）</t>
        </is>
      </c>
      <c r="C12" s="3" t="inlineStr">
        <is>
          <t>IF_AmortBU_Sol（VR200 基準）、IF_FullCost_Sol（VR200 基準）、IF_AmortBU_Luna（Hopper 基準）、IF_ProgCost_Sol（VR200 基準）、縮放倍數 Amortize!M41</t>
        </is>
      </c>
      <c r="D12" s="3" t="inlineStr">
        <is>
          <t>低端／高端</t>
        </is>
      </c>
      <c r="E12" s="3" t="inlineStr">
        <is>
          <t>IF_AmortBU_Sol（VR200 基準） -45.0%／+30.0%；IF_FullCost_Sol（VR200 基準） -2.5%／+1.7%；IF_AmortBU_Luna（Hopper 基準） -45.0%／+30.0%；IF_ProgCost_Sol（VR200 基準） -45.0%／+30.0%；縮放倍數 Amortize!M41 +81.8%／-23.1%</t>
        </is>
      </c>
      <c r="F12" s="3" t="inlineStr">
        <is>
          <t>單一輸入端點 4.4／10.4；20_eval.py</t>
        </is>
      </c>
    </row>
    <row r="13">
      <c r="A13" s="3" t="inlineStr">
        <is>
          <t>端點</t>
        </is>
      </c>
      <c r="B13" s="3" t="inlineStr">
        <is>
          <t>A04／Y10 生產折減（Serving C28）</t>
        </is>
      </c>
      <c r="C13" s="3" t="inlineStr">
        <is>
          <t>IFW_TokGW_Sol_Prod（VR200）、IFW_RevGW_Sol_Prod（VR200）、IFW_RevGWFleet_Prod（Hopper 基準）、IFW_RevGWFleet_Prod（VR200 基準）</t>
        </is>
      </c>
      <c r="D13" s="3" t="inlineStr">
        <is>
          <t>低端／高端</t>
        </is>
      </c>
      <c r="E13" s="3" t="inlineStr">
        <is>
          <t>IFW_TokGW_Sol_Prod（VR200） -17.6%／+17.6%；IFW_RevGW_Sol_Prod（VR200） -24.1%／+23.8%；IFW_RevGWFleet_Prod（Hopper 基準） —／+78.6%；IFW_RevGWFleet_Prod（VR200 基準） -28.7%／+27.8%</t>
        </is>
      </c>
      <c r="F13" s="3" t="inlineStr">
        <is>
          <t>單一輸入端點 0.7／1.0；20_eval.py</t>
        </is>
      </c>
    </row>
    <row r="14">
      <c r="A14" s="3" t="inlineStr">
        <is>
          <t>端點</t>
        </is>
      </c>
      <c r="B14" s="3" t="inlineStr">
        <is>
          <t>A06／Y12 η_p（Calib C5）</t>
        </is>
      </c>
      <c r="C14" s="3" t="inlineStr">
        <is>
          <t>IF_TokGW_Sol（VR200）、IF_CostDec_Sol（VR200 基準）、IF_CostPre_Sol（VR200 基準）、IF_AmortBU_Sol（VR200 基準）、IF_AmortTD_Sol（VR200 基準）、IF_FullCost_Sol（VR200 基準）、IF_AmortDefault_Sol（VR200 基準）、IF_FullCostDefault_Sol（VR200 基準）、IF_AmortBU_Luna（Hopper 基準）、IF_FullCostDefault_Luna（Hopper 基準）、IFW_TokGW_Sol_Prod（VR200）、IFW_RevGW_Sol_Prod（VR200）、IFW_RevGWFleet_Prod（Hopper 基準）、IFW_RevGWFleet_Prod（VR200 基準）、IF_TrainGPUh_Sol（VR200）、IF_ProgCost_Sol（VR200 基準）、IF_TokPerJ_Sol（VR200）、L1_TokMW_Gen_ratio_VR200、L1_TokMW_Gen_ratio_GB200、縮放倍數 Amortize!M41</t>
        </is>
      </c>
      <c r="D14" s="3" t="inlineStr">
        <is>
          <t>低端／高端</t>
        </is>
      </c>
      <c r="E14" s="3" t="inlineStr">
        <is>
          <t>IF_TokGW_Sol（VR200） -5.3%／+1.8%；IF_CostDec_Sol（VR200 基準） -33.0%／+11.1%；IF_CostPre_Sol（VR200 基準） +100.0%／-33.3%；IF_AmortBU_Sol（VR200 基準） -11.9%／+4.0%；IF_AmortTD_Sol（VR200 基準） -12.4%／+4.2%；IF_FullCost_Sol（VR200 基準） -12.3%／+4.2%；IF_AmortDefault_Sol（VR200 基準） -15.8%／+5.3%；IF_FullCostDefault_Sol（VR200 基準） -13.5%／+4.6%；IF_AmortBU_Luna（Hopper 基準） -2.1%／-1.3%；IF_FullCostDefault_Luna（Hopper 基準） +0.9%／-0.8%；IFW_TokGW_Sol_Prod（VR200） -5.3%／+1.8%；IFW_RevGW_Sol_Prod（VR200） -3.9%／+1.3%；IFW_RevGWFleet_Prod（Hopper 基準） -29.7%／+8.0%；IFW_RevGWFleet_Prod（VR200 基準） +1.4%／-0.3%；IF_TrainGPUh_Sol（VR200） -13.4%／+4.6%；IF_ProgCost_Sol（VR200 基準） -13.4%／+4.6%；IF_TokPerJ_Sol（VR200） -5.3%／+1.8%；L1_TokMW_Gen_ratio_VR200 -3.6%／+1.3%；L1_TokMW_Gen_ratio_GB200 +18.4%／-6.6%；縮放倍數 Amortize!M41 -4.4%／+1.3%</t>
        </is>
      </c>
      <c r="F14" s="3" t="inlineStr">
        <is>
          <t>單一輸入端點 0.15／0.45；20_eval.py</t>
        </is>
      </c>
    </row>
    <row r="15">
      <c r="A15" s="3" t="inlineStr">
        <is>
          <t>端點</t>
        </is>
      </c>
      <c r="B15" s="3" t="inlineStr">
        <is>
          <t>A10／Y12 批次口徑 η_d 倍數 VR200（Calib F156）</t>
        </is>
      </c>
      <c r="C15" s="3" t="inlineStr">
        <is>
          <t>IF_AmortBU_Sol（VR200 基準）、IF_FullCost_Sol（VR200 基準）、IF_AmortDefault_Sol（VR200 基準）、IF_FullCostDefault_Sol（VR200 基準）、IF_TrainGPUh_Sol（VR200）、IF_ProgCost_Sol（VR200 基準）、縮放倍數 Amortize!M41</t>
        </is>
      </c>
      <c r="D15" s="3" t="inlineStr">
        <is>
          <t>低端／高端</t>
        </is>
      </c>
      <c r="E15" s="3" t="inlineStr">
        <is>
          <t>IF_AmortBU_Sol（VR200 基準） +2.8%／-9.8%；IF_FullCost_Sol（VR200 基準） +0.2%／-0.5%；IF_AmortDefault_Sol（VR200 基準） +0.3%／-1.1%；IF_FullCostDefault_Sol（VR200 基準） +0.1%／-0.4%；IF_TrainGPUh_Sol（VR200） +2.8%／-9.8%；IF_ProgCost_Sol（VR200 基準） +2.8%／-9.8%；縮放倍數 Amortize!M41 -2.4%／+9.5%</t>
        </is>
      </c>
      <c r="F15" s="3" t="inlineStr">
        <is>
          <t>單一輸入端點 0.7／1.0；20_eval.py</t>
        </is>
      </c>
    </row>
    <row r="16">
      <c r="A16" s="3" t="inlineStr">
        <is>
          <t>端點</t>
        </is>
      </c>
      <c r="B16" s="3" t="inlineStr">
        <is>
          <t>A12 儲存層（Cap_In C36）</t>
        </is>
      </c>
      <c r="C16" s="3" t="inlineStr">
        <is>
          <t>IF_AmortTD_Sol（VR200 基準）、IF_FullCost_Sol（VR200 基準）、IF_AmortDefault_Sol（VR200 基準）、IF_FullCostDefault_Sol（VR200 基準）、IF_FullCostDefault_Luna（Hopper 基準）、縮放倍數 Amortize!M41</t>
        </is>
      </c>
      <c r="D16" s="3" t="inlineStr">
        <is>
          <t>低端／高端</t>
        </is>
      </c>
      <c r="E16" s="3" t="inlineStr">
        <is>
          <t>IF_AmortTD_Sol（VR200 基準） -0.0%／+1.2%；IF_FullCost_Sol（VR200 基準） -0.0%／+1.1%；IF_AmortDefault_Sol（VR200 基準） -0.0%／+2.5%；IF_FullCostDefault_Sol（VR200 基準） -0.0%／+1.7%；IF_FullCostDefault_Luna（Hopper 基準） -0.0%／+0.4%；縮放倍數 Amortize!M41 -0.0%／+2.5%</t>
        </is>
      </c>
      <c r="F16" s="3" t="inlineStr">
        <is>
          <t>單一輸入端點 1 SSD／3 HBM；20_eval.py</t>
        </is>
      </c>
    </row>
    <row r="17">
      <c r="A17" s="3" t="inlineStr">
        <is>
          <t>端點</t>
        </is>
      </c>
      <c r="B17" s="3" t="inlineStr">
        <is>
          <t>A13 運算功率比例（Energy C5）</t>
        </is>
      </c>
      <c r="C17" s="3" t="inlineStr">
        <is>
          <t>（無）</t>
        </is>
      </c>
      <c r="D17" s="3" t="inlineStr">
        <is>
          <t>低端／高端</t>
        </is>
      </c>
      <c r="E17" s="3" t="inlineStr">
        <is>
          <t>所有列出的契約名稱變化 &lt; 0.05%</t>
        </is>
      </c>
      <c r="F17" s="3" t="inlineStr">
        <is>
          <t>單一輸入端點 0.4／0.8；20_eval.py</t>
        </is>
      </c>
    </row>
    <row r="18">
      <c r="A18" s="3" t="inlineStr">
        <is>
          <t>端點</t>
        </is>
      </c>
      <c r="B18" s="3" t="inlineStr">
        <is>
          <t>A07 平均用電 ÷ 設計功率（Inputs E10）</t>
        </is>
      </c>
      <c r="C18" s="3" t="inlineStr">
        <is>
          <t>IF_CostDec_Sol（VR200 基準）、IF_CostPre_Sol（VR200 基準）、IF_AmortBU_Sol（VR200 基準）、IF_AmortTD_Sol（VR200 基準）、IF_FullCost_Sol（VR200 基準）、IF_AmortDefault_Sol（VR200 基準）、IF_FullCostDefault_Sol（VR200 基準）、IF_AmortBU_Luna（Hopper 基準）、IF_FullCostDefault_Luna（Hopper 基準）、IF_ProgCost_Sol（VR200 基準）、IF_TokPerJ_Sol（VR200）</t>
        </is>
      </c>
      <c r="D18" s="3" t="inlineStr">
        <is>
          <t>低端／高端</t>
        </is>
      </c>
      <c r="E18" s="3" t="inlineStr">
        <is>
          <t>IF_CostDec_Sol（VR200 基準） -0.7%／+0.7%；IF_CostPre_Sol（VR200 基準） -0.7%／+0.7%；IF_AmortBU_Sol（VR200 基準） -0.7%／+0.7%；IF_AmortTD_Sol（VR200 基準） -0.7%／+0.7%；IF_FullCost_Sol（VR200 基準） -0.7%／+0.7%；IF_AmortDefault_Sol（VR200 基準） -0.7%／+0.7%；IF_FullCostDefault_Sol（VR200 基準） -0.7%／+0.7%；IF_AmortBU_Luna（Hopper 基準） -0.9%／+0.9%；IF_FullCostDefault_Luna（Hopper 基準） -0.9%／+0.9%；IF_ProgCost_Sol（VR200 基準） -0.7%／+0.7%；IF_TokPerJ_Sol（VR200） +14.3%／-11.1%</t>
        </is>
      </c>
      <c r="F18" s="3" t="inlineStr">
        <is>
          <t>單一輸入端點 0.7／0.9；20_eval.py</t>
        </is>
      </c>
    </row>
  </sheetData>
  <autoFilter ref="A2:F18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40" customWidth="1" min="3" max="3"/>
    <col width="12" customWidth="1" min="4" max="4"/>
    <col width="45" customWidth="1" min="5" max="5"/>
    <col width="45" customWidth="1" min="6" max="6"/>
    <col width="45" customWidth="1" min="7" max="7"/>
    <col width="30" customWidth="1" min="8" max="8"/>
    <col width="40" customWidth="1" min="9" max="9"/>
    <col width="30" customWidth="1" min="10" max="10"/>
    <col width="30" customWidth="1" min="11" max="11"/>
  </cols>
  <sheetData>
    <row r="1" ht="110" customHeight="1">
      <c r="A1" s="1" t="inlineStr">
        <is>
          <t>規則：「逐列檢查」頁嚴重度＝高的列（直接作用在下游契約名稱的口徑或閉合問題）。只標問題，不判定對錯、不提修法。</t>
        </is>
      </c>
    </row>
    <row r="2">
      <c r="A2" s="2" t="inlineStr">
        <is>
          <t>頁</t>
        </is>
      </c>
      <c r="B2" s="2" t="inlineStr">
        <is>
          <t>列</t>
        </is>
      </c>
      <c r="C2" s="2" t="inlineStr">
        <is>
          <t>列標籤</t>
        </is>
      </c>
      <c r="D2" s="2" t="inlineStr">
        <is>
          <t>G 編號</t>
        </is>
      </c>
      <c r="E2" s="2" t="inlineStr">
        <is>
          <t>L2</t>
        </is>
      </c>
      <c r="F2" s="2" t="inlineStr">
        <is>
          <t>L4</t>
        </is>
      </c>
      <c r="G2" s="2" t="inlineStr">
        <is>
          <t>L5</t>
        </is>
      </c>
      <c r="H2" s="2" t="inlineStr">
        <is>
          <t>L6</t>
        </is>
      </c>
      <c r="I2" s="2" t="inlineStr">
        <is>
          <t>L7</t>
        </is>
      </c>
      <c r="J2" s="2" t="inlineStr">
        <is>
          <t>L9</t>
        </is>
      </c>
      <c r="K2" s="2" t="inlineStr">
        <is>
          <t>L8</t>
        </is>
      </c>
    </row>
    <row r="3">
      <c r="A3" s="3" t="inlineStr">
        <is>
          <t>Calib</t>
        </is>
      </c>
      <c r="B3" s="3" t="n">
        <v>86</v>
      </c>
      <c r="C3" s="3" t="inlineStr">
        <is>
          <t>模型 ÷ 實測</t>
        </is>
      </c>
      <c r="D3" s="3" t="inlineStr">
        <is>
          <t>G05</t>
        </is>
      </c>
      <c r="E3" s="3" t="inlineStr">
        <is>
          <t>—</t>
        </is>
      </c>
      <c r="F3" s="3" t="inlineStr">
        <is>
          <t>—</t>
        </is>
      </c>
      <c r="G3" s="3" t="inlineStr">
        <is>
          <t>[G05] Calib D 節以兩個擬合點聯立解兩個未知數（η_d、每層延遲），F 節擬合點「模型 ÷ 實測」恆為 1.00（Checks B14），是代數恆等，不是驗證。η_d＝3.58% 是吸收未建模開銷的擬合係數，比一般 GEMM 達成率低一個數量級以上（L9）。J5 說明「擬合結果對 η_p 不敏感」，但 G 節顯示 η_p 0.15／0.3／0.45 → η_d 0.055／0.036／0.032、每層延遲 175／161／157 µs；S3：η_p 端點 → IF_CostPre_Sol（VR200）+100%／−33%、IF_CostDec_Sol −33%／+11%、IFW_RevGWFleet_Prod（Hopper）−30%／+8%</t>
        </is>
      </c>
      <c r="H3" s="3" t="inlineStr">
        <is>
          <t>—</t>
        </is>
      </c>
      <c r="I3" s="3" t="inlineStr">
        <is>
          <t>—</t>
        </is>
      </c>
      <c r="J3" s="3" t="inlineStr">
        <is>
          <t>[G05] 擬合 η_d 3.58%（GB300、Sol）；Perf 推出的 decode 有效 MFU（含草稿驗證）全部 15 欄 1.0–2.5%</t>
        </is>
      </c>
      <c r="K3" s="3" t="inlineStr">
        <is>
          <t>上游含 Y1,Y5,Y8</t>
        </is>
      </c>
    </row>
    <row r="4">
      <c r="A4" s="3" t="inlineStr">
        <is>
          <t>Fleet_1GW</t>
        </is>
      </c>
      <c r="B4" s="3" t="n">
        <v>10</v>
      </c>
      <c r="C4" s="3" t="inlineStr">
        <is>
          <t>對外服務</t>
        </is>
      </c>
      <c r="D4" s="3" t="inlineStr">
        <is>
          <t>G15</t>
        </is>
      </c>
      <c r="E4" s="3" t="inlineStr">
        <is>
          <t>[G15] 1 GW 參考機隊的服務／免費／訓練占比＝2025 OpenAI 支出比（B4_Serve 0.41、B4_Free 0.46），全部世代同值（Y11；與第 1 段 Y3 同源）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—</t>
        </is>
      </c>
      <c r="I4" s="3" t="inlineStr">
        <is>
          <t>—</t>
        </is>
      </c>
      <c r="J4" s="3" t="inlineStr">
        <is>
          <t>—</t>
        </is>
      </c>
      <c r="K4" s="3" t="inlineStr">
        <is>
          <t>直接引用 Y3 類輸入</t>
        </is>
      </c>
    </row>
    <row r="5">
      <c r="A5" s="3" t="inlineStr">
        <is>
          <t>Fleet_1GW</t>
        </is>
      </c>
      <c r="B5" s="3" t="n">
        <v>12</v>
      </c>
      <c r="C5" s="3" t="inlineStr">
        <is>
          <t>免費服務</t>
        </is>
      </c>
      <c r="D5" s="3" t="inlineStr">
        <is>
          <t>G15</t>
        </is>
      </c>
      <c r="E5" s="3" t="inlineStr">
        <is>
          <t>[G15] 1 GW 參考機隊的服務／免費／訓練占比＝2025 OpenAI 支出比（B4_Serve 0.41、B4_Free 0.46），全部世代同值（Y11；與第 1 段 Y3 同源）</t>
        </is>
      </c>
      <c r="F5" s="3" t="inlineStr">
        <is>
          <t>—</t>
        </is>
      </c>
      <c r="G5" s="3" t="inlineStr">
        <is>
          <t>—</t>
        </is>
      </c>
      <c r="H5" s="3" t="inlineStr">
        <is>
          <t>—</t>
        </is>
      </c>
      <c r="I5" s="3" t="inlineStr">
        <is>
          <t>—</t>
        </is>
      </c>
      <c r="J5" s="3" t="inlineStr">
        <is>
          <t>—</t>
        </is>
      </c>
      <c r="K5" s="3" t="inlineStr">
        <is>
          <t>直接引用 Y3 類輸入</t>
        </is>
      </c>
    </row>
    <row r="6">
      <c r="A6" s="3" t="inlineStr">
        <is>
          <t>Fleet_1GW</t>
        </is>
      </c>
      <c r="B6" s="3" t="n">
        <v>13</v>
      </c>
      <c r="C6" s="3" t="inlineStr">
        <is>
          <t>訓練＋研發</t>
        </is>
      </c>
      <c r="D6" s="3" t="inlineStr">
        <is>
          <t>G15</t>
        </is>
      </c>
      <c r="E6" s="3" t="inlineStr">
        <is>
          <t>[G15] 1 GW 參考機隊的服務／免費／訓練占比＝2025 OpenAI 支出比（B4_Serve 0.41、B4_Free 0.46），全部世代同值（Y11；與第 1 段 Y3 同源）</t>
        </is>
      </c>
      <c r="F6" s="3" t="inlineStr">
        <is>
          <t>—</t>
        </is>
      </c>
      <c r="G6" s="3" t="inlineStr">
        <is>
          <t>—</t>
        </is>
      </c>
      <c r="H6" s="3" t="inlineStr">
        <is>
          <t>—</t>
        </is>
      </c>
      <c r="I6" s="3" t="inlineStr">
        <is>
          <t>—</t>
        </is>
      </c>
      <c r="J6" s="3" t="inlineStr">
        <is>
          <t>—</t>
        </is>
      </c>
      <c r="K6" s="3" t="inlineStr">
        <is>
          <t>直接引用 Y3 類輸入</t>
        </is>
      </c>
    </row>
    <row r="7">
      <c r="A7" s="3" t="inlineStr">
        <is>
          <t>Fleet_1GW</t>
        </is>
      </c>
      <c r="B7" s="3" t="n">
        <v>33</v>
      </c>
      <c r="C7" s="3" t="inlineStr">
        <is>
          <t>家族研發計畫占 1 GW 年（三層級合計）</t>
        </is>
      </c>
      <c r="D7" s="3" t="inlineStr">
        <is>
          <t>G14</t>
        </is>
      </c>
      <c r="E7" s="3" t="inlineStr">
        <is>
          <t>—</t>
        </is>
      </c>
      <c r="F7" s="3" t="inlineStr">
        <is>
          <t>—</t>
        </is>
      </c>
      <c r="G7" s="3" t="inlineStr">
        <is>
          <t>—</t>
        </is>
      </c>
      <c r="H7" s="3" t="inlineStr">
        <is>
          <t>—</t>
        </is>
      </c>
      <c r="I7" s="3" t="inlineStr">
        <is>
          <t>—</t>
        </is>
      </c>
      <c r="J7" s="3" t="inlineStr">
        <is>
          <t>[G14] 隱含每 GW 年家族研發計畫 3.4（Hopper）–12.1（VR200），活頁簿自己的參考範圍 1–3（Checks B51，只顯示）</t>
        </is>
      </c>
      <c r="K7" s="3" t="inlineStr">
        <is>
          <t>上游含 Y1,Y5,Y8</t>
        </is>
      </c>
    </row>
    <row r="8">
      <c r="A8" s="3" t="inlineStr">
        <is>
          <t>Fleet_1GW</t>
        </is>
      </c>
      <c r="B8" s="3" t="n">
        <v>34</v>
      </c>
      <c r="C8" s="3" t="inlineStr">
        <is>
          <t>隱含每 GW 年可容納的家族研發計畫數（訓練＋研發 ÷ 家族計畫）</t>
        </is>
      </c>
      <c r="D8" s="3" t="inlineStr">
        <is>
          <t>G14</t>
        </is>
      </c>
      <c r="E8" s="3" t="inlineStr">
        <is>
          <t>—</t>
        </is>
      </c>
      <c r="F8" s="3" t="inlineStr">
        <is>
          <t>—</t>
        </is>
      </c>
      <c r="G8" s="3" t="inlineStr">
        <is>
          <t>—</t>
        </is>
      </c>
      <c r="H8" s="3" t="inlineStr">
        <is>
          <t>—</t>
        </is>
      </c>
      <c r="I8" s="3" t="inlineStr">
        <is>
          <t>—</t>
        </is>
      </c>
      <c r="J8" s="3" t="inlineStr">
        <is>
          <t>[G14] 隱含每 GW 年家族研發計畫 3.4（Hopper）–12.1（VR200），活頁簿自己的參考範圍 1–3（Checks B51，只顯示）</t>
        </is>
      </c>
      <c r="K8" s="3" t="inlineStr">
        <is>
          <t>上游含 Y1,Y3,Y5,Y8</t>
        </is>
      </c>
    </row>
    <row r="9">
      <c r="A9" s="3" t="inlineStr">
        <is>
          <t>Amortize</t>
        </is>
      </c>
      <c r="B9" s="3" t="n">
        <v>13</v>
      </c>
      <c r="C9" s="3" t="inlineStr">
        <is>
          <t>自下而上攤提＝回本所需單價溢價　[IF_AmortBU_Luna]</t>
        </is>
      </c>
      <c r="D9" s="3" t="inlineStr">
        <is>
          <t>G02,G06</t>
        </is>
      </c>
      <c r="E9" s="3" t="inlineStr">
        <is>
          <t>[G02] 自下而上攤提＝研發計畫成本 ÷ 壽命內「付費＋免費」token，列標籤卻是「回本所需單價溢價」：免費 token 不付費，以付費 token 為分母時 Luna 溢價為 8.4 倍（Hopper）／7.5 倍（VR200）、Sol 1.6–1.8 倍、Astra 1.0 倍（免費組合 Astra 0%）（30_s3.json BU_denominator_ratio）</t>
        </is>
      </c>
      <c r="F9" s="3" t="inlineStr">
        <is>
          <t>—</t>
        </is>
      </c>
      <c r="G9" s="3" t="inlineStr">
        <is>
          <t>—</t>
        </is>
      </c>
      <c r="H9" s="3" t="inlineStr">
        <is>
          <t>—</t>
        </is>
      </c>
      <c r="I9" s="3" t="inlineStr">
        <is>
          <t>[G06] 組合旗標使本列在任一層級不可達時變文字，包括可達層級（20_l7_closure.json）</t>
        </is>
      </c>
      <c r="J9" s="3" t="inlineStr">
        <is>
          <t>—</t>
        </is>
      </c>
      <c r="K9" s="3" t="inlineStr">
        <is>
          <t>上游含 Y1,Y2,Y3,Y4,Y5,Y6,Y7,Y8</t>
        </is>
      </c>
    </row>
    <row r="10">
      <c r="A10" s="3" t="inlineStr">
        <is>
          <t>Amortize</t>
        </is>
      </c>
      <c r="B10" s="3" t="n">
        <v>15</v>
      </c>
      <c r="C10" s="3" t="inlineStr">
        <is>
          <t>由上而下攤提　[IF_AmortTD_Luna]</t>
        </is>
      </c>
      <c r="D10" s="3" t="inlineStr">
        <is>
          <t>G01,G06</t>
        </is>
      </c>
      <c r="E10" s="3" t="inlineStr">
        <is>
          <t>—</t>
        </is>
      </c>
      <c r="F10" s="3" t="inlineStr">
        <is>
          <t>[G01] 由上而下溢價＝訓練占比 ÷（1 − 訓練占比）× 服務成本（快取混合）；因服務成本 × 服務 token ≠ 服務 GW × 持有成本，攤提總額少計 12–18%（見 Amortize 第 39 列）</t>
        </is>
      </c>
      <c r="G10" s="3" t="inlineStr">
        <is>
          <t>—</t>
        </is>
      </c>
      <c r="H10" s="3" t="inlineStr">
        <is>
          <t>—</t>
        </is>
      </c>
      <c r="I10" s="3" t="inlineStr">
        <is>
          <t>[G06] 組合旗標使本列在任一層級不可達時變文字，包括可達層級（20_l7_closure.json）</t>
        </is>
      </c>
      <c r="J10" s="3" t="inlineStr">
        <is>
          <t>—</t>
        </is>
      </c>
      <c r="K10" s="3" t="inlineStr">
        <is>
          <t>上游含 Y1,Y2,Y3,Y4,Y5,Y6,Y7,Y8</t>
        </is>
      </c>
    </row>
    <row r="11">
      <c r="A11" s="3" t="inlineStr">
        <is>
          <t>Amortize</t>
        </is>
      </c>
      <c r="B11" s="3" t="n">
        <v>22</v>
      </c>
      <c r="C11" s="3" t="inlineStr">
        <is>
          <t>自下而上攤提＝回本所需單價溢價　[IF_AmortBU_Sol]</t>
        </is>
      </c>
      <c r="D11" s="3" t="inlineStr">
        <is>
          <t>G02,G06</t>
        </is>
      </c>
      <c r="E11" s="3" t="inlineStr">
        <is>
          <t>[G02] 自下而上攤提＝研發計畫成本 ÷ 壽命內「付費＋免費」token，列標籤卻是「回本所需單價溢價」：免費 token 不付費，以付費 token 為分母時 Luna 溢價為 8.4 倍（Hopper）／7.5 倍（VR200）、Sol 1.6–1.8 倍、Astra 1.0 倍（免費組合 Astra 0%）（30_s3.json BU_denominator_ratio）</t>
        </is>
      </c>
      <c r="F11" s="3" t="inlineStr">
        <is>
          <t>—</t>
        </is>
      </c>
      <c r="G11" s="3" t="inlineStr">
        <is>
          <t>—</t>
        </is>
      </c>
      <c r="H11" s="3" t="inlineStr">
        <is>
          <t>—</t>
        </is>
      </c>
      <c r="I11" s="3" t="inlineStr">
        <is>
          <t>[G06] 組合旗標使本列在任一層級不可達時變文字，包括可達層級（20_l7_closure.json）</t>
        </is>
      </c>
      <c r="J11" s="3" t="inlineStr">
        <is>
          <t>—</t>
        </is>
      </c>
      <c r="K11" s="3" t="inlineStr">
        <is>
          <t>上游含 Y1,Y2,Y3,Y4,Y5,Y6,Y7,Y8</t>
        </is>
      </c>
    </row>
    <row r="12">
      <c r="A12" s="3" t="inlineStr">
        <is>
          <t>Amortize</t>
        </is>
      </c>
      <c r="B12" s="3" t="n">
        <v>24</v>
      </c>
      <c r="C12" s="3" t="inlineStr">
        <is>
          <t>由上而下攤提　[IF_AmortTD_Sol]</t>
        </is>
      </c>
      <c r="D12" s="3" t="inlineStr">
        <is>
          <t>G01,G06</t>
        </is>
      </c>
      <c r="E12" s="3" t="inlineStr">
        <is>
          <t>—</t>
        </is>
      </c>
      <c r="F12" s="3" t="inlineStr">
        <is>
          <t>[G01] 由上而下溢價＝訓練占比 ÷（1 − 訓練占比）× 服務成本（快取混合）；因服務成本 × 服務 token ≠ 服務 GW × 持有成本，攤提總額少計 12–18%（見 Amortize 第 39 列）</t>
        </is>
      </c>
      <c r="G12" s="3" t="inlineStr">
        <is>
          <t>—</t>
        </is>
      </c>
      <c r="H12" s="3" t="inlineStr">
        <is>
          <t>—</t>
        </is>
      </c>
      <c r="I12" s="3" t="inlineStr">
        <is>
          <t>[G06] 組合旗標使本列在任一層級不可達時變文字，包括可達層級（20_l7_closure.json）</t>
        </is>
      </c>
      <c r="J12" s="3" t="inlineStr">
        <is>
          <t>—</t>
        </is>
      </c>
      <c r="K12" s="3" t="inlineStr">
        <is>
          <t>上游含 Y1,Y2,Y3,Y4,Y5,Y6,Y7,Y8</t>
        </is>
      </c>
    </row>
    <row r="13">
      <c r="A13" s="3" t="inlineStr">
        <is>
          <t>Amortize</t>
        </is>
      </c>
      <c r="B13" s="3" t="n">
        <v>32</v>
      </c>
      <c r="C13" s="3" t="inlineStr">
        <is>
          <t>自下而上攤提＝回本所需單價溢價　[IF_AmortBU_Astra]</t>
        </is>
      </c>
      <c r="D13" s="3" t="inlineStr">
        <is>
          <t>G02,G06</t>
        </is>
      </c>
      <c r="E13" s="3" t="inlineStr">
        <is>
          <t>[G02] 自下而上攤提＝研發計畫成本 ÷ 壽命內「付費＋免費」token，列標籤卻是「回本所需單價溢價」：免費 token 不付費，以付費 token 為分母時 Luna 溢價為 8.4 倍（Hopper）／7.5 倍（VR200）、Sol 1.6–1.8 倍、Astra 1.0 倍（免費組合 Astra 0%）（30_s3.json BU_denominator_ratio）</t>
        </is>
      </c>
      <c r="F13" s="3" t="inlineStr">
        <is>
          <t>—</t>
        </is>
      </c>
      <c r="G13" s="3" t="inlineStr">
        <is>
          <t>—</t>
        </is>
      </c>
      <c r="H13" s="3" t="inlineStr">
        <is>
          <t>—</t>
        </is>
      </c>
      <c r="I13" s="3" t="inlineStr">
        <is>
          <t>[G06] 組合旗標使本列在任一層級不可達時變文字，包括可達層級（20_l7_closure.json）</t>
        </is>
      </c>
      <c r="J13" s="3" t="inlineStr">
        <is>
          <t>—</t>
        </is>
      </c>
      <c r="K13" s="3" t="inlineStr">
        <is>
          <t>上游含 Y1,Y2,Y3,Y4,Y5,Y6,Y7,Y8</t>
        </is>
      </c>
    </row>
    <row r="14">
      <c r="A14" s="3" t="inlineStr">
        <is>
          <t>Amortize</t>
        </is>
      </c>
      <c r="B14" s="3" t="n">
        <v>34</v>
      </c>
      <c r="C14" s="3" t="inlineStr">
        <is>
          <t>由上而下攤提　[IF_AmortTD_Astra]</t>
        </is>
      </c>
      <c r="D14" s="3" t="inlineStr">
        <is>
          <t>G01,G06</t>
        </is>
      </c>
      <c r="E14" s="3" t="inlineStr">
        <is>
          <t>—</t>
        </is>
      </c>
      <c r="F14" s="3" t="inlineStr">
        <is>
          <t>[G01] 由上而下溢價＝訓練占比 ÷（1 − 訓練占比）× 服務成本（快取混合）；因服務成本 × 服務 token ≠ 服務 GW × 持有成本，攤提總額少計 12–18%（見 Amortize 第 39 列）</t>
        </is>
      </c>
      <c r="G14" s="3" t="inlineStr">
        <is>
          <t>—</t>
        </is>
      </c>
      <c r="H14" s="3" t="inlineStr">
        <is>
          <t>—</t>
        </is>
      </c>
      <c r="I14" s="3" t="inlineStr">
        <is>
          <t>[G06] 組合旗標使本列在任一層級不可達時變文字，包括可達層級（20_l7_closure.json）</t>
        </is>
      </c>
      <c r="J14" s="3" t="inlineStr">
        <is>
          <t>—</t>
        </is>
      </c>
      <c r="K14" s="3" t="inlineStr">
        <is>
          <t>上游含 Y1,Y2,Y3,Y4,Y5,Y6,Y7,Y8</t>
        </is>
      </c>
    </row>
    <row r="15">
      <c r="A15" s="3" t="inlineStr">
        <is>
          <t>Amortize</t>
        </is>
      </c>
      <c r="B15" s="3" t="n">
        <v>39</v>
      </c>
      <c r="C15" s="3" t="inlineStr">
        <is>
          <t>由上而下年化總額（三層級合計）</t>
        </is>
      </c>
      <c r="D15" s="3" t="inlineStr">
        <is>
          <t>G01,G06</t>
        </is>
      </c>
      <c r="E15" s="3" t="inlineStr">
        <is>
          <t>—</t>
        </is>
      </c>
      <c r="F15" s="3" t="inlineStr">
        <is>
          <t>—</t>
        </is>
      </c>
      <c r="G15" s="3" t="inlineStr">
        <is>
          <t>[G01] 由上而下年化總額（Amortize 第 39 列）＝Σ（由上而下溢價 × 服務 token），溢價＝訓練占比 ÷（1 − 訓練占比）× 服務成本 $/M（含快取命中混合）。總額 ÷（訓練＋研發 GW × 經濟持有成本）＝0.82（Hopper）、0.87（GB200）、0.88（GB300）、0.86（VR200）、0.86（RU），不等於 1；χ 設 0 時恰為 1.00（31_l9.json）。原因：服務成本按快取混合計價（快取 prefill 很便宜），服務 token 產能卻以全部輸入為新鮮 prefill 算出（第 2 段 F08），兩者相乘小於服務 GW × 持有成本</t>
        </is>
      </c>
      <c r="H15" s="3" t="inlineStr">
        <is>
          <t>—</t>
        </is>
      </c>
      <c r="I15" s="3" t="inlineStr">
        <is>
          <t>[G06] 組合旗標使本列在任一層級不可達時變文字，包括可達層級（20_l7_closure.json）</t>
        </is>
      </c>
      <c r="J15" s="3" t="inlineStr">
        <is>
          <t>—</t>
        </is>
      </c>
      <c r="K15" s="3" t="inlineStr">
        <is>
          <t>上游含 Y1,Y2,Y3,Y4,Y5,Y6,Y7,Y8</t>
        </is>
      </c>
    </row>
    <row r="16">
      <c r="A16" s="3" t="inlineStr">
        <is>
          <t>Amortize</t>
        </is>
      </c>
      <c r="B16" s="3" t="n">
        <v>41</v>
      </c>
      <c r="C16" s="3" t="inlineStr">
        <is>
          <t>縮放倍數（由上而下 ÷ 自下而上總額）</t>
        </is>
      </c>
      <c r="D16" s="3" t="inlineStr">
        <is>
          <t>G01,G06,G14</t>
        </is>
      </c>
      <c r="E16" s="3" t="inlineStr">
        <is>
          <t>—</t>
        </is>
      </c>
      <c r="F16" s="3" t="inlineStr">
        <is>
          <t>[G01] 縮放倍數與 (c) 預設攤提承接 Amortize 第 39 列的少計（12–18%）</t>
        </is>
      </c>
      <c r="G16" s="3" t="inlineStr">
        <is>
          <t>—</t>
        </is>
      </c>
      <c r="H16" s="3" t="inlineStr">
        <is>
          <t>—</t>
        </is>
      </c>
      <c r="I16" s="3" t="inlineStr">
        <is>
          <t>[G06] 組合旗標使本列在任一層級不可達時變文字，包括可達層級（20_l7_closure.json）</t>
        </is>
      </c>
      <c r="J16" s="3" t="inlineStr">
        <is>
          <t>[G14] 縮放倍數（由上而下 ÷ 自下而上）2.2（Hopper）／4.7／5.1／8.2（VR200）／12.0（RU）；(c) 下游預設攤提＝自下而上 × 本倍數，大小由 B4_Serve（2025 支出比 0.41）決定。S3：B4_Serve 0.3／0.6 → IF_AmortDefault_Sol +62%／−54%、IF_FullCostDefault_Sol +20%／−18%；研發倍數 4.4／10.4 → 本倍數 +82%／−23%，但 IF_AmortDefault 不變</t>
        </is>
      </c>
      <c r="K16" s="3" t="inlineStr">
        <is>
          <t>上游含 Y1,Y2,Y3,Y4,Y5,Y6,Y7,Y8</t>
        </is>
      </c>
    </row>
    <row r="17">
      <c r="A17" s="3" t="inlineStr">
        <is>
          <t>Amortize</t>
        </is>
      </c>
      <c r="B17" s="3" t="n">
        <v>43</v>
      </c>
      <c r="C17" s="3" t="inlineStr">
        <is>
          <t>Luna（低層）：(c) 由上而下總額 × 自下而上權重（下游預設）　[IF_AmortDefault_Luna]</t>
        </is>
      </c>
      <c r="D17" s="3" t="inlineStr">
        <is>
          <t>G01,G06</t>
        </is>
      </c>
      <c r="E17" s="3" t="inlineStr">
        <is>
          <t>—</t>
        </is>
      </c>
      <c r="F17" s="3" t="inlineStr">
        <is>
          <t>[G01] 縮放倍數與 (c) 預設攤提承接 Amortize 第 39 列的少計（12–18%）</t>
        </is>
      </c>
      <c r="G17" s="3" t="inlineStr">
        <is>
          <t>—</t>
        </is>
      </c>
      <c r="H17" s="3" t="inlineStr">
        <is>
          <t>—</t>
        </is>
      </c>
      <c r="I17" s="3" t="inlineStr">
        <is>
          <t>[G06] 組合旗標使本列在任一層級不可達時變文字，包括可達層級（20_l7_closure.json）</t>
        </is>
      </c>
      <c r="J17" s="3" t="inlineStr">
        <is>
          <t>—</t>
        </is>
      </c>
      <c r="K17" s="3" t="inlineStr">
        <is>
          <t>上游含 Y1,Y2,Y3,Y4,Y5,Y6,Y7,Y8</t>
        </is>
      </c>
    </row>
    <row r="18">
      <c r="A18" s="3" t="inlineStr">
        <is>
          <t>Amortize</t>
        </is>
      </c>
      <c r="B18" s="3" t="n">
        <v>45</v>
      </c>
      <c r="C18" s="3" t="inlineStr">
        <is>
          <t>Sol（中層）：(c) 由上而下總額 × 自下而上權重（下游預設）　[IF_AmortDefault_Sol]</t>
        </is>
      </c>
      <c r="D18" s="3" t="inlineStr">
        <is>
          <t>G01,G06</t>
        </is>
      </c>
      <c r="E18" s="3" t="inlineStr">
        <is>
          <t>—</t>
        </is>
      </c>
      <c r="F18" s="3" t="inlineStr">
        <is>
          <t>[G01] 縮放倍數與 (c) 預設攤提承接 Amortize 第 39 列的少計（12–18%）</t>
        </is>
      </c>
      <c r="G18" s="3" t="inlineStr">
        <is>
          <t>—</t>
        </is>
      </c>
      <c r="H18" s="3" t="inlineStr">
        <is>
          <t>—</t>
        </is>
      </c>
      <c r="I18" s="3" t="inlineStr">
        <is>
          <t>[G06] 組合旗標使本列在任一層級不可達時變文字，包括可達層級（20_l7_closure.json）</t>
        </is>
      </c>
      <c r="J18" s="3" t="inlineStr">
        <is>
          <t>—</t>
        </is>
      </c>
      <c r="K18" s="3" t="inlineStr">
        <is>
          <t>上游含 Y1,Y2,Y3,Y4,Y5,Y6,Y7,Y8</t>
        </is>
      </c>
    </row>
    <row r="19">
      <c r="A19" s="3" t="inlineStr">
        <is>
          <t>Amortize</t>
        </is>
      </c>
      <c r="B19" s="3" t="n">
        <v>47</v>
      </c>
      <c r="C19" s="3" t="inlineStr">
        <is>
          <t>Astra（頂層）：(c) 由上而下總額 × 自下而上權重（下游預設）　[IF_AmortDefault_Astra]</t>
        </is>
      </c>
      <c r="D19" s="3" t="inlineStr">
        <is>
          <t>G01,G06</t>
        </is>
      </c>
      <c r="E19" s="3" t="inlineStr">
        <is>
          <t>—</t>
        </is>
      </c>
      <c r="F19" s="3" t="inlineStr">
        <is>
          <t>[G01] 縮放倍數與 (c) 預設攤提承接 Amortize 第 39 列的少計（12–18%）</t>
        </is>
      </c>
      <c r="G19" s="3" t="inlineStr">
        <is>
          <t>—</t>
        </is>
      </c>
      <c r="H19" s="3" t="inlineStr">
        <is>
          <t>—</t>
        </is>
      </c>
      <c r="I19" s="3" t="inlineStr">
        <is>
          <t>[G06] 組合旗標使本列在任一層級不可達時變文字，包括可達層級（20_l7_closure.json）</t>
        </is>
      </c>
      <c r="J19" s="3" t="inlineStr">
        <is>
          <t>—</t>
        </is>
      </c>
      <c r="K19" s="3" t="inlineStr">
        <is>
          <t>上游含 Y1,Y2,Y3,Y4,Y5,Y6,Y7,Y8</t>
        </is>
      </c>
    </row>
    <row r="20">
      <c r="A20" s="3" t="inlineStr">
        <is>
          <t>Interface</t>
        </is>
      </c>
      <c r="B20" s="3" t="n">
        <v>95</v>
      </c>
      <c r="C20" s="3" t="inlineStr">
        <is>
          <t>訓練攤提 自下而上＝回本所需溢價　[IF_AmortBU_Luna]</t>
        </is>
      </c>
      <c r="D20" s="3" t="inlineStr">
        <is>
          <t>G02,G06</t>
        </is>
      </c>
      <c r="E20" s="3" t="inlineStr">
        <is>
          <t>[G02] IF_AmortBU_*＝Amortize 第 13／22／32 列：以付費＋免費 token 為分母的「回本所需溢價」</t>
        </is>
      </c>
      <c r="F20" s="3" t="inlineStr">
        <is>
          <t>—</t>
        </is>
      </c>
      <c r="G20" s="3" t="inlineStr">
        <is>
          <t>—</t>
        </is>
      </c>
      <c r="H20" s="3" t="inlineStr">
        <is>
          <t>—</t>
        </is>
      </c>
      <c r="I20" s="3" t="inlineStr">
        <is>
          <t>[G06] 下游契約名稱：一個層級不可達即令可達層級的攤提與全成本也變文字（例：Serving C18＝0.7 時 Interface 第 100 列 Luna 變文字）</t>
        </is>
      </c>
      <c r="J20" s="3" t="inlineStr">
        <is>
          <t>—</t>
        </is>
      </c>
      <c r="K20" s="3" t="inlineStr">
        <is>
          <t>上游含 Y1,Y2,Y3,Y4,Y5,Y6,Y7,Y8</t>
        </is>
      </c>
    </row>
    <row r="21">
      <c r="A21" s="3" t="inlineStr">
        <is>
          <t>Interface</t>
        </is>
      </c>
      <c r="B21" s="3" t="n">
        <v>96</v>
      </c>
      <c r="C21" s="3" t="inlineStr">
        <is>
          <t>訓練攤提 由上而下（機隊訓練占比）　[IF_AmortTD_Luna]</t>
        </is>
      </c>
      <c r="D21" s="3" t="inlineStr">
        <is>
          <t>G01,G06</t>
        </is>
      </c>
      <c r="E21" s="3" t="inlineStr">
        <is>
          <t>—</t>
        </is>
      </c>
      <c r="F21" s="3" t="inlineStr">
        <is>
          <t>[G01] 下游契約名稱（IF_AmortTD_*、IF_AmortDefault_*）承接由上而下總額的閉合差 0.82–0.88</t>
        </is>
      </c>
      <c r="G21" s="3" t="inlineStr">
        <is>
          <t>—</t>
        </is>
      </c>
      <c r="H21" s="3" t="inlineStr">
        <is>
          <t>—</t>
        </is>
      </c>
      <c r="I21" s="3" t="inlineStr">
        <is>
          <t>[G06] 下游契約名稱：一個層級不可達即令可達層級的攤提與全成本也變文字（例：Serving C18＝0.7 時 Interface 第 100 列 Luna 變文字）</t>
        </is>
      </c>
      <c r="J21" s="3" t="inlineStr">
        <is>
          <t>—</t>
        </is>
      </c>
      <c r="K21" s="3" t="inlineStr">
        <is>
          <t>上游含 Y1,Y2,Y3,Y4,Y5,Y6,Y7,Y8</t>
        </is>
      </c>
    </row>
    <row r="22">
      <c r="A22" s="3" t="inlineStr">
        <is>
          <t>Interface</t>
        </is>
      </c>
      <c r="B22" s="3" t="n">
        <v>97</v>
      </c>
      <c r="C22" s="3" t="inlineStr">
        <is>
          <t>全成本 $/M（服務＋快取儲存＋自下而上攤提；基準利用率）　[IF_FullCost_Luna]</t>
        </is>
      </c>
      <c r="D22" s="3" t="inlineStr">
        <is>
          <t>G02,G06</t>
        </is>
      </c>
      <c r="E22" s="3" t="inlineStr">
        <is>
          <t>[G02] IF_FullCost_*＝服務成本＋自下而上攤提（分母含免費 token）</t>
        </is>
      </c>
      <c r="F22" s="3" t="inlineStr">
        <is>
          <t>—</t>
        </is>
      </c>
      <c r="G22" s="3" t="inlineStr">
        <is>
          <t>—</t>
        </is>
      </c>
      <c r="H22" s="3" t="inlineStr">
        <is>
          <t>—</t>
        </is>
      </c>
      <c r="I22" s="3" t="inlineStr">
        <is>
          <t>[G06] 下游契約名稱：一個層級不可達即令可達層級的攤提與全成本也變文字（例：Serving C18＝0.7 時 Interface 第 100 列 Luna 變文字）</t>
        </is>
      </c>
      <c r="J22" s="3" t="inlineStr">
        <is>
          <t>—</t>
        </is>
      </c>
      <c r="K22" s="3" t="inlineStr">
        <is>
          <t>上游含 Y1,Y2,Y3,Y4,Y5,Y6,Y7,Y8</t>
        </is>
      </c>
    </row>
    <row r="23">
      <c r="A23" s="3" t="inlineStr">
        <is>
          <t>Interface</t>
        </is>
      </c>
      <c r="B23" s="3" t="n">
        <v>98</v>
      </c>
      <c r="C23" s="3" t="inlineStr">
        <is>
          <t>訓練攤提 K6 預設 (c)：由上而下總額 × 自下而上權重（下游預設）　[IF_AmortDefault_Luna]</t>
        </is>
      </c>
      <c r="D23" s="3" t="inlineStr">
        <is>
          <t>G01,G06,G14</t>
        </is>
      </c>
      <c r="E23" s="3" t="inlineStr">
        <is>
          <t>[G14] 下游預設（K6 (c)）攤提的總額由 2025 支出比 B4_Serve 決定，並套到全部世代（Y11）</t>
        </is>
      </c>
      <c r="F23" s="3" t="inlineStr">
        <is>
          <t>[G01] 下游契約名稱（IF_AmortTD_*、IF_AmortDefault_*）承接由上而下總額的閉合差 0.82–0.88</t>
        </is>
      </c>
      <c r="G23" s="3" t="inlineStr">
        <is>
          <t>—</t>
        </is>
      </c>
      <c r="H23" s="3" t="inlineStr">
        <is>
          <t>—</t>
        </is>
      </c>
      <c r="I23" s="3" t="inlineStr">
        <is>
          <t>[G06] 下游契約名稱：一個層級不可達即令可達層級的攤提與全成本也變文字（例：Serving C18＝0.7 時 Interface 第 100 列 Luna 變文字）</t>
        </is>
      </c>
      <c r="J23" s="3" t="inlineStr">
        <is>
          <t>—</t>
        </is>
      </c>
      <c r="K23" s="3" t="inlineStr">
        <is>
          <t>上游含 Y1,Y2,Y3,Y4,Y5,Y6,Y7,Y8</t>
        </is>
      </c>
    </row>
    <row r="24">
      <c r="A24" s="3" t="inlineStr">
        <is>
          <t>Interface</t>
        </is>
      </c>
      <c r="B24" s="3" t="n">
        <v>99</v>
      </c>
      <c r="C24" s="3" t="inlineStr">
        <is>
          <t>訓練攤提 (d)：由上而下總額 × 營收權重　[IF_AmortRev_Luna]</t>
        </is>
      </c>
      <c r="D24" s="3" t="inlineStr">
        <is>
          <t>G01,G06</t>
        </is>
      </c>
      <c r="E24" s="3" t="inlineStr">
        <is>
          <t>—</t>
        </is>
      </c>
      <c r="F24" s="3" t="inlineStr">
        <is>
          <t>[G01] 承接由上而下總額的閉合差（IF_AmortRev_*、IF_FullCostDefault_*）</t>
        </is>
      </c>
      <c r="G24" s="3" t="inlineStr">
        <is>
          <t>—</t>
        </is>
      </c>
      <c r="H24" s="3" t="inlineStr">
        <is>
          <t>—</t>
        </is>
      </c>
      <c r="I24" s="3" t="inlineStr">
        <is>
          <t>[G06] 下游契約名稱：一個層級不可達即令可達層級的攤提與全成本也變文字（例：Serving C18＝0.7 時 Interface 第 100 列 Luna 變文字）</t>
        </is>
      </c>
      <c r="J24" s="3" t="inlineStr">
        <is>
          <t>—</t>
        </is>
      </c>
      <c r="K24" s="3" t="inlineStr">
        <is>
          <t>上游含 Y1,Y2,Y3,Y4,Y5,Y6,Y7,Y8</t>
        </is>
      </c>
    </row>
    <row r="25">
      <c r="A25" s="3" t="inlineStr">
        <is>
          <t>Interface</t>
        </is>
      </c>
      <c r="B25" s="3" t="n">
        <v>100</v>
      </c>
      <c r="C25" s="3" t="inlineStr">
        <is>
          <t>全成本 $/M（服務＋快取儲存＋K6 預設攤提；基準利用率；下游預設）　[IF_FullCostDefault_Luna]</t>
        </is>
      </c>
      <c r="D25" s="3" t="inlineStr">
        <is>
          <t>G01,G06,G14</t>
        </is>
      </c>
      <c r="E25" s="3" t="inlineStr">
        <is>
          <t>[G14] 下游預設（K6 (c)）攤提的總額由 2025 支出比 B4_Serve 決定，並套到全部世代（Y11）</t>
        </is>
      </c>
      <c r="F25" s="3" t="inlineStr">
        <is>
          <t>[G01] 承接由上而下總額的閉合差（IF_AmortRev_*、IF_FullCostDefault_*）</t>
        </is>
      </c>
      <c r="G25" s="3" t="inlineStr">
        <is>
          <t>—</t>
        </is>
      </c>
      <c r="H25" s="3" t="inlineStr">
        <is>
          <t>—</t>
        </is>
      </c>
      <c r="I25" s="3" t="inlineStr">
        <is>
          <t>[G06] 下游契約名稱：一個層級不可達即令可達層級的攤提與全成本也變文字（例：Serving C18＝0.7 時 Interface 第 100 列 Luna 變文字）</t>
        </is>
      </c>
      <c r="J25" s="3" t="inlineStr">
        <is>
          <t>—</t>
        </is>
      </c>
      <c r="K25" s="3" t="inlineStr">
        <is>
          <t>上游含 Y1,Y2,Y3,Y4,Y5,Y6,Y7,Y8</t>
        </is>
      </c>
    </row>
    <row r="26">
      <c r="A26" s="3" t="inlineStr">
        <is>
          <t>Interface</t>
        </is>
      </c>
      <c r="B26" s="3" t="n">
        <v>113</v>
      </c>
      <c r="C26" s="3" t="inlineStr">
        <is>
          <t>訓練攤提 自下而上＝回本所需溢價　[IF_AmortBU_Sol]</t>
        </is>
      </c>
      <c r="D26" s="3" t="inlineStr">
        <is>
          <t>G02,G06</t>
        </is>
      </c>
      <c r="E26" s="3" t="inlineStr">
        <is>
          <t>[G02] IF_AmortBU_*＝Amortize 第 13／22／32 列：以付費＋免費 token 為分母的「回本所需溢價」</t>
        </is>
      </c>
      <c r="F26" s="3" t="inlineStr">
        <is>
          <t>—</t>
        </is>
      </c>
      <c r="G26" s="3" t="inlineStr">
        <is>
          <t>—</t>
        </is>
      </c>
      <c r="H26" s="3" t="inlineStr">
        <is>
          <t>—</t>
        </is>
      </c>
      <c r="I26" s="3" t="inlineStr">
        <is>
          <t>[G06] 下游契約名稱：一個層級不可達即令可達層級的攤提與全成本也變文字（例：Serving C18＝0.7 時 Interface 第 100 列 Luna 變文字）</t>
        </is>
      </c>
      <c r="J26" s="3" t="inlineStr">
        <is>
          <t>—</t>
        </is>
      </c>
      <c r="K26" s="3" t="inlineStr">
        <is>
          <t>上游含 Y1,Y2,Y3,Y4,Y5,Y6,Y7,Y8</t>
        </is>
      </c>
    </row>
    <row r="27">
      <c r="A27" s="3" t="inlineStr">
        <is>
          <t>Interface</t>
        </is>
      </c>
      <c r="B27" s="3" t="n">
        <v>114</v>
      </c>
      <c r="C27" s="3" t="inlineStr">
        <is>
          <t>訓練攤提 由上而下（機隊訓練占比）　[IF_AmortTD_Sol]</t>
        </is>
      </c>
      <c r="D27" s="3" t="inlineStr">
        <is>
          <t>G01,G06</t>
        </is>
      </c>
      <c r="E27" s="3" t="inlineStr">
        <is>
          <t>—</t>
        </is>
      </c>
      <c r="F27" s="3" t="inlineStr">
        <is>
          <t>[G01] 下游契約名稱（IF_AmortTD_*、IF_AmortDefault_*）承接由上而下總額的閉合差 0.82–0.88</t>
        </is>
      </c>
      <c r="G27" s="3" t="inlineStr">
        <is>
          <t>—</t>
        </is>
      </c>
      <c r="H27" s="3" t="inlineStr">
        <is>
          <t>—</t>
        </is>
      </c>
      <c r="I27" s="3" t="inlineStr">
        <is>
          <t>[G06] 下游契約名稱：一個層級不可達即令可達層級的攤提與全成本也變文字（例：Serving C18＝0.7 時 Interface 第 100 列 Luna 變文字）</t>
        </is>
      </c>
      <c r="J27" s="3" t="inlineStr">
        <is>
          <t>—</t>
        </is>
      </c>
      <c r="K27" s="3" t="inlineStr">
        <is>
          <t>上游含 Y1,Y2,Y3,Y4,Y5,Y6,Y7,Y8</t>
        </is>
      </c>
    </row>
    <row r="28">
      <c r="A28" s="3" t="inlineStr">
        <is>
          <t>Interface</t>
        </is>
      </c>
      <c r="B28" s="3" t="n">
        <v>115</v>
      </c>
      <c r="C28" s="3" t="inlineStr">
        <is>
          <t>全成本 $/M（服務＋快取儲存＋自下而上攤提；基準利用率）　[IF_FullCost_Sol]</t>
        </is>
      </c>
      <c r="D28" s="3" t="inlineStr">
        <is>
          <t>G02,G06</t>
        </is>
      </c>
      <c r="E28" s="3" t="inlineStr">
        <is>
          <t>[G02] IF_FullCost_*＝服務成本＋自下而上攤提（分母含免費 token）</t>
        </is>
      </c>
      <c r="F28" s="3" t="inlineStr">
        <is>
          <t>—</t>
        </is>
      </c>
      <c r="G28" s="3" t="inlineStr">
        <is>
          <t>—</t>
        </is>
      </c>
      <c r="H28" s="3" t="inlineStr">
        <is>
          <t>—</t>
        </is>
      </c>
      <c r="I28" s="3" t="inlineStr">
        <is>
          <t>[G06] 下游契約名稱：一個層級不可達即令可達層級的攤提與全成本也變文字（例：Serving C18＝0.7 時 Interface 第 100 列 Luna 變文字）</t>
        </is>
      </c>
      <c r="J28" s="3" t="inlineStr">
        <is>
          <t>—</t>
        </is>
      </c>
      <c r="K28" s="3" t="inlineStr">
        <is>
          <t>上游含 Y1,Y2,Y3,Y4,Y5,Y6,Y7,Y8</t>
        </is>
      </c>
    </row>
    <row r="29">
      <c r="A29" s="3" t="inlineStr">
        <is>
          <t>Interface</t>
        </is>
      </c>
      <c r="B29" s="3" t="n">
        <v>116</v>
      </c>
      <c r="C29" s="3" t="inlineStr">
        <is>
          <t>訓練攤提 K6 預設 (c)：由上而下總額 × 自下而上權重（下游預設）　[IF_AmortDefault_Sol]</t>
        </is>
      </c>
      <c r="D29" s="3" t="inlineStr">
        <is>
          <t>G01,G06,G14</t>
        </is>
      </c>
      <c r="E29" s="3" t="inlineStr">
        <is>
          <t>[G14] 下游預設（K6 (c)）攤提的總額由 2025 支出比 B4_Serve 決定，並套到全部世代（Y11）</t>
        </is>
      </c>
      <c r="F29" s="3" t="inlineStr">
        <is>
          <t>[G01] 下游契約名稱（IF_AmortTD_*、IF_AmortDefault_*）承接由上而下總額的閉合差 0.82–0.88</t>
        </is>
      </c>
      <c r="G29" s="3" t="inlineStr">
        <is>
          <t>—</t>
        </is>
      </c>
      <c r="H29" s="3" t="inlineStr">
        <is>
          <t>—</t>
        </is>
      </c>
      <c r="I29" s="3" t="inlineStr">
        <is>
          <t>[G06] 下游契約名稱：一個層級不可達即令可達層級的攤提與全成本也變文字（例：Serving C18＝0.7 時 Interface 第 100 列 Luna 變文字）</t>
        </is>
      </c>
      <c r="J29" s="3" t="inlineStr">
        <is>
          <t>—</t>
        </is>
      </c>
      <c r="K29" s="3" t="inlineStr">
        <is>
          <t>上游含 Y1,Y2,Y3,Y4,Y5,Y6,Y7,Y8</t>
        </is>
      </c>
    </row>
    <row r="30">
      <c r="A30" s="3" t="inlineStr">
        <is>
          <t>Interface</t>
        </is>
      </c>
      <c r="B30" s="3" t="n">
        <v>117</v>
      </c>
      <c r="C30" s="3" t="inlineStr">
        <is>
          <t>訓練攤提 (d)：由上而下總額 × 營收權重　[IF_AmortRev_Sol]</t>
        </is>
      </c>
      <c r="D30" s="3" t="inlineStr">
        <is>
          <t>G01,G06</t>
        </is>
      </c>
      <c r="E30" s="3" t="inlineStr">
        <is>
          <t>—</t>
        </is>
      </c>
      <c r="F30" s="3" t="inlineStr">
        <is>
          <t>[G01] 承接由上而下總額的閉合差（IF_AmortRev_*、IF_FullCostDefault_*）</t>
        </is>
      </c>
      <c r="G30" s="3" t="inlineStr">
        <is>
          <t>—</t>
        </is>
      </c>
      <c r="H30" s="3" t="inlineStr">
        <is>
          <t>—</t>
        </is>
      </c>
      <c r="I30" s="3" t="inlineStr">
        <is>
          <t>[G06] 下游契約名稱：一個層級不可達即令可達層級的攤提與全成本也變文字（例：Serving C18＝0.7 時 Interface 第 100 列 Luna 變文字）</t>
        </is>
      </c>
      <c r="J30" s="3" t="inlineStr">
        <is>
          <t>—</t>
        </is>
      </c>
      <c r="K30" s="3" t="inlineStr">
        <is>
          <t>上游含 Y1,Y2,Y3,Y4,Y5,Y6,Y7,Y8</t>
        </is>
      </c>
    </row>
    <row r="31">
      <c r="A31" s="3" t="inlineStr">
        <is>
          <t>Interface</t>
        </is>
      </c>
      <c r="B31" s="3" t="n">
        <v>118</v>
      </c>
      <c r="C31" s="3" t="inlineStr">
        <is>
          <t>全成本 $/M（服務＋快取儲存＋K6 預設攤提；基準利用率；下游預設）　[IF_FullCostDefault_Sol]</t>
        </is>
      </c>
      <c r="D31" s="3" t="inlineStr">
        <is>
          <t>G01,G06,G14</t>
        </is>
      </c>
      <c r="E31" s="3" t="inlineStr">
        <is>
          <t>[G14] 下游預設（K6 (c)）攤提的總額由 2025 支出比 B4_Serve 決定，並套到全部世代（Y11）</t>
        </is>
      </c>
      <c r="F31" s="3" t="inlineStr">
        <is>
          <t>[G01] 承接由上而下總額的閉合差（IF_AmortRev_*、IF_FullCostDefault_*）</t>
        </is>
      </c>
      <c r="G31" s="3" t="inlineStr">
        <is>
          <t>—</t>
        </is>
      </c>
      <c r="H31" s="3" t="inlineStr">
        <is>
          <t>—</t>
        </is>
      </c>
      <c r="I31" s="3" t="inlineStr">
        <is>
          <t>[G06] 下游契約名稱：一個層級不可達即令可達層級的攤提與全成本也變文字（例：Serving C18＝0.7 時 Interface 第 100 列 Luna 變文字）</t>
        </is>
      </c>
      <c r="J31" s="3" t="inlineStr">
        <is>
          <t>—</t>
        </is>
      </c>
      <c r="K31" s="3" t="inlineStr">
        <is>
          <t>上游含 Y1,Y2,Y3,Y4,Y5,Y6,Y7,Y8</t>
        </is>
      </c>
    </row>
    <row r="32">
      <c r="A32" s="3" t="inlineStr">
        <is>
          <t>Interface</t>
        </is>
      </c>
      <c r="B32" s="3" t="n">
        <v>131</v>
      </c>
      <c r="C32" s="3" t="inlineStr">
        <is>
          <t>訓練攤提 自下而上＝回本所需溢價　[IF_AmortBU_Astra]</t>
        </is>
      </c>
      <c r="D32" s="3" t="inlineStr">
        <is>
          <t>G02,G06</t>
        </is>
      </c>
      <c r="E32" s="3" t="inlineStr">
        <is>
          <t>[G02] IF_AmortBU_*＝Amortize 第 13／22／32 列：以付費＋免費 token 為分母的「回本所需溢價」</t>
        </is>
      </c>
      <c r="F32" s="3" t="inlineStr">
        <is>
          <t>—</t>
        </is>
      </c>
      <c r="G32" s="3" t="inlineStr">
        <is>
          <t>—</t>
        </is>
      </c>
      <c r="H32" s="3" t="inlineStr">
        <is>
          <t>—</t>
        </is>
      </c>
      <c r="I32" s="3" t="inlineStr">
        <is>
          <t>[G06] 下游契約名稱：一個層級不可達即令可達層級的攤提與全成本也變文字（例：Serving C18＝0.7 時 Interface 第 100 列 Luna 變文字）</t>
        </is>
      </c>
      <c r="J32" s="3" t="inlineStr">
        <is>
          <t>—</t>
        </is>
      </c>
      <c r="K32" s="3" t="inlineStr">
        <is>
          <t>上游含 Y1,Y2,Y3,Y4,Y5,Y6,Y7,Y8</t>
        </is>
      </c>
    </row>
    <row r="33">
      <c r="A33" s="3" t="inlineStr">
        <is>
          <t>Interface</t>
        </is>
      </c>
      <c r="B33" s="3" t="n">
        <v>132</v>
      </c>
      <c r="C33" s="3" t="inlineStr">
        <is>
          <t>訓練攤提 由上而下（機隊訓練占比）　[IF_AmortTD_Astra]</t>
        </is>
      </c>
      <c r="D33" s="3" t="inlineStr">
        <is>
          <t>G01,G06</t>
        </is>
      </c>
      <c r="E33" s="3" t="inlineStr">
        <is>
          <t>—</t>
        </is>
      </c>
      <c r="F33" s="3" t="inlineStr">
        <is>
          <t>[G01] 下游契約名稱（IF_AmortTD_*、IF_AmortDefault_*）承接由上而下總額的閉合差 0.82–0.88</t>
        </is>
      </c>
      <c r="G33" s="3" t="inlineStr">
        <is>
          <t>—</t>
        </is>
      </c>
      <c r="H33" s="3" t="inlineStr">
        <is>
          <t>—</t>
        </is>
      </c>
      <c r="I33" s="3" t="inlineStr">
        <is>
          <t>[G06] 下游契約名稱：一個層級不可達即令可達層級的攤提與全成本也變文字（例：Serving C18＝0.7 時 Interface 第 100 列 Luna 變文字）</t>
        </is>
      </c>
      <c r="J33" s="3" t="inlineStr">
        <is>
          <t>—</t>
        </is>
      </c>
      <c r="K33" s="3" t="inlineStr">
        <is>
          <t>上游含 Y1,Y2,Y3,Y4,Y5,Y6,Y7,Y8</t>
        </is>
      </c>
    </row>
    <row r="34">
      <c r="A34" s="3" t="inlineStr">
        <is>
          <t>Interface</t>
        </is>
      </c>
      <c r="B34" s="3" t="n">
        <v>133</v>
      </c>
      <c r="C34" s="3" t="inlineStr">
        <is>
          <t>全成本 $/M（服務＋快取儲存＋自下而上攤提；基準利用率）　[IF_FullCost_Astra]</t>
        </is>
      </c>
      <c r="D34" s="3" t="inlineStr">
        <is>
          <t>G02,G06</t>
        </is>
      </c>
      <c r="E34" s="3" t="inlineStr">
        <is>
          <t>[G02] IF_FullCost_*＝服務成本＋自下而上攤提（分母含免費 token）</t>
        </is>
      </c>
      <c r="F34" s="3" t="inlineStr">
        <is>
          <t>—</t>
        </is>
      </c>
      <c r="G34" s="3" t="inlineStr">
        <is>
          <t>—</t>
        </is>
      </c>
      <c r="H34" s="3" t="inlineStr">
        <is>
          <t>—</t>
        </is>
      </c>
      <c r="I34" s="3" t="inlineStr">
        <is>
          <t>[G06] 下游契約名稱：一個層級不可達即令可達層級的攤提與全成本也變文字（例：Serving C18＝0.7 時 Interface 第 100 列 Luna 變文字）</t>
        </is>
      </c>
      <c r="J34" s="3" t="inlineStr">
        <is>
          <t>—</t>
        </is>
      </c>
      <c r="K34" s="3" t="inlineStr">
        <is>
          <t>上游含 Y1,Y2,Y3,Y4,Y5,Y6,Y7,Y8</t>
        </is>
      </c>
    </row>
    <row r="35">
      <c r="A35" s="3" t="inlineStr">
        <is>
          <t>Interface</t>
        </is>
      </c>
      <c r="B35" s="3" t="n">
        <v>134</v>
      </c>
      <c r="C35" s="3" t="inlineStr">
        <is>
          <t>訓練攤提 K6 預設 (c)：由上而下總額 × 自下而上權重（下游預設）　[IF_AmortDefault_Astra]</t>
        </is>
      </c>
      <c r="D35" s="3" t="inlineStr">
        <is>
          <t>G01,G06,G14</t>
        </is>
      </c>
      <c r="E35" s="3" t="inlineStr">
        <is>
          <t>[G14] 下游預設（K6 (c)）攤提的總額由 2025 支出比 B4_Serve 決定，並套到全部世代（Y11）</t>
        </is>
      </c>
      <c r="F35" s="3" t="inlineStr">
        <is>
          <t>[G01] 下游契約名稱（IF_AmortTD_*、IF_AmortDefault_*）承接由上而下總額的閉合差 0.82–0.88</t>
        </is>
      </c>
      <c r="G35" s="3" t="inlineStr">
        <is>
          <t>—</t>
        </is>
      </c>
      <c r="H35" s="3" t="inlineStr">
        <is>
          <t>—</t>
        </is>
      </c>
      <c r="I35" s="3" t="inlineStr">
        <is>
          <t>[G06] 下游契約名稱：一個層級不可達即令可達層級的攤提與全成本也變文字（例：Serving C18＝0.7 時 Interface 第 100 列 Luna 變文字）</t>
        </is>
      </c>
      <c r="J35" s="3" t="inlineStr">
        <is>
          <t>—</t>
        </is>
      </c>
      <c r="K35" s="3" t="inlineStr">
        <is>
          <t>上游含 Y1,Y2,Y3,Y4,Y5,Y6,Y7,Y8</t>
        </is>
      </c>
    </row>
    <row r="36">
      <c r="A36" s="3" t="inlineStr">
        <is>
          <t>Interface</t>
        </is>
      </c>
      <c r="B36" s="3" t="n">
        <v>135</v>
      </c>
      <c r="C36" s="3" t="inlineStr">
        <is>
          <t>訓練攤提 (d)：由上而下總額 × 營收權重　[IF_AmortRev_Astra]</t>
        </is>
      </c>
      <c r="D36" s="3" t="inlineStr">
        <is>
          <t>G01,G06</t>
        </is>
      </c>
      <c r="E36" s="3" t="inlineStr">
        <is>
          <t>—</t>
        </is>
      </c>
      <c r="F36" s="3" t="inlineStr">
        <is>
          <t>[G01] 承接由上而下總額的閉合差（IF_AmortRev_*、IF_FullCostDefault_*）</t>
        </is>
      </c>
      <c r="G36" s="3" t="inlineStr">
        <is>
          <t>—</t>
        </is>
      </c>
      <c r="H36" s="3" t="inlineStr">
        <is>
          <t>—</t>
        </is>
      </c>
      <c r="I36" s="3" t="inlineStr">
        <is>
          <t>[G06] 下游契約名稱：一個層級不可達即令可達層級的攤提與全成本也變文字（例：Serving C18＝0.7 時 Interface 第 100 列 Luna 變文字）</t>
        </is>
      </c>
      <c r="J36" s="3" t="inlineStr">
        <is>
          <t>—</t>
        </is>
      </c>
      <c r="K36" s="3" t="inlineStr">
        <is>
          <t>上游含 Y1,Y2,Y3,Y4,Y5,Y6,Y7,Y8</t>
        </is>
      </c>
    </row>
    <row r="37">
      <c r="A37" s="3" t="inlineStr">
        <is>
          <t>Interface</t>
        </is>
      </c>
      <c r="B37" s="3" t="n">
        <v>136</v>
      </c>
      <c r="C37" s="3" t="inlineStr">
        <is>
          <t>全成本 $/M（服務＋快取儲存＋K6 預設攤提；基準利用率；下游預設）　[IF_FullCostDefault_Astra]</t>
        </is>
      </c>
      <c r="D37" s="3" t="inlineStr">
        <is>
          <t>G01,G06,G14</t>
        </is>
      </c>
      <c r="E37" s="3" t="inlineStr">
        <is>
          <t>[G14] 下游預設（K6 (c)）攤提的總額由 2025 支出比 B4_Serve 決定，並套到全部世代（Y11）</t>
        </is>
      </c>
      <c r="F37" s="3" t="inlineStr">
        <is>
          <t>[G01] 承接由上而下總額的閉合差（IF_AmortRev_*、IF_FullCostDefault_*）</t>
        </is>
      </c>
      <c r="G37" s="3" t="inlineStr">
        <is>
          <t>—</t>
        </is>
      </c>
      <c r="H37" s="3" t="inlineStr">
        <is>
          <t>—</t>
        </is>
      </c>
      <c r="I37" s="3" t="inlineStr">
        <is>
          <t>[G06] 下游契約名稱：一個層級不可達即令可達層級的攤提與全成本也變文字（例：Serving C18＝0.7 時 Interface 第 100 列 Luna 變文字）</t>
        </is>
      </c>
      <c r="J37" s="3" t="inlineStr">
        <is>
          <t>—</t>
        </is>
      </c>
      <c r="K37" s="3" t="inlineStr">
        <is>
          <t>上游含 Y1,Y2,Y3,Y4,Y5,Y6,Y7,Y8</t>
        </is>
      </c>
    </row>
    <row r="38">
      <c r="A38" s="3" t="inlineStr">
        <is>
          <t>Interface</t>
        </is>
      </c>
      <c r="B38" s="3" t="n">
        <v>140</v>
      </c>
      <c r="C38" s="3" t="inlineStr">
        <is>
          <t>付費服務營收 Luna（低層） 貢獻 — OpenAI 有效單價　[IF_RevGWFleet_Luna]</t>
        </is>
      </c>
      <c r="D38" s="3" t="inlineStr">
        <is>
          <t>G15</t>
        </is>
      </c>
      <c r="E38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F38" s="3" t="inlineStr">
        <is>
          <t>—</t>
        </is>
      </c>
      <c r="G38" s="3" t="inlineStr">
        <is>
          <t>—</t>
        </is>
      </c>
      <c r="H38" s="3" t="inlineStr">
        <is>
          <t>—</t>
        </is>
      </c>
      <c r="I38" s="3" t="inlineStr">
        <is>
          <t>—</t>
        </is>
      </c>
      <c r="J38" s="3" t="inlineStr">
        <is>
          <t>—</t>
        </is>
      </c>
      <c r="K38" s="3" t="inlineStr">
        <is>
          <t>上游含 Y1,Y2,Y3,Y5,Y6,Y8</t>
        </is>
      </c>
    </row>
    <row r="39">
      <c r="A39" s="3" t="inlineStr">
        <is>
          <t>Interface</t>
        </is>
      </c>
      <c r="B39" s="3" t="n">
        <v>141</v>
      </c>
      <c r="C39" s="3" t="inlineStr">
        <is>
          <t>付費服務營收 Sol（中層） 貢獻 — OpenAI 有效單價　[IF_RevGWFleet_Sol]</t>
        </is>
      </c>
      <c r="D39" s="3" t="inlineStr">
        <is>
          <t>G15</t>
        </is>
      </c>
      <c r="E39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F39" s="3" t="inlineStr">
        <is>
          <t>—</t>
        </is>
      </c>
      <c r="G39" s="3" t="inlineStr">
        <is>
          <t>—</t>
        </is>
      </c>
      <c r="H39" s="3" t="inlineStr">
        <is>
          <t>—</t>
        </is>
      </c>
      <c r="I39" s="3" t="inlineStr">
        <is>
          <t>—</t>
        </is>
      </c>
      <c r="J39" s="3" t="inlineStr">
        <is>
          <t>—</t>
        </is>
      </c>
      <c r="K39" s="3" t="inlineStr">
        <is>
          <t>上游含 Y1,Y2,Y3,Y5,Y6,Y8</t>
        </is>
      </c>
    </row>
    <row r="40">
      <c r="A40" s="3" t="inlineStr">
        <is>
          <t>Interface</t>
        </is>
      </c>
      <c r="B40" s="3" t="n">
        <v>142</v>
      </c>
      <c r="C40" s="3" t="inlineStr">
        <is>
          <t>付費服務營收 Astra（頂層） 貢獻 — OpenAI 有效單價　[IF_RevGWFleet_Astra]</t>
        </is>
      </c>
      <c r="D40" s="3" t="inlineStr">
        <is>
          <t>G15</t>
        </is>
      </c>
      <c r="E40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F40" s="3" t="inlineStr">
        <is>
          <t>—</t>
        </is>
      </c>
      <c r="G40" s="3" t="inlineStr">
        <is>
          <t>—</t>
        </is>
      </c>
      <c r="H40" s="3" t="inlineStr">
        <is>
          <t>—</t>
        </is>
      </c>
      <c r="I40" s="3" t="inlineStr">
        <is>
          <t>—</t>
        </is>
      </c>
      <c r="J40" s="3" t="inlineStr">
        <is>
          <t>—</t>
        </is>
      </c>
      <c r="K40" s="3" t="inlineStr">
        <is>
          <t>上游含 Y1,Y2,Y3,Y5,Y6,Y8</t>
        </is>
      </c>
    </row>
    <row r="41">
      <c r="A41" s="3" t="inlineStr">
        <is>
          <t>Interface</t>
        </is>
      </c>
      <c r="B41" s="3" t="n">
        <v>144</v>
      </c>
      <c r="C41" s="3" t="inlineStr">
        <is>
          <t>付費服務營收 Luna（低層） 貢獻 — 前緣單價　[IF_RevGWFleetFront_Luna]</t>
        </is>
      </c>
      <c r="D41" s="3" t="inlineStr">
        <is>
          <t>G15</t>
        </is>
      </c>
      <c r="E41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F41" s="3" t="inlineStr">
        <is>
          <t>—</t>
        </is>
      </c>
      <c r="G41" s="3" t="inlineStr">
        <is>
          <t>—</t>
        </is>
      </c>
      <c r="H41" s="3" t="inlineStr">
        <is>
          <t>—</t>
        </is>
      </c>
      <c r="I41" s="3" t="inlineStr">
        <is>
          <t>—</t>
        </is>
      </c>
      <c r="J41" s="3" t="inlineStr">
        <is>
          <t>—</t>
        </is>
      </c>
      <c r="K41" s="3" t="inlineStr">
        <is>
          <t>上游含 Y1,Y2,Y3,Y5,Y6,Y8</t>
        </is>
      </c>
    </row>
    <row r="42">
      <c r="A42" s="3" t="inlineStr">
        <is>
          <t>Interface</t>
        </is>
      </c>
      <c r="B42" s="3" t="n">
        <v>145</v>
      </c>
      <c r="C42" s="3" t="inlineStr">
        <is>
          <t>付費服務營收 Sol（中層） 貢獻 — 前緣單價　[IF_RevGWFleetFront_Sol]</t>
        </is>
      </c>
      <c r="D42" s="3" t="inlineStr">
        <is>
          <t>G15</t>
        </is>
      </c>
      <c r="E42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F42" s="3" t="inlineStr">
        <is>
          <t>—</t>
        </is>
      </c>
      <c r="G42" s="3" t="inlineStr">
        <is>
          <t>—</t>
        </is>
      </c>
      <c r="H42" s="3" t="inlineStr">
        <is>
          <t>—</t>
        </is>
      </c>
      <c r="I42" s="3" t="inlineStr">
        <is>
          <t>—</t>
        </is>
      </c>
      <c r="J42" s="3" t="inlineStr">
        <is>
          <t>—</t>
        </is>
      </c>
      <c r="K42" s="3" t="inlineStr">
        <is>
          <t>上游含 Y1,Y2,Y3,Y5,Y6,Y8</t>
        </is>
      </c>
    </row>
    <row r="43">
      <c r="A43" s="3" t="inlineStr">
        <is>
          <t>Interface</t>
        </is>
      </c>
      <c r="B43" s="3" t="n">
        <v>146</v>
      </c>
      <c r="C43" s="3" t="inlineStr">
        <is>
          <t>付費服務營收 Astra（頂層） 貢獻 — 前緣單價　[IF_RevGWFleetFront_Astra]</t>
        </is>
      </c>
      <c r="D43" s="3" t="inlineStr">
        <is>
          <t>G15</t>
        </is>
      </c>
      <c r="E43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F43" s="3" t="inlineStr">
        <is>
          <t>—</t>
        </is>
      </c>
      <c r="G43" s="3" t="inlineStr">
        <is>
          <t>—</t>
        </is>
      </c>
      <c r="H43" s="3" t="inlineStr">
        <is>
          <t>—</t>
        </is>
      </c>
      <c r="I43" s="3" t="inlineStr">
        <is>
          <t>—</t>
        </is>
      </c>
      <c r="J43" s="3" t="inlineStr">
        <is>
          <t>—</t>
        </is>
      </c>
      <c r="K43" s="3" t="inlineStr">
        <is>
          <t>上游含 Y1,Y2,Y3,Y5,Y6,Y8</t>
        </is>
      </c>
    </row>
    <row r="44">
      <c r="A44" s="3" t="inlineStr">
        <is>
          <t>Interface</t>
        </is>
      </c>
      <c r="B44" s="3" t="n">
        <v>213</v>
      </c>
      <c r="C44" s="3" t="inlineStr">
        <is>
          <t>每 GW 理論營收 — OpenAI 有效單價（理想上限）（× L × m）　[IF_RevGW_Luna_Life]</t>
        </is>
      </c>
      <c r="D44" s="3" t="inlineStr">
        <is>
          <t>G04,G06</t>
        </is>
      </c>
      <c r="E44" s="3" t="inlineStr">
        <is>
          <t>—</t>
        </is>
      </c>
      <c r="F44" s="3" t="inlineStr">
        <is>
          <t>[G04] IF_RevGW_*_Life＝Theory_Rev D 節 × L × m（不含生產折減）；同為契約名稱的 IFW_RevGW_*_Life（第 236／241／246／251 列）含重解折減。兩組 _Life 比值 0.49–0.81（Hopper Astra 0.486、Fleet Hopper 0.560、VR200 Sol 0.808）（第 2 段 F10 已列並存，本段量化）</t>
        </is>
      </c>
      <c r="G44" s="3" t="inlineStr">
        <is>
          <t>—</t>
        </is>
      </c>
      <c r="H44" s="3" t="inlineStr">
        <is>
          <t>—</t>
        </is>
      </c>
      <c r="I44" s="3" t="inlineStr">
        <is>
          <t>[G06] 單一層級列不可達時輸出 0（數值）而非文字；與組合列的文字處理方式相反（第 2 段 F09）</t>
        </is>
      </c>
      <c r="J44" s="3" t="inlineStr">
        <is>
          <t>—</t>
        </is>
      </c>
      <c r="K44" s="3" t="inlineStr">
        <is>
          <t>上游含 Y1,Y2,Y5,Y6,Y8</t>
        </is>
      </c>
    </row>
    <row r="45">
      <c r="A45" s="3" t="inlineStr">
        <is>
          <t>Interface</t>
        </is>
      </c>
      <c r="B45" s="3" t="n">
        <v>214</v>
      </c>
      <c r="C45" s="3" t="inlineStr">
        <is>
          <t>每 GW 理論營收 — OpenAI 有效單價（理想上限）（× L × m）　[IF_RevGW_Sol_Life]</t>
        </is>
      </c>
      <c r="D45" s="3" t="inlineStr">
        <is>
          <t>G04,G06</t>
        </is>
      </c>
      <c r="E45" s="3" t="inlineStr">
        <is>
          <t>—</t>
        </is>
      </c>
      <c r="F45" s="3" t="inlineStr">
        <is>
          <t>[G04] IF_RevGW_*_Life＝Theory_Rev D 節 × L × m（不含生產折減）；同為契約名稱的 IFW_RevGW_*_Life（第 236／241／246／251 列）含重解折減。兩組 _Life 比值 0.49–0.81（Hopper Astra 0.486、Fleet Hopper 0.560、VR200 Sol 0.808）（第 2 段 F10 已列並存，本段量化）</t>
        </is>
      </c>
      <c r="G45" s="3" t="inlineStr">
        <is>
          <t>—</t>
        </is>
      </c>
      <c r="H45" s="3" t="inlineStr">
        <is>
          <t>—</t>
        </is>
      </c>
      <c r="I45" s="3" t="inlineStr">
        <is>
          <t>[G06] 單一層級列不可達時輸出 0（數值）而非文字；與組合列的文字處理方式相反（第 2 段 F09）</t>
        </is>
      </c>
      <c r="J45" s="3" t="inlineStr">
        <is>
          <t>—</t>
        </is>
      </c>
      <c r="K45" s="3" t="inlineStr">
        <is>
          <t>上游含 Y1,Y2,Y5,Y6,Y8</t>
        </is>
      </c>
    </row>
    <row r="46">
      <c r="A46" s="3" t="inlineStr">
        <is>
          <t>Interface</t>
        </is>
      </c>
      <c r="B46" s="3" t="n">
        <v>215</v>
      </c>
      <c r="C46" s="3" t="inlineStr">
        <is>
          <t>每 GW 理論營收 — OpenAI 有效單價（理想上限）（× L × m）　[IF_RevGW_Astra_Life]</t>
        </is>
      </c>
      <c r="D46" s="3" t="inlineStr">
        <is>
          <t>G04,G06</t>
        </is>
      </c>
      <c r="E46" s="3" t="inlineStr">
        <is>
          <t>—</t>
        </is>
      </c>
      <c r="F46" s="3" t="inlineStr">
        <is>
          <t>[G04] IF_RevGW_*_Life＝Theory_Rev D 節 × L × m（不含生產折減）；同為契約名稱的 IFW_RevGW_*_Life（第 236／241／246／251 列）含重解折減。兩組 _Life 比值 0.49–0.81（Hopper Astra 0.486、Fleet Hopper 0.560、VR200 Sol 0.808）（第 2 段 F10 已列並存，本段量化）</t>
        </is>
      </c>
      <c r="G46" s="3" t="inlineStr">
        <is>
          <t>—</t>
        </is>
      </c>
      <c r="H46" s="3" t="inlineStr">
        <is>
          <t>—</t>
        </is>
      </c>
      <c r="I46" s="3" t="inlineStr">
        <is>
          <t>[G06] 單一層級列不可達時輸出 0（數值）而非文字；與組合列的文字處理方式相反（第 2 段 F09）</t>
        </is>
      </c>
      <c r="J46" s="3" t="inlineStr">
        <is>
          <t>—</t>
        </is>
      </c>
      <c r="K46" s="3" t="inlineStr">
        <is>
          <t>上游含 Y1,Y2,Y5,Y6,Y8</t>
        </is>
      </c>
    </row>
    <row r="47">
      <c r="A47" s="3" t="inlineStr">
        <is>
          <t>Interface</t>
        </is>
      </c>
      <c r="B47" s="3" t="n">
        <v>216</v>
      </c>
      <c r="C47" s="3" t="inlineStr">
        <is>
          <t>付費服務營收合計（層級組合）— OpenAI 有效單價（理想上限）（× L × m）　[IF_RevGWFleet_Life]</t>
        </is>
      </c>
      <c r="D47" s="3" t="inlineStr">
        <is>
          <t>G04</t>
        </is>
      </c>
      <c r="E47" s="3" t="inlineStr">
        <is>
          <t>—</t>
        </is>
      </c>
      <c r="F47" s="3" t="inlineStr">
        <is>
          <t>[G04] IF_RevGW_*_Life＝Theory_Rev D 節 × L × m（不含生產折減）；同為契約名稱的 IFW_RevGW_*_Life（第 236／241／246／251 列）含重解折減。兩組 _Life 比值 0.49–0.81（Hopper Astra 0.486、Fleet Hopper 0.560、VR200 Sol 0.808）（第 2 段 F10 已列並存，本段量化）</t>
        </is>
      </c>
      <c r="G47" s="3" t="inlineStr">
        <is>
          <t>—</t>
        </is>
      </c>
      <c r="H47" s="3" t="inlineStr">
        <is>
          <t>—</t>
        </is>
      </c>
      <c r="I47" s="3" t="inlineStr">
        <is>
          <t>—</t>
        </is>
      </c>
      <c r="J47" s="3" t="inlineStr">
        <is>
          <t>—</t>
        </is>
      </c>
      <c r="K47" s="3" t="inlineStr">
        <is>
          <t>上游含 Y1,Y2,Y3,Y5,Y6,Y8</t>
        </is>
      </c>
    </row>
    <row r="48">
      <c r="A48" s="3" t="inlineStr">
        <is>
          <t>Interface</t>
        </is>
      </c>
      <c r="B48" s="3" t="n">
        <v>248</v>
      </c>
      <c r="C48" s="3" t="inlineStr">
        <is>
          <t>付費服務營收合計（層級組合）— OpenAI 有效單價（理想上限）｜100%（D 節列 ÷ IF_Util）　[IFW_RevGWFleet_100]</t>
        </is>
      </c>
      <c r="D48" s="3" t="inlineStr">
        <is>
          <t>G15</t>
        </is>
      </c>
      <c r="E48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F48" s="3" t="inlineStr">
        <is>
          <t>—</t>
        </is>
      </c>
      <c r="G48" s="3" t="inlineStr">
        <is>
          <t>—</t>
        </is>
      </c>
      <c r="H48" s="3" t="inlineStr">
        <is>
          <t>—</t>
        </is>
      </c>
      <c r="I48" s="3" t="inlineStr">
        <is>
          <t>—</t>
        </is>
      </c>
      <c r="J48" s="3" t="inlineStr">
        <is>
          <t>—</t>
        </is>
      </c>
      <c r="K48" s="3" t="inlineStr">
        <is>
          <t>上游含 Y1,Y2,Y3,Y5,Y6,Y8</t>
        </is>
      </c>
    </row>
    <row r="49">
      <c r="A49" s="3" t="inlineStr">
        <is>
          <t>Interface</t>
        </is>
      </c>
      <c r="B49" s="3" t="n">
        <v>249</v>
      </c>
      <c r="C49" s="3" t="inlineStr">
        <is>
          <t>付費服務營收合計（層級組合）— OpenAI 有效單價（理想上限）｜× IF_Util　[IFW_RevGWFleet_Util]</t>
        </is>
      </c>
      <c r="D49" s="3" t="inlineStr">
        <is>
          <t>G15</t>
        </is>
      </c>
      <c r="E49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F49" s="3" t="inlineStr">
        <is>
          <t>—</t>
        </is>
      </c>
      <c r="G49" s="3" t="inlineStr">
        <is>
          <t>—</t>
        </is>
      </c>
      <c r="H49" s="3" t="inlineStr">
        <is>
          <t>—</t>
        </is>
      </c>
      <c r="I49" s="3" t="inlineStr">
        <is>
          <t>—</t>
        </is>
      </c>
      <c r="J49" s="3" t="inlineStr">
        <is>
          <t>—</t>
        </is>
      </c>
      <c r="K49" s="3" t="inlineStr">
        <is>
          <t>上游含 Y1,Y2,Y3,Y5,Y6,Y8</t>
        </is>
      </c>
    </row>
    <row r="50">
      <c r="A50" s="3" t="inlineStr">
        <is>
          <t>Interface</t>
        </is>
      </c>
      <c r="B50" s="3" t="n">
        <v>268</v>
      </c>
      <c r="C50" s="3" t="inlineStr">
        <is>
          <t>付費服務營收合計（層級組合）— 前緣單價（理想上限）｜100%（D 節列 ÷ IF_Util）　[IFW_RevGWFleetFront_100]</t>
        </is>
      </c>
      <c r="D50" s="3" t="inlineStr">
        <is>
          <t>G15</t>
        </is>
      </c>
      <c r="E50" s="3" t="inlineStr">
        <is>
          <t>[G15] 付費組合營收（IF_RevGWFleet*／IFW_RevGWFleet*）＝付費 GW（B4_Serve ×（1 − B4_Free））× 產能 × 單價；B4_Serve 0.3／0.6 → −27%／+46%，B4_Free 0.35／0.6 → +20%／−26%（30_s3.json）</t>
        </is>
      </c>
      <c r="F50" s="3" t="inlineStr">
        <is>
          <t>—</t>
        </is>
      </c>
      <c r="G50" s="3" t="inlineStr">
        <is>
          <t>—</t>
        </is>
      </c>
      <c r="H50" s="3" t="inlineStr">
        <is>
          <t>—</t>
        </is>
      </c>
      <c r="I50" s="3" t="inlineStr">
        <is>
          <t>—</t>
        </is>
      </c>
      <c r="J50" s="3" t="inlineStr">
        <is>
          <t>—</t>
        </is>
      </c>
      <c r="K50" s="3" t="inlineStr">
        <is>
          <t>上游含 Y1,Y2,Y3,Y5,Y6,Y8</t>
        </is>
      </c>
    </row>
    <row r="51">
      <c r="A51" s="3" t="inlineStr">
        <is>
          <t>Interface</t>
        </is>
      </c>
      <c r="B51" s="3" t="n">
        <v>275</v>
      </c>
      <c r="C51" s="3" t="inlineStr">
        <is>
          <t>每 GW 總產出（100%）｜× CTL_ProdDerate（＝Util 列 × CTL_ProdDerate，線性；Interface_Prod 同列為 100% 口徑重解值，保留原處作對照）　[IFW_TokGW_Luna_Prod]</t>
        </is>
      </c>
      <c r="D51" s="3" t="inlineStr">
        <is>
          <t>G03,G06</t>
        </is>
      </c>
      <c r="E51" s="3" t="inlineStr">
        <is>
          <t>[G03] 每 GW 產出的 _Prod 層＝Util 列 × CTL_ProdDerate（線性 0.85），同一瀑布的營收 _Prod 層（第 235／240／245／250 列）＝重解 SLO 後的值，比 Util 低 0.49–0.81 倍（Hopper Astra 0.486、VR200 Sol 0.808）。同一層名稱，token 與營收的折減方式不同，_Prod 層的營收 ÷ token 不再等於單價。契約第 2 條寫「_Prod＝_Util × CTL_ProdDerate」（線性）</t>
        </is>
      </c>
      <c r="F51" s="3" t="inlineStr">
        <is>
          <t>—</t>
        </is>
      </c>
      <c r="G51" s="3" t="inlineStr">
        <is>
          <t>—</t>
        </is>
      </c>
      <c r="H51" s="3" t="inlineStr">
        <is>
          <t>—</t>
        </is>
      </c>
      <c r="I51" s="3" t="inlineStr">
        <is>
          <t>[G06] 單一層級列不可達時輸出 0（數值）而非文字；與組合列的文字處理方式相反（第 2 段 F09）</t>
        </is>
      </c>
      <c r="J51" s="3" t="inlineStr">
        <is>
          <t>—</t>
        </is>
      </c>
      <c r="K51" s="3" t="inlineStr">
        <is>
          <t>直接引用 Y5 類輸入</t>
        </is>
      </c>
    </row>
    <row r="52">
      <c r="A52" s="3" t="inlineStr">
        <is>
          <t>Interface</t>
        </is>
      </c>
      <c r="B52" s="3" t="n">
        <v>280</v>
      </c>
      <c r="C52" s="3" t="inlineStr">
        <is>
          <t>每 GW 總產出（100%）｜× CTL_ProdDerate（＝Util 列 × CTL_ProdDerate，線性；Interface_Prod 同列為 100% 口徑重解值，保留原處作對照）　[IFW_TokGW_Sol_Prod]</t>
        </is>
      </c>
      <c r="D52" s="3" t="inlineStr">
        <is>
          <t>G03,G06</t>
        </is>
      </c>
      <c r="E52" s="3" t="inlineStr">
        <is>
          <t>[G03] 每 GW 產出的 _Prod 層＝Util 列 × CTL_ProdDerate（線性 0.85），同一瀑布的營收 _Prod 層（第 235／240／245／250 列）＝重解 SLO 後的值，比 Util 低 0.49–0.81 倍（Hopper Astra 0.486、VR200 Sol 0.808）。同一層名稱，token 與營收的折減方式不同，_Prod 層的營收 ÷ token 不再等於單價。契約第 2 條寫「_Prod＝_Util × CTL_ProdDerate」（線性）</t>
        </is>
      </c>
      <c r="F52" s="3" t="inlineStr">
        <is>
          <t>—</t>
        </is>
      </c>
      <c r="G52" s="3" t="inlineStr">
        <is>
          <t>—</t>
        </is>
      </c>
      <c r="H52" s="3" t="inlineStr">
        <is>
          <t>—</t>
        </is>
      </c>
      <c r="I52" s="3" t="inlineStr">
        <is>
          <t>[G06] 單一層級列不可達時輸出 0（數值）而非文字；與組合列的文字處理方式相反（第 2 段 F09）</t>
        </is>
      </c>
      <c r="J52" s="3" t="inlineStr">
        <is>
          <t>—</t>
        </is>
      </c>
      <c r="K52" s="3" t="inlineStr">
        <is>
          <t>直接引用 Y5 類輸入</t>
        </is>
      </c>
    </row>
    <row r="53">
      <c r="A53" s="3" t="inlineStr">
        <is>
          <t>Interface</t>
        </is>
      </c>
      <c r="B53" s="3" t="n">
        <v>285</v>
      </c>
      <c r="C53" s="3" t="inlineStr">
        <is>
          <t>每 GW 總產出（100%）｜× CTL_ProdDerate（＝Util 列 × CTL_ProdDerate，線性；Interface_Prod 同列為 100% 口徑重解值，保留原處作對照）　[IFW_TokGW_Astra_Prod]</t>
        </is>
      </c>
      <c r="D53" s="3" t="inlineStr">
        <is>
          <t>G03,G06</t>
        </is>
      </c>
      <c r="E53" s="3" t="inlineStr">
        <is>
          <t>[G03] 每 GW 產出的 _Prod 層＝Util 列 × CTL_ProdDerate（線性 0.85），同一瀑布的營收 _Prod 層（第 235／240／245／250 列）＝重解 SLO 後的值，比 Util 低 0.49–0.81 倍（Hopper Astra 0.486、VR200 Sol 0.808）。同一層名稱，token 與營收的折減方式不同，_Prod 層的營收 ÷ token 不再等於單價。契約第 2 條寫「_Prod＝_Util × CTL_ProdDerate」（線性）</t>
        </is>
      </c>
      <c r="F53" s="3" t="inlineStr">
        <is>
          <t>—</t>
        </is>
      </c>
      <c r="G53" s="3" t="inlineStr">
        <is>
          <t>—</t>
        </is>
      </c>
      <c r="H53" s="3" t="inlineStr">
        <is>
          <t>—</t>
        </is>
      </c>
      <c r="I53" s="3" t="inlineStr">
        <is>
          <t>[G06] 單一層級列不可達時輸出 0（數值）而非文字；與組合列的文字處理方式相反（第 2 段 F09）</t>
        </is>
      </c>
      <c r="J53" s="3" t="inlineStr">
        <is>
          <t>—</t>
        </is>
      </c>
      <c r="K53" s="3" t="inlineStr">
        <is>
          <t>直接引用 Y5 類輸入</t>
        </is>
      </c>
    </row>
  </sheetData>
  <autoFilter ref="A2:K53"/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2" customWidth="1" min="8" max="8"/>
    <col width="10" customWidth="1" min="9" max="9"/>
    <col width="8" customWidth="1" min="10" max="10"/>
    <col width="8" customWidth="1" min="11" max="11"/>
    <col width="10" customWidth="1" min="12" max="12"/>
    <col width="10" customWidth="1" min="13" max="13"/>
    <col width="10" customWidth="1" min="14" max="14"/>
  </cols>
  <sheetData>
    <row r="1" ht="110" customHeight="1">
      <c r="A1" s="1" t="inlineStr">
        <is>
          <t>規則：Perf 15 欄（世代 × 成本情境欄依層級）在基準下的中間物理量。decode 有效 MFU＝每 GPU decode tok/s × decode FLOPs/token ×（草稿數＋1）÷ 每步接受 token ÷ 計算用峰值（含草稿驗證）；prefill MFU＝prefill tok/s × prefill FLOPs/token ÷ 峰值；decode HBM 頻寬利用率＝每 GPU decode tok/s × 每接受 token HBM 讀取 ÷ HBM 頻寬。全部由工作簿數值計算（31_l9_closure_cause.py），不新增機制。只顯示，不判定。</t>
        </is>
      </c>
    </row>
    <row r="2">
      <c r="A2" s="2" t="inlineStr">
        <is>
          <t>世代</t>
        </is>
      </c>
      <c r="B2" s="2" t="inlineStr">
        <is>
          <t>層級</t>
        </is>
      </c>
      <c r="C2" s="2" t="inlineStr">
        <is>
          <t>B*（序列/GPU）</t>
        </is>
      </c>
      <c r="D2" s="2" t="inlineStr">
        <is>
          <t>decode tok/s/GPU</t>
        </is>
      </c>
      <c r="E2" s="2" t="inlineStr">
        <is>
          <t>每用戶速度</t>
        </is>
      </c>
      <c r="F2" s="2" t="inlineStr">
        <is>
          <t>decode 有效 MFU</t>
        </is>
      </c>
      <c r="G2" s="2" t="inlineStr">
        <is>
          <t>prefill MFU</t>
        </is>
      </c>
      <c r="H2" s="2" t="inlineStr">
        <is>
          <t>decode HBM 頻寬利用率</t>
        </is>
      </c>
      <c r="I2" s="2" t="inlineStr">
        <is>
          <t>TTFT 計算（s）</t>
        </is>
      </c>
      <c r="J2" s="2" t="inlineStr">
        <is>
          <t>TTFT 符合</t>
        </is>
      </c>
      <c r="K2" s="2" t="inlineStr">
        <is>
          <t>tok/J</t>
        </is>
      </c>
      <c r="L2" s="2" t="inlineStr">
        <is>
          <t>J/decode token</t>
        </is>
      </c>
      <c r="M2" s="2" t="inlineStr">
        <is>
          <t>能量閉合比</t>
        </is>
      </c>
      <c r="N2" s="2" t="inlineStr">
        <is>
          <t>權重占可用 HBM</t>
        </is>
      </c>
    </row>
    <row r="3">
      <c r="A3" s="3" t="inlineStr">
        <is>
          <t>Hopper H100</t>
        </is>
      </c>
      <c r="B3" s="3" t="inlineStr">
        <is>
          <t>Luna</t>
        </is>
      </c>
      <c r="C3" s="3" t="n">
        <v>4.85</v>
      </c>
      <c r="D3" s="3" t="n">
        <v>581.4</v>
      </c>
      <c r="E3" s="3" t="n">
        <v>120</v>
      </c>
      <c r="F3" s="3" t="n">
        <v>0.018</v>
      </c>
      <c r="G3" s="3" t="n">
        <v>0.15</v>
      </c>
      <c r="H3" s="3" t="n">
        <v>0.14</v>
      </c>
      <c r="I3" s="3" t="n">
        <v>0.132</v>
      </c>
      <c r="J3" s="3" t="inlineStr">
        <is>
          <t>是</t>
        </is>
      </c>
      <c r="K3" s="3" t="n">
        <v>3.19</v>
      </c>
      <c r="L3" s="3" t="n">
        <v>1.763</v>
      </c>
      <c r="M3" s="3" t="n">
        <v>0.037</v>
      </c>
      <c r="N3" s="3" t="n">
        <v>0.136</v>
      </c>
    </row>
    <row r="4">
      <c r="A4" s="3" t="inlineStr">
        <is>
          <t>Hopper H100</t>
        </is>
      </c>
      <c r="B4" s="3" t="inlineStr">
        <is>
          <t>Sol</t>
        </is>
      </c>
      <c r="C4" s="3" t="n">
        <v>2.61</v>
      </c>
      <c r="D4" s="3" t="n">
        <v>169.4</v>
      </c>
      <c r="E4" s="3" t="n">
        <v>65</v>
      </c>
      <c r="F4" s="3" t="n">
        <v>0.018</v>
      </c>
      <c r="G4" s="3" t="n">
        <v>0.15</v>
      </c>
      <c r="H4" s="3" t="n">
        <v>0.268</v>
      </c>
      <c r="I4" s="3" t="n">
        <v>0.917</v>
      </c>
      <c r="J4" s="3" t="inlineStr">
        <is>
          <t>是</t>
        </is>
      </c>
      <c r="K4" s="3" t="n">
        <v>0.93</v>
      </c>
      <c r="L4" s="3" t="n">
        <v>6.05</v>
      </c>
      <c r="M4" s="3" t="n">
        <v>0.045</v>
      </c>
      <c r="N4" s="3" t="n">
        <v>0.484</v>
      </c>
    </row>
    <row r="5">
      <c r="A5" s="3" t="inlineStr">
        <is>
          <t>Hopper H100</t>
        </is>
      </c>
      <c r="B5" s="3" t="inlineStr">
        <is>
          <t>Astra</t>
        </is>
      </c>
      <c r="C5" s="3" t="n">
        <v>0.45</v>
      </c>
      <c r="D5" s="3" t="n">
        <v>24.6</v>
      </c>
      <c r="E5" s="3" t="n">
        <v>55</v>
      </c>
      <c r="F5" s="3" t="n">
        <v>0.0104</v>
      </c>
      <c r="G5" s="3" t="n">
        <v>0.15</v>
      </c>
      <c r="H5" s="3" t="n">
        <v>0.271</v>
      </c>
      <c r="I5" s="3" t="n">
        <v>6.082</v>
      </c>
      <c r="J5" s="3" t="inlineStr">
        <is>
          <t>否</t>
        </is>
      </c>
      <c r="K5" s="3" t="n">
        <v>0.17</v>
      </c>
      <c r="L5" s="3" t="n">
        <v>41.712</v>
      </c>
      <c r="M5" s="3" t="n">
        <v>0.038</v>
      </c>
      <c r="N5" s="3" t="n">
        <v>0.5679999999999999</v>
      </c>
    </row>
    <row r="6">
      <c r="A6" s="3" t="inlineStr">
        <is>
          <t>GB200 NVL72</t>
        </is>
      </c>
      <c r="B6" s="3" t="inlineStr">
        <is>
          <t>Luna</t>
        </is>
      </c>
      <c r="C6" s="3" t="n">
        <v>28.63</v>
      </c>
      <c r="D6" s="3" t="n">
        <v>3435.8</v>
      </c>
      <c r="E6" s="3" t="n">
        <v>120</v>
      </c>
      <c r="F6" s="3" t="n">
        <v>0.021</v>
      </c>
      <c r="G6" s="3" t="n">
        <v>0.3</v>
      </c>
      <c r="H6" s="3" t="n">
        <v>0.065</v>
      </c>
      <c r="I6" s="3" t="n">
        <v>0.026</v>
      </c>
      <c r="J6" s="3" t="inlineStr">
        <is>
          <t>是</t>
        </is>
      </c>
      <c r="K6" s="3" t="n">
        <v>15.61</v>
      </c>
      <c r="L6" s="3" t="n">
        <v>0.427</v>
      </c>
      <c r="M6" s="3" t="n">
        <v>0.053</v>
      </c>
      <c r="N6" s="3" t="n">
        <v>0.062</v>
      </c>
    </row>
    <row r="7">
      <c r="A7" s="3" t="inlineStr">
        <is>
          <t>GB200 NVL72</t>
        </is>
      </c>
      <c r="B7" s="3" t="inlineStr">
        <is>
          <t>Sol</t>
        </is>
      </c>
      <c r="C7" s="3" t="n">
        <v>15.18</v>
      </c>
      <c r="D7" s="3" t="n">
        <v>986.6</v>
      </c>
      <c r="E7" s="3" t="n">
        <v>65</v>
      </c>
      <c r="F7" s="3" t="n">
        <v>0.0208</v>
      </c>
      <c r="G7" s="3" t="n">
        <v>0.3</v>
      </c>
      <c r="H7" s="3" t="n">
        <v>0.157</v>
      </c>
      <c r="I7" s="3" t="n">
        <v>0.181</v>
      </c>
      <c r="J7" s="3" t="inlineStr">
        <is>
          <t>是</t>
        </is>
      </c>
      <c r="K7" s="3" t="n">
        <v>4.49</v>
      </c>
      <c r="L7" s="3" t="n">
        <v>1.487</v>
      </c>
      <c r="M7" s="3" t="n">
        <v>0.062</v>
      </c>
      <c r="N7" s="3" t="n">
        <v>0.287</v>
      </c>
    </row>
    <row r="8">
      <c r="A8" s="3" t="inlineStr">
        <is>
          <t>GB200 NVL72</t>
        </is>
      </c>
      <c r="B8" s="3" t="inlineStr">
        <is>
          <t>Astra</t>
        </is>
      </c>
      <c r="C8" s="3" t="n">
        <v>3.07</v>
      </c>
      <c r="D8" s="3" t="n">
        <v>168.6</v>
      </c>
      <c r="E8" s="3" t="n">
        <v>55</v>
      </c>
      <c r="F8" s="3" t="n">
        <v>0.0141</v>
      </c>
      <c r="G8" s="3" t="n">
        <v>0.3</v>
      </c>
      <c r="H8" s="3" t="n">
        <v>0.261</v>
      </c>
      <c r="I8" s="3" t="n">
        <v>1.203</v>
      </c>
      <c r="J8" s="3" t="inlineStr">
        <is>
          <t>是</t>
        </is>
      </c>
      <c r="K8" s="3" t="n">
        <v>0.86</v>
      </c>
      <c r="L8" s="3" t="n">
        <v>8.699</v>
      </c>
      <c r="M8" s="3" t="n">
        <v>0.06</v>
      </c>
      <c r="N8" s="3" t="n">
        <v>0.537</v>
      </c>
    </row>
    <row r="9">
      <c r="A9" s="3" t="inlineStr">
        <is>
          <t>GB300 NVL72</t>
        </is>
      </c>
      <c r="B9" s="3" t="inlineStr">
        <is>
          <t>Luna</t>
        </is>
      </c>
      <c r="C9" s="3" t="n">
        <v>42.95</v>
      </c>
      <c r="D9" s="3" t="n">
        <v>5153.8</v>
      </c>
      <c r="E9" s="3" t="n">
        <v>120</v>
      </c>
      <c r="F9" s="3" t="n">
        <v>0.021</v>
      </c>
      <c r="G9" s="3" t="n">
        <v>0.3</v>
      </c>
      <c r="H9" s="3" t="n">
        <v>0.067</v>
      </c>
      <c r="I9" s="3" t="n">
        <v>0.017</v>
      </c>
      <c r="J9" s="3" t="inlineStr">
        <is>
          <t>是</t>
        </is>
      </c>
      <c r="K9" s="3" t="n">
        <v>22.73</v>
      </c>
      <c r="L9" s="3" t="n">
        <v>0.293</v>
      </c>
      <c r="M9" s="3" t="n">
        <v>0.059</v>
      </c>
      <c r="N9" s="3" t="n">
        <v>0.04</v>
      </c>
    </row>
    <row r="10">
      <c r="A10" s="3" t="inlineStr">
        <is>
          <t>GB300 NVL72</t>
        </is>
      </c>
      <c r="B10" s="3" t="inlineStr">
        <is>
          <t>Sol</t>
        </is>
      </c>
      <c r="C10" s="3" t="n">
        <v>22.77</v>
      </c>
      <c r="D10" s="3" t="n">
        <v>1479.9</v>
      </c>
      <c r="E10" s="3" t="n">
        <v>65</v>
      </c>
      <c r="F10" s="3" t="n">
        <v>0.0208</v>
      </c>
      <c r="G10" s="3" t="n">
        <v>0.3</v>
      </c>
      <c r="H10" s="3" t="n">
        <v>0.159</v>
      </c>
      <c r="I10" s="3" t="n">
        <v>0.121</v>
      </c>
      <c r="J10" s="3" t="inlineStr">
        <is>
          <t>是</t>
        </is>
      </c>
      <c r="K10" s="3" t="n">
        <v>6.53</v>
      </c>
      <c r="L10" s="3" t="n">
        <v>1.021</v>
      </c>
      <c r="M10" s="3" t="n">
        <v>0.067</v>
      </c>
      <c r="N10" s="3" t="n">
        <v>0.185</v>
      </c>
    </row>
    <row r="11">
      <c r="A11" s="3" t="inlineStr">
        <is>
          <t>GB300 NVL72</t>
        </is>
      </c>
      <c r="B11" s="3" t="inlineStr">
        <is>
          <t>Astra</t>
        </is>
      </c>
      <c r="C11" s="3" t="n">
        <v>3.7</v>
      </c>
      <c r="D11" s="3" t="n">
        <v>203.2</v>
      </c>
      <c r="E11" s="3" t="n">
        <v>55</v>
      </c>
      <c r="F11" s="3" t="n">
        <v>0.0114</v>
      </c>
      <c r="G11" s="3" t="n">
        <v>0.3</v>
      </c>
      <c r="H11" s="3" t="n">
        <v>0.342</v>
      </c>
      <c r="I11" s="3" t="n">
        <v>0.802</v>
      </c>
      <c r="J11" s="3" t="inlineStr">
        <is>
          <t>是</t>
        </is>
      </c>
      <c r="K11" s="3" t="n">
        <v>1.04</v>
      </c>
      <c r="L11" s="3" t="n">
        <v>7.435</v>
      </c>
      <c r="M11" s="3" t="n">
        <v>0.067</v>
      </c>
      <c r="N11" s="3" t="n">
        <v>0.457</v>
      </c>
    </row>
    <row r="12">
      <c r="A12" s="3" t="inlineStr">
        <is>
          <t>VR200 NVL72</t>
        </is>
      </c>
      <c r="B12" s="3" t="inlineStr">
        <is>
          <t>Luna</t>
        </is>
      </c>
      <c r="C12" s="3" t="n">
        <v>106.84</v>
      </c>
      <c r="D12" s="3" t="n">
        <v>12820.4</v>
      </c>
      <c r="E12" s="3" t="n">
        <v>120</v>
      </c>
      <c r="F12" s="3" t="n">
        <v>0.0224</v>
      </c>
      <c r="G12" s="3" t="n">
        <v>0.3</v>
      </c>
      <c r="H12" s="3" t="n">
        <v>0.028</v>
      </c>
      <c r="I12" s="3" t="n">
        <v>0.007</v>
      </c>
      <c r="J12" s="3" t="inlineStr">
        <is>
          <t>是</t>
        </is>
      </c>
      <c r="K12" s="3" t="n">
        <v>33.3</v>
      </c>
      <c r="L12" s="3" t="n">
        <v>0.197</v>
      </c>
      <c r="M12" s="3" t="n">
        <v>0.046</v>
      </c>
      <c r="N12" s="3" t="n">
        <v>0.04</v>
      </c>
    </row>
    <row r="13">
      <c r="A13" s="3" t="inlineStr">
        <is>
          <t>VR200 NVL72</t>
        </is>
      </c>
      <c r="B13" s="3" t="inlineStr">
        <is>
          <t>Sol</t>
        </is>
      </c>
      <c r="C13" s="3" t="n">
        <v>62.09</v>
      </c>
      <c r="D13" s="3" t="n">
        <v>4035.7</v>
      </c>
      <c r="E13" s="3" t="n">
        <v>65</v>
      </c>
      <c r="F13" s="3" t="n">
        <v>0.0243</v>
      </c>
      <c r="G13" s="3" t="n">
        <v>0.3</v>
      </c>
      <c r="H13" s="3" t="n">
        <v>0.061</v>
      </c>
      <c r="I13" s="3" t="n">
        <v>0.052</v>
      </c>
      <c r="J13" s="3" t="inlineStr">
        <is>
          <t>是</t>
        </is>
      </c>
      <c r="K13" s="3" t="n">
        <v>10.23</v>
      </c>
      <c r="L13" s="3" t="n">
        <v>0.625</v>
      </c>
      <c r="M13" s="3" t="n">
        <v>0.052</v>
      </c>
      <c r="N13" s="3" t="n">
        <v>0.185</v>
      </c>
    </row>
    <row r="14">
      <c r="A14" s="3" t="inlineStr">
        <is>
          <t>VR200 NVL72</t>
        </is>
      </c>
      <c r="B14" s="3" t="inlineStr">
        <is>
          <t>Astra</t>
        </is>
      </c>
      <c r="C14" s="3" t="n">
        <v>14.18</v>
      </c>
      <c r="D14" s="3" t="n">
        <v>779.6</v>
      </c>
      <c r="E14" s="3" t="n">
        <v>55</v>
      </c>
      <c r="F14" s="3" t="n">
        <v>0.0187</v>
      </c>
      <c r="G14" s="3" t="n">
        <v>0.3</v>
      </c>
      <c r="H14" s="3" t="n">
        <v>0.145</v>
      </c>
      <c r="I14" s="3" t="n">
        <v>0.344</v>
      </c>
      <c r="J14" s="3" t="inlineStr">
        <is>
          <t>是</t>
        </is>
      </c>
      <c r="K14" s="3" t="n">
        <v>2.2</v>
      </c>
      <c r="L14" s="3" t="n">
        <v>3.235</v>
      </c>
      <c r="M14" s="3" t="n">
        <v>0.053</v>
      </c>
      <c r="N14" s="3" t="n">
        <v>0.457</v>
      </c>
    </row>
    <row r="15">
      <c r="A15" s="3" t="inlineStr">
        <is>
          <t>Rubin Ultra</t>
        </is>
      </c>
      <c r="B15" s="3" t="inlineStr">
        <is>
          <t>Luna</t>
        </is>
      </c>
      <c r="C15" s="3" t="n">
        <v>217.28</v>
      </c>
      <c r="D15" s="3" t="n">
        <v>26073.1</v>
      </c>
      <c r="E15" s="3" t="n">
        <v>120</v>
      </c>
      <c r="F15" s="3" t="n">
        <v>0.0228</v>
      </c>
      <c r="G15" s="3" t="n">
        <v>0.3</v>
      </c>
      <c r="H15" s="3" t="n">
        <v>0.019</v>
      </c>
      <c r="I15" s="3" t="n">
        <v>0.002</v>
      </c>
      <c r="J15" s="3" t="inlineStr">
        <is>
          <t>是</t>
        </is>
      </c>
      <c r="K15" s="3" t="n">
        <v>45.01</v>
      </c>
      <c r="L15" s="3" t="n">
        <v>0.145</v>
      </c>
      <c r="M15" s="3" t="n">
        <v>0.059</v>
      </c>
      <c r="N15" s="3" t="n">
        <v>0.008999999999999999</v>
      </c>
    </row>
    <row r="16">
      <c r="A16" s="3" t="inlineStr">
        <is>
          <t>Rubin Ultra</t>
        </is>
      </c>
      <c r="B16" s="3" t="inlineStr">
        <is>
          <t>Sol</t>
        </is>
      </c>
      <c r="C16" s="3" t="n">
        <v>129.41</v>
      </c>
      <c r="D16" s="3" t="n">
        <v>8411.9</v>
      </c>
      <c r="E16" s="3" t="n">
        <v>65</v>
      </c>
      <c r="F16" s="3" t="n">
        <v>0.0253</v>
      </c>
      <c r="G16" s="3" t="n">
        <v>0.3</v>
      </c>
      <c r="H16" s="3" t="n">
        <v>0.035</v>
      </c>
      <c r="I16" s="3" t="n">
        <v>0.013</v>
      </c>
      <c r="J16" s="3" t="inlineStr">
        <is>
          <t>是</t>
        </is>
      </c>
      <c r="K16" s="3" t="n">
        <v>14.06</v>
      </c>
      <c r="L16" s="3" t="n">
        <v>0.449</v>
      </c>
      <c r="M16" s="3" t="n">
        <v>0.065</v>
      </c>
      <c r="N16" s="3" t="n">
        <v>0.037</v>
      </c>
    </row>
    <row r="17">
      <c r="A17" s="3" t="inlineStr">
        <is>
          <t>Rubin Ultra</t>
        </is>
      </c>
      <c r="B17" s="3" t="inlineStr">
        <is>
          <t>Astra</t>
        </is>
      </c>
      <c r="C17" s="3" t="n">
        <v>31.61</v>
      </c>
      <c r="D17" s="3" t="n">
        <v>1738.7</v>
      </c>
      <c r="E17" s="3" t="n">
        <v>55</v>
      </c>
      <c r="F17" s="3" t="n">
        <v>0.0208</v>
      </c>
      <c r="G17" s="3" t="n">
        <v>0.3</v>
      </c>
      <c r="H17" s="3" t="n">
        <v>0.1</v>
      </c>
      <c r="I17" s="3" t="n">
        <v>0.08599999999999999</v>
      </c>
      <c r="J17" s="3" t="inlineStr">
        <is>
          <t>是</t>
        </is>
      </c>
      <c r="K17" s="3" t="n">
        <v>3.21</v>
      </c>
      <c r="L17" s="3" t="n">
        <v>2.173</v>
      </c>
      <c r="M17" s="3" t="n">
        <v>0.06</v>
      </c>
      <c r="N17" s="3" t="n">
        <v>0.091</v>
      </c>
    </row>
  </sheetData>
  <autoFilter ref="A2:N17"/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2026-10-15T12:42:14Z</dcterms:created>
  <dcterms:modified xmlns:dcterms="http://purl.org/dc/terms/" xmlns:xsi="http://www.w3.org/2001/XMLSchema-instance" xsi:type="dcterms:W3CDTF">2026-10-15T12:42:14Z</dcterms:modified>
</cp:coreProperties>
</file>