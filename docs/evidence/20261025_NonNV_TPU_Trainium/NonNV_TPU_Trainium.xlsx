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建議值" sheetId="1" state="visible" r:id="rId3"/>
    <sheet name="推導" sheetId="2" state="visible" r:id="rId4"/>
    <sheet name="證據" sheetId="3" state="visible" r:id="rId5"/>
    <sheet name="待判斷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<sst xmlns="http://schemas.openxmlformats.org/spreadsheetml/2006/main" count="838" uniqueCount="566">
  <si>
    <r>
      <rPr>
        <b val="true"/>
        <sz val="11"/>
        <rFont val="Noto Sans CJK SC"/>
        <family val="2"/>
      </rPr>
      <t xml:space="preserve">建議值 —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列（</t>
    </r>
    <r>
      <rPr>
        <b val="true"/>
        <sz val="11"/>
        <rFont val="Cambria"/>
        <family val="0"/>
        <charset val="1"/>
      </rPr>
      <t xml:space="preserve">TPU v7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Trainium3</t>
    </r>
    <r>
      <rPr>
        <b val="true"/>
        <sz val="11"/>
        <rFont val="Noto Sans CJK SC"/>
        <family val="2"/>
      </rPr>
      <t xml:space="preserve">）以每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方法重推｜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段唯讀查證，未寫入 </t>
    </r>
    <r>
      <rPr>
        <b val="true"/>
        <sz val="11"/>
        <rFont val="Cambria"/>
        <family val="0"/>
        <charset val="1"/>
      </rPr>
      <t xml:space="preserve">model/</t>
    </r>
    <r>
      <rPr>
        <b val="true"/>
        <sz val="11"/>
        <rFont val="Noto Sans CJK SC"/>
        <family val="2"/>
      </rPr>
      <t xml:space="preserve">；與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Maia</t>
    </r>
    <r>
      <rPr>
        <b val="true"/>
        <sz val="11"/>
        <rFont val="Noto Sans CJK SC"/>
        <family val="2"/>
      </rPr>
      <t xml:space="preserve">／昇騰並排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</si>
  <si>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Noto Sans CJK SC"/>
        <family val="2"/>
      </rPr>
      <t xml:space="preserve">列＝推導頁公式的原始結果；第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列＝建議輸入值（四捨五入至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產出比保留兩位小數）；第 </t>
    </r>
    <r>
      <rPr>
        <sz val="11"/>
        <color theme="1"/>
        <rFont val="Calibri"/>
        <family val="2"/>
        <charset val="1"/>
      </rPr>
      <t xml:space="preserve">12–13 </t>
    </r>
    <r>
      <rPr>
        <sz val="11"/>
        <color theme="1"/>
        <rFont val="Noto Sans CJK SC"/>
        <family val="2"/>
      </rPr>
      <t xml:space="preserve">列＝</t>
    </r>
    <r>
      <rPr>
        <sz val="11"/>
        <color theme="1"/>
        <rFont val="Calibri"/>
        <family val="2"/>
        <charset val="1"/>
      </rPr>
      <t xml:space="preserve">TK v21.5 </t>
    </r>
    <r>
      <rPr>
        <sz val="11"/>
        <color theme="1"/>
        <rFont val="Noto Sans CJK SC"/>
        <family val="2"/>
      </rPr>
      <t xml:space="preserve">現值。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F÷C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成本比）、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E÷D</t>
    </r>
    <r>
      <rPr>
        <sz val="11"/>
        <color theme="1"/>
        <rFont val="Noto Sans CJK SC"/>
        <family val="2"/>
      </rPr>
      <t xml:space="preserve">（最佳角落）、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G÷B</t>
    </r>
    <r>
      <rPr>
        <sz val="11"/>
        <color theme="1"/>
        <rFont val="Noto Sans CJK SC"/>
        <family val="2"/>
      </rPr>
      <t xml:space="preserve">（最差角落），同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。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</si>
  <si>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</si>
  <si>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</si>
  <si>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</si>
  <si>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</si>
  <si>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</si>
  <si>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</si>
  <si>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</si>
  <si>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</si>
  <si>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</si>
  <si>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</si>
  <si>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t xml:space="preserve">標記</t>
  </si>
  <si>
    <t xml:space="preserve">說明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</si>
  <si>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（原始公式結果）</t>
    </r>
  </si>
  <si>
    <t xml:space="preserve">公式（連結推導頁）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</si>
  <si>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（原始公式結果）</t>
    </r>
  </si>
  <si>
    <r>
      <rPr>
        <b val="true"/>
        <sz val="11"/>
        <rFont val="Noto Sans CJK SC"/>
        <family val="2"/>
      </rPr>
      <t xml:space="preserve">建議輸入值（若寫入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列）</t>
    </r>
  </si>
  <si>
    <t xml:space="preserve">Google TPU v7 Ironwood</t>
  </si>
  <si>
    <t xml:space="preserve">Assumed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</si>
  <si>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法：</t>
    </r>
    <r>
      <rPr>
        <sz val="11"/>
        <color theme="1"/>
        <rFont val="Calibri"/>
        <family val="2"/>
        <charset val="1"/>
      </rPr>
      <t xml:space="preserve">pod 9,216 </t>
    </r>
    <r>
      <rPr>
        <sz val="11"/>
        <color theme="1"/>
        <rFont val="Noto Sans CJK SC"/>
        <family val="2"/>
      </rPr>
      <t xml:space="preserve">顆約 </t>
    </r>
    <r>
      <rPr>
        <sz val="11"/>
        <color theme="1"/>
        <rFont val="Calibri"/>
        <family val="2"/>
        <charset val="1"/>
      </rPr>
      <t xml:space="preserve">10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）→ 每顆 </t>
    </r>
    <r>
      <rPr>
        <sz val="11"/>
        <color theme="1"/>
        <rFont val="Calibri"/>
        <family val="2"/>
        <charset val="1"/>
      </rPr>
      <t xml:space="preserve">1.085 kW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FP8 4.61 PF</t>
    </r>
    <r>
      <rPr>
        <sz val="11"/>
        <color theme="1"/>
        <rFont val="Noto Sans CJK SC"/>
        <family val="2"/>
      </rPr>
      <t xml:space="preserve">、無 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，每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峰值約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0.38</t>
    </r>
    <r>
      <rPr>
        <sz val="11"/>
        <color theme="1"/>
        <rFont val="Noto Sans CJK SC"/>
        <family val="2"/>
      </rPr>
      <t xml:space="preserve">；效率因子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還原值之間；</t>
    </r>
    <r>
      <rPr>
        <sz val="11"/>
        <color theme="1"/>
        <rFont val="Calibri"/>
        <family val="2"/>
        <charset val="1"/>
      </rPr>
      <t xml:space="preserve">InferenceX FP8 </t>
    </r>
    <r>
      <rPr>
        <sz val="11"/>
        <color theme="1"/>
        <rFont val="Noto Sans CJK SC"/>
        <family val="2"/>
      </rPr>
      <t xml:space="preserve">實測只作高端佐證）。持有比依每顆 </t>
    </r>
    <r>
      <rPr>
        <sz val="11"/>
        <color theme="1"/>
        <rFont val="Calibri"/>
        <family val="2"/>
        <charset val="1"/>
      </rPr>
      <t xml:space="preserve">$21–35K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訂單／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／融資額）推導。證據：</t>
    </r>
    <r>
      <rPr>
        <sz val="11"/>
        <color theme="1"/>
        <rFont val="Calibri"/>
        <family val="2"/>
        <charset val="1"/>
      </rPr>
      <t xml:space="preserve">docs/evidence/20261025_NonNV_TPU_Trainium</t>
    </r>
    <r>
      <rPr>
        <sz val="11"/>
        <color theme="1"/>
        <rFont val="Noto Sans CJK SC"/>
        <family val="2"/>
      </rPr>
      <t xml:space="preserve">。</t>
    </r>
  </si>
  <si>
    <t xml:space="preserve">AWS Trainium3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</si>
  <si>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法：晶片 </t>
    </r>
    <r>
      <rPr>
        <sz val="11"/>
        <color theme="1"/>
        <rFont val="Calibri"/>
        <family val="2"/>
        <charset val="1"/>
      </rPr>
      <t xml:space="preserve">TDP 0.7–1.0 kW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副總裁液冷說法推論）</t>
    </r>
    <r>
      <rPr>
        <sz val="11"/>
        <color theme="1"/>
        <rFont val="Calibri"/>
        <family val="2"/>
        <charset val="1"/>
      </rPr>
      <t xml:space="preserve">× 72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× TK </t>
    </r>
    <r>
      <rPr>
        <sz val="11"/>
        <color theme="1"/>
        <rFont val="Noto Sans CJK SC"/>
        <family val="2"/>
      </rPr>
      <t xml:space="preserve">機架倍數 </t>
    </r>
    <r>
      <rPr>
        <sz val="11"/>
        <color theme="1"/>
        <rFont val="Calibri"/>
        <family val="2"/>
        <charset val="1"/>
      </rPr>
      <t xml:space="preserve">1.35–1.75 → </t>
    </r>
    <r>
      <rPr>
        <sz val="11"/>
        <color theme="1"/>
        <rFont val="Noto Sans CJK SC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68–126 kW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MXFP4 2.52 PF</t>
    </r>
    <r>
      <rPr>
        <sz val="11"/>
        <color theme="1"/>
        <rFont val="Noto Sans CJK SC"/>
        <family val="2"/>
      </rPr>
      <t xml:space="preserve">，每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峰值約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0.18</t>
    </r>
    <r>
      <rPr>
        <sz val="11"/>
        <color theme="1"/>
        <rFont val="Noto Sans CJK SC"/>
        <family val="2"/>
      </rPr>
      <t xml:space="preserve">；無第三方實測，效率因子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。持有比依 </t>
    </r>
    <r>
      <rPr>
        <sz val="11"/>
        <color theme="1"/>
        <rFont val="Calibri"/>
        <family val="2"/>
        <charset val="1"/>
      </rPr>
      <t xml:space="preserve">T3 Max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$1.0–2.2M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）推導。</t>
    </r>
  </si>
  <si>
    <r>
      <rPr>
        <b val="true"/>
        <sz val="11"/>
        <rFont val="Cambria"/>
        <family val="0"/>
        <charset val="1"/>
      </rPr>
      <t xml:space="preserve">TK v21.5 </t>
    </r>
    <r>
      <rPr>
        <b val="true"/>
        <sz val="11"/>
        <rFont val="Noto Sans CJK SC"/>
        <family val="2"/>
      </rPr>
      <t xml:space="preserve">現值（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列；慣例值、未推導）</t>
    </r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</si>
  <si>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（現值）</t>
    </r>
  </si>
  <si>
    <t xml:space="preserve">model/20261025_Tokenomics_v21.5.xlsx NonNV!B:G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</si>
  <si>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（現值）</t>
    </r>
  </si>
  <si>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段並排（每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峰值算力比為各自最高原生精度；</t>
    </r>
    <r>
      <rPr>
        <b val="true"/>
        <sz val="11"/>
        <rFont val="Cambria"/>
        <family val="0"/>
        <charset val="1"/>
      </rPr>
      <t xml:space="preserve">Maia</t>
    </r>
    <r>
      <rPr>
        <b val="true"/>
        <sz val="11"/>
        <rFont val="Noto Sans CJK SC"/>
        <family val="2"/>
      </rPr>
      <t xml:space="preserve">、昇騰取 </t>
    </r>
    <r>
      <rPr>
        <b val="true"/>
        <sz val="11"/>
        <rFont val="Cambria"/>
        <family val="0"/>
        <charset val="1"/>
      </rPr>
      <t xml:space="preserve">TK v21.5 NonNV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10–11 </t>
    </r>
    <r>
      <rPr>
        <b val="true"/>
        <sz val="11"/>
        <rFont val="Noto Sans CJK SC"/>
        <family val="2"/>
      </rPr>
      <t xml:space="preserve">列現值）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</si>
  <si>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峰值 </t>
    </r>
    <r>
      <rPr>
        <b val="true"/>
        <sz val="11"/>
        <rFont val="Cambria"/>
        <family val="0"/>
        <charset val="1"/>
      </rPr>
      <t xml:space="preserve">÷ VR200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</si>
  <si>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成本比</t>
    </r>
  </si>
  <si>
    <t xml:space="preserve">產出比 區間</t>
  </si>
  <si>
    <t xml:space="preserve">持有比 區間</t>
  </si>
  <si>
    <t xml:space="preserve">來源</t>
  </si>
  <si>
    <r>
      <rPr>
        <sz val="11"/>
        <color theme="1"/>
        <rFont val="Calibri"/>
        <family val="2"/>
        <charset val="1"/>
      </rPr>
      <t xml:space="preserve">Google TPU v7</t>
    </r>
    <r>
      <rPr>
        <sz val="11"/>
        <color theme="1"/>
        <rFont val="Noto Sans CJK SC"/>
        <family val="2"/>
      </rPr>
      <t xml:space="preserve">（本提案）</t>
    </r>
  </si>
  <si>
    <t xml:space="preserve">本表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</si>
  <si>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（本提案）</t>
    </r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</si>
  <si>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段）</t>
    </r>
  </si>
  <si>
    <t xml:space="preserve">0.25–0.75</t>
  </si>
  <si>
    <t xml:space="preserve">0.40–0.60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</si>
  <si>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段推導 </t>
    </r>
    <r>
      <rPr>
        <sz val="11"/>
        <color theme="1"/>
        <rFont val="Calibri"/>
        <family val="2"/>
        <charset val="1"/>
      </rPr>
      <t xml:space="preserve">D6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0.676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</si>
  <si>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段）</t>
    </r>
  </si>
  <si>
    <t xml:space="preserve">0.05–0.15</t>
  </si>
  <si>
    <t xml:space="preserve">0.45–0.70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</si>
  <si>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段推導 </t>
    </r>
    <r>
      <rPr>
        <sz val="11"/>
        <color theme="1"/>
        <rFont val="Calibri"/>
        <family val="2"/>
        <charset val="1"/>
      </rPr>
      <t xml:space="preserve">C6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0.093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</t>
    </r>
  </si>
  <si>
    <r>
      <rPr>
        <b val="true"/>
        <sz val="11"/>
        <rFont val="Noto Sans CJK SC"/>
        <family val="2"/>
      </rPr>
      <t xml:space="preserve">推導 — </t>
    </r>
    <r>
      <rPr>
        <b val="true"/>
        <sz val="11"/>
        <rFont val="Cambria"/>
        <family val="0"/>
        <charset val="1"/>
      </rPr>
      <t xml:space="preserve">Google TPU v7 Ironwood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AWS Trainium3 </t>
    </r>
    <r>
      <rPr>
        <b val="true"/>
        <sz val="11"/>
        <rFont val="Noto Sans CJK SC"/>
        <family val="2"/>
      </rPr>
      <t xml:space="preserve">相對 </t>
    </r>
    <r>
      <rPr>
        <b val="true"/>
        <sz val="11"/>
        <rFont val="Cambria"/>
        <family val="0"/>
        <charset val="1"/>
      </rPr>
      <t xml:space="preserve">VR200 NVL72 </t>
    </r>
    <r>
      <rPr>
        <b val="true"/>
        <sz val="11"/>
        <rFont val="Noto Sans CJK SC"/>
        <family val="2"/>
      </rPr>
      <t xml:space="preserve">的每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產出比與持有成本比（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段；方法同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段）</t>
    </r>
  </si>
  <si>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＝低端／基準／高端（產出列：悲觀→樂觀；持有列：成本低→成本高）。藍字＝輸入；黑字＝公式。標記沿用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分母取自 </t>
    </r>
    <r>
      <rPr>
        <sz val="11"/>
        <color theme="1"/>
        <rFont val="Calibri"/>
        <family val="2"/>
        <charset val="1"/>
      </rPr>
      <t xml:space="preserve">model/20261025_Tokenomics_v21.5.xlsx</t>
    </r>
    <r>
      <rPr>
        <sz val="11"/>
        <color theme="1"/>
        <rFont val="Noto Sans CJK SC"/>
        <family val="2"/>
      </rPr>
      <t xml:space="preserve">（基準成本欄 </t>
    </r>
    <r>
      <rPr>
        <sz val="11"/>
        <color theme="1"/>
        <rFont val="Calibri"/>
        <family val="2"/>
        <charset val="1"/>
      </rPr>
      <t xml:space="preserve">Interface!M</t>
    </r>
    <r>
      <rPr>
        <sz val="11"/>
        <color theme="1"/>
        <rFont val="Noto Sans CJK SC"/>
        <family val="2"/>
      </rPr>
      <t xml:space="preserve">）。證據編號 </t>
    </r>
    <r>
      <rPr>
        <sz val="11"/>
        <color theme="1"/>
        <rFont val="Calibri"/>
        <family val="2"/>
        <charset val="1"/>
      </rPr>
      <t xml:space="preserve">T01–T15 </t>
    </r>
    <r>
      <rPr>
        <sz val="11"/>
        <color theme="1"/>
        <rFont val="Noto Sans CJK SC"/>
        <family val="2"/>
      </rPr>
      <t xml:space="preserve">見『證據』頁。</t>
    </r>
  </si>
  <si>
    <t xml:space="preserve">編號</t>
  </si>
  <si>
    <t xml:space="preserve">物理量</t>
  </si>
  <si>
    <t xml:space="preserve">單位</t>
  </si>
  <si>
    <t xml:space="preserve">低端</t>
  </si>
  <si>
    <t xml:space="preserve">基準</t>
  </si>
  <si>
    <t xml:space="preserve">高端</t>
  </si>
  <si>
    <t xml:space="preserve">來源（證據編號／模型格）</t>
  </si>
  <si>
    <t xml:space="preserve">算式或說明</t>
  </si>
  <si>
    <r>
      <rPr>
        <b val="true"/>
        <sz val="11"/>
        <rFont val="Cambria"/>
        <family val="0"/>
        <charset val="1"/>
      </rPr>
      <t xml:space="preserve">A. VR200 NVL72 </t>
    </r>
    <r>
      <rPr>
        <b val="true"/>
        <sz val="11"/>
        <rFont val="Noto Sans CJK SC"/>
        <family val="2"/>
      </rPr>
      <t xml:space="preserve">分母（模型 </t>
    </r>
    <r>
      <rPr>
        <b val="true"/>
        <sz val="11"/>
        <rFont val="Cambria"/>
        <family val="0"/>
        <charset val="1"/>
      </rPr>
      <t xml:space="preserve">v21.5</t>
    </r>
    <r>
      <rPr>
        <b val="true"/>
        <sz val="11"/>
        <rFont val="Noto Sans CJK SC"/>
        <family val="2"/>
      </rPr>
      <t xml:space="preserve">；同層級、同 </t>
    </r>
    <r>
      <rPr>
        <b val="true"/>
        <sz val="11"/>
        <rFont val="Cambria"/>
        <family val="0"/>
        <charset val="1"/>
      </rPr>
      <t xml:space="preserve">SLO</t>
    </r>
    <r>
      <rPr>
        <b val="true"/>
        <sz val="11"/>
        <rFont val="Noto Sans CJK SC"/>
        <family val="2"/>
      </rPr>
      <t xml:space="preserve">）</t>
    </r>
  </si>
  <si>
    <t xml:space="preserve">A1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</si>
  <si>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計算用峰值（</t>
    </r>
    <r>
      <rPr>
        <sz val="11"/>
        <color theme="1"/>
        <rFont val="Calibri"/>
        <family val="2"/>
        <charset val="1"/>
      </rPr>
      <t xml:space="preserve">NVFP4 dense</t>
    </r>
    <r>
      <rPr>
        <sz val="11"/>
        <color theme="1"/>
        <rFont val="Noto Sans CJK SC"/>
        <family val="2"/>
      </rPr>
      <t xml:space="preserve">；模型服務精度）</t>
    </r>
  </si>
  <si>
    <t xml:space="preserve">PF</t>
  </si>
  <si>
    <r>
      <rPr>
        <sz val="11"/>
        <color theme="1"/>
        <rFont val="Calibri"/>
        <family val="2"/>
        <charset val="1"/>
      </rPr>
      <t xml:space="preserve">Spec_Rack!F35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F22 </t>
    </r>
    <r>
      <rPr>
        <sz val="11"/>
        <color theme="1"/>
        <rFont val="Noto Sans CJK SC"/>
        <family val="2"/>
      </rPr>
      <t xml:space="preserve">服務精度 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</si>
  <si>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規格）</t>
    </r>
  </si>
  <si>
    <t xml:space="preserve">A2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</si>
  <si>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機架配電設計功率（基準）</t>
    </r>
  </si>
  <si>
    <t xml:space="preserve">kW</t>
  </si>
  <si>
    <t xml:space="preserve">Spec_Rack!F9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</si>
  <si>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Schneider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</si>
  <si>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A3</t>
  </si>
  <si>
    <r>
      <rPr>
        <sz val="11"/>
        <color theme="1"/>
        <rFont val="Noto Sans CJK SC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</t>
    </r>
  </si>
  <si>
    <t xml:space="preserve">顆</t>
  </si>
  <si>
    <t xml:space="preserve">Spec_Rack!F6</t>
  </si>
  <si>
    <t xml:space="preserve">Verified</t>
  </si>
  <si>
    <t xml:space="preserve">A4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</si>
  <si>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所攤機架功率</t>
    </r>
  </si>
  <si>
    <t xml:space="preserve">Derived</t>
  </si>
  <si>
    <t xml:space="preserve">227÷72</t>
  </si>
  <si>
    <t xml:space="preserve">A5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</si>
  <si>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</t>
    </r>
  </si>
  <si>
    <t xml:space="preserve">PF/kW</t>
  </si>
  <si>
    <t xml:space="preserve">A6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</si>
  <si>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</t>
    </r>
  </si>
  <si>
    <t xml:space="preserve">架</t>
  </si>
  <si>
    <t xml:space="preserve">Interface!M6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</si>
  <si>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（模型）</t>
    </r>
  </si>
  <si>
    <t xml:space="preserve">A7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</si>
  <si>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功率（＝</t>
    </r>
    <r>
      <rPr>
        <sz val="11"/>
        <color theme="1"/>
        <rFont val="Calibri"/>
        <family val="2"/>
        <charset val="1"/>
      </rPr>
      <t xml:space="preserve">A6×A2</t>
    </r>
    <r>
      <rPr>
        <sz val="11"/>
        <color theme="1"/>
        <rFont val="Noto Sans CJK SC"/>
        <family val="2"/>
      </rPr>
      <t xml:space="preserve">）</t>
    </r>
  </si>
  <si>
    <t xml:space="preserve">MW</t>
  </si>
  <si>
    <r>
      <rPr>
        <sz val="11"/>
        <color theme="1"/>
        <rFont val="Noto Sans CJK SC"/>
        <family val="2"/>
      </rPr>
      <t xml:space="preserve">候選每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顆數＝此值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候選每顆所攤功率（與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段相同，含同一機房加成）</t>
    </r>
  </si>
  <si>
    <t xml:space="preserve">A8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</si>
  <si>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機架價格（基準）</t>
    </r>
  </si>
  <si>
    <t xml:space="preserve">$M</t>
  </si>
  <si>
    <t xml:space="preserve">Spec_Rack!F12</t>
  </si>
  <si>
    <t xml:space="preserve">Interested-party</t>
  </si>
  <si>
    <t xml:space="preserve">A9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</si>
  <si>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設備資本支出（基準）</t>
    </r>
  </si>
  <si>
    <t xml:space="preserve">$B</t>
  </si>
  <si>
    <t xml:space="preserve">Interface!M9</t>
  </si>
  <si>
    <t xml:space="preserve">A10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</si>
  <si>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（機架數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機架價）＝網路等加成</t>
    </r>
  </si>
  <si>
    <t xml:space="preserve">x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</si>
  <si>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；候選沿用同一加成</t>
    </r>
  </si>
  <si>
    <t xml:space="preserve">A11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</si>
  <si>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廠房資本支出（基準）</t>
    </r>
  </si>
  <si>
    <t xml:space="preserve">Interface!M10</t>
  </si>
  <si>
    <t xml:space="preserve">A12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</si>
  <si>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 — 經濟口徑（基準）</t>
    </r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</si>
  <si>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Noto Sans CJK SC"/>
        <family val="2"/>
      </rPr>
      <t xml:space="preserve">年</t>
    </r>
  </si>
  <si>
    <t xml:space="preserve">Interface!M13</t>
  </si>
  <si>
    <t xml:space="preserve">分母</t>
  </si>
  <si>
    <t xml:space="preserve">A13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</si>
  <si>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 — 會計口徑（基準）</t>
    </r>
  </si>
  <si>
    <t xml:space="preserve">Interface!M12</t>
  </si>
  <si>
    <t xml:space="preserve">A14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</si>
  <si>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折舊（基準）</t>
    </r>
  </si>
  <si>
    <t xml:space="preserve">Interface!M220</t>
  </si>
  <si>
    <t xml:space="preserve">A15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</si>
  <si>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維護（基準）</t>
    </r>
  </si>
  <si>
    <t xml:space="preserve">Interface!M224</t>
  </si>
  <si>
    <t xml:space="preserve">A16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</si>
  <si>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財產稅與保險（基準）</t>
    </r>
  </si>
  <si>
    <t xml:space="preserve">Interface!M227</t>
  </si>
  <si>
    <t xml:space="preserve">A17</t>
  </si>
  <si>
    <t xml:space="preserve">資金成本（經濟 − 會計）</t>
  </si>
  <si>
    <t xml:space="preserve">A18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</si>
  <si>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設備占總資本支出比例</t>
    </r>
  </si>
  <si>
    <t xml:space="preserve">—</t>
  </si>
  <si>
    <t xml:space="preserve">A19</t>
  </si>
  <si>
    <r>
      <rPr>
        <sz val="11"/>
        <color theme="1"/>
        <rFont val="Noto Sans CJK SC"/>
        <family val="2"/>
      </rPr>
      <t xml:space="preserve">持有成本中隨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設備資本支出成比例的部分</t>
    </r>
  </si>
  <si>
    <t xml:space="preserve">A20</t>
  </si>
  <si>
    <r>
      <rPr>
        <sz val="11"/>
        <color theme="1"/>
        <rFont val="Noto Sans CJK SC"/>
        <family val="2"/>
      </rPr>
      <t xml:space="preserve">上述部分占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持有成本比例 </t>
    </r>
    <r>
      <rPr>
        <sz val="11"/>
        <color theme="1"/>
        <rFont val="Calibri"/>
        <family val="2"/>
        <charset val="1"/>
      </rPr>
      <t xml:space="preserve">s</t>
    </r>
  </si>
  <si>
    <r>
      <rPr>
        <sz val="11"/>
        <color theme="1"/>
        <rFont val="Noto Sans CJK SC"/>
        <family val="2"/>
      </rPr>
      <t xml:space="preserve">候選持有比 ＝ </t>
    </r>
    <r>
      <rPr>
        <sz val="11"/>
        <color theme="1"/>
        <rFont val="Calibri"/>
        <family val="2"/>
        <charset val="1"/>
      </rPr>
      <t xml:space="preserve">1 − s×(1 − k)</t>
    </r>
  </si>
  <si>
    <t xml:space="preserve">A21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</si>
  <si>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FP8 dense</t>
    </r>
  </si>
  <si>
    <t xml:space="preserve">Spec_Rack!F40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</si>
  <si>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節『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對齊』旁證</t>
    </r>
  </si>
  <si>
    <t xml:space="preserve">A22</t>
  </si>
  <si>
    <r>
      <rPr>
        <sz val="11"/>
        <color theme="1"/>
        <rFont val="Calibri"/>
        <family val="2"/>
        <charset val="1"/>
      </rPr>
      <t xml:space="preserve">VR200 GPU </t>
    </r>
    <r>
      <rPr>
        <sz val="11"/>
        <color theme="1"/>
        <rFont val="Noto Sans CJK SC"/>
        <family val="2"/>
      </rPr>
      <t xml:space="preserve">功率（能量用）</t>
    </r>
  </si>
  <si>
    <t xml:space="preserve">W</t>
  </si>
  <si>
    <t xml:space="preserve">Spec_Rack!F33</t>
  </si>
  <si>
    <t xml:space="preserve">A23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</si>
  <si>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機架功率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晶片功率總和</t>
    </r>
  </si>
  <si>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旁證為 </t>
    </r>
    <r>
      <rPr>
        <sz val="11"/>
        <color theme="1"/>
        <rFont val="Calibri"/>
        <family val="2"/>
        <charset val="1"/>
      </rPr>
      <t xml:space="preserve">1.78</t>
    </r>
    <r>
      <rPr>
        <sz val="11"/>
        <color theme="1"/>
        <rFont val="Noto Sans CJK SC"/>
        <family val="2"/>
      </rPr>
      <t xml:space="preserve">。用於由 </t>
    </r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TDP </t>
    </r>
    <r>
      <rPr>
        <sz val="11"/>
        <color theme="1"/>
        <rFont val="Noto Sans CJK SC"/>
        <family val="2"/>
      </rPr>
      <t xml:space="preserve">推機架功率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</si>
  <si>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還原既有世代：模型實際產出比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『每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峰值算力比』＝有效效率因子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（同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段）</t>
    </r>
  </si>
  <si>
    <t xml:space="preserve">B_H_pf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</si>
  <si>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計算用峰值</t>
    </r>
  </si>
  <si>
    <t xml:space="preserve">Spec_Rack!C35,C9,C6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</si>
  <si>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（無 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），其餘 </t>
    </r>
    <r>
      <rPr>
        <sz val="11"/>
        <color theme="1"/>
        <rFont val="Calibri"/>
        <family val="2"/>
        <charset val="1"/>
      </rPr>
      <t xml:space="preserve">NVFP4</t>
    </r>
  </si>
  <si>
    <t xml:space="preserve">B_H_kw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</si>
  <si>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Noto Sans CJK SC"/>
        <family val="2"/>
      </rPr>
      <t xml:space="preserve">機架配電功率（基準）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</si>
  <si>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</si>
  <si>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B_H_n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</si>
  <si>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Noto Sans CJK SC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</t>
    </r>
  </si>
  <si>
    <t xml:space="preserve">B_H_kwg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</si>
  <si>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Noto Sans CJK SC"/>
        <family val="2"/>
      </rPr>
      <t xml:space="preserve">每顆所攤功率</t>
    </r>
  </si>
  <si>
    <t xml:space="preserve">B_H_r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</si>
  <si>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 </t>
    </r>
    <r>
      <rPr>
        <sz val="11"/>
        <color theme="1"/>
        <rFont val="Calibri"/>
        <family val="2"/>
        <charset val="1"/>
      </rPr>
      <t xml:space="preserve">÷ VR200</t>
    </r>
  </si>
  <si>
    <t xml:space="preserve">B_G2_pf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</si>
  <si>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計算用峰值</t>
    </r>
  </si>
  <si>
    <t xml:space="preserve">Spec_Rack!D35,D9,D6</t>
  </si>
  <si>
    <t xml:space="preserve">B_G2_kw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</si>
  <si>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機架配電功率（基準）</t>
    </r>
  </si>
  <si>
    <t xml:space="preserve">B_G2_n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</si>
  <si>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</t>
    </r>
  </si>
  <si>
    <t xml:space="preserve">B_G2_kwg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</si>
  <si>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每顆所攤功率</t>
    </r>
  </si>
  <si>
    <t xml:space="preserve">B_G2_r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</si>
  <si>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 </t>
    </r>
    <r>
      <rPr>
        <sz val="11"/>
        <color theme="1"/>
        <rFont val="Calibri"/>
        <family val="2"/>
        <charset val="1"/>
      </rPr>
      <t xml:space="preserve">÷ VR200</t>
    </r>
  </si>
  <si>
    <t xml:space="preserve">B_G3_pf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</si>
  <si>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計算用峰值</t>
    </r>
  </si>
  <si>
    <t xml:space="preserve">Spec_Rack!E35,E9,E6</t>
  </si>
  <si>
    <t xml:space="preserve">B_G3_kw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</si>
  <si>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機架配電功率（基準）</t>
    </r>
  </si>
  <si>
    <t xml:space="preserve">B_G3_n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</si>
  <si>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</t>
    </r>
  </si>
  <si>
    <t xml:space="preserve">B_G3_kwg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</si>
  <si>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每顆所攤功率</t>
    </r>
  </si>
  <si>
    <t xml:space="preserve">B_G3_r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</si>
  <si>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 </t>
    </r>
    <r>
      <rPr>
        <sz val="11"/>
        <color theme="1"/>
        <rFont val="Calibri"/>
        <family val="2"/>
        <charset val="1"/>
      </rPr>
      <t xml:space="preserve">÷ VR200</t>
    </r>
  </si>
  <si>
    <t xml:space="preserve">B_H_v</t>
  </si>
  <si>
    <r>
      <rPr>
        <sz val="11"/>
        <color theme="1"/>
        <rFont val="Calibri"/>
        <family val="2"/>
        <charset val="1"/>
      </rPr>
      <t xml:space="preserve">Hopper VR-eq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</si>
  <si>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Interface IF_VReq_Luna/Sol/Astra</t>
    </r>
    <r>
      <rPr>
        <sz val="11"/>
        <color theme="1"/>
        <rFont val="Noto Sans CJK SC"/>
        <family val="2"/>
      </rPr>
      <t xml:space="preserve">（列 </t>
    </r>
    <r>
      <rPr>
        <sz val="11"/>
        <color theme="1"/>
        <rFont val="Calibri"/>
        <family val="2"/>
        <charset val="1"/>
      </rPr>
      <t xml:space="preserve">22/32/42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</si>
  <si>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D/E/F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（此行不是低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基準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高）</t>
    </r>
  </si>
  <si>
    <t xml:space="preserve">B_H_vm</t>
  </si>
  <si>
    <r>
      <rPr>
        <sz val="11"/>
        <color theme="1"/>
        <rFont val="Calibri"/>
        <family val="2"/>
        <charset val="1"/>
      </rPr>
      <t xml:space="preserve">Hopper VR-eq </t>
    </r>
    <r>
      <rPr>
        <sz val="11"/>
        <color theme="1"/>
        <rFont val="Noto Sans CJK SC"/>
        <family val="2"/>
      </rPr>
      <t xml:space="preserve">三層平均</t>
    </r>
  </si>
  <si>
    <t xml:space="preserve">B_H_f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</si>
  <si>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</si>
  <si>
    <t xml:space="preserve">B_G2_v</t>
  </si>
  <si>
    <r>
      <rPr>
        <sz val="11"/>
        <color theme="1"/>
        <rFont val="Calibri"/>
        <family val="2"/>
        <charset val="1"/>
      </rPr>
      <t xml:space="preserve">GB200 VR-eq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）</t>
    </r>
  </si>
  <si>
    <t xml:space="preserve">B_G2_vm</t>
  </si>
  <si>
    <r>
      <rPr>
        <sz val="11"/>
        <color theme="1"/>
        <rFont val="Calibri"/>
        <family val="2"/>
        <charset val="1"/>
      </rPr>
      <t xml:space="preserve">GB200 VR-eq </t>
    </r>
    <r>
      <rPr>
        <sz val="11"/>
        <color theme="1"/>
        <rFont val="Noto Sans CJK SC"/>
        <family val="2"/>
      </rPr>
      <t xml:space="preserve">三層平均</t>
    </r>
  </si>
  <si>
    <t xml:space="preserve">B_G2_f</t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</si>
  <si>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</si>
  <si>
    <t xml:space="preserve">B_G3_v</t>
  </si>
  <si>
    <r>
      <rPr>
        <sz val="11"/>
        <color theme="1"/>
        <rFont val="Calibri"/>
        <family val="2"/>
        <charset val="1"/>
      </rPr>
      <t xml:space="preserve">GB300 VR-eq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）</t>
    </r>
  </si>
  <si>
    <t xml:space="preserve">B_G3_vm</t>
  </si>
  <si>
    <r>
      <rPr>
        <sz val="11"/>
        <color theme="1"/>
        <rFont val="Calibri"/>
        <family val="2"/>
        <charset val="1"/>
      </rPr>
      <t xml:space="preserve">GB300 VR-eq </t>
    </r>
    <r>
      <rPr>
        <sz val="11"/>
        <color theme="1"/>
        <rFont val="Noto Sans CJK SC"/>
        <family val="2"/>
      </rPr>
      <t xml:space="preserve">三層平均</t>
    </r>
  </si>
  <si>
    <t xml:space="preserve">B_G3_f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</si>
  <si>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</si>
  <si>
    <t xml:space="preserve">C. Google TPU v7 Ironwood</t>
  </si>
  <si>
    <t xml:space="preserve">C1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</si>
  <si>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FP8 dense </t>
    </r>
    <r>
      <rPr>
        <sz val="11"/>
        <color theme="1"/>
        <rFont val="Noto Sans CJK SC"/>
        <family val="2"/>
      </rPr>
      <t xml:space="preserve">峰值（無 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）</t>
    </r>
  </si>
  <si>
    <t xml:space="preserve">T01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</si>
  <si>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</si>
  <si>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以自身最高原生精度計（同模型對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的處理）；精度折減由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吸收，見待判斷 </t>
    </r>
    <r>
      <rPr>
        <sz val="11"/>
        <color theme="1"/>
        <rFont val="Calibri"/>
        <family val="2"/>
        <charset val="1"/>
      </rPr>
      <t xml:space="preserve">Q1</t>
    </r>
  </si>
  <si>
    <t xml:space="preserve">C2</t>
  </si>
  <si>
    <r>
      <rPr>
        <sz val="11"/>
        <color theme="1"/>
        <rFont val="Calibri"/>
        <family val="2"/>
        <charset val="1"/>
      </rPr>
      <t xml:space="preserve">9,216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pod </t>
    </r>
    <r>
      <rPr>
        <sz val="11"/>
        <color theme="1"/>
        <rFont val="Noto Sans CJK SC"/>
        <family val="2"/>
      </rPr>
      <t xml:space="preserve">功率</t>
    </r>
  </si>
  <si>
    <r>
      <rPr>
        <sz val="11"/>
        <color theme="1"/>
        <rFont val="Calibri"/>
        <family val="2"/>
        <charset val="1"/>
      </rPr>
      <t xml:space="preserve">T02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nearly 10 MW</t>
    </r>
    <r>
      <rPr>
        <sz val="11"/>
        <color theme="1"/>
        <rFont val="Noto Sans CJK SC"/>
        <family val="2"/>
      </rPr>
      <t xml:space="preserve">』）；低端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＝設計功率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，比照 </t>
    </r>
    <r>
      <rPr>
        <sz val="11"/>
        <color theme="1"/>
        <rFont val="Calibri"/>
        <family val="2"/>
        <charset val="1"/>
      </rPr>
      <t xml:space="preserve">VR200 MaxP 227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MaxQ 188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倍）；高端 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（『</t>
    </r>
    <r>
      <rPr>
        <sz val="11"/>
        <color theme="1"/>
        <rFont val="Calibri"/>
        <family val="2"/>
        <charset val="1"/>
      </rPr>
      <t xml:space="preserve">nearly</t>
    </r>
    <r>
      <rPr>
        <sz val="11"/>
        <color theme="1"/>
        <rFont val="Noto Sans CJK SC"/>
        <family val="2"/>
      </rPr>
      <t xml:space="preserve">』）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</si>
  <si>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（基準）／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（區間）</t>
    </r>
  </si>
  <si>
    <r>
      <rPr>
        <sz val="11"/>
        <color theme="1"/>
        <rFont val="Calibri"/>
        <family val="2"/>
        <charset val="1"/>
      </rPr>
      <t xml:space="preserve">pod </t>
    </r>
    <r>
      <rPr>
        <sz val="11"/>
        <color theme="1"/>
        <rFont val="Noto Sans CJK SC"/>
        <family val="2"/>
      </rPr>
      <t xml:space="preserve">內含主機、</t>
    </r>
    <r>
      <rPr>
        <sz val="11"/>
        <color theme="1"/>
        <rFont val="Calibri"/>
        <family val="2"/>
        <charset val="1"/>
      </rPr>
      <t xml:space="preserve">ICI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；是否含設施冷卻未明（若含，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更低→產出比更高，見待判斷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</si>
  <si>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t xml:space="preserve">C3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</si>
  <si>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pod </t>
    </r>
    <r>
      <rPr>
        <sz val="11"/>
        <color theme="1"/>
        <rFont val="Noto Sans CJK SC"/>
        <family val="2"/>
      </rPr>
      <t xml:space="preserve">晶片數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</si>
  <si>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（官方）</t>
    </r>
  </si>
  <si>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架 </t>
    </r>
    <r>
      <rPr>
        <sz val="11"/>
        <color theme="1"/>
        <rFont val="Calibri"/>
        <family val="2"/>
        <charset val="1"/>
      </rPr>
      <t xml:space="preserve">× 64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T03</t>
    </r>
    <r>
      <rPr>
        <sz val="11"/>
        <color theme="1"/>
        <rFont val="Noto Sans CJK SC"/>
        <family val="2"/>
      </rPr>
      <t xml:space="preserve">）</t>
    </r>
  </si>
  <si>
    <t xml:space="preserve">C4</t>
  </si>
  <si>
    <r>
      <rPr>
        <sz val="11"/>
        <color theme="1"/>
        <rFont val="Noto Sans CJK SC"/>
        <family val="2"/>
      </rPr>
      <t xml:space="preserve">每顆所攤 </t>
    </r>
    <r>
      <rPr>
        <sz val="11"/>
        <color theme="1"/>
        <rFont val="Calibri"/>
        <family val="2"/>
        <charset val="1"/>
      </rPr>
      <t xml:space="preserve">pod </t>
    </r>
    <r>
      <rPr>
        <sz val="11"/>
        <color theme="1"/>
        <rFont val="Noto Sans CJK SC"/>
        <family val="2"/>
      </rPr>
      <t xml:space="preserve">功率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</si>
  <si>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1.085</t>
    </r>
    <r>
      <rPr>
        <sz val="11"/>
        <color theme="1"/>
        <rFont val="Noto Sans CJK SC"/>
        <family val="2"/>
      </rPr>
      <t xml:space="preserve">；旁證 </t>
    </r>
    <r>
      <rPr>
        <sz val="11"/>
        <color theme="1"/>
        <rFont val="Calibri"/>
        <family val="2"/>
        <charset val="1"/>
      </rPr>
      <t xml:space="preserve">T04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萬顆↔超過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</t>
    </r>
  </si>
  <si>
    <t xml:space="preserve">C5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</si>
  <si>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</t>
    </r>
  </si>
  <si>
    <t xml:space="preserve">C6</t>
  </si>
  <si>
    <r>
      <rPr>
        <sz val="11"/>
        <color theme="1"/>
        <rFont val="Calibri"/>
        <family val="2"/>
        <charset val="1"/>
      </rPr>
      <t xml:space="preserve">÷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</t>
    </r>
  </si>
  <si>
    <t xml:space="preserve">C7</t>
  </si>
  <si>
    <r>
      <rPr>
        <sz val="11"/>
        <color theme="1"/>
        <rFont val="Noto Sans CJK SC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</si>
  <si>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還原值 </t>
    </r>
    <r>
      <rPr>
        <sz val="11"/>
        <color theme="1"/>
        <rFont val="Calibri"/>
        <family val="2"/>
        <charset val="1"/>
      </rPr>
      <t xml:space="preserve">0.744</t>
    </r>
    <r>
      <rPr>
        <sz val="11"/>
        <color theme="1"/>
        <rFont val="Noto Sans CJK SC"/>
        <family val="2"/>
      </rPr>
      <t xml:space="preserve">；基準＝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還原值與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還原值平均（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）的中間（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決定方案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）；高＝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還原值 </t>
    </r>
    <r>
      <rPr>
        <sz val="11"/>
        <color theme="1"/>
        <rFont val="Calibri"/>
        <family val="2"/>
        <charset val="1"/>
      </rPr>
      <t xml:space="preserve">1.04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T05 InferenceX </t>
    </r>
    <r>
      <rPr>
        <sz val="11"/>
        <color theme="1"/>
        <rFont val="Noto Sans CJK SC"/>
        <family val="2"/>
      </rPr>
      <t xml:space="preserve">佐證（單一來源 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，依規則只作佐證，不單獨作依據）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</si>
  <si>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（區間）</t>
    </r>
  </si>
  <si>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：原基準 </t>
    </r>
    <r>
      <rPr>
        <sz val="11"/>
        <color theme="1"/>
        <rFont val="Calibri"/>
        <family val="2"/>
        <charset val="1"/>
      </rPr>
      <t xml:space="preserve">0.97 </t>
    </r>
    <r>
      <rPr>
        <sz val="11"/>
        <color theme="1"/>
        <rFont val="Noto Sans CJK SC"/>
        <family val="2"/>
      </rPr>
      <t xml:space="preserve">實質只靠 </t>
    </r>
    <r>
      <rPr>
        <sz val="11"/>
        <color theme="1"/>
        <rFont val="Calibri"/>
        <family val="2"/>
        <charset val="1"/>
      </rPr>
      <t xml:space="preserve">InferenceX</t>
    </r>
    <r>
      <rPr>
        <sz val="11"/>
        <color theme="1"/>
        <rFont val="Noto Sans CJK SC"/>
        <family val="2"/>
      </rPr>
      <t xml:space="preserve">，已改</t>
    </r>
  </si>
  <si>
    <t xml:space="preserve">C8</t>
  </si>
  <si>
    <r>
      <rPr>
        <sz val="11"/>
        <color theme="1"/>
        <rFont val="Noto Sans CJK SC"/>
        <family val="2"/>
      </rPr>
      <t xml:space="preserve">方法一：產出比 ＝ </t>
    </r>
    <r>
      <rPr>
        <sz val="11"/>
        <color theme="1"/>
        <rFont val="Calibri"/>
        <family val="2"/>
        <charset val="1"/>
      </rPr>
      <t xml:space="preserve">C6 × C7</t>
    </r>
  </si>
  <si>
    <t xml:space="preserve">C9</t>
  </si>
  <si>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實測吞吐（</t>
    </r>
    <r>
      <rPr>
        <sz val="11"/>
        <color theme="1"/>
        <rFont val="Calibri"/>
        <family val="2"/>
        <charset val="1"/>
      </rPr>
      <t xml:space="preserve">20 tok/s/user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）</t>
    </r>
  </si>
  <si>
    <t xml:space="preserve">tok/s/chip</t>
  </si>
  <si>
    <t xml:space="preserve">T05</t>
  </si>
  <si>
    <r>
      <rPr>
        <sz val="11"/>
        <color theme="1"/>
        <rFont val="Noto Sans CJK SC"/>
        <family val="2"/>
      </rPr>
      <t xml:space="preserve">第三方實測（</t>
    </r>
    <r>
      <rPr>
        <sz val="11"/>
        <color theme="1"/>
        <rFont val="Calibri"/>
        <family val="2"/>
        <charset val="1"/>
      </rPr>
      <t xml:space="preserve">SemiAnalysis InferenceX</t>
    </r>
    <r>
      <rPr>
        <sz val="11"/>
        <color theme="1"/>
        <rFont val="Noto Sans CJK SC"/>
        <family val="2"/>
      </rPr>
      <t xml:space="preserve">）</t>
    </r>
  </si>
  <si>
    <t xml:space="preserve">C10</t>
  </si>
  <si>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同條件實測吞吐（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）</t>
    </r>
  </si>
  <si>
    <t xml:space="preserve">tok/s/GPU</t>
  </si>
  <si>
    <t xml:space="preserve">第三方實測</t>
  </si>
  <si>
    <r>
      <rPr>
        <sz val="11"/>
        <color theme="1"/>
        <rFont val="Calibri"/>
        <family val="2"/>
        <charset val="1"/>
      </rPr>
      <t xml:space="preserve">HGX B200</t>
    </r>
    <r>
      <rPr>
        <sz val="11"/>
        <color theme="1"/>
        <rFont val="Noto Sans CJK SC"/>
        <family val="2"/>
      </rPr>
      <t xml:space="preserve">；模型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NVL72</t>
    </r>
    <r>
      <rPr>
        <sz val="11"/>
        <color theme="1"/>
        <rFont val="Noto Sans CJK SC"/>
        <family val="2"/>
      </rPr>
      <t xml:space="preserve">，以此近似</t>
    </r>
  </si>
  <si>
    <t xml:space="preserve">C11</t>
  </si>
  <si>
    <r>
      <rPr>
        <sz val="11"/>
        <color theme="1"/>
        <rFont val="Calibri"/>
        <family val="2"/>
        <charset val="1"/>
      </rPr>
      <t xml:space="preserve">TPU ÷ B200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實測比</t>
    </r>
  </si>
  <si>
    <t xml:space="preserve">C12</t>
  </si>
  <si>
    <r>
      <rPr>
        <sz val="11"/>
        <color theme="1"/>
        <rFont val="Calibri"/>
        <family val="2"/>
        <charset val="1"/>
      </rPr>
      <t xml:space="preserve">GB200 VR-eq </t>
    </r>
    <r>
      <rPr>
        <sz val="11"/>
        <color theme="1"/>
        <rFont val="Noto Sans CJK SC"/>
        <family val="2"/>
      </rPr>
      <t xml:space="preserve">三層平均（模型，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）</t>
    </r>
  </si>
  <si>
    <t xml:space="preserve">模型</t>
  </si>
  <si>
    <t xml:space="preserve">C13</t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</si>
  <si>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每顆所攤功率（模型）</t>
    </r>
  </si>
  <si>
    <t xml:space="preserve">C14</t>
  </si>
  <si>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NVFP4 </t>
    </r>
    <r>
      <rPr>
        <sz val="11"/>
        <color theme="1"/>
        <rFont val="Noto Sans CJK SC"/>
        <family val="2"/>
      </rPr>
      <t xml:space="preserve">的實際吞吐倍數 </t>
    </r>
    <r>
      <rPr>
        <sz val="11"/>
        <color theme="1"/>
        <rFont val="Calibri"/>
        <family val="2"/>
        <charset val="1"/>
      </rPr>
      <t xml:space="preserve">u</t>
    </r>
  </si>
  <si>
    <r>
      <rPr>
        <sz val="11"/>
        <color theme="1"/>
        <rFont val="Noto Sans CJK SC"/>
        <family val="2"/>
      </rPr>
      <t xml:space="preserve">低端產出（</t>
    </r>
    <r>
      <rPr>
        <sz val="11"/>
        <color theme="1"/>
        <rFont val="Calibri"/>
        <family val="2"/>
        <charset val="1"/>
      </rPr>
      <t xml:space="preserve">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引擎的算力綁定假設（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峰值 </t>
    </r>
    <r>
      <rPr>
        <sz val="11"/>
        <color theme="1"/>
        <rFont val="Calibri"/>
        <family val="2"/>
        <charset val="1"/>
      </rPr>
      <t xml:space="preserve">FP4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倍）；基準 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、高端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＝實務上 </t>
    </r>
    <r>
      <rPr>
        <sz val="11"/>
        <color theme="1"/>
        <rFont val="Calibri"/>
        <family val="2"/>
        <charset val="1"/>
      </rPr>
      <t xml:space="preserve">FP4 </t>
    </r>
    <r>
      <rPr>
        <sz val="11"/>
        <color theme="1"/>
        <rFont val="Noto Sans CJK SC"/>
        <family val="2"/>
      </rPr>
      <t xml:space="preserve">增益常低於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</si>
  <si>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 </t>
    </r>
    <r>
      <rPr>
        <sz val="11"/>
        <color theme="1"/>
        <rFont val="Noto Sans CJK SC"/>
        <family val="2"/>
      </rPr>
      <t xml:space="preserve">越大，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（只能 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）相對越吃虧</t>
    </r>
  </si>
  <si>
    <t xml:space="preserve">C15</t>
  </si>
  <si>
    <r>
      <rPr>
        <sz val="11"/>
        <color theme="1"/>
        <rFont val="Noto Sans CJK SC"/>
        <family val="2"/>
      </rPr>
      <t xml:space="preserve">方法二（實測錨定）：產出比 ＝ </t>
    </r>
    <r>
      <rPr>
        <sz val="11"/>
        <color theme="1"/>
        <rFont val="Calibri"/>
        <family val="2"/>
        <charset val="1"/>
      </rPr>
      <t xml:space="preserve">C12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C13 ÷ C4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C11 ÷ C14</t>
    </r>
  </si>
  <si>
    <t xml:space="preserve">對照（不進建議值）</t>
  </si>
  <si>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：效率全靠 </t>
    </r>
    <r>
      <rPr>
        <sz val="11"/>
        <color theme="1"/>
        <rFont val="Calibri"/>
        <family val="2"/>
        <charset val="1"/>
      </rPr>
      <t xml:space="preserve">T05 InferenceX</t>
    </r>
    <r>
      <rPr>
        <sz val="11"/>
        <color theme="1"/>
        <rFont val="Noto Sans CJK SC"/>
        <family val="2"/>
      </rPr>
      <t xml:space="preserve">（單一來源），依規則降為對照、不進平均；與方法一共用每顆功率 </t>
    </r>
    <r>
      <rPr>
        <sz val="11"/>
        <color theme="1"/>
        <rFont val="Calibri"/>
        <family val="2"/>
        <charset val="1"/>
      </rPr>
      <t xml:space="preserve">C4</t>
    </r>
  </si>
  <si>
    <t xml:space="preserve">C16</t>
  </si>
  <si>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產出比（原始）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</si>
  <si>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</si>
  <si>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：只取方法一；方法二（</t>
    </r>
    <r>
      <rPr>
        <sz val="11"/>
        <color theme="1"/>
        <rFont val="Calibri"/>
        <family val="2"/>
        <charset val="1"/>
      </rPr>
      <t xml:space="preserve">C15</t>
    </r>
    <r>
      <rPr>
        <sz val="11"/>
        <color theme="1"/>
        <rFont val="Noto Sans CJK SC"/>
        <family val="2"/>
      </rPr>
      <t xml:space="preserve">）為對照，基準 </t>
    </r>
    <r>
      <rPr>
        <sz val="11"/>
        <color theme="1"/>
        <rFont val="Calibri"/>
        <family val="2"/>
        <charset val="1"/>
      </rPr>
      <t xml:space="preserve">0.52 </t>
    </r>
    <r>
      <rPr>
        <sz val="11"/>
        <color theme="1"/>
        <rFont val="Noto Sans CJK SC"/>
        <family val="2"/>
      </rPr>
      <t xml:space="preserve">高於本列，表示本列可能偏保守</t>
    </r>
  </si>
  <si>
    <t xml:space="preserve">C17</t>
  </si>
  <si>
    <t xml:space="preserve">每顆取得價（含機架）</t>
  </si>
  <si>
    <t xml:space="preserve">$K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</si>
  <si>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T07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 $21B </t>
    </r>
    <r>
      <rPr>
        <sz val="11"/>
        <color theme="1"/>
        <rFont val="Noto Sans CJK SC"/>
        <family val="2"/>
      </rPr>
      <t xml:space="preserve">訂單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 GW≈100 </t>
    </r>
    <r>
      <rPr>
        <sz val="11"/>
        <color theme="1"/>
        <rFont val="Noto Sans CJK SC"/>
        <family val="2"/>
      </rPr>
      <t xml:space="preserve">萬顆）；基準 </t>
    </r>
    <r>
      <rPr>
        <sz val="11"/>
        <color theme="1"/>
        <rFont val="Calibri"/>
        <family val="2"/>
        <charset val="1"/>
      </rPr>
      <t xml:space="preserve">T06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$10B≈40 </t>
    </r>
    <r>
      <rPr>
        <sz val="11"/>
        <color theme="1"/>
        <rFont val="Noto Sans CJK SC"/>
        <family val="2"/>
      </rPr>
      <t xml:space="preserve">萬顆成品機架）；高 </t>
    </r>
    <r>
      <rPr>
        <sz val="11"/>
        <color theme="1"/>
        <rFont val="Calibri"/>
        <family val="2"/>
        <charset val="1"/>
      </rPr>
      <t xml:space="preserve">T08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$35B </t>
    </r>
    <r>
      <rPr>
        <sz val="11"/>
        <color theme="1"/>
        <rFont val="Noto Sans CJK SC"/>
        <family val="2"/>
      </rPr>
      <t xml:space="preserve">融資 </t>
    </r>
    <r>
      <rPr>
        <sz val="11"/>
        <color theme="1"/>
        <rFont val="Calibri"/>
        <family val="2"/>
        <charset val="1"/>
      </rPr>
      <t xml:space="preserve">÷ 1 GW</t>
    </r>
    <r>
      <rPr>
        <sz val="11"/>
        <color theme="1"/>
        <rFont val="Noto Sans CJK SC"/>
        <family val="2"/>
      </rPr>
      <t xml:space="preserve">，可能含網路與融資費用）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</si>
  <si>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／第三方估計（區間）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</si>
  <si>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自用也向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購買，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毛利已含在內</t>
    </r>
  </si>
  <si>
    <t xml:space="preserve">C18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</si>
  <si>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顆數（以基準功率）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</si>
  <si>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291,744</t>
    </r>
  </si>
  <si>
    <t xml:space="preserve">C19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</si>
  <si>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設備資本支出</t>
    </r>
  </si>
  <si>
    <r>
      <rPr>
        <sz val="11"/>
        <color theme="1"/>
        <rFont val="Noto Sans CJK SC"/>
        <family val="2"/>
      </rPr>
      <t xml:space="preserve">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同一網路加成（高端可能重複計算，見 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</si>
  <si>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t xml:space="preserve">C20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</si>
  <si>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</si>
  <si>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t xml:space="preserve">C21</t>
  </si>
  <si>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持有成本比（原始）</t>
    </r>
  </si>
  <si>
    <t xml:space="preserve">C22</t>
  </si>
  <si>
    <r>
      <rPr>
        <sz val="11"/>
        <color theme="1"/>
        <rFont val="Noto Sans CJK SC"/>
        <family val="2"/>
      </rPr>
      <t xml:space="preserve">交叉：直接用每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$21B</t>
    </r>
    <r>
      <rPr>
        <sz val="11"/>
        <color theme="1"/>
        <rFont val="Noto Sans CJK SC"/>
        <family val="2"/>
      </rPr>
      <t xml:space="preserve">／—／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，不乘加成）→ 持有比</t>
    </r>
  </si>
  <si>
    <r>
      <rPr>
        <sz val="11"/>
        <color theme="1"/>
        <rFont val="Calibri"/>
        <family val="2"/>
        <charset val="1"/>
      </rPr>
      <t xml:space="preserve">T07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T08</t>
    </r>
  </si>
  <si>
    <r>
      <rPr>
        <sz val="11"/>
        <color theme="1"/>
        <rFont val="Noto Sans CJK SC"/>
        <family val="2"/>
      </rPr>
      <t xml:space="preserve">不進建議值；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口徑未明（若為設施口徑，每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金額更高）</t>
    </r>
  </si>
  <si>
    <t xml:space="preserve">C23</t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</si>
  <si>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SemiAnalysis TCO/chip-hr</t>
    </r>
    <r>
      <rPr>
        <sz val="11"/>
        <color theme="1"/>
        <rFont val="Noto Sans CJK SC"/>
        <family val="2"/>
      </rPr>
      <t xml:space="preserve">（內部 </t>
    </r>
    <r>
      <rPr>
        <sz val="11"/>
        <color theme="1"/>
        <rFont val="Calibri"/>
        <family val="2"/>
        <charset val="1"/>
      </rPr>
      <t xml:space="preserve">$1.03</t>
    </r>
    <r>
      <rPr>
        <sz val="11"/>
        <color theme="1"/>
        <rFont val="Noto Sans CJK SC"/>
        <family val="2"/>
      </rPr>
      <t xml:space="preserve">／—／外部 </t>
    </r>
    <r>
      <rPr>
        <sz val="11"/>
        <color theme="1"/>
        <rFont val="Calibri"/>
        <family val="2"/>
        <charset val="1"/>
      </rPr>
      <t xml:space="preserve">$1.60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8,760 ÷ VR200 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</si>
  <si>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Calibri"/>
        <family val="2"/>
        <charset val="1"/>
      </rPr>
      <t xml:space="preserve">T05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T06</t>
    </r>
  </si>
  <si>
    <t xml:space="preserve">第三方估計</t>
  </si>
  <si>
    <r>
      <rPr>
        <sz val="11"/>
        <color theme="1"/>
        <rFont val="Noto Sans CJK SC"/>
        <family val="2"/>
      </rPr>
      <t xml:space="preserve">不進建議值；</t>
    </r>
    <r>
      <rPr>
        <sz val="11"/>
        <color theme="1"/>
        <rFont val="Calibri"/>
        <family val="2"/>
        <charset val="1"/>
      </rPr>
      <t xml:space="preserve">TCO </t>
    </r>
    <r>
      <rPr>
        <sz val="11"/>
        <color theme="1"/>
        <rFont val="Noto Sans CJK SC"/>
        <family val="2"/>
      </rPr>
      <t xml:space="preserve">口徑（是否含電費、廠房）未公開，外部價含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利潤</t>
    </r>
  </si>
  <si>
    <r>
      <rPr>
        <b val="true"/>
        <sz val="11"/>
        <rFont val="Cambria"/>
        <family val="0"/>
        <charset val="1"/>
      </rPr>
      <t xml:space="preserve">D. AWS Trainium3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Teton3 Max </t>
    </r>
    <r>
      <rPr>
        <b val="true"/>
        <sz val="11"/>
        <rFont val="Noto Sans CJK SC"/>
        <family val="2"/>
      </rPr>
      <t xml:space="preserve">液冷機架，</t>
    </r>
    <r>
      <rPr>
        <b val="true"/>
        <sz val="11"/>
        <rFont val="Cambria"/>
        <family val="0"/>
        <charset val="1"/>
      </rPr>
      <t xml:space="preserve">72 </t>
    </r>
    <r>
      <rPr>
        <b val="true"/>
        <sz val="11"/>
        <rFont val="Noto Sans CJK SC"/>
        <family val="2"/>
      </rPr>
      <t xml:space="preserve">顆；</t>
    </r>
    <r>
      <rPr>
        <b val="true"/>
        <sz val="11"/>
        <rFont val="Cambria"/>
        <family val="0"/>
        <charset val="1"/>
      </rPr>
      <t xml:space="preserve">UltraServer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架 </t>
    </r>
    <r>
      <rPr>
        <b val="true"/>
        <sz val="11"/>
        <rFont val="Cambria"/>
        <family val="0"/>
        <charset val="1"/>
      </rPr>
      <t xml:space="preserve">144 </t>
    </r>
    <r>
      <rPr>
        <b val="true"/>
        <sz val="11"/>
        <rFont val="Noto Sans CJK SC"/>
        <family val="2"/>
      </rPr>
      <t xml:space="preserve">顆）</t>
    </r>
  </si>
  <si>
    <t xml:space="preserve">D1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</si>
  <si>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FP8 dense </t>
    </r>
    <r>
      <rPr>
        <sz val="11"/>
        <color theme="1"/>
        <rFont val="Noto Sans CJK SC"/>
        <family val="2"/>
      </rPr>
      <t xml:space="preserve">峰值（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同速）</t>
    </r>
  </si>
  <si>
    <t xml:space="preserve">T09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</si>
  <si>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</si>
  <si>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FP4 </t>
    </r>
    <r>
      <rPr>
        <sz val="11"/>
        <color theme="1"/>
        <rFont val="Noto Sans CJK SC"/>
        <family val="2"/>
      </rPr>
      <t xml:space="preserve">無額外算力，故以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值為最高原生精度</t>
    </r>
  </si>
  <si>
    <t xml:space="preserve">D2</t>
  </si>
  <si>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TDP</t>
    </r>
  </si>
  <si>
    <r>
      <rPr>
        <sz val="11"/>
        <color theme="1"/>
        <rFont val="Noto Sans CJK SC"/>
        <family val="2"/>
      </rPr>
      <t xml:space="preserve">低端產出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副總裁液冷說法（『晶片超過 </t>
    </r>
    <r>
      <rPr>
        <sz val="11"/>
        <color theme="1"/>
        <rFont val="Calibri"/>
        <family val="2"/>
        <charset val="1"/>
      </rPr>
      <t xml:space="preserve">1,000 W </t>
    </r>
    <r>
      <rPr>
        <sz val="11"/>
        <color theme="1"/>
        <rFont val="Noto Sans CJK SC"/>
        <family val="2"/>
      </rPr>
      <t xml:space="preserve">才需液冷』）推論約 </t>
    </r>
    <r>
      <rPr>
        <sz val="11"/>
        <color theme="1"/>
        <rFont val="Calibri"/>
        <family val="2"/>
        <charset val="1"/>
      </rPr>
      <t xml:space="preserve">1 kW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T11</t>
    </r>
    <r>
      <rPr>
        <sz val="11"/>
        <color theme="1"/>
        <rFont val="Noto Sans CJK SC"/>
        <family val="2"/>
      </rPr>
      <t xml:space="preserve">；副總裁未給瓦數）；高端 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KGI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T10</t>
    </r>
    <r>
      <rPr>
        <sz val="11"/>
        <color theme="1"/>
        <rFont val="Noto Sans CJK SC"/>
        <family val="2"/>
      </rPr>
      <t xml:space="preserve">）；基準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＝中點（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</si>
  <si>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／二手（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）；賣方研究（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</si>
  <si>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旁證：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另有氣冷 </t>
    </r>
    <r>
      <rPr>
        <sz val="11"/>
        <color theme="1"/>
        <rFont val="Calibri"/>
        <family val="2"/>
        <charset val="1"/>
      </rPr>
      <t xml:space="preserve">Teton3 PDS 32 </t>
    </r>
    <r>
      <rPr>
        <sz val="11"/>
        <color theme="1"/>
        <rFont val="Noto Sans CJK SC"/>
        <family val="2"/>
      </rPr>
      <t xml:space="preserve">顆版，晶片功率不會遠超 </t>
    </r>
    <r>
      <rPr>
        <sz val="11"/>
        <color theme="1"/>
        <rFont val="Calibri"/>
        <family val="2"/>
        <charset val="1"/>
      </rPr>
      <t xml:space="preserve">1 kW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Naddod 500 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T12</t>
    </r>
    <r>
      <rPr>
        <sz val="11"/>
        <color theme="1"/>
        <rFont val="Noto Sans CJK SC"/>
        <family val="2"/>
      </rPr>
      <t xml:space="preserve">）品質低、與兩來源不符，不採用</t>
    </r>
  </si>
  <si>
    <t xml:space="preserve">D3</t>
  </si>
  <si>
    <t xml:space="preserve">每機架晶片數</t>
  </si>
  <si>
    <r>
      <rPr>
        <sz val="11"/>
        <color theme="1"/>
        <rFont val="Calibri"/>
        <family val="2"/>
        <charset val="1"/>
      </rPr>
      <t xml:space="preserve">T10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托盤</t>
    </r>
    <r>
      <rPr>
        <sz val="11"/>
        <color theme="1"/>
        <rFont val="Calibri"/>
        <family val="2"/>
        <charset val="1"/>
      </rPr>
      <t xml:space="preserve">×4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</si>
  <si>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（供應鏈）／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</si>
  <si>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D3a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</si>
  <si>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機架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晶片倍數：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132 kW ÷ 72×1.2 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</si>
  <si>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Spec_Rack!D9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D33</t>
    </r>
  </si>
  <si>
    <t xml:space="preserve">D3b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</si>
  <si>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機架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晶片倍數：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136 ÷ 72×1.4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</si>
  <si>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Spec_Rack!E9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E33</t>
    </r>
  </si>
  <si>
    <t xml:space="preserve">D3c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</si>
  <si>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機架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晶片倍數：</t>
    </r>
    <r>
      <rPr>
        <sz val="11"/>
        <color theme="1"/>
        <rFont val="Calibri"/>
        <family val="2"/>
        <charset val="1"/>
      </rPr>
      <t xml:space="preserve">VR200 Max-Q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188 ÷ 72×1.8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</si>
  <si>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Spec_Rack!F8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F33</t>
    </r>
  </si>
  <si>
    <t xml:space="preserve">D3r</t>
  </si>
  <si>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機架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晶片倍數（採用）</t>
    </r>
  </si>
  <si>
    <r>
      <rPr>
        <sz val="11"/>
        <color theme="1"/>
        <rFont val="Noto Sans CJK SC"/>
        <family val="2"/>
      </rPr>
      <t xml:space="preserve">低端產出＝</t>
    </r>
    <r>
      <rPr>
        <sz val="11"/>
        <color theme="1"/>
        <rFont val="Calibri"/>
        <family val="2"/>
        <charset val="1"/>
      </rPr>
      <t xml:space="preserve">VR200 Max-P 1.75</t>
    </r>
    <r>
      <rPr>
        <sz val="11"/>
        <color theme="1"/>
        <rFont val="Noto Sans CJK SC"/>
        <family val="2"/>
      </rPr>
      <t xml:space="preserve">；基準＝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四值平均；高端產出＝</t>
    </r>
    <r>
      <rPr>
        <sz val="11"/>
        <color theme="1"/>
        <rFont val="Calibri"/>
        <family val="2"/>
        <charset val="1"/>
      </rPr>
      <t xml:space="preserve">GB300 1.35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</si>
  <si>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（區間）</t>
    </r>
  </si>
  <si>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：原為單值 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機架另含 </t>
    </r>
    <r>
      <rPr>
        <sz val="11"/>
        <color theme="1"/>
        <rFont val="Calibri"/>
        <family val="2"/>
        <charset val="1"/>
      </rPr>
      <t xml:space="preserve">18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T10</t>
    </r>
    <r>
      <rPr>
        <sz val="11"/>
        <color theme="1"/>
        <rFont val="Noto Sans CJK SC"/>
        <family val="2"/>
      </rPr>
      <t xml:space="preserve">），倍數落在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各世代區間內的假設</t>
    </r>
  </si>
  <si>
    <t xml:space="preserve">D4</t>
  </si>
  <si>
    <r>
      <rPr>
        <sz val="11"/>
        <color theme="1"/>
        <rFont val="Noto Sans CJK SC"/>
        <family val="2"/>
      </rPr>
      <t xml:space="preserve">機架功率 ＝ </t>
    </r>
    <r>
      <rPr>
        <sz val="11"/>
        <color theme="1"/>
        <rFont val="Calibri"/>
        <family val="2"/>
        <charset val="1"/>
      </rPr>
      <t xml:space="preserve">D2 × D3 × D3r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</si>
  <si>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機架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晶片倍數）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</si>
  <si>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</si>
  <si>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上限旁證：電源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層</t>
    </r>
    <r>
      <rPr>
        <sz val="11"/>
        <color theme="1"/>
        <rFont val="Calibri"/>
        <family val="2"/>
        <charset val="1"/>
      </rPr>
      <t xml:space="preserve">×6×8.5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153 kW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5+1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127.5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500 kW </t>
    </r>
    <r>
      <rPr>
        <sz val="11"/>
        <color theme="1"/>
        <rFont val="Noto Sans CJK SC"/>
        <family val="2"/>
      </rPr>
      <t xml:space="preserve">電源櫃供兩架（</t>
    </r>
    <r>
      <rPr>
        <sz val="11"/>
        <color theme="1"/>
        <rFont val="Calibri"/>
        <family val="2"/>
        <charset val="1"/>
      </rPr>
      <t xml:space="preserve">T10</t>
    </r>
    <r>
      <rPr>
        <sz val="11"/>
        <color theme="1"/>
        <rFont val="Noto Sans CJK SC"/>
        <family val="2"/>
      </rPr>
      <t xml:space="preserve">）</t>
    </r>
  </si>
  <si>
    <t xml:space="preserve">D5</t>
  </si>
  <si>
    <t xml:space="preserve">每顆所攤機架功率</t>
  </si>
  <si>
    <t xml:space="preserve">D6</t>
  </si>
  <si>
    <t xml:space="preserve">D7</t>
  </si>
  <si>
    <t xml:space="preserve">D8</t>
  </si>
  <si>
    <r>
      <rPr>
        <sz val="11"/>
        <color theme="1"/>
        <rFont val="Noto Sans CJK SC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Trn3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</si>
  <si>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無第三方實測（</t>
    </r>
    <r>
      <rPr>
        <sz val="11"/>
        <color theme="1"/>
        <rFont val="Calibri"/>
        <family val="2"/>
        <charset val="1"/>
      </rPr>
      <t xml:space="preserve">T14</t>
    </r>
    <r>
      <rPr>
        <sz val="11"/>
        <color theme="1"/>
        <rFont val="Noto Sans CJK SC"/>
        <family val="2"/>
      </rPr>
      <t xml:space="preserve">）；比照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：低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Neuron </t>
    </r>
    <r>
      <rPr>
        <sz val="11"/>
        <color theme="1"/>
        <rFont val="Noto Sans CJK SC"/>
        <family val="2"/>
      </rPr>
      <t xml:space="preserve">軟體成熟度）、基準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（略高於 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權重省記憶體）、高＝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還原值</t>
    </r>
  </si>
  <si>
    <t xml:space="preserve">D9</t>
  </si>
  <si>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產出比（原始）</t>
    </r>
  </si>
  <si>
    <t xml:space="preserve">D10</t>
  </si>
  <si>
    <t xml:space="preserve">每機架取得價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</si>
  <si>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T12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$2M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顆）；基準 </t>
    </r>
    <r>
      <rPr>
        <sz val="11"/>
        <color theme="1"/>
        <rFont val="Calibri"/>
        <family val="2"/>
        <charset val="1"/>
      </rPr>
      <t xml:space="preserve">T10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KGI $1.4–1.6M </t>
    </r>
    <r>
      <rPr>
        <sz val="11"/>
        <color theme="1"/>
        <rFont val="Noto Sans CJK SC"/>
        <family val="2"/>
      </rPr>
      <t xml:space="preserve">中點）；高＝</t>
    </r>
    <r>
      <rPr>
        <sz val="11"/>
        <color theme="1"/>
        <rFont val="Calibri"/>
        <family val="2"/>
        <charset val="1"/>
      </rPr>
      <t xml:space="preserve">KGI </t>
    </r>
    <r>
      <rPr>
        <sz val="11"/>
        <color theme="1"/>
        <rFont val="Noto Sans CJK SC"/>
        <family val="2"/>
      </rPr>
      <t xml:space="preserve">上緣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＋若晶片另計約 </t>
    </r>
    <r>
      <rPr>
        <sz val="11"/>
        <color theme="1"/>
        <rFont val="Calibri"/>
        <family val="2"/>
        <charset val="1"/>
      </rPr>
      <t xml:space="preserve">72×$8K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</si>
  <si>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賣方研究／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（區間）</t>
    </r>
  </si>
  <si>
    <t xml:space="preserve">D11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</si>
  <si>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機架數（以基準功率）</t>
    </r>
  </si>
  <si>
    <t xml:space="preserve">D12</t>
  </si>
  <si>
    <t xml:space="preserve">D13</t>
  </si>
  <si>
    <t xml:space="preserve">D14</t>
  </si>
  <si>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持有成本比（原始）</t>
    </r>
  </si>
  <si>
    <t xml:space="preserve">D15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</si>
  <si>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</t>
    </r>
  </si>
  <si>
    <t xml:space="preserve">D16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</si>
  <si>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FP8 PF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資本支出（模型）</t>
    </r>
  </si>
  <si>
    <t xml:space="preserve">$K/PF</t>
  </si>
  <si>
    <r>
      <rPr>
        <sz val="11"/>
        <color theme="1"/>
        <rFont val="Calibri"/>
        <family val="2"/>
        <charset val="1"/>
      </rPr>
      <t xml:space="preserve">Interface!J9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Spec_Rack!E40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FP8 5 PF</t>
    </r>
    <r>
      <rPr>
        <sz val="11"/>
        <color theme="1"/>
        <rFont val="Noto Sans CJK SC"/>
        <family val="2"/>
      </rPr>
      <t xml:space="preserve">）</t>
    </r>
  </si>
  <si>
    <t xml:space="preserve">D17</t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</si>
  <si>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FP8 PF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GB300</t>
    </r>
  </si>
  <si>
    <r>
      <rPr>
        <sz val="11"/>
        <color theme="1"/>
        <rFont val="Calibri"/>
        <family val="2"/>
        <charset val="1"/>
      </rPr>
      <t xml:space="preserve">T13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每標稱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效能 </t>
    </r>
    <r>
      <rPr>
        <sz val="11"/>
        <color theme="1"/>
        <rFont val="Calibri"/>
        <family val="2"/>
        <charset val="1"/>
      </rPr>
      <t xml:space="preserve">TCO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好約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</si>
  <si>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≈0.7 </t>
    </r>
    <r>
      <rPr>
        <sz val="11"/>
        <color theme="1"/>
        <rFont val="Noto Sans CJK SC"/>
        <family val="2"/>
      </rPr>
      <t xml:space="preserve">表示本表價格與 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說法相容；不進建議值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</si>
  <si>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精度對齊旁證（不進建議值）：若 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也只以 </t>
    </r>
    <r>
      <rPr>
        <b val="true"/>
        <sz val="11"/>
        <rFont val="Cambria"/>
        <family val="0"/>
        <charset val="1"/>
      </rPr>
      <t xml:space="preserve">FP8 </t>
    </r>
    <r>
      <rPr>
        <b val="true"/>
        <sz val="11"/>
        <rFont val="Noto Sans CJK SC"/>
        <family val="2"/>
      </rPr>
      <t xml:space="preserve">服務</t>
    </r>
  </si>
  <si>
    <t xml:space="preserve">E1</t>
  </si>
  <si>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方法一，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（比值 </t>
    </r>
    <r>
      <rPr>
        <sz val="11"/>
        <color theme="1"/>
        <rFont val="Calibri"/>
        <family val="2"/>
        <charset val="1"/>
      </rPr>
      <t xml:space="preserve">× A1÷A21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</si>
  <si>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只用方法一（與 </t>
    </r>
    <r>
      <rPr>
        <sz val="11"/>
        <color theme="1"/>
        <rFont val="Calibri"/>
        <family val="2"/>
        <charset val="1"/>
      </rPr>
      <t xml:space="preserve">C16 </t>
    </r>
    <r>
      <rPr>
        <sz val="11"/>
        <color theme="1"/>
        <rFont val="Noto Sans CJK SC"/>
        <family val="2"/>
      </rPr>
      <t xml:space="preserve">一致）；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仍取 </t>
    </r>
    <r>
      <rPr>
        <sz val="11"/>
        <color theme="1"/>
        <rFont val="Calibri"/>
        <family val="2"/>
        <charset val="1"/>
      </rPr>
      <t xml:space="preserve">C7</t>
    </r>
    <r>
      <rPr>
        <sz val="11"/>
        <color theme="1"/>
        <rFont val="Noto Sans CJK SC"/>
        <family val="2"/>
      </rPr>
      <t xml:space="preserve">；嚴格而言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須用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口徑重新還原（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會減半），此列只示意量級</t>
    </r>
  </si>
  <si>
    <t xml:space="preserve">E2</t>
  </si>
  <si>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FP8</t>
    </r>
  </si>
  <si>
    <t xml:space="preserve">同上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</si>
  <si>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敏感度（一次動一個參數，其餘取基準；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＝參數低值對應結果，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＝高值）</t>
    </r>
  </si>
  <si>
    <t xml:space="preserve">F1</t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</si>
  <si>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：方法一，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取 低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基準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高</t>
    </r>
  </si>
  <si>
    <t xml:space="preserve">產出比</t>
  </si>
  <si>
    <t xml:space="preserve">F2</t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</si>
  <si>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：方法一，每顆功率 </t>
    </r>
    <r>
      <rPr>
        <sz val="11"/>
        <color theme="1"/>
        <rFont val="Calibri"/>
        <family val="2"/>
        <charset val="1"/>
      </rPr>
      <t xml:space="preserve">1.5625</t>
    </r>
    <r>
      <rPr>
        <sz val="11"/>
        <color theme="1"/>
        <rFont val="Noto Sans CJK SC"/>
        <family val="2"/>
      </rPr>
      <t xml:space="preserve">（冷卻上限 </t>
    </r>
    <r>
      <rPr>
        <sz val="11"/>
        <color theme="1"/>
        <rFont val="Calibri"/>
        <family val="2"/>
        <charset val="1"/>
      </rPr>
      <t xml:space="preserve">100 kW÷64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1.085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Noto Sans CJK SC"/>
        <family val="2"/>
      </rPr>
      <t xml:space="preserve">（若 </t>
    </r>
    <r>
      <rPr>
        <sz val="11"/>
        <color theme="1"/>
        <rFont val="Calibri"/>
        <family val="2"/>
        <charset val="1"/>
      </rPr>
      <t xml:space="preserve">10 MW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PUE 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</si>
  <si>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T03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T02</t>
    </r>
  </si>
  <si>
    <t xml:space="preserve">F3</t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</si>
  <si>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：方法二（對照），</t>
    </r>
    <r>
      <rPr>
        <sz val="11"/>
        <color theme="1"/>
        <rFont val="Calibri"/>
        <family val="2"/>
        <charset val="1"/>
      </rPr>
      <t xml:space="preserve">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</si>
  <si>
    <t xml:space="preserve">F4</t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</si>
  <si>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：持有比，每顆功率 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1.03 kW</t>
    </r>
    <r>
      <rPr>
        <sz val="11"/>
        <color theme="1"/>
        <rFont val="Noto Sans CJK SC"/>
        <family val="2"/>
      </rPr>
      <t xml:space="preserve">（價格取基準）</t>
    </r>
  </si>
  <si>
    <t xml:space="preserve">持有比</t>
  </si>
  <si>
    <r>
      <rPr>
        <sz val="11"/>
        <color theme="1"/>
        <rFont val="Noto Sans CJK SC"/>
        <family val="2"/>
      </rPr>
      <t xml:space="preserve">功率↑→每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顆數↓→資本支出↓</t>
    </r>
  </si>
  <si>
    <t xml:space="preserve">F5</t>
  </si>
  <si>
    <r>
      <rPr>
        <sz val="11"/>
        <color theme="1"/>
        <rFont val="Calibri"/>
        <family val="2"/>
        <charset val="1"/>
      </rPr>
      <t xml:space="preserve">Trn3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 0.50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1.04</t>
    </r>
  </si>
  <si>
    <t xml:space="preserve">F6</t>
  </si>
  <si>
    <r>
      <rPr>
        <sz val="11"/>
        <color theme="1"/>
        <rFont val="Calibri"/>
        <family val="2"/>
        <charset val="1"/>
      </rPr>
      <t xml:space="preserve">Trn3</t>
    </r>
    <r>
      <rPr>
        <sz val="11"/>
        <color theme="1"/>
        <rFont val="Noto Sans CJK SC"/>
        <family val="2"/>
      </rPr>
      <t xml:space="preserve">：晶片 </t>
    </r>
    <r>
      <rPr>
        <sz val="11"/>
        <color theme="1"/>
        <rFont val="Calibri"/>
        <family val="2"/>
        <charset val="1"/>
      </rPr>
      <t xml:space="preserve">TDP 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 kW</t>
    </r>
  </si>
  <si>
    <t xml:space="preserve">F7</t>
  </si>
  <si>
    <r>
      <rPr>
        <sz val="11"/>
        <color theme="1"/>
        <rFont val="Calibri"/>
        <family val="2"/>
        <charset val="1"/>
      </rPr>
      <t xml:space="preserve">Trn3</t>
    </r>
    <r>
      <rPr>
        <sz val="11"/>
        <color theme="1"/>
        <rFont val="Noto Sans CJK SC"/>
        <family val="2"/>
      </rPr>
      <t xml:space="preserve">：機架功率改用電源裝置 </t>
    </r>
    <r>
      <rPr>
        <sz val="11"/>
        <color theme="1"/>
        <rFont val="Calibri"/>
        <family val="2"/>
        <charset val="1"/>
      </rPr>
      <t xml:space="preserve">127.5 kW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5+1</t>
    </r>
    <r>
      <rPr>
        <sz val="11"/>
        <color theme="1"/>
        <rFont val="Noto Sans CJK SC"/>
        <family val="2"/>
      </rPr>
      <t xml:space="preserve">）</t>
    </r>
  </si>
  <si>
    <t xml:space="preserve">T10</t>
  </si>
  <si>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欄有意義</t>
    </r>
  </si>
  <si>
    <t xml:space="preserve">F9</t>
  </si>
  <si>
    <r>
      <rPr>
        <sz val="11"/>
        <color theme="1"/>
        <rFont val="Calibri"/>
        <family val="2"/>
        <charset val="1"/>
      </rPr>
      <t xml:space="preserve">Trn3</t>
    </r>
    <r>
      <rPr>
        <sz val="11"/>
        <color theme="1"/>
        <rFont val="Noto Sans CJK SC"/>
        <family val="2"/>
      </rPr>
      <t xml:space="preserve">：機架倍數 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／基準／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TDP </t>
    </r>
    <r>
      <rPr>
        <sz val="11"/>
        <color theme="1"/>
        <rFont val="Noto Sans CJK SC"/>
        <family val="2"/>
      </rPr>
      <t xml:space="preserve">取基準）</t>
    </r>
  </si>
  <si>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新增</t>
    </r>
  </si>
  <si>
    <t xml:space="preserve">F8</t>
  </si>
  <si>
    <r>
      <rPr>
        <sz val="11"/>
        <color theme="1"/>
        <rFont val="Calibri"/>
        <family val="2"/>
        <charset val="1"/>
      </rPr>
      <t xml:space="preserve">Trn3</t>
    </r>
    <r>
      <rPr>
        <sz val="11"/>
        <color theme="1"/>
        <rFont val="Noto Sans CJK SC"/>
        <family val="2"/>
      </rPr>
      <t xml:space="preserve">：持有比，晶片 </t>
    </r>
    <r>
      <rPr>
        <sz val="11"/>
        <color theme="1"/>
        <rFont val="Calibri"/>
        <family val="2"/>
        <charset val="1"/>
      </rPr>
      <t xml:space="preserve">TDP 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 kW</t>
    </r>
    <r>
      <rPr>
        <sz val="11"/>
        <color theme="1"/>
        <rFont val="Noto Sans CJK SC"/>
        <family val="2"/>
      </rPr>
      <t xml:space="preserve">（價格取基準）</t>
    </r>
  </si>
  <si>
    <t xml:space="preserve">主張</t>
  </si>
  <si>
    <t xml:space="preserve">數值</t>
  </si>
  <si>
    <t xml:space="preserve">口徑</t>
  </si>
  <si>
    <t xml:space="preserve">出處網址</t>
  </si>
  <si>
    <t xml:space="preserve">來源等級</t>
  </si>
  <si>
    <t xml:space="preserve">立場</t>
  </si>
  <si>
    <t xml:space="preserve">取得方式與備註</t>
  </si>
  <si>
    <t xml:space="preserve">用於</t>
  </si>
  <si>
    <r>
      <rPr>
        <sz val="11"/>
        <color theme="1"/>
        <rFont val="Calibri"/>
        <family val="2"/>
        <charset val="1"/>
      </rPr>
      <t xml:space="preserve">TPU v7 Ironwood </t>
    </r>
    <r>
      <rPr>
        <sz val="11"/>
        <color theme="1"/>
        <rFont val="Noto Sans CJK SC"/>
        <family val="2"/>
      </rPr>
      <t xml:space="preserve">單顆峰值 </t>
    </r>
    <r>
      <rPr>
        <sz val="11"/>
        <color theme="1"/>
        <rFont val="Calibri"/>
        <family val="2"/>
        <charset val="1"/>
      </rPr>
      <t xml:space="preserve">4,614 TFLOPs</t>
    </r>
    <r>
      <rPr>
        <sz val="11"/>
        <color theme="1"/>
        <rFont val="Noto Sans CJK SC"/>
        <family val="2"/>
      </rPr>
      <t xml:space="preserve">（圖說標 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192 GB 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7.37 TB/s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pod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顆與 </t>
    </r>
    <r>
      <rPr>
        <sz val="11"/>
        <color theme="1"/>
        <rFont val="Calibri"/>
        <family val="2"/>
        <charset val="1"/>
      </rPr>
      <t xml:space="preserve">9,216 </t>
    </r>
    <r>
      <rPr>
        <sz val="11"/>
        <color theme="1"/>
        <rFont val="Noto Sans CJK SC"/>
        <family val="2"/>
      </rPr>
      <t xml:space="preserve">顆兩種；</t>
    </r>
    <r>
      <rPr>
        <sz val="11"/>
        <color theme="1"/>
        <rFont val="Calibri"/>
        <family val="2"/>
        <charset val="1"/>
      </rPr>
      <t xml:space="preserve">9,216 </t>
    </r>
    <r>
      <rPr>
        <sz val="11"/>
        <color theme="1"/>
        <rFont val="Noto Sans CJK SC"/>
        <family val="2"/>
      </rPr>
      <t xml:space="preserve">顆合計 </t>
    </r>
    <r>
      <rPr>
        <sz val="11"/>
        <color theme="1"/>
        <rFont val="Calibri"/>
        <family val="2"/>
        <charset val="1"/>
      </rPr>
      <t xml:space="preserve">42.5 EFLOPS</t>
    </r>
    <r>
      <rPr>
        <sz val="11"/>
        <color theme="1"/>
        <rFont val="Noto Sans CJK SC"/>
        <family val="2"/>
      </rPr>
      <t xml:space="preserve">；液冷</t>
    </r>
  </si>
  <si>
    <r>
      <rPr>
        <sz val="11"/>
        <color theme="1"/>
        <rFont val="Calibri"/>
        <family val="2"/>
        <charset val="1"/>
      </rPr>
      <t xml:space="preserve">4,614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7.37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9,216</t>
    </r>
  </si>
  <si>
    <r>
      <rPr>
        <sz val="11"/>
        <color theme="1"/>
        <rFont val="Calibri"/>
        <family val="2"/>
        <charset val="1"/>
      </rPr>
      <t xml:space="preserve">TF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TB/s</t>
    </r>
    <r>
      <rPr>
        <sz val="11"/>
        <color theme="1"/>
        <rFont val="Noto Sans CJK SC"/>
        <family val="2"/>
      </rPr>
      <t xml:space="preserve">；顆</t>
    </r>
  </si>
  <si>
    <r>
      <rPr>
        <sz val="11"/>
        <color theme="1"/>
        <rFont val="Noto Sans CJK SC"/>
        <family val="2"/>
      </rPr>
      <t xml:space="preserve">單顆、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未標 </t>
    </r>
    <r>
      <rPr>
        <sz val="11"/>
        <color theme="1"/>
        <rFont val="Calibri"/>
        <family val="2"/>
        <charset val="1"/>
      </rPr>
      <t xml:space="preserve">sparse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Flopper </t>
    </r>
    <r>
      <rPr>
        <sz val="11"/>
        <color theme="1"/>
        <rFont val="Noto Sans CJK SC"/>
        <family val="2"/>
      </rPr>
      <t xml:space="preserve">皆稱 </t>
    </r>
    <r>
      <rPr>
        <sz val="11"/>
        <color theme="1"/>
        <rFont val="Calibri"/>
        <family val="2"/>
        <charset val="1"/>
      </rPr>
      <t xml:space="preserve">FP8 dense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）</t>
    </r>
  </si>
  <si>
    <t xml:space="preserve">https://blog.google/products/google-cloud/ironwood-tpu-age-of-inference/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</si>
  <si>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官方部落格，</t>
    </r>
    <r>
      <rPr>
        <sz val="11"/>
        <color theme="1"/>
        <rFont val="Calibri"/>
        <family val="2"/>
        <charset val="1"/>
      </rPr>
      <t xml:space="preserve">2025-04-09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04-23 </t>
    </r>
    <r>
      <rPr>
        <sz val="11"/>
        <color theme="1"/>
        <rFont val="Noto Sans CJK SC"/>
        <family val="2"/>
      </rPr>
      <t xml:space="preserve">更新）</t>
    </r>
  </si>
  <si>
    <t xml:space="preserve">支持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</si>
  <si>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，銷售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雲端容量與外售機架）</t>
    </r>
  </si>
  <si>
    <r>
      <rPr>
        <sz val="11"/>
        <color theme="1"/>
        <rFont val="Noto Sans CJK SC"/>
        <family val="2"/>
      </rPr>
      <t xml:space="preserve">全文。官方未寫『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』於本文，只見圖說；</t>
    </r>
    <r>
      <rPr>
        <sz val="11"/>
        <color theme="1"/>
        <rFont val="Calibri"/>
        <family val="2"/>
        <charset val="1"/>
      </rPr>
      <t xml:space="preserve">42.5 EF ÷ 9,216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4.61 PF </t>
    </r>
    <r>
      <rPr>
        <sz val="11"/>
        <color theme="1"/>
        <rFont val="Noto Sans CJK SC"/>
        <family val="2"/>
      </rPr>
      <t xml:space="preserve">自洽。</t>
    </r>
  </si>
  <si>
    <t xml:space="preserve">T02</t>
  </si>
  <si>
    <r>
      <rPr>
        <sz val="11"/>
        <color theme="1"/>
        <rFont val="Calibri"/>
        <family val="2"/>
        <charset val="1"/>
      </rPr>
      <t xml:space="preserve">9,216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Ironwood pod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spanning nearly 10 MW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perf/watt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Trillium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</si>
  <si>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≈10</t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</si>
  <si>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pod</t>
    </r>
  </si>
  <si>
    <r>
      <rPr>
        <sz val="11"/>
        <color theme="1"/>
        <rFont val="Noto Sans CJK SC"/>
        <family val="2"/>
      </rPr>
      <t xml:space="preserve">整個 </t>
    </r>
    <r>
      <rPr>
        <sz val="11"/>
        <color theme="1"/>
        <rFont val="Calibri"/>
        <family val="2"/>
        <charset val="1"/>
      </rPr>
      <t xml:space="preserve">pod</t>
    </r>
    <r>
      <rPr>
        <sz val="11"/>
        <color theme="1"/>
        <rFont val="Noto Sans CJK SC"/>
        <family val="2"/>
      </rPr>
      <t xml:space="preserve">、滿載（</t>
    </r>
    <r>
      <rPr>
        <sz val="11"/>
        <color theme="1"/>
        <rFont val="Calibri"/>
        <family val="2"/>
        <charset val="1"/>
      </rPr>
      <t xml:space="preserve">The Register </t>
    </r>
    <r>
      <rPr>
        <sz val="11"/>
        <color theme="1"/>
        <rFont val="Noto Sans CJK SC"/>
        <family val="2"/>
      </rPr>
      <t xml:space="preserve">轉述『</t>
    </r>
    <r>
      <rPr>
        <sz val="11"/>
        <color theme="1"/>
        <rFont val="Calibri"/>
        <family val="2"/>
        <charset val="1"/>
      </rPr>
      <t xml:space="preserve">roughly 10 megawatts under full load</t>
    </r>
    <r>
      <rPr>
        <sz val="11"/>
        <color theme="1"/>
        <rFont val="Noto Sans CJK SC"/>
        <family val="2"/>
      </rPr>
      <t xml:space="preserve">』）；是否含冷卻設施未說明</t>
    </r>
  </si>
  <si>
    <r>
      <rPr>
        <sz val="11"/>
        <color theme="1"/>
        <rFont val="Calibri"/>
        <family val="2"/>
        <charset val="1"/>
      </rPr>
      <t xml:space="preserve">https://blog.google/products/google-cloud/ironwood-tpu-age-of-inference/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https://www.theregister.com/2025/04/10/googles_7thgen_ironwood_tpus_debut/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</si>
  <si>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</si>
  <si>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10 MW ÷ 9,216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1.085 kW</t>
    </r>
    <r>
      <rPr>
        <sz val="11"/>
        <color theme="1"/>
        <rFont val="Noto Sans CJK SC"/>
        <family val="2"/>
      </rPr>
      <t xml:space="preserve">／顆（含主機、</t>
    </r>
    <r>
      <rPr>
        <sz val="11"/>
        <color theme="1"/>
        <rFont val="Calibri"/>
        <family val="2"/>
        <charset val="1"/>
      </rPr>
      <t xml:space="preserve">ICI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pod </t>
    </r>
    <r>
      <rPr>
        <sz val="11"/>
        <color theme="1"/>
        <rFont val="Noto Sans CJK SC"/>
        <family val="2"/>
      </rPr>
      <t xml:space="preserve">內全部設備的平均）。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未公布單顆 </t>
    </r>
    <r>
      <rPr>
        <sz val="11"/>
        <color theme="1"/>
        <rFont val="Calibri"/>
        <family val="2"/>
        <charset val="1"/>
      </rPr>
      <t xml:space="preserve">TDP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The Register </t>
    </r>
    <r>
      <rPr>
        <sz val="11"/>
        <color theme="1"/>
        <rFont val="Noto Sans CJK SC"/>
        <family val="2"/>
      </rPr>
      <t xml:space="preserve">推測 </t>
    </r>
    <r>
      <rPr>
        <sz val="11"/>
        <color theme="1"/>
        <rFont val="Calibri"/>
        <family val="2"/>
        <charset val="1"/>
      </rPr>
      <t xml:space="preserve">700 W–1 kW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XPU.pub </t>
    </r>
    <r>
      <rPr>
        <sz val="11"/>
        <color theme="1"/>
        <rFont val="Noto Sans CJK SC"/>
        <family val="2"/>
      </rPr>
      <t xml:space="preserve">以同一 </t>
    </r>
    <r>
      <rPr>
        <sz val="11"/>
        <color theme="1"/>
        <rFont val="Calibri"/>
        <family val="2"/>
        <charset val="1"/>
      </rPr>
      <t xml:space="preserve">10 MW </t>
    </r>
    <r>
      <rPr>
        <sz val="11"/>
        <color theme="1"/>
        <rFont val="Noto Sans CJK SC"/>
        <family val="2"/>
      </rPr>
      <t xml:space="preserve">推得『約 </t>
    </r>
    <r>
      <rPr>
        <sz val="11"/>
        <color theme="1"/>
        <rFont val="Calibri"/>
        <family val="2"/>
        <charset val="1"/>
      </rPr>
      <t xml:space="preserve">1 kW</t>
    </r>
    <r>
      <rPr>
        <sz val="11"/>
        <color theme="1"/>
        <rFont val="Noto Sans CJK SC"/>
        <family val="2"/>
      </rPr>
      <t xml:space="preserve">』（同源，非第二來源）。</t>
    </r>
  </si>
  <si>
    <t xml:space="preserve">C2–C4</t>
  </si>
  <si>
    <t xml:space="preserve">T03</t>
  </si>
  <si>
    <r>
      <rPr>
        <sz val="11"/>
        <color theme="1"/>
        <rFont val="Calibri"/>
        <family val="2"/>
        <charset val="1"/>
      </rPr>
      <t xml:space="preserve">Hot Chips 2025</t>
    </r>
    <r>
      <rPr>
        <sz val="11"/>
        <color theme="1"/>
        <rFont val="Noto Sans CJK SC"/>
        <family val="2"/>
      </rPr>
      <t xml:space="preserve">：每托盤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顆、每架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托盤＝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Noto Sans CJK SC"/>
        <family val="2"/>
      </rPr>
      <t xml:space="preserve">顆；每 </t>
    </r>
    <r>
      <rPr>
        <sz val="11"/>
        <color theme="1"/>
        <rFont val="Calibri"/>
        <family val="2"/>
        <charset val="1"/>
      </rPr>
      <t xml:space="preserve">superpod 144 </t>
    </r>
    <r>
      <rPr>
        <sz val="11"/>
        <color theme="1"/>
        <rFont val="Noto Sans CJK SC"/>
        <family val="2"/>
      </rPr>
      <t xml:space="preserve">架；第三代液冷，每架散熱能力『</t>
    </r>
    <r>
      <rPr>
        <sz val="11"/>
        <color theme="1"/>
        <rFont val="Calibri"/>
        <family val="2"/>
        <charset val="1"/>
      </rPr>
      <t xml:space="preserve">over 100 kW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</si>
  <si>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144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&gt;100</t>
    </r>
  </si>
  <si>
    <r>
      <rPr>
        <sz val="11"/>
        <color theme="1"/>
        <rFont val="Noto Sans CJK SC"/>
        <family val="2"/>
      </rPr>
      <t xml:space="preserve">顆／架；架；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／架</t>
    </r>
  </si>
  <si>
    <r>
      <rPr>
        <sz val="11"/>
        <color theme="1"/>
        <rFont val="Calibri"/>
        <family val="2"/>
        <charset val="1"/>
      </rPr>
      <t xml:space="preserve">100 kW </t>
    </r>
    <r>
      <rPr>
        <sz val="11"/>
        <color theme="1"/>
        <rFont val="Noto Sans CJK SC"/>
        <family val="2"/>
      </rPr>
      <t xml:space="preserve">為冷卻能力（設計上限），非實際耗電</t>
    </r>
  </si>
  <si>
    <r>
      <rPr>
        <sz val="11"/>
        <color theme="1"/>
        <rFont val="Calibri"/>
        <family val="2"/>
        <charset val="1"/>
      </rPr>
      <t xml:space="preserve">https://www.servethehome.com/googles-ironwood-tpu-swings-for-reasoning-model-leadership-at-hot-chips-2025/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https://en.gamegpu.com/news/zhelezo/google-predstavila-tpu-ironwood-na-hot-chips-2025-7-e-pokolenie-uskoritelej-dlya-ii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https://longportapp.cn/news/254449761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</si>
  <si>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（媒體轉述 </t>
    </r>
    <r>
      <rPr>
        <sz val="11"/>
        <color theme="1"/>
        <rFont val="Calibri"/>
        <family val="2"/>
        <charset val="1"/>
      </rPr>
      <t xml:space="preserve">Google Hot Chips </t>
    </r>
    <r>
      <rPr>
        <sz val="11"/>
        <color theme="1"/>
        <rFont val="Noto Sans CJK SC"/>
        <family val="2"/>
      </rPr>
      <t xml:space="preserve">簡報）</t>
    </r>
  </si>
  <si>
    <t xml:space="preserve">支持（上限）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</si>
  <si>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簡報，二手）</t>
    </r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</si>
  <si>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longportapp </t>
    </r>
    <r>
      <rPr>
        <sz val="11"/>
        <color theme="1"/>
        <rFont val="Noto Sans CJK SC"/>
        <family val="2"/>
      </rPr>
      <t xml:space="preserve">寫『滿載機架可耗電超過 </t>
    </r>
    <r>
      <rPr>
        <sz val="11"/>
        <color theme="1"/>
        <rFont val="Calibri"/>
        <family val="2"/>
        <charset val="1"/>
      </rPr>
      <t xml:space="preserve">100 kW</t>
    </r>
    <r>
      <rPr>
        <sz val="11"/>
        <color theme="1"/>
        <rFont val="Noto Sans CJK SC"/>
        <family val="2"/>
      </rPr>
      <t xml:space="preserve">』，與 </t>
    </r>
    <r>
      <rPr>
        <sz val="11"/>
        <color theme="1"/>
        <rFont val="Calibri"/>
        <family val="2"/>
        <charset val="1"/>
      </rPr>
      <t xml:space="preserve">gamegpu</t>
    </r>
    <r>
      <rPr>
        <sz val="11"/>
        <color theme="1"/>
        <rFont val="Noto Sans CJK SC"/>
        <family val="2"/>
      </rPr>
      <t xml:space="preserve">『每架散熱能力 </t>
    </r>
    <r>
      <rPr>
        <sz val="11"/>
        <color theme="1"/>
        <rFont val="Calibri"/>
        <family val="2"/>
        <charset val="1"/>
      </rPr>
      <t xml:space="preserve">over 100 kW</t>
    </r>
    <r>
      <rPr>
        <sz val="11"/>
        <color theme="1"/>
        <rFont val="Noto Sans CJK SC"/>
        <family val="2"/>
      </rPr>
      <t xml:space="preserve">』口徑不同；以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架</t>
    </r>
    <r>
      <rPr>
        <sz val="11"/>
        <color theme="1"/>
        <rFont val="Calibri"/>
        <family val="2"/>
        <charset val="1"/>
      </rPr>
      <t xml:space="preserve">×100 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14.4 MW </t>
    </r>
    <r>
      <rPr>
        <sz val="11"/>
        <color theme="1"/>
        <rFont val="Noto Sans CJK SC"/>
        <family val="2"/>
      </rPr>
      <t xml:space="preserve">大於官方 </t>
    </r>
    <r>
      <rPr>
        <sz val="11"/>
        <color theme="1"/>
        <rFont val="Calibri"/>
        <family val="2"/>
        <charset val="1"/>
      </rPr>
      <t xml:space="preserve">10 MW</t>
    </r>
    <r>
      <rPr>
        <sz val="11"/>
        <color theme="1"/>
        <rFont val="Noto Sans CJK SC"/>
        <family val="2"/>
      </rPr>
      <t xml:space="preserve">，判定 </t>
    </r>
    <r>
      <rPr>
        <sz val="11"/>
        <color theme="1"/>
        <rFont val="Calibri"/>
        <family val="2"/>
        <charset val="1"/>
      </rPr>
      <t xml:space="preserve">100 kW </t>
    </r>
    <r>
      <rPr>
        <sz val="11"/>
        <color theme="1"/>
        <rFont val="Noto Sans CJK SC"/>
        <family val="2"/>
      </rPr>
      <t xml:space="preserve">為冷卻設計上限。</t>
    </r>
    <r>
      <rPr>
        <sz val="11"/>
        <color theme="1"/>
        <rFont val="Calibri"/>
        <family val="2"/>
        <charset val="1"/>
      </rPr>
      <t xml:space="preserve">10 MW ÷ 144 </t>
    </r>
    <r>
      <rPr>
        <sz val="11"/>
        <color theme="1"/>
        <rFont val="Noto Sans CJK SC"/>
        <family val="2"/>
      </rPr>
      <t xml:space="preserve">架＝約 </t>
    </r>
    <r>
      <rPr>
        <sz val="11"/>
        <color theme="1"/>
        <rFont val="Calibri"/>
        <family val="2"/>
        <charset val="1"/>
      </rPr>
      <t xml:space="preserve">69 kW</t>
    </r>
    <r>
      <rPr>
        <sz val="11"/>
        <color theme="1"/>
        <rFont val="Noto Sans CJK SC"/>
        <family val="2"/>
      </rPr>
      <t xml:space="preserve">／架（若 </t>
    </r>
    <r>
      <rPr>
        <sz val="11"/>
        <color theme="1"/>
        <rFont val="Calibri"/>
        <family val="2"/>
        <charset val="1"/>
      </rPr>
      <t xml:space="preserve">pod </t>
    </r>
    <r>
      <rPr>
        <sz val="11"/>
        <color theme="1"/>
        <rFont val="Noto Sans CJK SC"/>
        <family val="2"/>
      </rPr>
      <t xml:space="preserve">功率全在運算架）。</t>
    </r>
  </si>
  <si>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（敏感度 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</si>
  <si>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t xml:space="preserve">T04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</si>
  <si>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：擴大使用 </t>
    </r>
    <r>
      <rPr>
        <sz val="11"/>
        <color theme="1"/>
        <rFont val="Calibri"/>
        <family val="2"/>
        <charset val="1"/>
      </rPr>
      <t xml:space="preserve">Google Cloud TPU</t>
    </r>
    <r>
      <rPr>
        <sz val="11"/>
        <color theme="1"/>
        <rFont val="Noto Sans CJK SC"/>
        <family val="2"/>
      </rPr>
      <t xml:space="preserve">，『</t>
    </r>
    <r>
      <rPr>
        <sz val="11"/>
        <color theme="1"/>
        <rFont val="Calibri"/>
        <family val="2"/>
        <charset val="1"/>
      </rPr>
      <t xml:space="preserve">up to one million TPUs</t>
    </r>
    <r>
      <rPr>
        <sz val="11"/>
        <color theme="1"/>
        <rFont val="Noto Sans CJK SC"/>
        <family val="2"/>
      </rPr>
      <t xml:space="preserve">』、價值『</t>
    </r>
    <r>
      <rPr>
        <sz val="11"/>
        <color theme="1"/>
        <rFont val="Calibri"/>
        <family val="2"/>
        <charset val="1"/>
      </rPr>
      <t xml:space="preserve">tens of billions of dollars</t>
    </r>
    <r>
      <rPr>
        <sz val="11"/>
        <color theme="1"/>
        <rFont val="Noto Sans CJK SC"/>
        <family val="2"/>
      </rPr>
      <t xml:space="preserve">』、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年上線『</t>
    </r>
    <r>
      <rPr>
        <sz val="11"/>
        <color theme="1"/>
        <rFont val="Calibri"/>
        <family val="2"/>
        <charset val="1"/>
      </rPr>
      <t xml:space="preserve">well over a gigawatt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</si>
  <si>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1,000,000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&gt;1</t>
    </r>
  </si>
  <si>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</si>
  <si>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設施口徑未說明（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可能為設施電力）</t>
    </r>
  </si>
  <si>
    <t xml:space="preserve">https://anthropic.com/news/expanding-our-use-of-google-cloud-tpus-and-services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</si>
  <si>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官方，</t>
    </r>
    <r>
      <rPr>
        <sz val="11"/>
        <color theme="1"/>
        <rFont val="Calibri"/>
        <family val="2"/>
        <charset val="1"/>
      </rPr>
      <t xml:space="preserve">2025-10-23</t>
    </r>
    <r>
      <rPr>
        <sz val="11"/>
        <color theme="1"/>
        <rFont val="Noto Sans CJK SC"/>
        <family val="2"/>
      </rPr>
      <t xml:space="preserve">）</t>
    </r>
  </si>
  <si>
    <t xml:space="preserve">支持（旁證）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</si>
  <si>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，買方；宣示算力規模）</t>
    </r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</si>
  <si>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萬顆對應『超過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』→ 每顆約 </t>
    </r>
    <r>
      <rPr>
        <sz val="11"/>
        <color theme="1"/>
        <rFont val="Calibri"/>
        <family val="2"/>
        <charset val="1"/>
      </rPr>
      <t xml:space="preserve">1 kW </t>
    </r>
    <r>
      <rPr>
        <sz val="11"/>
        <color theme="1"/>
        <rFont val="Noto Sans CJK SC"/>
        <family val="2"/>
      </rPr>
      <t xml:space="preserve">以上（若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含冷卻則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更低），與 </t>
    </r>
    <r>
      <rPr>
        <sz val="11"/>
        <color theme="1"/>
        <rFont val="Calibri"/>
        <family val="2"/>
        <charset val="1"/>
      </rPr>
      <t xml:space="preserve">T02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1.085 kW </t>
    </r>
    <r>
      <rPr>
        <sz val="11"/>
        <color theme="1"/>
        <rFont val="Noto Sans CJK SC"/>
        <family val="2"/>
      </rPr>
      <t xml:space="preserve">同量級。</t>
    </r>
  </si>
  <si>
    <r>
      <rPr>
        <sz val="11"/>
        <color theme="1"/>
        <rFont val="Calibri"/>
        <family val="2"/>
        <charset val="1"/>
      </rPr>
      <t xml:space="preserve">C4 </t>
    </r>
    <r>
      <rPr>
        <sz val="11"/>
        <color theme="1"/>
        <rFont val="Noto Sans CJK SC"/>
        <family val="2"/>
      </rPr>
      <t xml:space="preserve">旁證</t>
    </r>
  </si>
  <si>
    <r>
      <rPr>
        <sz val="11"/>
        <color theme="1"/>
        <rFont val="Calibri"/>
        <family val="2"/>
        <charset val="1"/>
      </rPr>
      <t xml:space="preserve">SemiAnalysis InferenceX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）：測試條件 </t>
    </r>
    <r>
      <rPr>
        <sz val="11"/>
        <color theme="1"/>
        <rFont val="Calibri"/>
        <family val="2"/>
        <charset val="1"/>
      </rPr>
      <t xml:space="preserve">20 tok/s/user</t>
    </r>
    <r>
      <rPr>
        <sz val="11"/>
        <color theme="1"/>
        <rFont val="Noto Sans CJK SC"/>
        <family val="2"/>
      </rPr>
      <t xml:space="preserve">（高批次、吞吐導向）、</t>
    </r>
    <r>
      <rPr>
        <sz val="11"/>
        <color theme="1"/>
        <rFont val="Calibri"/>
        <family val="2"/>
        <charset val="1"/>
      </rPr>
      <t xml:space="preserve">8k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1k </t>
    </r>
    <r>
      <rPr>
        <sz val="11"/>
        <color theme="1"/>
        <rFont val="Noto Sans CJK SC"/>
        <family val="2"/>
      </rPr>
      <t xml:space="preserve">輸出、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aggregated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disagg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Qwen3.5 397B</t>
    </r>
    <r>
      <rPr>
        <sz val="11"/>
        <color theme="1"/>
        <rFont val="Noto Sans CJK SC"/>
        <family val="2"/>
      </rPr>
      <t xml:space="preserve">；外部 </t>
    </r>
    <r>
      <rPr>
        <sz val="11"/>
        <color theme="1"/>
        <rFont val="Calibri"/>
        <family val="2"/>
        <charset val="1"/>
      </rPr>
      <t xml:space="preserve">TCO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v7 9,364 tok/s/chip vs B200 8,903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8,925 tok/s/GPU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100 tok/s/user </t>
    </r>
    <r>
      <rPr>
        <sz val="11"/>
        <color theme="1"/>
        <rFont val="Noto Sans CJK SC"/>
        <family val="2"/>
      </rPr>
      <t xml:space="preserve">每百萬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 </t>
    </r>
    <r>
      <rPr>
        <sz val="11"/>
        <color theme="1"/>
        <rFont val="Calibri"/>
        <family val="2"/>
        <charset val="1"/>
      </rPr>
      <t xml:space="preserve">TPU $0.181 vs B200 $0.222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B300 $0.276</t>
    </r>
    <r>
      <rPr>
        <sz val="11"/>
        <color theme="1"/>
        <rFont val="Noto Sans CJK SC"/>
        <family val="2"/>
      </rPr>
      <t xml:space="preserve">；內部 </t>
    </r>
    <r>
      <rPr>
        <sz val="11"/>
        <color theme="1"/>
        <rFont val="Calibri"/>
        <family val="2"/>
        <charset val="1"/>
      </rPr>
      <t xml:space="preserve">TCO $1.03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chip-hr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disagg</t>
    </r>
    <r>
      <rPr>
        <sz val="11"/>
        <color theme="1"/>
        <rFont val="Noto Sans CJK SC"/>
        <family val="2"/>
      </rPr>
      <t xml:space="preserve">）在中延遲區仍有約 </t>
    </r>
    <r>
      <rPr>
        <sz val="11"/>
        <color theme="1"/>
        <rFont val="Calibri"/>
        <family val="2"/>
        <charset val="1"/>
      </rPr>
      <t xml:space="preserve">30% perf/$ </t>
    </r>
    <r>
      <rPr>
        <sz val="11"/>
        <color theme="1"/>
        <rFont val="Noto Sans CJK SC"/>
        <family val="2"/>
      </rPr>
      <t xml:space="preserve">優勢；</t>
    </r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無原生 </t>
    </r>
    <r>
      <rPr>
        <sz val="11"/>
        <color theme="1"/>
        <rFont val="Calibri"/>
        <family val="2"/>
        <charset val="1"/>
      </rPr>
      <t xml:space="preserve">FP4</t>
    </r>
  </si>
  <si>
    <r>
      <rPr>
        <sz val="11"/>
        <color theme="1"/>
        <rFont val="Calibri"/>
        <family val="2"/>
        <charset val="1"/>
      </rPr>
      <t xml:space="preserve">9,364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8,903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1.03</t>
    </r>
  </si>
  <si>
    <r>
      <rPr>
        <sz val="11"/>
        <color theme="1"/>
        <rFont val="Calibri"/>
        <family val="2"/>
        <charset val="1"/>
      </rPr>
      <t xml:space="preserve">tok/s/chip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$/chip-hr</t>
    </r>
  </si>
  <si>
    <r>
      <rPr>
        <sz val="11"/>
        <color theme="1"/>
        <rFont val="Calibri"/>
        <family val="2"/>
        <charset val="1"/>
      </rPr>
      <t xml:space="preserve">Qwen3.5 397B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初期 </t>
    </r>
    <r>
      <rPr>
        <sz val="11"/>
        <color theme="1"/>
        <rFont val="Calibri"/>
        <family val="2"/>
        <charset val="1"/>
      </rPr>
      <t xml:space="preserve">bring-up </t>
    </r>
    <r>
      <rPr>
        <sz val="11"/>
        <color theme="1"/>
        <rFont val="Noto Sans CJK SC"/>
        <family val="2"/>
      </rPr>
      <t xml:space="preserve">模型；文中未逐點綁定）、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、聚合式（</t>
    </r>
    <r>
      <rPr>
        <sz val="11"/>
        <color theme="1"/>
        <rFont val="Calibri"/>
        <family val="2"/>
        <charset val="1"/>
      </rPr>
      <t xml:space="preserve">aggregated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</si>
  <si>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https://newsletter.semianalysis.com/p/tpu-inferencex-full-steam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https://inferencex.semianalysis.com/glossary/tpuv7-ironwood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</si>
  <si>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（第三方實測，開源基準；</t>
    </r>
    <r>
      <rPr>
        <sz val="11"/>
        <color theme="1"/>
        <rFont val="Calibri"/>
        <family val="2"/>
        <charset val="1"/>
      </rPr>
      <t xml:space="preserve">TCO </t>
    </r>
    <r>
      <rPr>
        <sz val="11"/>
        <color theme="1"/>
        <rFont val="Noto Sans CJK SC"/>
        <family val="2"/>
      </rPr>
      <t xml:space="preserve">段付費牆）</t>
    </r>
  </si>
  <si>
    <r>
      <rPr>
        <sz val="11"/>
        <color theme="1"/>
        <rFont val="Noto Sans CJK SC"/>
        <family val="2"/>
      </rPr>
      <t xml:space="preserve">第三方；單一來源（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），依本專案規則只作佐證、不單獨使用</t>
    </r>
  </si>
  <si>
    <r>
      <rPr>
        <sz val="11"/>
        <color theme="1"/>
        <rFont val="Noto Sans CJK SC"/>
        <family val="2"/>
      </rPr>
      <t xml:space="preserve">公開部分全文；圖表為影像未讀；</t>
    </r>
    <r>
      <rPr>
        <sz val="11"/>
        <color theme="1"/>
        <rFont val="Calibri"/>
        <family val="2"/>
        <charset val="1"/>
      </rPr>
      <t xml:space="preserve">TCO </t>
    </r>
    <r>
      <rPr>
        <sz val="11"/>
        <color theme="1"/>
        <rFont val="Noto Sans CJK SC"/>
        <family val="2"/>
      </rPr>
      <t xml:space="preserve">細節付費牆。注意：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HGX 8 </t>
    </r>
    <r>
      <rPr>
        <sz val="11"/>
        <color theme="1"/>
        <rFont val="Noto Sans CJK SC"/>
        <family val="2"/>
      </rPr>
      <t xml:space="preserve">卡（</t>
    </r>
    <r>
      <rPr>
        <sz val="11"/>
        <color theme="1"/>
        <rFont val="Calibri"/>
        <family val="2"/>
        <charset val="1"/>
      </rPr>
      <t xml:space="preserve">1 kW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），模型的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 kW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卡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產出代入 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是近似。高批次吞吐導向的測點代入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三層（含互動性與長上下文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）可能偏樂觀；同文 </t>
    </r>
    <r>
      <rPr>
        <sz val="11"/>
        <color theme="1"/>
        <rFont val="Calibri"/>
        <family val="2"/>
        <charset val="1"/>
      </rPr>
      <t xml:space="preserve">GB300 NVL72 disagg </t>
    </r>
    <r>
      <rPr>
        <sz val="11"/>
        <color theme="1"/>
        <rFont val="Noto Sans CJK SC"/>
        <family val="2"/>
      </rPr>
      <t xml:space="preserve">在中延遲區約好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：只作 </t>
    </r>
    <r>
      <rPr>
        <sz val="11"/>
        <color theme="1"/>
        <rFont val="Calibri"/>
        <family val="2"/>
        <charset val="1"/>
      </rPr>
      <t xml:space="preserve">C7 </t>
    </r>
    <r>
      <rPr>
        <sz val="11"/>
        <color theme="1"/>
        <rFont val="Noto Sans CJK SC"/>
        <family val="2"/>
      </rPr>
      <t xml:space="preserve">高端佐證與 </t>
    </r>
    <r>
      <rPr>
        <sz val="11"/>
        <color theme="1"/>
        <rFont val="Calibri"/>
        <family val="2"/>
        <charset val="1"/>
      </rPr>
      <t xml:space="preserve">C15 </t>
    </r>
    <r>
      <rPr>
        <sz val="11"/>
        <color theme="1"/>
        <rFont val="Noto Sans CJK SC"/>
        <family val="2"/>
      </rPr>
      <t xml:space="preserve">對照，不進建議值。</t>
    </r>
  </si>
  <si>
    <r>
      <rPr>
        <sz val="11"/>
        <color theme="1"/>
        <rFont val="Calibri"/>
        <family val="2"/>
        <charset val="1"/>
      </rPr>
      <t xml:space="preserve">C7 </t>
    </r>
    <r>
      <rPr>
        <sz val="11"/>
        <color theme="1"/>
        <rFont val="Noto Sans CJK SC"/>
        <family val="2"/>
      </rPr>
      <t xml:space="preserve">高端佐證、</t>
    </r>
    <r>
      <rPr>
        <sz val="11"/>
        <color theme="1"/>
        <rFont val="Calibri"/>
        <family val="2"/>
        <charset val="1"/>
      </rPr>
      <t xml:space="preserve">C15 </t>
    </r>
    <r>
      <rPr>
        <sz val="11"/>
        <color theme="1"/>
        <rFont val="Noto Sans CJK SC"/>
        <family val="2"/>
      </rPr>
      <t xml:space="preserve">對照、</t>
    </r>
    <r>
      <rPr>
        <sz val="11"/>
        <color theme="1"/>
        <rFont val="Calibri"/>
        <family val="2"/>
        <charset val="1"/>
      </rPr>
      <t xml:space="preserve">C23</t>
    </r>
  </si>
  <si>
    <t xml:space="preserve">T06</t>
  </si>
  <si>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（轉載）：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直購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TPUv7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finished racks</t>
    </r>
    <r>
      <rPr>
        <sz val="11"/>
        <color theme="1"/>
        <rFont val="Noto Sans CJK SC"/>
        <family val="2"/>
      </rPr>
      <t xml:space="preserve">』約 </t>
    </r>
    <r>
      <rPr>
        <sz val="11"/>
        <color theme="1"/>
        <rFont val="Calibri"/>
        <family val="2"/>
        <charset val="1"/>
      </rPr>
      <t xml:space="preserve">$100 </t>
    </r>
    <r>
      <rPr>
        <sz val="11"/>
        <color theme="1"/>
        <rFont val="Noto Sans CJK SC"/>
        <family val="2"/>
      </rPr>
      <t xml:space="preserve">億；另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萬顆經 </t>
    </r>
    <r>
      <rPr>
        <sz val="11"/>
        <color theme="1"/>
        <rFont val="Calibri"/>
        <family val="2"/>
        <charset val="1"/>
      </rPr>
      <t xml:space="preserve">GCP </t>
    </r>
    <r>
      <rPr>
        <sz val="11"/>
        <color theme="1"/>
        <rFont val="Noto Sans CJK SC"/>
        <family val="2"/>
      </rPr>
      <t xml:space="preserve">租用（</t>
    </r>
    <r>
      <rPr>
        <sz val="11"/>
        <color theme="1"/>
        <rFont val="Calibri"/>
        <family val="2"/>
        <charset val="1"/>
      </rPr>
      <t xml:space="preserve">RPO $420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GCP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成本約 </t>
    </r>
    <r>
      <rPr>
        <sz val="11"/>
        <color theme="1"/>
        <rFont val="Calibri"/>
        <family val="2"/>
        <charset val="1"/>
      </rPr>
      <t xml:space="preserve">$1.60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TPU-hr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TPUv7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TCO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內部）</t>
    </r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</si>
  <si>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400,000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</si>
  <si>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；顆；</t>
    </r>
    <r>
      <rPr>
        <sz val="11"/>
        <color theme="1"/>
        <rFont val="Calibri"/>
        <family val="2"/>
        <charset val="1"/>
      </rPr>
      <t xml:space="preserve">$/hr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%</t>
    </r>
  </si>
  <si>
    <r>
      <rPr>
        <sz val="11"/>
        <color theme="1"/>
        <rFont val="Noto Sans CJK SC"/>
        <family val="2"/>
      </rPr>
      <t xml:space="preserve">成品機架（含機架內設備；是否含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網路不明）</t>
    </r>
  </si>
  <si>
    <t xml:space="preserve">https://longportapp.cn/news/267906099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</si>
  <si>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付費文的中文轉載）</t>
    </r>
  </si>
  <si>
    <r>
      <rPr>
        <sz val="11"/>
        <color theme="1"/>
        <rFont val="Noto Sans CJK SC"/>
        <family val="2"/>
      </rPr>
      <t xml:space="preserve">轉載全文（原文付費牆，未登入）。</t>
    </r>
    <r>
      <rPr>
        <sz val="11"/>
        <color theme="1"/>
        <rFont val="Calibri"/>
        <family val="2"/>
        <charset val="1"/>
      </rPr>
      <t xml:space="preserve">$100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40 </t>
    </r>
    <r>
      <rPr>
        <sz val="11"/>
        <color theme="1"/>
        <rFont val="Noto Sans CJK SC"/>
        <family val="2"/>
      </rPr>
      <t xml:space="preserve">萬＝每顆約 </t>
    </r>
    <r>
      <rPr>
        <sz val="11"/>
        <color theme="1"/>
        <rFont val="Calibri"/>
        <family val="2"/>
        <charset val="1"/>
      </rPr>
      <t xml:space="preserve">$25K</t>
    </r>
    <r>
      <rPr>
        <sz val="11"/>
        <color theme="1"/>
        <rFont val="Noto Sans CJK SC"/>
        <family val="2"/>
      </rPr>
      <t xml:space="preserve">（含機架）。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：基準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只出自 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一個來源，由 </t>
    </r>
    <r>
      <rPr>
        <sz val="11"/>
        <color theme="1"/>
        <rFont val="Calibri"/>
        <family val="2"/>
        <charset val="1"/>
      </rPr>
      <t xml:space="preserve">T07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$21K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T08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$35K</t>
    </r>
    <r>
      <rPr>
        <sz val="11"/>
        <color theme="1"/>
        <rFont val="Noto Sans CJK SC"/>
        <family val="2"/>
      </rPr>
      <t xml:space="preserve">，上限）兩個獨立來源夾住。</t>
    </r>
  </si>
  <si>
    <r>
      <rPr>
        <sz val="11"/>
        <color theme="1"/>
        <rFont val="Calibri"/>
        <family val="2"/>
        <charset val="1"/>
      </rPr>
      <t xml:space="preserve">C17 </t>
    </r>
    <r>
      <rPr>
        <sz val="11"/>
        <color theme="1"/>
        <rFont val="Noto Sans CJK SC"/>
        <family val="2"/>
      </rPr>
      <t xml:space="preserve">基準</t>
    </r>
  </si>
  <si>
    <t xml:space="preserve">T07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</si>
  <si>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FY25Q3 </t>
    </r>
    <r>
      <rPr>
        <sz val="11"/>
        <color theme="1"/>
        <rFont val="Noto Sans CJK SC"/>
        <family val="2"/>
      </rPr>
      <t xml:space="preserve">下單 </t>
    </r>
    <r>
      <rPr>
        <sz val="11"/>
        <color theme="1"/>
        <rFont val="Calibri"/>
        <family val="2"/>
        <charset val="1"/>
      </rPr>
      <t xml:space="preserve">$100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再下 </t>
    </r>
    <r>
      <rPr>
        <sz val="11"/>
        <color theme="1"/>
        <rFont val="Calibri"/>
        <family val="2"/>
        <charset val="1"/>
      </rPr>
      <t xml:space="preserve">$110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Ironwood TPU </t>
    </r>
    <r>
      <rPr>
        <sz val="11"/>
        <color theme="1"/>
        <rFont val="Noto Sans CJK SC"/>
        <family val="2"/>
      </rPr>
      <t xml:space="preserve">機架）；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提供『</t>
    </r>
    <r>
      <rPr>
        <sz val="11"/>
        <color theme="1"/>
        <rFont val="Calibri"/>
        <family val="2"/>
        <charset val="1"/>
      </rPr>
      <t xml:space="preserve">1 gigawatt</t>
    </r>
    <r>
      <rPr>
        <sz val="11"/>
        <color theme="1"/>
        <rFont val="Noto Sans CJK SC"/>
        <family val="2"/>
      </rPr>
      <t xml:space="preserve">』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算力；</t>
    </r>
    <r>
      <rPr>
        <sz val="11"/>
        <color theme="1"/>
        <rFont val="Calibri"/>
        <family val="2"/>
        <charset val="1"/>
      </rPr>
      <t xml:space="preserve">Mizuho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Broadcom 2026 </t>
    </r>
    <r>
      <rPr>
        <sz val="11"/>
        <color theme="1"/>
        <rFont val="Noto Sans CJK SC"/>
        <family val="2"/>
      </rPr>
      <t xml:space="preserve">年來自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$210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</si>
  <si>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</si>
  <si>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$B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</si>
  <si>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售價（成品機架）；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口徑未說明</t>
    </r>
  </si>
  <si>
    <r>
      <rPr>
        <sz val="11"/>
        <color theme="1"/>
        <rFont val="Calibri"/>
        <family val="2"/>
        <charset val="1"/>
      </rPr>
      <t xml:space="preserve">https://ascii.co.uk/news/article/news-20251212-cdecf265/anthropics-21b-broadcom-order-signals-tpu-momentum-vs-nvidia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https://finance.yahoo.com/sectors/technology/articles/anthropic-google-broadcom-tpu-deal-113234906.html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https://247wallst.com/investing/2026/03/04/live-earnings-analysis-will-broadcom-avgo-announce-something-big-tonight/liveupdates/16/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</si>
  <si>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（法說，經媒體轉述）＋</t>
    </r>
    <r>
      <rPr>
        <sz val="11"/>
        <color theme="1"/>
        <rFont val="Calibri"/>
        <family val="2"/>
        <charset val="1"/>
      </rPr>
      <t xml:space="preserve">3</t>
    </r>
  </si>
  <si>
    <t xml:space="preserve">支持（量級）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</si>
  <si>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賣方）</t>
    </r>
  </si>
  <si>
    <r>
      <rPr>
        <sz val="11"/>
        <color theme="1"/>
        <rFont val="Noto Sans CJK SC"/>
        <family val="2"/>
      </rPr>
      <t xml:space="preserve">全文（二手）。</t>
    </r>
    <r>
      <rPr>
        <sz val="11"/>
        <color theme="1"/>
        <rFont val="Calibri"/>
        <family val="2"/>
        <charset val="1"/>
      </rPr>
      <t xml:space="preserve">$210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1 GW ≈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$21B</t>
    </r>
    <r>
      <rPr>
        <sz val="11"/>
        <color theme="1"/>
        <rFont val="Noto Sans CJK SC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萬顆，每顆約 </t>
    </r>
    <r>
      <rPr>
        <sz val="11"/>
        <color theme="1"/>
        <rFont val="Calibri"/>
        <family val="2"/>
        <charset val="1"/>
      </rPr>
      <t xml:space="preserve">$21K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Hock Tan </t>
    </r>
    <r>
      <rPr>
        <sz val="11"/>
        <color theme="1"/>
        <rFont val="Noto Sans CJK SC"/>
        <family val="2"/>
      </rPr>
      <t xml:space="preserve">另稱每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金額『因客戶差異很大』，故只作區間低端。</t>
    </r>
  </si>
  <si>
    <r>
      <rPr>
        <sz val="11"/>
        <color theme="1"/>
        <rFont val="Calibri"/>
        <family val="2"/>
        <charset val="1"/>
      </rPr>
      <t xml:space="preserve">C17 </t>
    </r>
    <r>
      <rPr>
        <sz val="11"/>
        <color theme="1"/>
        <rFont val="Noto Sans CJK SC"/>
        <family val="2"/>
      </rPr>
      <t xml:space="preserve">低端、</t>
    </r>
    <r>
      <rPr>
        <sz val="11"/>
        <color theme="1"/>
        <rFont val="Calibri"/>
        <family val="2"/>
        <charset val="1"/>
      </rPr>
      <t xml:space="preserve">C22</t>
    </r>
  </si>
  <si>
    <t xml:space="preserve">T08</t>
  </si>
  <si>
    <r>
      <rPr>
        <sz val="11"/>
        <color theme="1"/>
        <rFont val="Calibri"/>
        <family val="2"/>
        <charset val="1"/>
      </rPr>
      <t xml:space="preserve">Apollo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Broadcom-Anthropic 1 GW </t>
    </r>
    <r>
      <rPr>
        <sz val="11"/>
        <color theme="1"/>
        <rFont val="Noto Sans CJK SC"/>
        <family val="2"/>
      </rPr>
      <t xml:space="preserve">部署完成第一筆 </t>
    </r>
    <r>
      <rPr>
        <sz val="11"/>
        <color theme="1"/>
        <rFont val="Calibri"/>
        <family val="2"/>
        <charset val="1"/>
      </rPr>
      <t xml:space="preserve">$350 </t>
    </r>
    <r>
      <rPr>
        <sz val="11"/>
        <color theme="1"/>
        <rFont val="Noto Sans CJK SC"/>
        <family val="2"/>
      </rPr>
      <t xml:space="preserve">億融資（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購晶片後租給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</si>
  <si>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</si>
  <si>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</si>
  <si>
    <t xml:space="preserve">融資額（可能含網路設備與融資費用），非單純機架價</t>
  </si>
  <si>
    <r>
      <rPr>
        <sz val="11"/>
        <color theme="1"/>
        <rFont val="Calibri"/>
        <family val="2"/>
        <charset val="1"/>
      </rPr>
      <t xml:space="preserve">https://capacityglobal.com/news/anthropic-blackstone-apollo-35bn-ai-infrastructure-spv/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https://thenextweb.com/news/broadcom-60bn-ai-chip-debt-anthropic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https://www.channelweb.co.uk/news-network/2026/broadcom-q3-results-ceo-tan-forecasts-surging-ai-infrastructure-buildout</t>
    </r>
  </si>
  <si>
    <t xml:space="preserve">3</t>
  </si>
  <si>
    <r>
      <rPr>
        <sz val="11"/>
        <color theme="1"/>
        <rFont val="Noto Sans CJK SC"/>
        <family val="2"/>
      </rPr>
      <t xml:space="preserve">第三方報導（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系）</t>
    </r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</si>
  <si>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Capacity </t>
    </r>
    <r>
      <rPr>
        <sz val="11"/>
        <color theme="1"/>
        <rFont val="Noto Sans CJK SC"/>
        <family val="2"/>
      </rPr>
      <t xml:space="preserve">原文沒說 </t>
    </r>
    <r>
      <rPr>
        <sz val="11"/>
        <color theme="1"/>
        <rFont val="Calibri"/>
        <family val="2"/>
        <charset val="1"/>
      </rPr>
      <t xml:space="preserve">$350 </t>
    </r>
    <r>
      <rPr>
        <sz val="11"/>
        <color theme="1"/>
        <rFont val="Noto Sans CJK SC"/>
        <family val="2"/>
      </rPr>
      <t xml:space="preserve">億用於購買 </t>
    </r>
    <r>
      <rPr>
        <sz val="11"/>
        <color theme="1"/>
        <rFont val="Calibri"/>
        <family val="2"/>
        <charset val="1"/>
      </rPr>
      <t xml:space="preserve">Broadcom TPU</t>
    </r>
    <r>
      <rPr>
        <sz val="11"/>
        <color theme="1"/>
        <rFont val="Noto Sans CJK SC"/>
        <family val="2"/>
      </rPr>
      <t xml:space="preserve">（寫的是晶片租賃支撐交易價值、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承擔上層信用與殘值支撐）；文中也未把 </t>
    </r>
    <r>
      <rPr>
        <sz val="11"/>
        <color theme="1"/>
        <rFont val="Calibri"/>
        <family val="2"/>
        <charset val="1"/>
      </rPr>
      <t xml:space="preserve">$350 </t>
    </r>
    <r>
      <rPr>
        <sz val="11"/>
        <color theme="1"/>
        <rFont val="Noto Sans CJK SC"/>
        <family val="2"/>
      </rPr>
      <t xml:space="preserve">億逐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分配；</t>
    </r>
    <r>
      <rPr>
        <sz val="11"/>
        <color theme="1"/>
        <rFont val="Calibri"/>
        <family val="2"/>
        <charset val="1"/>
      </rPr>
      <t xml:space="preserve">$35B/GW </t>
    </r>
    <r>
      <rPr>
        <sz val="11"/>
        <color theme="1"/>
        <rFont val="Noto Sans CJK SC"/>
        <family val="2"/>
      </rPr>
      <t xml:space="preserve">為本代理除算，只作上限。</t>
    </r>
  </si>
  <si>
    <r>
      <rPr>
        <sz val="11"/>
        <color theme="1"/>
        <rFont val="Calibri"/>
        <family val="2"/>
        <charset val="1"/>
      </rPr>
      <t xml:space="preserve">C17 </t>
    </r>
    <r>
      <rPr>
        <sz val="11"/>
        <color theme="1"/>
        <rFont val="Noto Sans CJK SC"/>
        <family val="2"/>
      </rPr>
      <t xml:space="preserve">高端、</t>
    </r>
    <r>
      <rPr>
        <sz val="11"/>
        <color theme="1"/>
        <rFont val="Calibri"/>
        <family val="2"/>
        <charset val="1"/>
      </rPr>
      <t xml:space="preserve">C22</t>
    </r>
  </si>
  <si>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單顆 </t>
    </r>
    <r>
      <rPr>
        <sz val="11"/>
        <color theme="1"/>
        <rFont val="Calibri"/>
        <family val="2"/>
        <charset val="1"/>
      </rPr>
      <t xml:space="preserve">FP8 dense 2,517 TF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同速）；</t>
    </r>
    <r>
      <rPr>
        <sz val="11"/>
        <color theme="1"/>
        <rFont val="Calibri"/>
        <family val="2"/>
        <charset val="1"/>
      </rPr>
      <t xml:space="preserve">144 GB HBM3e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4.9 TB/s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Trn3 UltraServer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362 PF FP8</t>
    </r>
    <r>
      <rPr>
        <sz val="11"/>
        <color theme="1"/>
        <rFont val="Noto Sans CJK SC"/>
        <family val="2"/>
      </rPr>
      <t xml:space="preserve">；相對 </t>
    </r>
    <r>
      <rPr>
        <sz val="11"/>
        <color theme="1"/>
        <rFont val="Calibri"/>
        <family val="2"/>
        <charset val="1"/>
      </rPr>
      <t xml:space="preserve">Trn2 UltraServer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4.4 </t>
    </r>
    <r>
      <rPr>
        <sz val="11"/>
        <color theme="1"/>
        <rFont val="Noto Sans CJK SC"/>
        <family val="2"/>
      </rPr>
      <t xml:space="preserve">倍、『</t>
    </r>
    <r>
      <rPr>
        <sz val="11"/>
        <color theme="1"/>
        <rFont val="Calibri"/>
        <family val="2"/>
        <charset val="1"/>
      </rPr>
      <t xml:space="preserve">4x greater energy efficiency</t>
    </r>
    <r>
      <rPr>
        <sz val="11"/>
        <color theme="1"/>
        <rFont val="Noto Sans CJK SC"/>
        <family val="2"/>
      </rPr>
      <t xml:space="preserve">』（另一處寫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）；客戶成本降『最高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</si>
  <si>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2,517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144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362</t>
    </r>
  </si>
  <si>
    <r>
      <rPr>
        <sz val="11"/>
        <color theme="1"/>
        <rFont val="Calibri"/>
        <family val="2"/>
        <charset val="1"/>
      </rPr>
      <t xml:space="preserve">TF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TB/s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PF</t>
    </r>
  </si>
  <si>
    <r>
      <rPr>
        <sz val="11"/>
        <color theme="1"/>
        <rFont val="Noto Sans CJK SC"/>
        <family val="2"/>
      </rPr>
      <t xml:space="preserve">單顆 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MXFP8 </t>
    </r>
    <r>
      <rPr>
        <sz val="11"/>
        <color theme="1"/>
        <rFont val="Noto Sans CJK SC"/>
        <family val="2"/>
      </rPr>
      <t xml:space="preserve">同速（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公開段）</t>
    </r>
  </si>
  <si>
    <r>
      <rPr>
        <sz val="11"/>
        <color theme="1"/>
        <rFont val="Calibri"/>
        <family val="2"/>
        <charset val="1"/>
      </rPr>
      <t xml:space="preserve">https://press.aboutamazon.com/2025/12/trainium3-ultraservers-now-available-enabling-customers-to-train-and-deploy-ai-models-faster-at-lower-cost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https://aboutamazon.com/news/aws/trainium-3-ultraserver-faster-ai-training-lower-cost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https://flopper.io/system/aws-trn3-ultraserver/spec-sheet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https://newsletter.semianalysis.com/i/180683426/trainium3-server-types-and-specifications-overview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</si>
  <si>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</si>
  <si>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，銷售自家雲）</t>
    </r>
  </si>
  <si>
    <r>
      <rPr>
        <sz val="11"/>
        <color theme="1"/>
        <rFont val="Noto Sans CJK SC"/>
        <family val="2"/>
      </rPr>
      <t xml:space="preserve">全文（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兩頁、</t>
    </r>
    <r>
      <rPr>
        <sz val="11"/>
        <color theme="1"/>
        <rFont val="Calibri"/>
        <family val="2"/>
        <charset val="1"/>
      </rPr>
      <t xml:space="preserve">Flopper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僅公開段。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未公布晶片或 </t>
    </r>
    <r>
      <rPr>
        <sz val="11"/>
        <color theme="1"/>
        <rFont val="Calibri"/>
        <family val="2"/>
        <charset val="1"/>
      </rPr>
      <t xml:space="preserve">UltraServer </t>
    </r>
    <r>
      <rPr>
        <sz val="11"/>
        <color theme="1"/>
        <rFont val="Noto Sans CJK SC"/>
        <family val="2"/>
      </rPr>
      <t xml:space="preserve">功率（</t>
    </r>
    <r>
      <rPr>
        <sz val="11"/>
        <color theme="1"/>
        <rFont val="Calibri"/>
        <family val="2"/>
        <charset val="1"/>
      </rPr>
      <t xml:space="preserve">Flopper </t>
    </r>
    <r>
      <rPr>
        <sz val="11"/>
        <color theme="1"/>
        <rFont val="Noto Sans CJK SC"/>
        <family val="2"/>
      </rPr>
      <t xml:space="preserve">明寫）。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自己的效率說法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倍與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互相矛盾，不採用。</t>
    </r>
  </si>
  <si>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Trainium3 TDP 700 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Trn2 500 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Teton3 Max </t>
    </r>
    <r>
      <rPr>
        <sz val="11"/>
        <color theme="1"/>
        <rFont val="Noto Sans CJK SC"/>
        <family val="2"/>
      </rPr>
      <t xml:space="preserve">液冷機架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運算托盤＝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18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交換晶片、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層電源（每層 </t>
    </r>
    <r>
      <rPr>
        <sz val="11"/>
        <color theme="1"/>
        <rFont val="Calibri"/>
        <family val="2"/>
        <charset val="1"/>
      </rPr>
      <t xml:space="preserve">6×8.5 kW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Teton3 PDS </t>
    </r>
    <r>
      <rPr>
        <sz val="11"/>
        <color theme="1"/>
        <rFont val="Noto Sans CJK SC"/>
        <family val="2"/>
      </rPr>
      <t xml:space="preserve">氣冷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500 kW 50V DC </t>
    </r>
    <r>
      <rPr>
        <sz val="11"/>
        <color theme="1"/>
        <rFont val="Noto Sans CJK SC"/>
        <family val="2"/>
      </rPr>
      <t xml:space="preserve">電源櫃支援兩架 </t>
    </r>
    <r>
      <rPr>
        <sz val="11"/>
        <color theme="1"/>
        <rFont val="Calibri"/>
        <family val="2"/>
        <charset val="1"/>
      </rPr>
      <t xml:space="preserve">T3 Max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T3 Max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ASP $1.4–1.6M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GB300 $3.9–4.0M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&gt;$7M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</si>
  <si>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8.5×6×3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1.4–1.6</t>
    </r>
  </si>
  <si>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；顆；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</t>
    </r>
  </si>
  <si>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TDP</t>
    </r>
    <r>
      <rPr>
        <sz val="11"/>
        <color theme="1"/>
        <rFont val="Noto Sans CJK SC"/>
        <family val="2"/>
      </rPr>
      <t xml:space="preserve">；機架電源裝置容量（非耗電）；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ASP</t>
    </r>
  </si>
  <si>
    <t xml:space="preserve">https://www.kgi.com.hk/zh-cn/-/media/files/kgishk/research-reports/tw-reports/it-hardware_20260707_en.pdf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</si>
  <si>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（賣方研究，供應鏈）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</si>
  <si>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（賣方研究，供應鏈題材）</t>
    </r>
  </si>
  <si>
    <r>
      <rPr>
        <sz val="11"/>
        <color theme="1"/>
        <rFont val="Noto Sans CJK SC"/>
        <family val="2"/>
      </rPr>
      <t xml:space="preserve">全文（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）。電源裝置 </t>
    </r>
    <r>
      <rPr>
        <sz val="11"/>
        <color theme="1"/>
        <rFont val="Calibri"/>
        <family val="2"/>
        <charset val="1"/>
      </rPr>
      <t xml:space="preserve">153 kW</t>
    </r>
    <r>
      <rPr>
        <sz val="11"/>
        <color theme="1"/>
        <rFont val="Noto Sans CJK SC"/>
        <family val="2"/>
      </rPr>
      <t xml:space="preserve">（若 </t>
    </r>
    <r>
      <rPr>
        <sz val="11"/>
        <color theme="1"/>
        <rFont val="Calibri"/>
        <family val="2"/>
        <charset val="1"/>
      </rPr>
      <t xml:space="preserve">5+1 </t>
    </r>
    <r>
      <rPr>
        <sz val="11"/>
        <color theme="1"/>
        <rFont val="Noto Sans CJK SC"/>
        <family val="2"/>
      </rPr>
      <t xml:space="preserve">備援約 </t>
    </r>
    <r>
      <rPr>
        <sz val="11"/>
        <color theme="1"/>
        <rFont val="Calibri"/>
        <family val="2"/>
        <charset val="1"/>
      </rPr>
      <t xml:space="preserve">127.5 kW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500 kW÷2</t>
    </r>
    <r>
      <rPr>
        <sz val="11"/>
        <color theme="1"/>
        <rFont val="Noto Sans CJK SC"/>
        <family val="2"/>
      </rPr>
      <t xml:space="preserve">＝每架 ≤</t>
    </r>
    <r>
      <rPr>
        <sz val="11"/>
        <color theme="1"/>
        <rFont val="Calibri"/>
        <family val="2"/>
        <charset val="1"/>
      </rPr>
      <t xml:space="preserve">250 kW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是否含晶片未明寫；同表 </t>
    </r>
    <r>
      <rPr>
        <sz val="11"/>
        <color theme="1"/>
        <rFont val="Calibri"/>
        <family val="2"/>
        <charset val="1"/>
      </rPr>
      <t xml:space="preserve">GB300 $3.9–4.0M </t>
    </r>
    <r>
      <rPr>
        <sz val="11"/>
        <color theme="1"/>
        <rFont val="Noto Sans CJK SC"/>
        <family val="2"/>
      </rPr>
      <t xml:space="preserve">為含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整架價，故推定含晶片，若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自供晶片（</t>
    </r>
    <r>
      <rPr>
        <sz val="11"/>
        <color theme="1"/>
        <rFont val="Calibri"/>
        <family val="2"/>
        <charset val="1"/>
      </rPr>
      <t xml:space="preserve">consign</t>
    </r>
    <r>
      <rPr>
        <sz val="11"/>
        <color theme="1"/>
        <rFont val="Noto Sans CJK SC"/>
        <family val="2"/>
      </rPr>
      <t xml:space="preserve">）則實際取得價更高，以高端 </t>
    </r>
    <r>
      <rPr>
        <sz val="11"/>
        <color theme="1"/>
        <rFont val="Calibri"/>
        <family val="2"/>
        <charset val="1"/>
      </rPr>
      <t xml:space="preserve">$2.2M </t>
    </r>
    <r>
      <rPr>
        <sz val="11"/>
        <color theme="1"/>
        <rFont val="Noto Sans CJK SC"/>
        <family val="2"/>
      </rPr>
      <t xml:space="preserve">涵蓋。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</si>
  <si>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D12</t>
    </r>
  </si>
  <si>
    <t xml:space="preserve">T11</t>
  </si>
  <si>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2024-06-28</t>
    </r>
    <r>
      <rPr>
        <sz val="11"/>
        <color theme="1"/>
        <rFont val="Noto Sans CJK SC"/>
        <family val="2"/>
      </rPr>
      <t xml:space="preserve">）依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基礎設施副總裁 </t>
    </r>
    <r>
      <rPr>
        <sz val="11"/>
        <color theme="1"/>
        <rFont val="Calibri"/>
        <family val="2"/>
        <charset val="1"/>
      </rPr>
      <t xml:space="preserve">Prasad Kalyanaraman </t>
    </r>
    <r>
      <rPr>
        <sz val="11"/>
        <color theme="1"/>
        <rFont val="Noto Sans CJK SC"/>
        <family val="2"/>
      </rPr>
      <t xml:space="preserve">的液冷說法推論 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likely</t>
    </r>
    <r>
      <rPr>
        <sz val="11"/>
        <color theme="1"/>
        <rFont val="Noto Sans CJK SC"/>
        <family val="2"/>
      </rPr>
      <t xml:space="preserve">』約 </t>
    </r>
    <r>
      <rPr>
        <sz val="11"/>
        <color theme="1"/>
        <rFont val="Calibri"/>
        <family val="2"/>
        <charset val="1"/>
      </rPr>
      <t xml:space="preserve">1 kW</t>
    </r>
    <r>
      <rPr>
        <sz val="11"/>
        <color theme="1"/>
        <rFont val="Noto Sans CJK SC"/>
        <family val="2"/>
      </rPr>
      <t xml:space="preserve">；副總裁本人只說下一代需要液冷、「</t>
    </r>
    <r>
      <rPr>
        <sz val="11"/>
        <color theme="1"/>
        <rFont val="Calibri"/>
        <family val="2"/>
        <charset val="1"/>
      </rPr>
      <t xml:space="preserve">When a chip goes above 1,000 watts, that's when they require liquid cooling</t>
    </r>
    <r>
      <rPr>
        <sz val="11"/>
        <color theme="1"/>
        <rFont val="Noto Sans CJK SC"/>
        <family val="2"/>
      </rPr>
      <t xml:space="preserve">」，未給瓦數（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與原始報導 </t>
    </r>
    <r>
      <rPr>
        <sz val="11"/>
        <color theme="1"/>
        <rFont val="Calibri"/>
        <family val="2"/>
        <charset val="1"/>
      </rPr>
      <t xml:space="preserve">Fierce Network </t>
    </r>
    <r>
      <rPr>
        <sz val="11"/>
        <color theme="1"/>
        <rFont val="Noto Sans CJK SC"/>
        <family val="2"/>
      </rPr>
      <t xml:space="preserve">皆寫明）；</t>
    </r>
    <r>
      <rPr>
        <sz val="11"/>
        <color theme="1"/>
        <rFont val="Calibri"/>
        <family val="2"/>
        <charset val="1"/>
      </rPr>
      <t xml:space="preserve">UncoverAlpha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1,000 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1,400 W</t>
    </r>
  </si>
  <si>
    <t xml:space="preserve">1,000</t>
  </si>
  <si>
    <r>
      <rPr>
        <sz val="11"/>
        <color theme="1"/>
        <rFont val="Noto Sans CJK SC"/>
        <family val="2"/>
      </rPr>
      <t xml:space="preserve">晶片功率；</t>
    </r>
    <r>
      <rPr>
        <sz val="11"/>
        <color theme="1"/>
        <rFont val="Calibri"/>
        <family val="2"/>
        <charset val="1"/>
      </rPr>
      <t xml:space="preserve">1 kW </t>
    </r>
    <r>
      <rPr>
        <sz val="11"/>
        <color theme="1"/>
        <rFont val="Noto Sans CJK SC"/>
        <family val="2"/>
      </rPr>
      <t xml:space="preserve">為記者推論（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／二手），非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數字</t>
    </r>
  </si>
  <si>
    <r>
      <rPr>
        <sz val="11"/>
        <color theme="1"/>
        <rFont val="Calibri"/>
        <family val="2"/>
        <charset val="1"/>
      </rPr>
      <t xml:space="preserve">https://datacenterdynamics.com/en/news/aws-trainium3-chips-likely-to-consume-1kw-of-power-company-to-adopt-cold-plate-cooling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https://www.uncoveralpha.com/p/amazon-trainium-scaling-ai-without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</si>
  <si>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推論，依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主管訪談）＋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</si>
  <si>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／二手（記者推論）；</t>
    </r>
    <r>
      <rPr>
        <sz val="11"/>
        <color theme="1"/>
        <rFont val="Calibri"/>
        <family val="2"/>
        <charset val="1"/>
      </rPr>
      <t xml:space="preserve">UncoverAlpha </t>
    </r>
    <r>
      <rPr>
        <sz val="11"/>
        <color theme="1"/>
        <rFont val="Noto Sans CJK SC"/>
        <family val="2"/>
      </rPr>
      <t xml:space="preserve">無出處</t>
    </r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</si>
  <si>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更正：先前誤寫為副總裁所說。作為晶片功率高端；旁證：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另有氣冷 </t>
    </r>
    <r>
      <rPr>
        <sz val="11"/>
        <color theme="1"/>
        <rFont val="Calibri"/>
        <family val="2"/>
        <charset val="1"/>
      </rPr>
      <t xml:space="preserve">Teton3 PDS 32 </t>
    </r>
    <r>
      <rPr>
        <sz val="11"/>
        <color theme="1"/>
        <rFont val="Noto Sans CJK SC"/>
        <family val="2"/>
      </rPr>
      <t xml:space="preserve">顆版（</t>
    </r>
    <r>
      <rPr>
        <sz val="11"/>
        <color theme="1"/>
        <rFont val="Calibri"/>
        <family val="2"/>
        <charset val="1"/>
      </rPr>
      <t xml:space="preserve">T10</t>
    </r>
    <r>
      <rPr>
        <sz val="11"/>
        <color theme="1"/>
        <rFont val="Noto Sans CJK SC"/>
        <family val="2"/>
      </rPr>
      <t xml:space="preserve">），晶片功率不會遠超 </t>
    </r>
    <r>
      <rPr>
        <sz val="11"/>
        <color theme="1"/>
        <rFont val="Calibri"/>
        <family val="2"/>
        <charset val="1"/>
      </rPr>
      <t xml:space="preserve">1 kW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KGI 700 W </t>
    </r>
    <r>
      <rPr>
        <sz val="11"/>
        <color theme="1"/>
        <rFont val="Noto Sans CJK SC"/>
        <family val="2"/>
      </rPr>
      <t xml:space="preserve">較新且為供應鏈表格，作低端；基準取中點 </t>
    </r>
    <r>
      <rPr>
        <sz val="11"/>
        <color theme="1"/>
        <rFont val="Calibri"/>
        <family val="2"/>
        <charset val="1"/>
      </rPr>
      <t xml:space="preserve">850 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</si>
  <si>
    <t xml:space="preserve">T12</t>
  </si>
  <si>
    <r>
      <rPr>
        <sz val="11"/>
        <color theme="1"/>
        <rFont val="Calibri"/>
        <family val="2"/>
        <charset val="1"/>
      </rPr>
      <t xml:space="preserve">Naddod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500 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Trn3 UltraServer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over $2 million per unit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</si>
  <si>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&gt;2</t>
    </r>
  </si>
  <si>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</si>
  <si>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品質低（光模組廠部落格；同文 </t>
    </r>
    <r>
      <rPr>
        <sz val="11"/>
        <color theme="1"/>
        <rFont val="Calibri"/>
        <family val="2"/>
        <charset val="1"/>
      </rPr>
      <t xml:space="preserve">FP4 </t>
    </r>
    <r>
      <rPr>
        <sz val="11"/>
        <color theme="1"/>
        <rFont val="Noto Sans CJK SC"/>
        <family val="2"/>
      </rPr>
      <t xml:space="preserve">支援自相矛盾）</t>
    </r>
  </si>
  <si>
    <t xml:space="preserve">https://www.naddod.com/ar/ai-insights/amazon-3nm-ai-chip-trainium3-deep-dive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</si>
  <si>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（品質低）</t>
    </r>
  </si>
  <si>
    <r>
      <rPr>
        <sz val="11"/>
        <color theme="1"/>
        <rFont val="Noto Sans CJK SC"/>
        <family val="2"/>
      </rPr>
      <t xml:space="preserve">衝突（</t>
    </r>
    <r>
      <rPr>
        <sz val="11"/>
        <color theme="1"/>
        <rFont val="Calibri"/>
        <family val="2"/>
        <charset val="1"/>
      </rPr>
      <t xml:space="preserve">500 W</t>
    </r>
    <r>
      <rPr>
        <sz val="11"/>
        <color theme="1"/>
        <rFont val="Noto Sans CJK SC"/>
        <family val="2"/>
      </rPr>
      <t xml:space="preserve">）／支持（價格低端）</t>
    </r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</si>
  <si>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500 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皆不符，不採用；</t>
    </r>
    <r>
      <rPr>
        <sz val="11"/>
        <color theme="1"/>
        <rFont val="Calibri"/>
        <family val="2"/>
        <charset val="1"/>
      </rPr>
      <t xml:space="preserve">$2M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顆＝每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$1.0M</t>
    </r>
    <r>
      <rPr>
        <sz val="11"/>
        <color theme="1"/>
        <rFont val="Noto Sans CJK SC"/>
        <family val="2"/>
      </rPr>
      <t xml:space="preserve">，作價格低端。</t>
    </r>
  </si>
  <si>
    <r>
      <rPr>
        <sz val="11"/>
        <color theme="1"/>
        <rFont val="Calibri"/>
        <family val="2"/>
        <charset val="1"/>
      </rPr>
      <t xml:space="preserve">D12 </t>
    </r>
    <r>
      <rPr>
        <sz val="11"/>
        <color theme="1"/>
        <rFont val="Noto Sans CJK SC"/>
        <family val="2"/>
      </rPr>
      <t xml:space="preserve">低端</t>
    </r>
  </si>
  <si>
    <t xml:space="preserve">T13</t>
  </si>
  <si>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UncoverAlpha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的『每單位標稱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效能 </t>
    </r>
    <r>
      <rPr>
        <sz val="11"/>
        <color theme="1"/>
        <rFont val="Calibri"/>
        <family val="2"/>
        <charset val="1"/>
      </rPr>
      <t xml:space="preserve">TCO</t>
    </r>
    <r>
      <rPr>
        <sz val="11"/>
        <color theme="1"/>
        <rFont val="Noto Sans CJK SC"/>
        <family val="2"/>
      </rPr>
      <t xml:space="preserve">』約好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FP4 </t>
    </r>
    <r>
      <rPr>
        <sz val="11"/>
        <color theme="1"/>
        <rFont val="Noto Sans CJK SC"/>
        <family val="2"/>
      </rPr>
      <t xml:space="preserve">則『</t>
    </r>
    <r>
      <rPr>
        <sz val="11"/>
        <color theme="1"/>
        <rFont val="Calibri"/>
        <family val="2"/>
        <charset val="1"/>
      </rPr>
      <t xml:space="preserve">much worse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主管：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typically 1/3 cheaper than NVIDIA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</si>
  <si>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1/3</t>
    </r>
  </si>
  <si>
    <t xml:space="preserve">%</t>
  </si>
  <si>
    <r>
      <rPr>
        <sz val="11"/>
        <color theme="1"/>
        <rFont val="Noto Sans CJK SC"/>
        <family val="2"/>
      </rPr>
      <t xml:space="preserve">標稱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效能；</t>
    </r>
    <r>
      <rPr>
        <sz val="11"/>
        <color theme="1"/>
        <rFont val="Calibri"/>
        <family val="2"/>
        <charset val="1"/>
      </rPr>
      <t xml:space="preserve">TCO</t>
    </r>
  </si>
  <si>
    <t xml:space="preserve">https://www.uncoveralpha.com/p/amazon-trainium-scaling-ai-without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</si>
  <si>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（轉述）</t>
    </r>
  </si>
  <si>
    <t xml:space="preserve">支持（交叉檢核）</t>
  </si>
  <si>
    <r>
      <rPr>
        <sz val="11"/>
        <color theme="1"/>
        <rFont val="Noto Sans CJK SC"/>
        <family val="2"/>
      </rPr>
      <t xml:space="preserve">第三方＋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主管，</t>
    </r>
    <r>
      <rPr>
        <sz val="11"/>
        <color theme="1"/>
        <rFont val="Calibri"/>
        <family val="2"/>
        <charset val="1"/>
      </rPr>
      <t xml:space="preserve">AlphaSense </t>
    </r>
    <r>
      <rPr>
        <sz val="11"/>
        <color theme="1"/>
        <rFont val="Noto Sans CJK SC"/>
        <family val="2"/>
      </rPr>
      <t xml:space="preserve">訪談）</t>
    </r>
  </si>
  <si>
    <r>
      <rPr>
        <sz val="11"/>
        <color theme="1"/>
        <rFont val="Noto Sans CJK SC"/>
        <family val="2"/>
      </rPr>
      <t xml:space="preserve">全文。用於推導頁 </t>
    </r>
    <r>
      <rPr>
        <sz val="11"/>
        <color theme="1"/>
        <rFont val="Calibri"/>
        <family val="2"/>
        <charset val="1"/>
      </rPr>
      <t xml:space="preserve">D17 </t>
    </r>
    <r>
      <rPr>
        <sz val="11"/>
        <color theme="1"/>
        <rFont val="Noto Sans CJK SC"/>
        <family val="2"/>
      </rPr>
      <t xml:space="preserve">交叉檢核（本表每 </t>
    </r>
    <r>
      <rPr>
        <sz val="11"/>
        <color theme="1"/>
        <rFont val="Calibri"/>
        <family val="2"/>
        <charset val="1"/>
      </rPr>
      <t xml:space="preserve">FP8 PF </t>
    </r>
    <r>
      <rPr>
        <sz val="11"/>
        <color theme="1"/>
        <rFont val="Noto Sans CJK SC"/>
        <family val="2"/>
      </rPr>
      <t xml:space="preserve">資本支出約為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0.69</t>
    </r>
    <r>
      <rPr>
        <sz val="11"/>
        <color theme="1"/>
        <rFont val="Noto Sans CJK SC"/>
        <family val="2"/>
      </rPr>
      <t xml:space="preserve">）。</t>
    </r>
  </si>
  <si>
    <t xml:space="preserve">T14</t>
  </si>
  <si>
    <r>
      <rPr>
        <sz val="11"/>
        <color theme="1"/>
        <rFont val="Noto Sans CJK SC"/>
        <family val="2"/>
      </rPr>
      <t xml:space="preserve">已搜尋，未找到：</t>
    </r>
    <r>
      <rPr>
        <sz val="11"/>
        <color theme="1"/>
        <rFont val="Calibri"/>
        <family val="2"/>
        <charset val="1"/>
      </rPr>
      <t xml:space="preserve">(1) Google </t>
    </r>
    <r>
      <rPr>
        <sz val="11"/>
        <color theme="1"/>
        <rFont val="Noto Sans CJK SC"/>
        <family val="2"/>
      </rPr>
      <t xml:space="preserve">官方 </t>
    </r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單顆 </t>
    </r>
    <r>
      <rPr>
        <sz val="11"/>
        <color theme="1"/>
        <rFont val="Calibri"/>
        <family val="2"/>
        <charset val="1"/>
      </rPr>
      <t xml:space="preserve">TDP </t>
    </r>
    <r>
      <rPr>
        <sz val="11"/>
        <color theme="1"/>
        <rFont val="Noto Sans CJK SC"/>
        <family val="2"/>
      </rPr>
      <t xml:space="preserve">或單架功率；</t>
    </r>
    <r>
      <rPr>
        <sz val="11"/>
        <color theme="1"/>
        <rFont val="Calibri"/>
        <family val="2"/>
        <charset val="1"/>
      </rPr>
      <t xml:space="preserve">(2) AWS </t>
    </r>
    <r>
      <rPr>
        <sz val="11"/>
        <color theme="1"/>
        <rFont val="Noto Sans CJK SC"/>
        <family val="2"/>
      </rPr>
      <t xml:space="preserve">官方 </t>
    </r>
    <r>
      <rPr>
        <sz val="11"/>
        <color theme="1"/>
        <rFont val="Calibri"/>
        <family val="2"/>
        <charset val="1"/>
      </rPr>
      <t xml:space="preserve">Trainium3 TDP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UltraServer</t>
    </r>
    <r>
      <rPr>
        <sz val="11"/>
        <color theme="1"/>
        <rFont val="Noto Sans CJK SC"/>
        <family val="2"/>
      </rPr>
      <t xml:space="preserve">／機架功率；</t>
    </r>
    <r>
      <rPr>
        <sz val="11"/>
        <color theme="1"/>
        <rFont val="Calibri"/>
        <family val="2"/>
        <charset val="1"/>
      </rPr>
      <t xml:space="preserve">(3) TPU 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MLPerf Inference </t>
    </r>
    <r>
      <rPr>
        <sz val="11"/>
        <color theme="1"/>
        <rFont val="Noto Sans CJK SC"/>
        <family val="2"/>
      </rPr>
      <t xml:space="preserve">提交；</t>
    </r>
    <r>
      <rPr>
        <sz val="11"/>
        <color theme="1"/>
        <rFont val="Calibri"/>
        <family val="2"/>
        <charset val="1"/>
      </rPr>
      <t xml:space="preserve">(4) Trainium3 </t>
    </r>
    <r>
      <rPr>
        <sz val="11"/>
        <color theme="1"/>
        <rFont val="Noto Sans CJK SC"/>
        <family val="2"/>
      </rPr>
      <t xml:space="preserve">第三方吞吐實測（</t>
    </r>
    <r>
      <rPr>
        <sz val="11"/>
        <color theme="1"/>
        <rFont val="Calibri"/>
        <family val="2"/>
        <charset val="1"/>
      </rPr>
      <t xml:space="preserve">InferenceX </t>
    </r>
    <r>
      <rPr>
        <sz val="11"/>
        <color theme="1"/>
        <rFont val="Noto Sans CJK SC"/>
        <family val="2"/>
      </rPr>
      <t xml:space="preserve">未見 </t>
    </r>
    <r>
      <rPr>
        <sz val="11"/>
        <color theme="1"/>
        <rFont val="Calibri"/>
        <family val="2"/>
        <charset val="1"/>
      </rPr>
      <t xml:space="preserve">Trn3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的官方售價</t>
    </r>
  </si>
  <si>
    <r>
      <rPr>
        <sz val="11"/>
        <color theme="1"/>
        <rFont val="Noto Sans CJK SC"/>
        <family val="2"/>
      </rPr>
      <t xml:space="preserve">搜尋詞：「</t>
    </r>
    <r>
      <rPr>
        <sz val="11"/>
        <color theme="1"/>
        <rFont val="Calibri"/>
        <family val="2"/>
        <charset val="1"/>
      </rPr>
      <t xml:space="preserve">Ironwood TPU v7 rack power kW per chip TDP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Hot Chips 2025 Ironwood rack 64 chips power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Trainium3 UltraServer power kW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Trainium3 NL72x2 rack kW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MLPerf Inference Ironwood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InferenceMAX Trainium3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TPU v7 ASP per chip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Trainium3 ASP</t>
    </r>
    <r>
      <rPr>
        <sz val="11"/>
        <color theme="1"/>
        <rFont val="Noto Sans CJK SC"/>
        <family val="2"/>
      </rPr>
      <t xml:space="preserve">」；網站：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官方、</t>
    </r>
    <r>
      <rPr>
        <sz val="11"/>
        <color theme="1"/>
        <rFont val="Calibri"/>
        <family val="2"/>
        <charset val="1"/>
      </rPr>
      <t xml:space="preserve">ServeTheHome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The Next Platform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Flopper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（公開段）、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KGI</t>
    </r>
  </si>
  <si>
    <t xml:space="preserve">『未找到』（非『不存在』）</t>
  </si>
  <si>
    <r>
      <rPr>
        <sz val="11"/>
        <color theme="1"/>
        <rFont val="Calibri"/>
        <family val="2"/>
        <charset val="1"/>
      </rPr>
      <t xml:space="preserve">SemiAnalysis Trainium3 Deep Dive </t>
    </r>
    <r>
      <rPr>
        <sz val="11"/>
        <color theme="1"/>
        <rFont val="Noto Sans CJK SC"/>
        <family val="2"/>
      </rPr>
      <t xml:space="preserve">的功率預算與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在付費牆內（文中明說訂戶可見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與系統成本），未登入。</t>
    </r>
    <r>
      <rPr>
        <sz val="11"/>
        <color theme="1"/>
        <rFont val="Calibri"/>
        <family val="2"/>
        <charset val="1"/>
      </rPr>
      <t xml:space="preserve">Flopper </t>
    </r>
    <r>
      <rPr>
        <sz val="11"/>
        <color theme="1"/>
        <rFont val="Noto Sans CJK SC"/>
        <family val="2"/>
      </rPr>
      <t xml:space="preserve">兩頁皆明寫『廠商未公布功率』。</t>
    </r>
  </si>
  <si>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D12</t>
    </r>
  </si>
  <si>
    <t xml:space="preserve">T15</t>
  </si>
  <si>
    <r>
      <rPr>
        <sz val="11"/>
        <color theme="1"/>
        <rFont val="Noto Sans CJK SC"/>
        <family val="2"/>
      </rPr>
      <t xml:space="preserve">模型分母（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v21.5</t>
    </r>
    <r>
      <rPr>
        <sz val="11"/>
        <color theme="1"/>
        <rFont val="Noto Sans CJK SC"/>
        <family val="2"/>
      </rPr>
      <t xml:space="preserve">）：每 </t>
    </r>
    <r>
      <rPr>
        <sz val="11"/>
        <color theme="1"/>
        <rFont val="Calibri"/>
        <family val="2"/>
        <charset val="1"/>
      </rPr>
      <t xml:space="preserve">GPU 35 PF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NVFP4 dense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FP8 dense 17.5</t>
    </r>
    <r>
      <rPr>
        <sz val="11"/>
        <color theme="1"/>
        <rFont val="Noto Sans CJK SC"/>
        <family val="2"/>
      </rPr>
      <t xml:space="preserve">）、機架 </t>
    </r>
    <r>
      <rPr>
        <sz val="11"/>
        <color theme="1"/>
        <rFont val="Calibri"/>
        <family val="2"/>
        <charset val="1"/>
      </rPr>
      <t xml:space="preserve">227 kW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GPU 1,800 W</t>
    </r>
    <r>
      <rPr>
        <sz val="11"/>
        <color theme="1"/>
        <rFont val="Noto Sans CJK SC"/>
        <family val="2"/>
      </rPr>
      <t xml:space="preserve">、機架價 </t>
    </r>
    <r>
      <rPr>
        <sz val="11"/>
        <color theme="1"/>
        <rFont val="Calibri"/>
        <family val="2"/>
        <charset val="1"/>
      </rPr>
      <t xml:space="preserve">$8.4M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$37.59B</t>
    </r>
    <r>
      <rPr>
        <sz val="11"/>
        <color theme="1"/>
        <rFont val="Noto Sans CJK SC"/>
        <family val="2"/>
      </rPr>
      <t xml:space="preserve">、經濟持有成本 </t>
    </r>
    <r>
      <rPr>
        <sz val="11"/>
        <color theme="1"/>
        <rFont val="Calibri"/>
        <family val="2"/>
        <charset val="1"/>
      </rPr>
      <t xml:space="preserve">$12.23B</t>
    </r>
    <r>
      <rPr>
        <sz val="11"/>
        <color theme="1"/>
        <rFont val="Noto Sans CJK SC"/>
        <family val="2"/>
      </rPr>
      <t xml:space="preserve">／年；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VR-eq </t>
    </r>
    <r>
      <rPr>
        <sz val="11"/>
        <color theme="1"/>
        <rFont val="Noto Sans CJK SC"/>
        <family val="2"/>
      </rPr>
      <t xml:space="preserve">三層平均 </t>
    </r>
    <r>
      <rPr>
        <sz val="11"/>
        <color theme="1"/>
        <rFont val="Calibri"/>
        <family val="2"/>
        <charset val="1"/>
      </rPr>
      <t xml:space="preserve">0.1036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0.5105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0.6409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TPU 0.6/0.8/1.1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0.7/0.8/1.0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Trn 0.3/0.5/0.8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0.6/0.7/0.9</t>
    </r>
  </si>
  <si>
    <r>
      <rPr>
        <sz val="11"/>
        <color theme="1"/>
        <rFont val="Noto Sans CJK SC"/>
        <family val="2"/>
      </rPr>
      <t xml:space="preserve">見推導頁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</si>
  <si>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</t>
    </r>
  </si>
  <si>
    <r>
      <rPr>
        <sz val="11"/>
        <color theme="1"/>
        <rFont val="Calibri"/>
        <family val="2"/>
        <charset val="1"/>
      </rPr>
      <t xml:space="preserve">model/20261025_Tokenomics_v21.5.xlsx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</si>
  <si>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（內部模型）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</si>
  <si>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（模型；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規格本身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</si>
  <si>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openpyxl data_only </t>
    </r>
    <r>
      <rPr>
        <sz val="11"/>
        <color theme="1"/>
        <rFont val="Noto Sans CJK SC"/>
        <family val="2"/>
      </rPr>
      <t xml:space="preserve">逐格讀取；數值與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段的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完全相同。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</si>
  <si>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、建議值</t>
    </r>
  </si>
  <si>
    <t xml:space="preserve">題目</t>
  </si>
  <si>
    <t xml:space="preserve">預設（本提案採用）</t>
  </si>
  <si>
    <t xml:space="preserve">替代方案</t>
  </si>
  <si>
    <t xml:space="preserve">影響</t>
  </si>
  <si>
    <t xml:space="preserve">Q1</t>
  </si>
  <si>
    <r>
      <rPr>
        <sz val="11"/>
        <color theme="1"/>
        <rFont val="Noto Sans CJK SC"/>
        <family val="2"/>
      </rPr>
      <t xml:space="preserve">精度口徑：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產出以 </t>
    </r>
    <r>
      <rPr>
        <sz val="11"/>
        <color theme="1"/>
        <rFont val="Calibri"/>
        <family val="2"/>
        <charset val="1"/>
      </rPr>
      <t xml:space="preserve">NVFP4 </t>
    </r>
    <r>
      <rPr>
        <sz val="11"/>
        <color theme="1"/>
        <rFont val="Noto Sans CJK SC"/>
        <family val="2"/>
      </rPr>
      <t xml:space="preserve">服務（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服務精度），</t>
    </r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同速。本表沿用模型對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的同一處理（各晶片以自身最高原生精度、效率因子由模型還原），因此 </t>
    </r>
    <r>
      <rPr>
        <sz val="11"/>
        <color theme="1"/>
        <rFont val="Calibri"/>
        <family val="2"/>
        <charset val="1"/>
      </rPr>
      <t xml:space="preserve">FP8-only </t>
    </r>
    <r>
      <rPr>
        <sz val="11"/>
        <color theme="1"/>
        <rFont val="Noto Sans CJK SC"/>
        <family val="2"/>
      </rPr>
      <t xml:space="preserve">晶片自動吃下約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倍的精度折減。是否接受？</t>
    </r>
  </si>
  <si>
    <r>
      <rPr>
        <sz val="11"/>
        <color theme="1"/>
        <rFont val="Noto Sans CJK SC"/>
        <family val="2"/>
      </rPr>
      <t xml:space="preserve">接受（與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引擎與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段一致）：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產出比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0.06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。注意：主表拿 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</t>
    </r>
    <r>
      <rPr>
        <sz val="11"/>
        <color theme="1"/>
        <rFont val="Noto Sans CJK SC"/>
        <family val="2"/>
      </rPr>
      <t xml:space="preserve">）對 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）比，與工作單「精度對不齊的列出不比」有出入，交本題判斷。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</si>
  <si>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改用『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也以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服務』的對齊口徑：比值乘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（推導頁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節，只用方法一）→ </t>
    </r>
    <r>
      <rPr>
        <sz val="11"/>
        <color theme="1"/>
        <rFont val="Calibri"/>
        <family val="2"/>
        <charset val="1"/>
      </rPr>
      <t xml:space="preserve">TPU 0.48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0.13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Noto Sans CJK SC"/>
        <family val="2"/>
      </rPr>
      <t xml:space="preserve">。這等於假設 </t>
    </r>
    <r>
      <rPr>
        <sz val="11"/>
        <color theme="1"/>
        <rFont val="Calibri"/>
        <family val="2"/>
        <charset val="1"/>
      </rPr>
      <t xml:space="preserve">NVFP4 </t>
    </r>
    <r>
      <rPr>
        <sz val="11"/>
        <color theme="1"/>
        <rFont val="Noto Sans CJK SC"/>
        <family val="2"/>
      </rPr>
      <t xml:space="preserve">在同 </t>
    </r>
    <r>
      <rPr>
        <sz val="11"/>
        <color theme="1"/>
        <rFont val="Calibri"/>
        <family val="2"/>
        <charset val="1"/>
      </rPr>
      <t xml:space="preserve">SLO </t>
    </r>
    <r>
      <rPr>
        <sz val="11"/>
        <color theme="1"/>
        <rFont val="Noto Sans CJK SC"/>
        <family val="2"/>
      </rPr>
      <t xml:space="preserve">下不可用，會與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產出本身矛盾。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</si>
  <si>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產出比基準 </t>
    </r>
    <r>
      <rPr>
        <sz val="11"/>
        <color theme="1"/>
        <rFont val="Calibri"/>
        <family val="2"/>
        <charset val="1"/>
      </rPr>
      <t xml:space="preserve">0.33 vs 0.66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Trn3 0.14 vs 0.28</t>
    </r>
    <r>
      <rPr>
        <sz val="11"/>
        <color theme="1"/>
        <rFont val="Noto Sans CJK SC"/>
        <family val="2"/>
      </rPr>
      <t xml:space="preserve">（皆方法一、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TPU 0.8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口徑下接近高端 </t>
    </r>
    <r>
      <rPr>
        <sz val="11"/>
        <color theme="1"/>
        <rFont val="Calibri"/>
        <family val="2"/>
        <charset val="1"/>
      </rPr>
      <t xml:space="preserve">0.84</t>
    </r>
    <r>
      <rPr>
        <sz val="11"/>
        <color theme="1"/>
        <rFont val="Noto Sans CJK SC"/>
        <family val="2"/>
      </rPr>
      <t xml:space="preserve">，基準仍低。</t>
    </r>
  </si>
  <si>
    <t xml:space="preserve">Q2</t>
  </si>
  <si>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每顆功率以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9,216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pod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10 MW</t>
    </r>
    <r>
      <rPr>
        <sz val="11"/>
        <color theme="1"/>
        <rFont val="Noto Sans CJK SC"/>
        <family val="2"/>
      </rPr>
      <t xml:space="preserve">』平均得 </t>
    </r>
    <r>
      <rPr>
        <sz val="11"/>
        <color theme="1"/>
        <rFont val="Calibri"/>
        <family val="2"/>
        <charset val="1"/>
      </rPr>
      <t xml:space="preserve">1.085 kW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pod </t>
    </r>
    <r>
      <rPr>
        <sz val="11"/>
        <color theme="1"/>
        <rFont val="Noto Sans CJK SC"/>
        <family val="2"/>
      </rPr>
      <t xml:space="preserve">內主機與網路）。高功率端取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1.30 kW</t>
    </r>
    <r>
      <rPr>
        <sz val="11"/>
        <color theme="1"/>
        <rFont val="Noto Sans CJK SC"/>
        <family val="2"/>
      </rPr>
      <t xml:space="preserve">，比照設計功率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滿載耗電），低功率端 </t>
    </r>
    <r>
      <rPr>
        <sz val="11"/>
        <color theme="1"/>
        <rFont val="Calibri"/>
        <family val="2"/>
        <charset val="1"/>
      </rPr>
      <t xml:space="preserve">9.5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1.03 kW</t>
    </r>
    <r>
      <rPr>
        <sz val="11"/>
        <color theme="1"/>
        <rFont val="Noto Sans CJK SC"/>
        <family val="2"/>
      </rPr>
      <t xml:space="preserve">）。是否接受？</t>
    </r>
  </si>
  <si>
    <r>
      <rPr>
        <sz val="11"/>
        <color theme="1"/>
        <rFont val="Noto Sans CJK SC"/>
        <family val="2"/>
      </rPr>
      <t xml:space="preserve">接受。冷卻能力 </t>
    </r>
    <r>
      <rPr>
        <sz val="11"/>
        <color theme="1"/>
        <rFont val="Calibri"/>
        <family val="2"/>
        <charset val="1"/>
      </rPr>
      <t xml:space="preserve">&gt;100 kW/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1.56 kW/</t>
    </r>
    <r>
      <rPr>
        <sz val="11"/>
        <color theme="1"/>
        <rFont val="Noto Sans CJK SC"/>
        <family val="2"/>
      </rPr>
      <t xml:space="preserve">顆）只放敏感度，不當基準。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</si>
  <si>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10 MW </t>
    </r>
    <r>
      <rPr>
        <sz val="11"/>
        <color theme="1"/>
        <rFont val="Noto Sans CJK SC"/>
        <family val="2"/>
      </rPr>
      <t xml:space="preserve">含設施冷卻（</t>
    </r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0.99 kW/</t>
    </r>
    <r>
      <rPr>
        <sz val="11"/>
        <color theme="1"/>
        <rFont val="Noto Sans CJK SC"/>
        <family val="2"/>
      </rPr>
      <t xml:space="preserve">顆，產出比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100 kW/</t>
    </r>
    <r>
      <rPr>
        <sz val="11"/>
        <color theme="1"/>
        <rFont val="Noto Sans CJK SC"/>
        <family val="2"/>
      </rPr>
      <t xml:space="preserve">架為設計功率，產出比 −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</si>
  <si>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產出比基準 </t>
    </r>
    <r>
      <rPr>
        <sz val="11"/>
        <color theme="1"/>
        <rFont val="Calibri"/>
        <family val="2"/>
        <charset val="1"/>
      </rPr>
      <t xml:space="preserve">0.23–0.36</t>
    </r>
    <r>
      <rPr>
        <sz val="11"/>
        <color theme="1"/>
        <rFont val="Noto Sans CJK SC"/>
        <family val="2"/>
      </rPr>
      <t xml:space="preserve">。</t>
    </r>
  </si>
  <si>
    <t xml:space="preserve">Q3</t>
  </si>
  <si>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機架功率無官方數字。本表以晶片 </t>
    </r>
    <r>
      <rPr>
        <sz val="11"/>
        <color theme="1"/>
        <rFont val="Calibri"/>
        <family val="2"/>
        <charset val="1"/>
      </rPr>
      <t xml:space="preserve">TDP 700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1,000 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／中點／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副總裁液冷說法推論的約 </t>
    </r>
    <r>
      <rPr>
        <sz val="11"/>
        <color theme="1"/>
        <rFont val="Calibri"/>
        <family val="2"/>
        <charset val="1"/>
      </rPr>
      <t xml:space="preserve">1 kW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／二手）</t>
    </r>
    <r>
      <rPr>
        <sz val="11"/>
        <color theme="1"/>
        <rFont val="Calibri"/>
        <family val="2"/>
        <charset val="1"/>
      </rPr>
      <t xml:space="preserve">× 72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× TK </t>
    </r>
    <r>
      <rPr>
        <sz val="11"/>
        <color theme="1"/>
        <rFont val="Noto Sans CJK SC"/>
        <family val="2"/>
      </rPr>
      <t xml:space="preserve">各世代『機架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晶片』倍數（</t>
    </r>
    <r>
      <rPr>
        <sz val="11"/>
        <color theme="1"/>
        <rFont val="Calibri"/>
        <family val="2"/>
        <charset val="1"/>
      </rPr>
      <t xml:space="preserve">GB300 1.35</t>
    </r>
    <r>
      <rPr>
        <sz val="11"/>
        <color theme="1"/>
        <rFont val="Noto Sans CJK SC"/>
        <family val="2"/>
      </rPr>
      <t xml:space="preserve">／四值平均 </t>
    </r>
    <r>
      <rPr>
        <sz val="11"/>
        <color theme="1"/>
        <rFont val="Calibri"/>
        <family val="2"/>
        <charset val="1"/>
      </rPr>
      <t xml:space="preserve">1.52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Max-P 1.75</t>
    </r>
    <r>
      <rPr>
        <sz val="11"/>
        <color theme="1"/>
        <rFont val="Noto Sans CJK SC"/>
        <family val="2"/>
      </rPr>
      <t xml:space="preserve">；四值＝</t>
    </r>
    <r>
      <rPr>
        <sz val="11"/>
        <color theme="1"/>
        <rFont val="Calibri"/>
        <family val="2"/>
        <charset val="1"/>
      </rPr>
      <t xml:space="preserve">GB200 1.53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1.35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Max-Q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Max-P 1.75</t>
    </r>
    <r>
      <rPr>
        <sz val="11"/>
        <color theme="1"/>
        <rFont val="Noto Sans CJK SC"/>
        <family val="2"/>
      </rPr>
      <t xml:space="preserve">）推得 </t>
    </r>
    <r>
      <rPr>
        <sz val="11"/>
        <color theme="1"/>
        <rFont val="Calibri"/>
        <family val="2"/>
        <charset val="1"/>
      </rPr>
      <t xml:space="preserve">68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126 kW</t>
    </r>
    <r>
      <rPr>
        <sz val="11"/>
        <color theme="1"/>
        <rFont val="Noto Sans CJK SC"/>
        <family val="2"/>
      </rPr>
      <t xml:space="preserve">；皆低於電源裝置容量（</t>
    </r>
    <r>
      <rPr>
        <sz val="11"/>
        <color theme="1"/>
        <rFont val="Calibri"/>
        <family val="2"/>
        <charset val="1"/>
      </rPr>
      <t xml:space="preserve">153 kW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5+1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127.5 kW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500 kW </t>
    </r>
    <r>
      <rPr>
        <sz val="11"/>
        <color theme="1"/>
        <rFont val="Noto Sans CJK SC"/>
        <family val="2"/>
      </rPr>
      <t xml:space="preserve">電源櫃供兩架的上限。是否接受？</t>
    </r>
  </si>
  <si>
    <r>
      <rPr>
        <sz val="11"/>
        <color theme="1"/>
        <rFont val="Noto Sans CJK SC"/>
        <family val="2"/>
      </rPr>
      <t xml:space="preserve">接受；標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 from Analogy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</si>
  <si>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KGI 700 W </t>
    </r>
    <r>
      <rPr>
        <sz val="11"/>
        <color theme="1"/>
        <rFont val="Noto Sans CJK SC"/>
        <family val="2"/>
      </rPr>
      <t xml:space="preserve">為基準（產出比 </t>
    </r>
    <r>
      <rPr>
        <sz val="11"/>
        <color theme="1"/>
        <rFont val="Calibri"/>
        <family val="2"/>
        <charset val="1"/>
      </rPr>
      <t xml:space="preserve">0.17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改以電源裝置 </t>
    </r>
    <r>
      <rPr>
        <sz val="11"/>
        <color theme="1"/>
        <rFont val="Calibri"/>
        <family val="2"/>
        <charset val="1"/>
      </rPr>
      <t xml:space="preserve">127.5 kW </t>
    </r>
    <r>
      <rPr>
        <sz val="11"/>
        <color theme="1"/>
        <rFont val="Noto Sans CJK SC"/>
        <family val="2"/>
      </rPr>
      <t xml:space="preserve">為基準（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倍數取 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±13%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</si>
  <si>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產出比基準 </t>
    </r>
    <r>
      <rPr>
        <sz val="11"/>
        <color theme="1"/>
        <rFont val="Calibri"/>
        <family val="2"/>
        <charset val="1"/>
      </rPr>
      <t xml:space="preserve">0.10–0.17</t>
    </r>
    <r>
      <rPr>
        <sz val="11"/>
        <color theme="1"/>
        <rFont val="Noto Sans CJK SC"/>
        <family val="2"/>
      </rPr>
      <t xml:space="preserve">。</t>
    </r>
  </si>
  <si>
    <t xml:space="preserve">Q4</t>
  </si>
  <si>
    <r>
      <rPr>
        <sz val="11"/>
        <color theme="1"/>
        <rFont val="Noto Sans CJK SC"/>
        <family val="2"/>
      </rPr>
      <t xml:space="preserve">效率因子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已依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方案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改）：</t>
    </r>
    <r>
      <rPr>
        <sz val="11"/>
        <color theme="1"/>
        <rFont val="Calibri"/>
        <family val="2"/>
        <charset val="1"/>
      </rPr>
      <t xml:space="preserve">TPU 0.744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1.04</t>
    </r>
    <r>
      <rPr>
        <sz val="11"/>
        <color theme="1"/>
        <rFont val="Noto Sans CJK SC"/>
        <family val="2"/>
      </rPr>
      <t xml:space="preserve">（低＝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還原值；基準＝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還原值平均 </t>
    </r>
    <r>
      <rPr>
        <sz val="11"/>
        <color theme="1"/>
        <rFont val="Calibri"/>
        <family val="2"/>
        <charset val="1"/>
      </rPr>
      <t xml:space="preserve">0.97 </t>
    </r>
    <r>
      <rPr>
        <sz val="11"/>
        <color theme="1"/>
        <rFont val="Noto Sans CJK SC"/>
        <family val="2"/>
      </rPr>
      <t xml:space="preserve">的中間；高＝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還原值，以 </t>
    </r>
    <r>
      <rPr>
        <sz val="11"/>
        <color theme="1"/>
        <rFont val="Calibri"/>
        <family val="2"/>
        <charset val="1"/>
      </rPr>
      <t xml:space="preserve">InferenceX </t>
    </r>
    <r>
      <rPr>
        <sz val="11"/>
        <color theme="1"/>
        <rFont val="Noto Sans CJK SC"/>
        <family val="2"/>
      </rPr>
      <t xml:space="preserve">佐證——單一來源 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，依規則只作佐證），標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無任何第三方實測，比照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1.04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</si>
  <si>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已採用（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</si>
  <si>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(a) Trn3 f </t>
    </r>
    <r>
      <rPr>
        <sz val="11"/>
        <color theme="1"/>
        <rFont val="Noto Sans CJK SC"/>
        <family val="2"/>
      </rPr>
      <t xml:space="preserve">基準改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還原值 </t>
    </r>
    <r>
      <rPr>
        <sz val="11"/>
        <color theme="1"/>
        <rFont val="Calibri"/>
        <family val="2"/>
        <charset val="1"/>
      </rPr>
      <t xml:space="preserve">0.744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(b) TPU f </t>
    </r>
    <r>
      <rPr>
        <sz val="11"/>
        <color theme="1"/>
        <rFont val="Noto Sans CJK SC"/>
        <family val="2"/>
      </rPr>
      <t xml:space="preserve">基準改回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（需第二個獨立實測來源）。</t>
    </r>
  </si>
  <si>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產出比 </t>
    </r>
    <r>
      <rPr>
        <sz val="11"/>
        <color theme="1"/>
        <rFont val="Calibri"/>
        <family val="2"/>
        <charset val="1"/>
      </rPr>
      <t xml:space="preserve">0.13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產出比 </t>
    </r>
    <r>
      <rPr>
        <sz val="11"/>
        <color theme="1"/>
        <rFont val="Calibri"/>
        <family val="2"/>
        <charset val="1"/>
      </rPr>
      <t xml:space="preserve">0.37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</t>
    </r>
  </si>
  <si>
    <t xml:space="preserve">Q5</t>
  </si>
  <si>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每顆取得價：低 </t>
    </r>
    <r>
      <rPr>
        <sz val="11"/>
        <color theme="1"/>
        <rFont val="Calibri"/>
        <family val="2"/>
        <charset val="1"/>
      </rPr>
      <t xml:space="preserve">$21K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 $21B </t>
    </r>
    <r>
      <rPr>
        <sz val="11"/>
        <color theme="1"/>
        <rFont val="Noto Sans CJK SC"/>
        <family val="2"/>
      </rPr>
      <t xml:space="preserve">訂單／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）、基準 </t>
    </r>
    <r>
      <rPr>
        <sz val="11"/>
        <color theme="1"/>
        <rFont val="Calibri"/>
        <family val="2"/>
        <charset val="1"/>
      </rPr>
      <t xml:space="preserve">$25K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$10B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萬顆成品機架）、高 </t>
    </r>
    <r>
      <rPr>
        <sz val="11"/>
        <color theme="1"/>
        <rFont val="Calibri"/>
        <family val="2"/>
        <charset val="1"/>
      </rPr>
      <t xml:space="preserve">$35K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$35B </t>
    </r>
    <r>
      <rPr>
        <sz val="11"/>
        <color theme="1"/>
        <rFont val="Noto Sans CJK SC"/>
        <family val="2"/>
      </rPr>
      <t xml:space="preserve">融資／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），再乘網路加成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。是否接受？</t>
    </r>
  </si>
  <si>
    <r>
      <rPr>
        <sz val="11"/>
        <color theme="1"/>
        <rFont val="Noto Sans CJK SC"/>
        <family val="2"/>
      </rPr>
      <t xml:space="preserve">接受。持有比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</si>
  <si>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直接用每 </t>
    </r>
    <r>
      <rPr>
        <sz val="11"/>
        <color theme="1"/>
        <rFont val="Calibri"/>
        <family val="2"/>
        <charset val="1"/>
      </rPr>
      <t xml:space="preserve">GW $21–35B</t>
    </r>
    <r>
      <rPr>
        <sz val="11"/>
        <color theme="1"/>
        <rFont val="Noto Sans CJK SC"/>
        <family val="2"/>
      </rPr>
      <t xml:space="preserve">（不乘加成、不經每顆功率）：持有比 </t>
    </r>
    <r>
      <rPr>
        <sz val="11"/>
        <color theme="1"/>
        <rFont val="Calibri"/>
        <family val="2"/>
        <charset val="1"/>
      </rPr>
      <t xml:space="preserve">0.63–0.95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內部 </t>
    </r>
    <r>
      <rPr>
        <sz val="11"/>
        <color theme="1"/>
        <rFont val="Calibri"/>
        <family val="2"/>
        <charset val="1"/>
      </rPr>
      <t xml:space="preserve">TCO $1.03/chip-hr </t>
    </r>
    <r>
      <rPr>
        <sz val="11"/>
        <color theme="1"/>
        <rFont val="Noto Sans CJK SC"/>
        <family val="2"/>
      </rPr>
      <t xml:space="preserve">交叉：約 </t>
    </r>
    <r>
      <rPr>
        <sz val="11"/>
        <color theme="1"/>
        <rFont val="Calibri"/>
        <family val="2"/>
        <charset val="1"/>
      </rPr>
      <t xml:space="preserve">0.63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$1.60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0.98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</si>
  <si>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持有比基準 </t>
    </r>
    <r>
      <rPr>
        <sz val="11"/>
        <color theme="1"/>
        <rFont val="Calibri"/>
        <family val="2"/>
        <charset val="1"/>
      </rPr>
      <t xml:space="preserve">0.63–0.71</t>
    </r>
    <r>
      <rPr>
        <sz val="11"/>
        <color theme="1"/>
        <rFont val="Noto Sans CJK SC"/>
        <family val="2"/>
      </rPr>
      <t xml:space="preserve">。</t>
    </r>
  </si>
  <si>
    <t xml:space="preserve">Q6</t>
  </si>
  <si>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每架價格：低 </t>
    </r>
    <r>
      <rPr>
        <sz val="11"/>
        <color theme="1"/>
        <rFont val="Calibri"/>
        <family val="2"/>
        <charset val="1"/>
      </rPr>
      <t xml:space="preserve">$1.0M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Naddod</t>
    </r>
    <r>
      <rPr>
        <sz val="11"/>
        <color theme="1"/>
        <rFont val="Noto Sans CJK SC"/>
        <family val="2"/>
      </rPr>
      <t xml:space="preserve">）、基準 </t>
    </r>
    <r>
      <rPr>
        <sz val="11"/>
        <color theme="1"/>
        <rFont val="Calibri"/>
        <family val="2"/>
        <charset val="1"/>
      </rPr>
      <t xml:space="preserve">$1.5M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KGI </t>
    </r>
    <r>
      <rPr>
        <sz val="11"/>
        <color theme="1"/>
        <rFont val="Noto Sans CJK SC"/>
        <family val="2"/>
      </rPr>
      <t xml:space="preserve">中點）、高 </t>
    </r>
    <r>
      <rPr>
        <sz val="11"/>
        <color theme="1"/>
        <rFont val="Calibri"/>
        <family val="2"/>
        <charset val="1"/>
      </rPr>
      <t xml:space="preserve">$2.2M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KGI </t>
    </r>
    <r>
      <rPr>
        <sz val="11"/>
        <color theme="1"/>
        <rFont val="Noto Sans CJK SC"/>
        <family val="2"/>
      </rPr>
      <t xml:space="preserve">上緣＋若晶片另計約 </t>
    </r>
    <r>
      <rPr>
        <sz val="11"/>
        <color theme="1"/>
        <rFont val="Calibri"/>
        <family val="2"/>
        <charset val="1"/>
      </rPr>
      <t xml:space="preserve">$0.6M</t>
    </r>
    <r>
      <rPr>
        <sz val="11"/>
        <color theme="1"/>
        <rFont val="Noto Sans CJK SC"/>
        <family val="2"/>
      </rPr>
      <t xml:space="preserve">）。是否接受？</t>
    </r>
  </si>
  <si>
    <r>
      <rPr>
        <sz val="11"/>
        <color theme="1"/>
        <rFont val="Noto Sans CJK SC"/>
        <family val="2"/>
      </rPr>
      <t xml:space="preserve">接受。持有比 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（四捨五入；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機架倍數改區間後每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架數增加，持有比上升）。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</si>
  <si>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KGI 1.4–1.6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0.54–0.59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等付費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</si>
  <si>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0.45–0.70</t>
    </r>
    <r>
      <rPr>
        <sz val="11"/>
        <color theme="1"/>
        <rFont val="Noto Sans CJK SC"/>
        <family val="2"/>
      </rPr>
      <t xml:space="preserve">。</t>
    </r>
  </si>
  <si>
    <t xml:space="preserve">Q7</t>
  </si>
  <si>
    <r>
      <rPr>
        <sz val="11"/>
        <color theme="1"/>
        <rFont val="Noto Sans CJK SC"/>
        <family val="2"/>
      </rPr>
      <t xml:space="preserve">是否寫進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下一版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列（取代『慣例值、未推導』）？</t>
    </r>
  </si>
  <si>
    <r>
      <rPr>
        <sz val="11"/>
        <color theme="1"/>
        <rFont val="Noto Sans CJK SC"/>
        <family val="2"/>
      </rPr>
      <t xml:space="preserve">寫進，但先只換持有比（證據較強：價格兩來源以上、方法與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段相同）；產出比待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決定後再換。若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採預設，產出比一併換為本表值並標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（說明欄引本資料夾）。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</si>
  <si>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產出比與持有比一起換；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都不換，只在說明欄附本表區間。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</si>
  <si>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成本比 </t>
    </r>
    <r>
      <rPr>
        <sz val="11"/>
        <color theme="1"/>
        <rFont val="Calibri"/>
        <family val="2"/>
        <charset val="1"/>
      </rPr>
      <t xml:space="preserve">1.0 → 2.0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Trn3 1.4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採預設時，建議輸入值）。下游（</t>
    </r>
    <r>
      <rPr>
        <sz val="11"/>
        <color theme="1"/>
        <rFont val="Calibri"/>
        <family val="2"/>
        <charset val="1"/>
      </rPr>
      <t xml:space="preserve">MAG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模型）用到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比例時會變。</t>
    </r>
  </si>
  <si>
    <t xml:space="preserve">Q8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</si>
  <si>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題，時間允許才做）本段未做。是否另發工作單？</t>
    </r>
  </si>
  <si>
    <r>
      <rPr>
        <sz val="11"/>
        <color theme="1"/>
        <rFont val="Noto Sans CJK SC"/>
        <family val="2"/>
      </rPr>
      <t xml:space="preserve">另發（同法；需 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機架功率與價格）。</t>
    </r>
  </si>
  <si>
    <r>
      <rPr>
        <sz val="11"/>
        <color theme="1"/>
        <rFont val="Noto Sans CJK SC"/>
        <family val="2"/>
      </rPr>
      <t xml:space="preserve">併入下一版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工作單。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</si>
  <si>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列仍為慣例值。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</si>
</sst>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General"/>
    <numFmt numFmtId="167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7" min="3" style="0" width="11"/>
    <col collapsed="false" customWidth="true" hidden="false" outlineLevel="0" max="8" min="8" style="0" width="14"/>
    <col collapsed="false" customWidth="true" hidden="false" outlineLevel="0" max="11" min="9" style="0" width="10"/>
    <col collapsed="false" customWidth="true" hidden="false" outlineLevel="0" max="12" min="12" style="0" width="80"/>
  </cols>
  <sheetData>
    <row r="1" customFormat="false" ht="17.15" hidden="false" customHeight="false" outlineLevel="0" collapsed="false">
      <c r="A1" s="1" t="s">
        <v>0</v>
      </c>
    </row>
    <row r="2" customFormat="false" ht="95.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7.15" hidden="false" customHeight="false" outlineLevel="0" collapsed="false">
      <c r="A4" s="0" t="s">
        <v>14</v>
      </c>
      <c r="B4" s="4" t="n">
        <f aca="false">推導!D70</f>
        <v>0.237618367286917</v>
      </c>
      <c r="C4" s="4" t="n">
        <f aca="false">推導!E70</f>
        <v>0.327863549081366</v>
      </c>
      <c r="D4" s="4" t="n">
        <f aca="false">推導!F70</f>
        <v>0.418930709370793</v>
      </c>
      <c r="E4" s="4" t="n">
        <f aca="false">推導!D75</f>
        <v>0.630850470247275</v>
      </c>
      <c r="F4" s="4" t="n">
        <f aca="false">推導!E75</f>
        <v>0.707947962650827</v>
      </c>
      <c r="G4" s="4" t="n">
        <f aca="false">推導!F75</f>
        <v>0.900691693659706</v>
      </c>
      <c r="H4" s="5" t="n">
        <f aca="false">F4/C4</f>
        <v>2.15927621302951</v>
      </c>
      <c r="I4" s="5" t="n">
        <f aca="false">E4/D4</f>
        <v>1.50585874020735</v>
      </c>
      <c r="J4" s="5" t="n">
        <f aca="false">G4/B4</f>
        <v>3.79049693819396</v>
      </c>
      <c r="L4" s="6" t="s">
        <v>15</v>
      </c>
    </row>
    <row r="5" customFormat="false" ht="17.15" hidden="false" customHeight="false" outlineLevel="0" collapsed="false">
      <c r="A5" s="0" t="s">
        <v>16</v>
      </c>
      <c r="B5" s="4" t="n">
        <f aca="false">推導!D91</f>
        <v>0.0647228571428571</v>
      </c>
      <c r="C5" s="4" t="n">
        <f aca="false">推導!E91</f>
        <v>0.140409699322703</v>
      </c>
      <c r="D5" s="4" t="n">
        <f aca="false">推導!F91</f>
        <v>0.249432216197021</v>
      </c>
      <c r="E5" s="4" t="n">
        <f aca="false">推導!D96</f>
        <v>0.450944329001981</v>
      </c>
      <c r="F5" s="4" t="n">
        <f aca="false">推導!E96</f>
        <v>0.563372175938657</v>
      </c>
      <c r="G5" s="4" t="n">
        <f aca="false">推導!F96</f>
        <v>0.720771161650004</v>
      </c>
      <c r="H5" s="6" t="n">
        <f aca="false">F5/C5</f>
        <v>4.01234514891925</v>
      </c>
      <c r="I5" s="6" t="n">
        <f aca="false">E5/D5</f>
        <v>1.80788326334634</v>
      </c>
      <c r="J5" s="6" t="n">
        <f aca="false">G5/B5</f>
        <v>11.1362692172119</v>
      </c>
      <c r="L5" s="6" t="s">
        <v>15</v>
      </c>
    </row>
    <row r="7" customFormat="false" ht="17.15" hidden="false" customHeight="false" outlineLevel="0" collapsed="false">
      <c r="A7" s="1" t="s">
        <v>17</v>
      </c>
    </row>
    <row r="8" customFormat="false" ht="64.15" hidden="false" customHeight="false" outlineLevel="0" collapsed="false">
      <c r="A8" s="0" t="s">
        <v>18</v>
      </c>
      <c r="B8" s="7" t="n">
        <v>0.25</v>
      </c>
      <c r="C8" s="7" t="n">
        <v>0.35</v>
      </c>
      <c r="D8" s="7" t="n">
        <v>0.4</v>
      </c>
      <c r="E8" s="7" t="n">
        <v>0.65</v>
      </c>
      <c r="F8" s="7" t="n">
        <v>0.7</v>
      </c>
      <c r="G8" s="7" t="n">
        <v>0.9</v>
      </c>
      <c r="H8" s="6" t="n">
        <f aca="false">F8/C8</f>
        <v>2</v>
      </c>
      <c r="I8" s="6" t="n">
        <f aca="false">E8/D8</f>
        <v>1.625</v>
      </c>
      <c r="J8" s="6" t="n">
        <f aca="false">G8/B8</f>
        <v>3.6</v>
      </c>
      <c r="K8" s="5" t="s">
        <v>19</v>
      </c>
      <c r="L8" s="2" t="s">
        <v>20</v>
      </c>
    </row>
    <row r="9" customFormat="false" ht="64.15" hidden="false" customHeight="false" outlineLevel="0" collapsed="false">
      <c r="A9" s="0" t="s">
        <v>21</v>
      </c>
      <c r="B9" s="7" t="n">
        <v>0.06</v>
      </c>
      <c r="C9" s="7" t="n">
        <v>0.14</v>
      </c>
      <c r="D9" s="7" t="n">
        <v>0.25</v>
      </c>
      <c r="E9" s="7" t="n">
        <v>0.45</v>
      </c>
      <c r="F9" s="7" t="n">
        <v>0.55</v>
      </c>
      <c r="G9" s="7" t="n">
        <v>0.7</v>
      </c>
      <c r="H9" s="6" t="n">
        <f aca="false">F9/C9</f>
        <v>3.92857142857143</v>
      </c>
      <c r="I9" s="6" t="n">
        <f aca="false">E9/D9</f>
        <v>1.8</v>
      </c>
      <c r="J9" s="6" t="n">
        <f aca="false">G9/B9</f>
        <v>11.6666666666667</v>
      </c>
      <c r="K9" s="5" t="s">
        <v>19</v>
      </c>
      <c r="L9" s="2" t="s">
        <v>22</v>
      </c>
    </row>
    <row r="11" customFormat="false" ht="17.15" hidden="false" customHeight="false" outlineLevel="0" collapsed="false">
      <c r="A11" s="8" t="s">
        <v>23</v>
      </c>
    </row>
    <row r="12" customFormat="false" ht="17.15" hidden="false" customHeight="false" outlineLevel="0" collapsed="false">
      <c r="A12" s="0" t="s">
        <v>24</v>
      </c>
      <c r="B12" s="0" t="n">
        <v>0.6</v>
      </c>
      <c r="C12" s="0" t="n">
        <v>0.8</v>
      </c>
      <c r="D12" s="0" t="n">
        <v>1.1</v>
      </c>
      <c r="E12" s="0" t="n">
        <v>0.7</v>
      </c>
      <c r="F12" s="0" t="n">
        <v>0.8</v>
      </c>
      <c r="G12" s="0" t="n">
        <v>1</v>
      </c>
      <c r="H12" s="0" t="n">
        <f aca="false">F12/C12</f>
        <v>1</v>
      </c>
      <c r="I12" s="0" t="n">
        <f aca="false">E12/D12</f>
        <v>0.636363636363636</v>
      </c>
      <c r="J12" s="0" t="n">
        <f aca="false">G12/B12</f>
        <v>1.66666666666667</v>
      </c>
      <c r="K12" s="0" t="s">
        <v>19</v>
      </c>
      <c r="L12" s="0" t="s">
        <v>25</v>
      </c>
    </row>
    <row r="13" customFormat="false" ht="17.15" hidden="false" customHeight="false" outlineLevel="0" collapsed="false">
      <c r="A13" s="0" t="s">
        <v>26</v>
      </c>
      <c r="B13" s="0" t="n">
        <v>0.3</v>
      </c>
      <c r="C13" s="0" t="n">
        <v>0.5</v>
      </c>
      <c r="D13" s="0" t="n">
        <v>0.8</v>
      </c>
      <c r="E13" s="0" t="n">
        <v>0.6</v>
      </c>
      <c r="F13" s="0" t="n">
        <v>0.7</v>
      </c>
      <c r="G13" s="0" t="n">
        <v>0.9</v>
      </c>
      <c r="H13" s="0" t="n">
        <f aca="false">F13/C13</f>
        <v>1.4</v>
      </c>
      <c r="I13" s="0" t="n">
        <f aca="false">E13/D13</f>
        <v>0.75</v>
      </c>
      <c r="J13" s="0" t="n">
        <f aca="false">G13/B13</f>
        <v>3</v>
      </c>
      <c r="K13" s="0" t="s">
        <v>19</v>
      </c>
      <c r="L13" s="0" t="s">
        <v>25</v>
      </c>
    </row>
    <row r="15" customFormat="false" ht="17.15" hidden="false" customHeight="false" outlineLevel="0" collapsed="false">
      <c r="A15" s="1" t="s">
        <v>27</v>
      </c>
    </row>
    <row r="16" customFormat="false" ht="17.15" hidden="false" customHeight="false" outlineLevel="0" collapsed="false">
      <c r="A16" s="3" t="s">
        <v>2</v>
      </c>
      <c r="B16" s="3" t="s">
        <v>28</v>
      </c>
      <c r="C16" s="3" t="s">
        <v>4</v>
      </c>
      <c r="D16" s="3" t="s">
        <v>7</v>
      </c>
      <c r="E16" s="3" t="s">
        <v>29</v>
      </c>
      <c r="F16" s="3" t="s">
        <v>30</v>
      </c>
      <c r="G16" s="3" t="s">
        <v>31</v>
      </c>
      <c r="H16" s="3" t="s">
        <v>32</v>
      </c>
    </row>
    <row r="17" customFormat="false" ht="17.15" hidden="false" customHeight="false" outlineLevel="0" collapsed="false">
      <c r="A17" s="0" t="s">
        <v>33</v>
      </c>
      <c r="B17" s="4" t="n">
        <f aca="false">推導!E60</f>
        <v>0.383041097142857</v>
      </c>
      <c r="C17" s="6" t="n">
        <f aca="false">C8</f>
        <v>0.35</v>
      </c>
      <c r="D17" s="6" t="n">
        <f aca="false">F8</f>
        <v>0.7</v>
      </c>
      <c r="E17" s="6" t="n">
        <f aca="false">D17/C17</f>
        <v>2</v>
      </c>
      <c r="F17" s="0" t="str">
        <f aca="false">TEXT(B8,"0.00")&amp;"–"&amp;TEXT(D8,"0.00")</f>
        <v>0.25–0.40</v>
      </c>
      <c r="G17" s="0" t="str">
        <f aca="false">TEXT(E8,"0.00")&amp;"–"&amp;TEXT(G8,"0.00")</f>
        <v>0.65–0.90</v>
      </c>
      <c r="H17" s="6" t="s">
        <v>34</v>
      </c>
    </row>
    <row r="18" customFormat="false" ht="17.15" hidden="false" customHeight="false" outlineLevel="0" collapsed="false">
      <c r="A18" s="0" t="s">
        <v>35</v>
      </c>
      <c r="B18" s="4" t="n">
        <f aca="false">推導!E89</f>
        <v>0.175512124153378</v>
      </c>
      <c r="C18" s="6" t="n">
        <f aca="false">C9</f>
        <v>0.14</v>
      </c>
      <c r="D18" s="6" t="n">
        <f aca="false">F9</f>
        <v>0.55</v>
      </c>
      <c r="E18" s="6" t="n">
        <f aca="false">D18/C18</f>
        <v>3.92857142857143</v>
      </c>
      <c r="F18" s="0" t="str">
        <f aca="false">TEXT(B9,"0.00")&amp;"–"&amp;TEXT(D9,"0.00")</f>
        <v>0.06–0.25</v>
      </c>
      <c r="G18" s="0" t="str">
        <f aca="false">TEXT(E9,"0.00")&amp;"–"&amp;TEXT(G9,"0.00")</f>
        <v>0.45–0.70</v>
      </c>
      <c r="H18" s="6" t="s">
        <v>34</v>
      </c>
    </row>
    <row r="19" customFormat="false" ht="17.15" hidden="false" customHeight="false" outlineLevel="0" collapsed="false">
      <c r="A19" s="0" t="s">
        <v>36</v>
      </c>
      <c r="B19" s="7" t="n">
        <v>0.676</v>
      </c>
      <c r="C19" s="7" t="n">
        <v>0.55</v>
      </c>
      <c r="D19" s="7" t="n">
        <v>0.5</v>
      </c>
      <c r="E19" s="6" t="n">
        <f aca="false">D19/C19</f>
        <v>0.909090909090909</v>
      </c>
      <c r="F19" s="5" t="s">
        <v>37</v>
      </c>
      <c r="G19" s="5" t="s">
        <v>38</v>
      </c>
      <c r="H19" s="5" t="s">
        <v>39</v>
      </c>
    </row>
    <row r="20" customFormat="false" ht="17.15" hidden="false" customHeight="false" outlineLevel="0" collapsed="false">
      <c r="A20" s="6" t="s">
        <v>40</v>
      </c>
      <c r="B20" s="7" t="n">
        <v>0.093</v>
      </c>
      <c r="C20" s="7" t="n">
        <v>0.08</v>
      </c>
      <c r="D20" s="7" t="n">
        <v>0.55</v>
      </c>
      <c r="E20" s="6" t="n">
        <f aca="false">D20/C20</f>
        <v>6.875</v>
      </c>
      <c r="F20" s="5" t="s">
        <v>41</v>
      </c>
      <c r="G20" s="5" t="s">
        <v>42</v>
      </c>
      <c r="H20" s="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6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50"/>
    <col collapsed="false" customWidth="true" hidden="false" outlineLevel="0" max="8" min="8" style="0" width="28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1" t="s">
        <v>44</v>
      </c>
    </row>
    <row r="2" customFormat="false" ht="706.7" hidden="false" customHeight="false" outlineLevel="0" collapsed="false">
      <c r="A2" s="2" t="s">
        <v>45</v>
      </c>
    </row>
    <row r="4" customFormat="false" ht="15" hidden="false" customHeight="false" outlineLevel="0" collapsed="false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12</v>
      </c>
      <c r="I4" s="3" t="s">
        <v>53</v>
      </c>
    </row>
    <row r="5" customFormat="false" ht="17.15" hidden="false" customHeight="false" outlineLevel="0" collapsed="false">
      <c r="A5" s="9" t="s">
        <v>54</v>
      </c>
      <c r="B5" s="10"/>
      <c r="C5" s="10"/>
      <c r="D5" s="10"/>
      <c r="E5" s="10"/>
      <c r="F5" s="10"/>
      <c r="G5" s="11"/>
      <c r="H5" s="11"/>
      <c r="I5" s="11"/>
    </row>
    <row r="6" customFormat="false" ht="32.8" hidden="false" customHeight="false" outlineLevel="0" collapsed="false">
      <c r="A6" s="0" t="s">
        <v>55</v>
      </c>
      <c r="B6" s="0" t="s">
        <v>56</v>
      </c>
      <c r="C6" s="0" t="s">
        <v>57</v>
      </c>
      <c r="D6" s="7" t="n">
        <v>35</v>
      </c>
      <c r="E6" s="7" t="n">
        <v>35</v>
      </c>
      <c r="F6" s="7" t="n">
        <v>35</v>
      </c>
      <c r="G6" s="12" t="s">
        <v>58</v>
      </c>
      <c r="H6" s="12" t="s">
        <v>59</v>
      </c>
      <c r="I6" s="12"/>
    </row>
    <row r="7" customFormat="false" ht="32.8" hidden="false" customHeight="false" outlineLevel="0" collapsed="false">
      <c r="A7" s="0" t="s">
        <v>60</v>
      </c>
      <c r="B7" s="0" t="s">
        <v>61</v>
      </c>
      <c r="C7" s="0" t="s">
        <v>62</v>
      </c>
      <c r="D7" s="13" t="n">
        <v>227</v>
      </c>
      <c r="E7" s="13" t="n">
        <v>227</v>
      </c>
      <c r="F7" s="13" t="n">
        <v>227</v>
      </c>
      <c r="G7" s="12" t="s">
        <v>63</v>
      </c>
      <c r="H7" s="12" t="s">
        <v>64</v>
      </c>
      <c r="I7" s="12"/>
    </row>
    <row r="8" customFormat="false" ht="17.15" hidden="false" customHeight="false" outlineLevel="0" collapsed="false">
      <c r="A8" s="0" t="s">
        <v>65</v>
      </c>
      <c r="B8" s="6" t="s">
        <v>66</v>
      </c>
      <c r="C8" s="6" t="s">
        <v>67</v>
      </c>
      <c r="D8" s="7" t="n">
        <v>72</v>
      </c>
      <c r="E8" s="7" t="n">
        <v>72</v>
      </c>
      <c r="F8" s="7" t="n">
        <v>72</v>
      </c>
      <c r="G8" s="12" t="s">
        <v>68</v>
      </c>
      <c r="H8" s="12" t="s">
        <v>69</v>
      </c>
      <c r="I8" s="12"/>
    </row>
    <row r="9" customFormat="false" ht="17.15" hidden="false" customHeight="false" outlineLevel="0" collapsed="false">
      <c r="A9" s="0" t="s">
        <v>70</v>
      </c>
      <c r="B9" s="0" t="s">
        <v>71</v>
      </c>
      <c r="C9" s="0" t="s">
        <v>62</v>
      </c>
      <c r="D9" s="4" t="n">
        <f aca="false">D7/D8</f>
        <v>3.15277777777778</v>
      </c>
      <c r="E9" s="4" t="n">
        <f aca="false">E7/E8</f>
        <v>3.15277777777778</v>
      </c>
      <c r="F9" s="4" t="n">
        <f aca="false">F7/F8</f>
        <v>3.15277777777778</v>
      </c>
      <c r="G9" s="12" t="s">
        <v>72</v>
      </c>
      <c r="H9" s="12" t="s">
        <v>72</v>
      </c>
      <c r="I9" s="12" t="s">
        <v>73</v>
      </c>
    </row>
    <row r="10" customFormat="false" ht="17.15" hidden="false" customHeight="false" outlineLevel="0" collapsed="false">
      <c r="A10" s="0" t="s">
        <v>74</v>
      </c>
      <c r="B10" s="0" t="s">
        <v>75</v>
      </c>
      <c r="C10" s="0" t="s">
        <v>76</v>
      </c>
      <c r="D10" s="4" t="n">
        <f aca="false">D6/D9</f>
        <v>11.1013215859031</v>
      </c>
      <c r="E10" s="4" t="n">
        <f aca="false">E6/E9</f>
        <v>11.1013215859031</v>
      </c>
      <c r="F10" s="4" t="n">
        <f aca="false">F6/F9</f>
        <v>11.1013215859031</v>
      </c>
      <c r="G10" s="12" t="s">
        <v>72</v>
      </c>
      <c r="H10" s="12" t="s">
        <v>72</v>
      </c>
      <c r="I10" s="12"/>
    </row>
    <row r="11" customFormat="false" ht="17.15" hidden="false" customHeight="false" outlineLevel="0" collapsed="false">
      <c r="A11" s="0" t="s">
        <v>77</v>
      </c>
      <c r="B11" s="0" t="s">
        <v>78</v>
      </c>
      <c r="C11" s="6" t="s">
        <v>79</v>
      </c>
      <c r="D11" s="7" t="n">
        <v>4052</v>
      </c>
      <c r="E11" s="7" t="n">
        <v>4052</v>
      </c>
      <c r="F11" s="7" t="n">
        <v>4052</v>
      </c>
      <c r="G11" s="12" t="s">
        <v>80</v>
      </c>
      <c r="H11" s="12" t="s">
        <v>81</v>
      </c>
      <c r="I11" s="12"/>
    </row>
    <row r="12" customFormat="false" ht="32.8" hidden="false" customHeight="false" outlineLevel="0" collapsed="false">
      <c r="A12" s="0" t="s">
        <v>82</v>
      </c>
      <c r="B12" s="0" t="s">
        <v>83</v>
      </c>
      <c r="C12" s="0" t="s">
        <v>84</v>
      </c>
      <c r="D12" s="0" t="n">
        <f aca="false">D11*D7/1000</f>
        <v>919.804</v>
      </c>
      <c r="E12" s="0" t="n">
        <f aca="false">E11*E7/1000</f>
        <v>919.804</v>
      </c>
      <c r="F12" s="0" t="n">
        <f aca="false">F11*F7/1000</f>
        <v>919.804</v>
      </c>
      <c r="G12" s="12" t="s">
        <v>72</v>
      </c>
      <c r="H12" s="12" t="s">
        <v>72</v>
      </c>
      <c r="I12" s="2" t="s">
        <v>85</v>
      </c>
    </row>
    <row r="13" customFormat="false" ht="17.15" hidden="false" customHeight="false" outlineLevel="0" collapsed="false">
      <c r="A13" s="0" t="s">
        <v>86</v>
      </c>
      <c r="B13" s="0" t="s">
        <v>87</v>
      </c>
      <c r="C13" s="0" t="s">
        <v>88</v>
      </c>
      <c r="D13" s="7" t="n">
        <v>8.4</v>
      </c>
      <c r="E13" s="7" t="n">
        <v>8.4</v>
      </c>
      <c r="F13" s="7" t="n">
        <v>8.4</v>
      </c>
      <c r="G13" s="12" t="s">
        <v>89</v>
      </c>
      <c r="H13" s="12" t="s">
        <v>90</v>
      </c>
      <c r="I13" s="12"/>
    </row>
    <row r="14" customFormat="false" ht="17.15" hidden="false" customHeight="false" outlineLevel="0" collapsed="false">
      <c r="A14" s="0" t="s">
        <v>91</v>
      </c>
      <c r="B14" s="0" t="s">
        <v>92</v>
      </c>
      <c r="C14" s="0" t="s">
        <v>93</v>
      </c>
      <c r="D14" s="7" t="n">
        <v>37.586352</v>
      </c>
      <c r="E14" s="7" t="n">
        <v>37.586352</v>
      </c>
      <c r="F14" s="7" t="n">
        <v>37.586352</v>
      </c>
      <c r="G14" s="12" t="s">
        <v>94</v>
      </c>
      <c r="H14" s="12" t="s">
        <v>81</v>
      </c>
      <c r="I14" s="12"/>
    </row>
    <row r="15" customFormat="false" ht="17.15" hidden="false" customHeight="false" outlineLevel="0" collapsed="false">
      <c r="A15" s="0" t="s">
        <v>95</v>
      </c>
      <c r="B15" s="0" t="s">
        <v>96</v>
      </c>
      <c r="C15" s="0" t="s">
        <v>97</v>
      </c>
      <c r="D15" s="4" t="n">
        <f aca="false">D14/(D11*D13/1000)</f>
        <v>1.10428571428571</v>
      </c>
      <c r="E15" s="4" t="n">
        <f aca="false">E14/(E11*E13/1000)</f>
        <v>1.10428571428571</v>
      </c>
      <c r="F15" s="4" t="n">
        <f aca="false">F14/(F11*F13/1000)</f>
        <v>1.10428571428571</v>
      </c>
      <c r="G15" s="12" t="s">
        <v>72</v>
      </c>
      <c r="H15" s="12" t="s">
        <v>72</v>
      </c>
      <c r="I15" s="2" t="s">
        <v>98</v>
      </c>
    </row>
    <row r="16" customFormat="false" ht="17.15" hidden="false" customHeight="false" outlineLevel="0" collapsed="false">
      <c r="A16" s="0" t="s">
        <v>99</v>
      </c>
      <c r="B16" s="0" t="s">
        <v>100</v>
      </c>
      <c r="C16" s="0" t="s">
        <v>93</v>
      </c>
      <c r="D16" s="7" t="n">
        <v>12.67</v>
      </c>
      <c r="E16" s="7" t="n">
        <v>12.67</v>
      </c>
      <c r="F16" s="7" t="n">
        <v>12.67</v>
      </c>
      <c r="G16" s="12" t="s">
        <v>101</v>
      </c>
      <c r="H16" s="12" t="s">
        <v>81</v>
      </c>
      <c r="I16" s="12"/>
    </row>
    <row r="17" customFormat="false" ht="17.15" hidden="false" customHeight="false" outlineLevel="0" collapsed="false">
      <c r="A17" s="0" t="s">
        <v>102</v>
      </c>
      <c r="B17" s="0" t="s">
        <v>103</v>
      </c>
      <c r="C17" s="0" t="s">
        <v>104</v>
      </c>
      <c r="D17" s="7" t="n">
        <v>12.2254710045841</v>
      </c>
      <c r="E17" s="7" t="n">
        <v>12.2254710045841</v>
      </c>
      <c r="F17" s="7" t="n">
        <v>12.2254710045841</v>
      </c>
      <c r="G17" s="12" t="s">
        <v>105</v>
      </c>
      <c r="H17" s="12" t="s">
        <v>81</v>
      </c>
      <c r="I17" s="2" t="s">
        <v>106</v>
      </c>
    </row>
    <row r="18" customFormat="false" ht="17.15" hidden="false" customHeight="false" outlineLevel="0" collapsed="false">
      <c r="A18" s="0" t="s">
        <v>107</v>
      </c>
      <c r="B18" s="0" t="s">
        <v>108</v>
      </c>
      <c r="C18" s="0" t="s">
        <v>104</v>
      </c>
      <c r="D18" s="7" t="n">
        <v>8.9923042149807</v>
      </c>
      <c r="E18" s="7" t="n">
        <v>8.9923042149807</v>
      </c>
      <c r="F18" s="7" t="n">
        <v>8.9923042149807</v>
      </c>
      <c r="G18" s="12" t="s">
        <v>109</v>
      </c>
      <c r="H18" s="12" t="s">
        <v>81</v>
      </c>
      <c r="I18" s="12"/>
    </row>
    <row r="19" customFormat="false" ht="17.15" hidden="false" customHeight="false" outlineLevel="0" collapsed="false">
      <c r="A19" s="0" t="s">
        <v>110</v>
      </c>
      <c r="B19" s="0" t="s">
        <v>111</v>
      </c>
      <c r="C19" s="0" t="s">
        <v>104</v>
      </c>
      <c r="D19" s="7" t="n">
        <v>6.264392</v>
      </c>
      <c r="E19" s="7" t="n">
        <v>6.264392</v>
      </c>
      <c r="F19" s="7" t="n">
        <v>6.264392</v>
      </c>
      <c r="G19" s="12" t="s">
        <v>112</v>
      </c>
      <c r="H19" s="12" t="s">
        <v>81</v>
      </c>
      <c r="I19" s="12"/>
    </row>
    <row r="20" customFormat="false" ht="17.15" hidden="false" customHeight="false" outlineLevel="0" collapsed="false">
      <c r="A20" s="0" t="s">
        <v>113</v>
      </c>
      <c r="B20" s="0" t="s">
        <v>114</v>
      </c>
      <c r="C20" s="0" t="s">
        <v>104</v>
      </c>
      <c r="D20" s="7" t="n">
        <v>0.591045788314028</v>
      </c>
      <c r="E20" s="7" t="n">
        <v>0.591045788314028</v>
      </c>
      <c r="F20" s="7" t="n">
        <v>0.591045788314028</v>
      </c>
      <c r="G20" s="12" t="s">
        <v>115</v>
      </c>
      <c r="H20" s="12" t="s">
        <v>81</v>
      </c>
      <c r="I20" s="12"/>
    </row>
    <row r="21" customFormat="false" ht="17.15" hidden="false" customHeight="false" outlineLevel="0" collapsed="false">
      <c r="A21" s="0" t="s">
        <v>116</v>
      </c>
      <c r="B21" s="0" t="s">
        <v>117</v>
      </c>
      <c r="C21" s="0" t="s">
        <v>104</v>
      </c>
      <c r="D21" s="7" t="n">
        <v>0.25128176</v>
      </c>
      <c r="E21" s="7" t="n">
        <v>0.25128176</v>
      </c>
      <c r="F21" s="7" t="n">
        <v>0.25128176</v>
      </c>
      <c r="G21" s="12" t="s">
        <v>118</v>
      </c>
      <c r="H21" s="12" t="s">
        <v>81</v>
      </c>
      <c r="I21" s="12"/>
    </row>
    <row r="22" customFormat="false" ht="17.15" hidden="false" customHeight="false" outlineLevel="0" collapsed="false">
      <c r="A22" s="0" t="s">
        <v>119</v>
      </c>
      <c r="B22" s="6" t="s">
        <v>120</v>
      </c>
      <c r="C22" s="0" t="s">
        <v>104</v>
      </c>
      <c r="D22" s="0" t="n">
        <f aca="false">D17-D18</f>
        <v>3.2331667896034</v>
      </c>
      <c r="E22" s="0" t="n">
        <f aca="false">E17-E18</f>
        <v>3.2331667896034</v>
      </c>
      <c r="F22" s="0" t="n">
        <f aca="false">F17-F18</f>
        <v>3.2331667896034</v>
      </c>
      <c r="G22" s="12" t="s">
        <v>72</v>
      </c>
      <c r="H22" s="12" t="s">
        <v>72</v>
      </c>
      <c r="I22" s="12"/>
    </row>
    <row r="23" customFormat="false" ht="17.15" hidden="false" customHeight="false" outlineLevel="0" collapsed="false">
      <c r="A23" s="0" t="s">
        <v>121</v>
      </c>
      <c r="B23" s="0" t="s">
        <v>122</v>
      </c>
      <c r="C23" s="0" t="s">
        <v>123</v>
      </c>
      <c r="D23" s="4" t="n">
        <f aca="false">D14/(D14+D16)</f>
        <v>0.747892564904034</v>
      </c>
      <c r="E23" s="4" t="n">
        <f aca="false">E14/(E14+E16)</f>
        <v>0.747892564904034</v>
      </c>
      <c r="F23" s="4" t="n">
        <f aca="false">F14/(F14+F16)</f>
        <v>0.747892564904034</v>
      </c>
      <c r="G23" s="12" t="s">
        <v>72</v>
      </c>
      <c r="H23" s="12" t="s">
        <v>72</v>
      </c>
      <c r="I23" s="12"/>
    </row>
    <row r="24" customFormat="false" ht="17.15" hidden="false" customHeight="false" outlineLevel="0" collapsed="false">
      <c r="A24" s="0" t="s">
        <v>124</v>
      </c>
      <c r="B24" s="6" t="s">
        <v>125</v>
      </c>
      <c r="C24" s="0" t="s">
        <v>104</v>
      </c>
      <c r="D24" s="0" t="n">
        <f aca="false">D19+D20+(D21+D22)*D23</f>
        <v>9.46143095135306</v>
      </c>
      <c r="E24" s="0" t="n">
        <f aca="false">E19+E20+(E21+E22)*E23</f>
        <v>9.46143095135306</v>
      </c>
      <c r="F24" s="0" t="n">
        <f aca="false">F19+F20+(F21+F22)*F23</f>
        <v>9.46143095135306</v>
      </c>
      <c r="G24" s="12" t="s">
        <v>72</v>
      </c>
      <c r="H24" s="12" t="s">
        <v>72</v>
      </c>
      <c r="I24" s="12"/>
    </row>
    <row r="25" customFormat="false" ht="17.15" hidden="false" customHeight="false" outlineLevel="0" collapsed="false">
      <c r="A25" s="0" t="s">
        <v>126</v>
      </c>
      <c r="B25" s="6" t="s">
        <v>127</v>
      </c>
      <c r="C25" s="0" t="s">
        <v>123</v>
      </c>
      <c r="D25" s="4" t="n">
        <f aca="false">D24/D17</f>
        <v>0.773911364871371</v>
      </c>
      <c r="E25" s="4" t="n">
        <f aca="false">E24/E17</f>
        <v>0.773911364871371</v>
      </c>
      <c r="F25" s="4" t="n">
        <f aca="false">F24/F17</f>
        <v>0.773911364871371</v>
      </c>
      <c r="G25" s="12" t="s">
        <v>72</v>
      </c>
      <c r="H25" s="12" t="s">
        <v>72</v>
      </c>
      <c r="I25" s="2" t="s">
        <v>128</v>
      </c>
    </row>
    <row r="26" customFormat="false" ht="17.15" hidden="false" customHeight="false" outlineLevel="0" collapsed="false">
      <c r="A26" s="0" t="s">
        <v>129</v>
      </c>
      <c r="B26" s="0" t="s">
        <v>130</v>
      </c>
      <c r="C26" s="0" t="s">
        <v>57</v>
      </c>
      <c r="D26" s="7" t="n">
        <v>17.5</v>
      </c>
      <c r="E26" s="7" t="n">
        <v>17.5</v>
      </c>
      <c r="F26" s="7" t="n">
        <v>17.5</v>
      </c>
      <c r="G26" s="12" t="s">
        <v>131</v>
      </c>
      <c r="H26" s="12" t="s">
        <v>90</v>
      </c>
      <c r="I26" s="2" t="s">
        <v>132</v>
      </c>
    </row>
    <row r="27" customFormat="false" ht="17.15" hidden="false" customHeight="false" outlineLevel="0" collapsed="false">
      <c r="A27" s="0" t="s">
        <v>133</v>
      </c>
      <c r="B27" s="0" t="s">
        <v>134</v>
      </c>
      <c r="C27" s="0" t="s">
        <v>135</v>
      </c>
      <c r="D27" s="7" t="n">
        <v>1800</v>
      </c>
      <c r="E27" s="7" t="n">
        <v>1800</v>
      </c>
      <c r="F27" s="7" t="n">
        <v>1800</v>
      </c>
      <c r="G27" s="12" t="s">
        <v>136</v>
      </c>
      <c r="H27" s="12" t="s">
        <v>90</v>
      </c>
      <c r="I27" s="12"/>
    </row>
    <row r="28" customFormat="false" ht="17.15" hidden="false" customHeight="false" outlineLevel="0" collapsed="false">
      <c r="A28" s="0" t="s">
        <v>137</v>
      </c>
      <c r="B28" s="0" t="s">
        <v>138</v>
      </c>
      <c r="C28" s="0" t="s">
        <v>97</v>
      </c>
      <c r="D28" s="4" t="n">
        <f aca="false">D7*1000/(D8*D27)</f>
        <v>1.75154320987654</v>
      </c>
      <c r="E28" s="4" t="n">
        <f aca="false">E7*1000/(E8*E27)</f>
        <v>1.75154320987654</v>
      </c>
      <c r="F28" s="4" t="n">
        <f aca="false">F7*1000/(F8*F27)</f>
        <v>1.75154320987654</v>
      </c>
      <c r="G28" s="12" t="s">
        <v>72</v>
      </c>
      <c r="H28" s="12" t="s">
        <v>72</v>
      </c>
      <c r="I28" s="12" t="s">
        <v>139</v>
      </c>
    </row>
    <row r="29" customFormat="false" ht="17.15" hidden="false" customHeight="false" outlineLevel="0" collapsed="false">
      <c r="A29" s="9" t="s">
        <v>140</v>
      </c>
      <c r="B29" s="10"/>
      <c r="C29" s="10"/>
      <c r="D29" s="10"/>
      <c r="E29" s="10"/>
      <c r="F29" s="10"/>
      <c r="G29" s="11"/>
      <c r="H29" s="11"/>
      <c r="I29" s="11"/>
    </row>
    <row r="30" customFormat="false" ht="17.15" hidden="false" customHeight="false" outlineLevel="0" collapsed="false">
      <c r="A30" s="0" t="s">
        <v>141</v>
      </c>
      <c r="B30" s="0" t="s">
        <v>142</v>
      </c>
      <c r="C30" s="0" t="s">
        <v>57</v>
      </c>
      <c r="D30" s="7" t="n">
        <v>1.979</v>
      </c>
      <c r="E30" s="7" t="n">
        <v>1.979</v>
      </c>
      <c r="F30" s="7" t="n">
        <v>1.979</v>
      </c>
      <c r="G30" s="12" t="s">
        <v>143</v>
      </c>
      <c r="H30" s="12" t="s">
        <v>90</v>
      </c>
      <c r="I30" s="12" t="s">
        <v>144</v>
      </c>
    </row>
    <row r="31" customFormat="false" ht="17.15" hidden="false" customHeight="false" outlineLevel="0" collapsed="false">
      <c r="A31" s="0" t="s">
        <v>145</v>
      </c>
      <c r="B31" s="0" t="s">
        <v>146</v>
      </c>
      <c r="C31" s="0" t="s">
        <v>62</v>
      </c>
      <c r="D31" s="13" t="n">
        <v>41</v>
      </c>
      <c r="E31" s="13" t="n">
        <v>41</v>
      </c>
      <c r="F31" s="13" t="n">
        <v>41</v>
      </c>
      <c r="G31" s="12" t="s">
        <v>143</v>
      </c>
      <c r="H31" s="12" t="s">
        <v>147</v>
      </c>
      <c r="I31" s="12"/>
    </row>
    <row r="32" customFormat="false" ht="17.15" hidden="false" customHeight="false" outlineLevel="0" collapsed="false">
      <c r="A32" s="0" t="s">
        <v>148</v>
      </c>
      <c r="B32" s="0" t="s">
        <v>149</v>
      </c>
      <c r="C32" s="6" t="s">
        <v>67</v>
      </c>
      <c r="D32" s="7" t="n">
        <v>32</v>
      </c>
      <c r="E32" s="7" t="n">
        <v>32</v>
      </c>
      <c r="F32" s="7" t="n">
        <v>32</v>
      </c>
      <c r="G32" s="12" t="s">
        <v>143</v>
      </c>
      <c r="H32" s="12" t="s">
        <v>69</v>
      </c>
      <c r="I32" s="12"/>
    </row>
    <row r="33" customFormat="false" ht="17.15" hidden="false" customHeight="false" outlineLevel="0" collapsed="false">
      <c r="A33" s="0" t="s">
        <v>150</v>
      </c>
      <c r="B33" s="0" t="s">
        <v>151</v>
      </c>
      <c r="C33" s="0" t="s">
        <v>62</v>
      </c>
      <c r="D33" s="4" t="n">
        <f aca="false">D31/D32</f>
        <v>1.28125</v>
      </c>
      <c r="E33" s="4" t="n">
        <f aca="false">E31/E32</f>
        <v>1.28125</v>
      </c>
      <c r="F33" s="4" t="n">
        <f aca="false">F31/F32</f>
        <v>1.28125</v>
      </c>
      <c r="G33" s="12" t="s">
        <v>72</v>
      </c>
      <c r="H33" s="12" t="s">
        <v>72</v>
      </c>
      <c r="I33" s="12"/>
    </row>
    <row r="34" customFormat="false" ht="17.15" hidden="false" customHeight="false" outlineLevel="0" collapsed="false">
      <c r="A34" s="0" t="s">
        <v>152</v>
      </c>
      <c r="B34" s="0" t="s">
        <v>153</v>
      </c>
      <c r="C34" s="0" t="s">
        <v>123</v>
      </c>
      <c r="D34" s="4" t="n">
        <f aca="false">(D30/D33)/D10</f>
        <v>0.139135269066976</v>
      </c>
      <c r="E34" s="4" t="n">
        <f aca="false">(E30/E33)/E10</f>
        <v>0.139135269066976</v>
      </c>
      <c r="F34" s="4" t="n">
        <f aca="false">(F30/F33)/F10</f>
        <v>0.139135269066976</v>
      </c>
      <c r="G34" s="12" t="s">
        <v>72</v>
      </c>
      <c r="H34" s="12" t="s">
        <v>72</v>
      </c>
      <c r="I34" s="12"/>
    </row>
    <row r="35" customFormat="false" ht="17.15" hidden="false" customHeight="false" outlineLevel="0" collapsed="false">
      <c r="A35" s="0" t="s">
        <v>154</v>
      </c>
      <c r="B35" s="0" t="s">
        <v>155</v>
      </c>
      <c r="C35" s="0" t="s">
        <v>57</v>
      </c>
      <c r="D35" s="7" t="n">
        <v>10</v>
      </c>
      <c r="E35" s="7" t="n">
        <v>10</v>
      </c>
      <c r="F35" s="7" t="n">
        <v>10</v>
      </c>
      <c r="G35" s="12" t="s">
        <v>156</v>
      </c>
      <c r="H35" s="12" t="s">
        <v>90</v>
      </c>
      <c r="I35" s="12" t="s">
        <v>144</v>
      </c>
    </row>
    <row r="36" customFormat="false" ht="17.15" hidden="false" customHeight="false" outlineLevel="0" collapsed="false">
      <c r="A36" s="0" t="s">
        <v>157</v>
      </c>
      <c r="B36" s="0" t="s">
        <v>158</v>
      </c>
      <c r="C36" s="0" t="s">
        <v>62</v>
      </c>
      <c r="D36" s="13" t="n">
        <v>132</v>
      </c>
      <c r="E36" s="13" t="n">
        <v>132</v>
      </c>
      <c r="F36" s="13" t="n">
        <v>132</v>
      </c>
      <c r="G36" s="12" t="s">
        <v>156</v>
      </c>
      <c r="H36" s="12" t="s">
        <v>147</v>
      </c>
      <c r="I36" s="12"/>
    </row>
    <row r="37" customFormat="false" ht="17.15" hidden="false" customHeight="false" outlineLevel="0" collapsed="false">
      <c r="A37" s="0" t="s">
        <v>159</v>
      </c>
      <c r="B37" s="0" t="s">
        <v>160</v>
      </c>
      <c r="C37" s="6" t="s">
        <v>67</v>
      </c>
      <c r="D37" s="7" t="n">
        <v>72</v>
      </c>
      <c r="E37" s="7" t="n">
        <v>72</v>
      </c>
      <c r="F37" s="7" t="n">
        <v>72</v>
      </c>
      <c r="G37" s="12" t="s">
        <v>156</v>
      </c>
      <c r="H37" s="12" t="s">
        <v>69</v>
      </c>
      <c r="I37" s="12"/>
    </row>
    <row r="38" customFormat="false" ht="17.15" hidden="false" customHeight="false" outlineLevel="0" collapsed="false">
      <c r="A38" s="0" t="s">
        <v>161</v>
      </c>
      <c r="B38" s="0" t="s">
        <v>162</v>
      </c>
      <c r="C38" s="0" t="s">
        <v>62</v>
      </c>
      <c r="D38" s="4" t="n">
        <f aca="false">D36/D37</f>
        <v>1.83333333333333</v>
      </c>
      <c r="E38" s="4" t="n">
        <f aca="false">E36/E37</f>
        <v>1.83333333333333</v>
      </c>
      <c r="F38" s="4" t="n">
        <f aca="false">F36/F37</f>
        <v>1.83333333333333</v>
      </c>
      <c r="G38" s="12" t="s">
        <v>72</v>
      </c>
      <c r="H38" s="12" t="s">
        <v>72</v>
      </c>
      <c r="I38" s="12"/>
    </row>
    <row r="39" customFormat="false" ht="17.15" hidden="false" customHeight="false" outlineLevel="0" collapsed="false">
      <c r="A39" s="0" t="s">
        <v>163</v>
      </c>
      <c r="B39" s="0" t="s">
        <v>164</v>
      </c>
      <c r="C39" s="0" t="s">
        <v>123</v>
      </c>
      <c r="D39" s="4" t="n">
        <f aca="false">(D35/D38)/D10</f>
        <v>0.491341991341991</v>
      </c>
      <c r="E39" s="4" t="n">
        <f aca="false">(E35/E38)/E10</f>
        <v>0.491341991341991</v>
      </c>
      <c r="F39" s="4" t="n">
        <f aca="false">(F35/F38)/F10</f>
        <v>0.491341991341991</v>
      </c>
      <c r="G39" s="12" t="s">
        <v>72</v>
      </c>
      <c r="H39" s="12" t="s">
        <v>72</v>
      </c>
      <c r="I39" s="12"/>
    </row>
    <row r="40" customFormat="false" ht="17.15" hidden="false" customHeight="false" outlineLevel="0" collapsed="false">
      <c r="A40" s="0" t="s">
        <v>165</v>
      </c>
      <c r="B40" s="0" t="s">
        <v>166</v>
      </c>
      <c r="C40" s="0" t="s">
        <v>57</v>
      </c>
      <c r="D40" s="7" t="n">
        <v>15</v>
      </c>
      <c r="E40" s="7" t="n">
        <v>15</v>
      </c>
      <c r="F40" s="7" t="n">
        <v>15</v>
      </c>
      <c r="G40" s="12" t="s">
        <v>167</v>
      </c>
      <c r="H40" s="12" t="s">
        <v>90</v>
      </c>
      <c r="I40" s="12" t="s">
        <v>144</v>
      </c>
    </row>
    <row r="41" customFormat="false" ht="17.15" hidden="false" customHeight="false" outlineLevel="0" collapsed="false">
      <c r="A41" s="0" t="s">
        <v>168</v>
      </c>
      <c r="B41" s="0" t="s">
        <v>169</v>
      </c>
      <c r="C41" s="0" t="s">
        <v>62</v>
      </c>
      <c r="D41" s="13" t="n">
        <v>136</v>
      </c>
      <c r="E41" s="13" t="n">
        <v>136</v>
      </c>
      <c r="F41" s="13" t="n">
        <v>136</v>
      </c>
      <c r="G41" s="12" t="s">
        <v>167</v>
      </c>
      <c r="H41" s="12" t="s">
        <v>147</v>
      </c>
      <c r="I41" s="12"/>
    </row>
    <row r="42" customFormat="false" ht="17.15" hidden="false" customHeight="false" outlineLevel="0" collapsed="false">
      <c r="A42" s="0" t="s">
        <v>170</v>
      </c>
      <c r="B42" s="0" t="s">
        <v>171</v>
      </c>
      <c r="C42" s="6" t="s">
        <v>67</v>
      </c>
      <c r="D42" s="7" t="n">
        <v>72</v>
      </c>
      <c r="E42" s="7" t="n">
        <v>72</v>
      </c>
      <c r="F42" s="7" t="n">
        <v>72</v>
      </c>
      <c r="G42" s="12" t="s">
        <v>167</v>
      </c>
      <c r="H42" s="12" t="s">
        <v>69</v>
      </c>
      <c r="I42" s="12"/>
    </row>
    <row r="43" customFormat="false" ht="17.15" hidden="false" customHeight="false" outlineLevel="0" collapsed="false">
      <c r="A43" s="0" t="s">
        <v>172</v>
      </c>
      <c r="B43" s="0" t="s">
        <v>173</v>
      </c>
      <c r="C43" s="0" t="s">
        <v>62</v>
      </c>
      <c r="D43" s="4" t="n">
        <f aca="false">D41/D42</f>
        <v>1.88888888888889</v>
      </c>
      <c r="E43" s="4" t="n">
        <f aca="false">E41/E42</f>
        <v>1.88888888888889</v>
      </c>
      <c r="F43" s="4" t="n">
        <f aca="false">F41/F42</f>
        <v>1.88888888888889</v>
      </c>
      <c r="G43" s="12" t="s">
        <v>72</v>
      </c>
      <c r="H43" s="12" t="s">
        <v>72</v>
      </c>
      <c r="I43" s="12"/>
    </row>
    <row r="44" customFormat="false" ht="17.15" hidden="false" customHeight="false" outlineLevel="0" collapsed="false">
      <c r="A44" s="0" t="s">
        <v>174</v>
      </c>
      <c r="B44" s="0" t="s">
        <v>175</v>
      </c>
      <c r="C44" s="0" t="s">
        <v>123</v>
      </c>
      <c r="D44" s="4" t="n">
        <f aca="false">(D40/D43)/D10</f>
        <v>0.715336134453781</v>
      </c>
      <c r="E44" s="4" t="n">
        <f aca="false">(E40/E43)/E10</f>
        <v>0.715336134453781</v>
      </c>
      <c r="F44" s="4" t="n">
        <f aca="false">(F40/F43)/F10</f>
        <v>0.715336134453781</v>
      </c>
      <c r="G44" s="12" t="s">
        <v>72</v>
      </c>
      <c r="H44" s="12" t="s">
        <v>72</v>
      </c>
      <c r="I44" s="12"/>
    </row>
    <row r="45" customFormat="false" ht="17.15" hidden="false" customHeight="false" outlineLevel="0" collapsed="false">
      <c r="A45" s="0" t="s">
        <v>176</v>
      </c>
      <c r="B45" s="0" t="s">
        <v>177</v>
      </c>
      <c r="C45" s="0" t="s">
        <v>123</v>
      </c>
      <c r="D45" s="13" t="n">
        <v>0.107484660941882</v>
      </c>
      <c r="E45" s="13" t="n">
        <v>0.10544360110803</v>
      </c>
      <c r="F45" s="13" t="n">
        <v>0.0977954294066359</v>
      </c>
      <c r="G45" s="12" t="s">
        <v>178</v>
      </c>
      <c r="H45" s="12" t="s">
        <v>81</v>
      </c>
      <c r="I45" s="2" t="s">
        <v>179</v>
      </c>
    </row>
    <row r="46" customFormat="false" ht="17.15" hidden="false" customHeight="false" outlineLevel="0" collapsed="false">
      <c r="A46" s="0" t="s">
        <v>180</v>
      </c>
      <c r="B46" s="0" t="s">
        <v>181</v>
      </c>
      <c r="C46" s="0" t="s">
        <v>123</v>
      </c>
      <c r="D46" s="4" t="n">
        <f aca="false">AVERAGE(D45:F45)</f>
        <v>0.103574563818849</v>
      </c>
      <c r="E46" s="4" t="n">
        <f aca="false">AVERAGE(D45:F45)</f>
        <v>0.103574563818849</v>
      </c>
      <c r="F46" s="4" t="n">
        <f aca="false">AVERAGE(D45:F45)</f>
        <v>0.103574563818849</v>
      </c>
      <c r="G46" s="12" t="s">
        <v>72</v>
      </c>
      <c r="H46" s="12" t="s">
        <v>72</v>
      </c>
      <c r="I46" s="12"/>
    </row>
    <row r="47" customFormat="false" ht="17.15" hidden="false" customHeight="false" outlineLevel="0" collapsed="false">
      <c r="A47" s="0" t="s">
        <v>182</v>
      </c>
      <c r="B47" s="0" t="s">
        <v>183</v>
      </c>
      <c r="C47" s="0" t="s">
        <v>123</v>
      </c>
      <c r="D47" s="4" t="n">
        <f aca="false">D46/D34</f>
        <v>0.744416311646984</v>
      </c>
      <c r="E47" s="4" t="n">
        <f aca="false">E46/E34</f>
        <v>0.744416311646984</v>
      </c>
      <c r="F47" s="4" t="n">
        <f aca="false">F46/F34</f>
        <v>0.744416311646984</v>
      </c>
      <c r="G47" s="12" t="s">
        <v>72</v>
      </c>
      <c r="H47" s="12" t="s">
        <v>72</v>
      </c>
      <c r="I47" s="12"/>
    </row>
    <row r="48" customFormat="false" ht="17.15" hidden="false" customHeight="false" outlineLevel="0" collapsed="false">
      <c r="A48" s="0" t="s">
        <v>184</v>
      </c>
      <c r="B48" s="0" t="s">
        <v>185</v>
      </c>
      <c r="C48" s="0" t="s">
        <v>123</v>
      </c>
      <c r="D48" s="13" t="n">
        <v>0.534632077509924</v>
      </c>
      <c r="E48" s="13" t="n">
        <v>0.513240130160715</v>
      </c>
      <c r="F48" s="13" t="n">
        <v>0.483657996161255</v>
      </c>
      <c r="G48" s="12" t="s">
        <v>178</v>
      </c>
      <c r="H48" s="12" t="s">
        <v>81</v>
      </c>
      <c r="I48" s="2" t="s">
        <v>179</v>
      </c>
    </row>
    <row r="49" customFormat="false" ht="17.15" hidden="false" customHeight="false" outlineLevel="0" collapsed="false">
      <c r="A49" s="0" t="s">
        <v>186</v>
      </c>
      <c r="B49" s="0" t="s">
        <v>187</v>
      </c>
      <c r="C49" s="0" t="s">
        <v>123</v>
      </c>
      <c r="D49" s="4" t="n">
        <f aca="false">AVERAGE(D48:F48)</f>
        <v>0.510510067943965</v>
      </c>
      <c r="E49" s="4" t="n">
        <f aca="false">AVERAGE(D48:F48)</f>
        <v>0.510510067943965</v>
      </c>
      <c r="F49" s="4" t="n">
        <f aca="false">AVERAGE(D48:F48)</f>
        <v>0.510510067943965</v>
      </c>
      <c r="G49" s="12" t="s">
        <v>72</v>
      </c>
      <c r="H49" s="12" t="s">
        <v>72</v>
      </c>
      <c r="I49" s="12"/>
    </row>
    <row r="50" customFormat="false" ht="17.15" hidden="false" customHeight="false" outlineLevel="0" collapsed="false">
      <c r="A50" s="0" t="s">
        <v>188</v>
      </c>
      <c r="B50" s="0" t="s">
        <v>189</v>
      </c>
      <c r="C50" s="0" t="s">
        <v>123</v>
      </c>
      <c r="D50" s="4" t="n">
        <f aca="false">D49/D39</f>
        <v>1.03901168013265</v>
      </c>
      <c r="E50" s="4" t="n">
        <f aca="false">E49/E39</f>
        <v>1.03901168013265</v>
      </c>
      <c r="F50" s="4" t="n">
        <f aca="false">F49/F39</f>
        <v>1.03901168013265</v>
      </c>
      <c r="G50" s="12" t="s">
        <v>72</v>
      </c>
      <c r="H50" s="12" t="s">
        <v>72</v>
      </c>
      <c r="I50" s="12"/>
    </row>
    <row r="51" customFormat="false" ht="17.15" hidden="false" customHeight="false" outlineLevel="0" collapsed="false">
      <c r="A51" s="0" t="s">
        <v>190</v>
      </c>
      <c r="B51" s="0" t="s">
        <v>191</v>
      </c>
      <c r="C51" s="0" t="s">
        <v>123</v>
      </c>
      <c r="D51" s="13" t="n">
        <v>0.693216239743152</v>
      </c>
      <c r="E51" s="13" t="n">
        <v>0.665656345719338</v>
      </c>
      <c r="F51" s="13" t="n">
        <v>0.563845155935545</v>
      </c>
      <c r="G51" s="12" t="s">
        <v>178</v>
      </c>
      <c r="H51" s="12" t="s">
        <v>81</v>
      </c>
      <c r="I51" s="2" t="s">
        <v>179</v>
      </c>
    </row>
    <row r="52" customFormat="false" ht="17.15" hidden="false" customHeight="false" outlineLevel="0" collapsed="false">
      <c r="A52" s="0" t="s">
        <v>192</v>
      </c>
      <c r="B52" s="0" t="s">
        <v>193</v>
      </c>
      <c r="C52" s="0" t="s">
        <v>123</v>
      </c>
      <c r="D52" s="4" t="n">
        <f aca="false">AVERAGE(D51:F51)</f>
        <v>0.640905913799345</v>
      </c>
      <c r="E52" s="4" t="n">
        <f aca="false">AVERAGE(D51:F51)</f>
        <v>0.640905913799345</v>
      </c>
      <c r="F52" s="4" t="n">
        <f aca="false">AVERAGE(D51:F51)</f>
        <v>0.640905913799345</v>
      </c>
      <c r="G52" s="12" t="s">
        <v>72</v>
      </c>
      <c r="H52" s="12" t="s">
        <v>72</v>
      </c>
      <c r="I52" s="12"/>
    </row>
    <row r="53" customFormat="false" ht="17.15" hidden="false" customHeight="false" outlineLevel="0" collapsed="false">
      <c r="A53" s="0" t="s">
        <v>194</v>
      </c>
      <c r="B53" s="0" t="s">
        <v>195</v>
      </c>
      <c r="C53" s="0" t="s">
        <v>123</v>
      </c>
      <c r="D53" s="4" t="n">
        <f aca="false">D52/D44</f>
        <v>0.89595070475327</v>
      </c>
      <c r="E53" s="4" t="n">
        <f aca="false">E52/E44</f>
        <v>0.89595070475327</v>
      </c>
      <c r="F53" s="4" t="n">
        <f aca="false">F52/F44</f>
        <v>0.89595070475327</v>
      </c>
      <c r="G53" s="12" t="s">
        <v>72</v>
      </c>
      <c r="H53" s="12" t="s">
        <v>72</v>
      </c>
      <c r="I53" s="12"/>
    </row>
    <row r="54" customFormat="false" ht="15" hidden="false" customHeight="false" outlineLevel="0" collapsed="false">
      <c r="A54" s="9" t="s">
        <v>196</v>
      </c>
      <c r="B54" s="10"/>
      <c r="C54" s="10"/>
      <c r="D54" s="10"/>
      <c r="E54" s="10"/>
      <c r="F54" s="10"/>
      <c r="G54" s="11"/>
      <c r="H54" s="11"/>
      <c r="I54" s="11"/>
    </row>
    <row r="55" customFormat="false" ht="32.8" hidden="false" customHeight="false" outlineLevel="0" collapsed="false">
      <c r="A55" s="0" t="s">
        <v>197</v>
      </c>
      <c r="B55" s="6" t="s">
        <v>198</v>
      </c>
      <c r="C55" s="0" t="s">
        <v>57</v>
      </c>
      <c r="D55" s="7" t="n">
        <v>4.614</v>
      </c>
      <c r="E55" s="7" t="n">
        <v>4.614</v>
      </c>
      <c r="F55" s="7" t="n">
        <v>4.614</v>
      </c>
      <c r="G55" s="12" t="s">
        <v>199</v>
      </c>
      <c r="H55" s="12" t="s">
        <v>200</v>
      </c>
      <c r="I55" s="2" t="s">
        <v>201</v>
      </c>
    </row>
    <row r="56" customFormat="false" ht="48.5" hidden="false" customHeight="false" outlineLevel="0" collapsed="false">
      <c r="A56" s="0" t="s">
        <v>202</v>
      </c>
      <c r="B56" s="0" t="s">
        <v>203</v>
      </c>
      <c r="C56" s="0" t="s">
        <v>84</v>
      </c>
      <c r="D56" s="7" t="n">
        <v>12</v>
      </c>
      <c r="E56" s="7" t="n">
        <v>10</v>
      </c>
      <c r="F56" s="7" t="n">
        <v>9.5</v>
      </c>
      <c r="G56" s="12" t="s">
        <v>204</v>
      </c>
      <c r="H56" s="12" t="s">
        <v>205</v>
      </c>
      <c r="I56" s="12" t="s">
        <v>206</v>
      </c>
    </row>
    <row r="57" customFormat="false" ht="17.15" hidden="false" customHeight="false" outlineLevel="0" collapsed="false">
      <c r="A57" s="0" t="s">
        <v>207</v>
      </c>
      <c r="B57" s="6" t="s">
        <v>208</v>
      </c>
      <c r="C57" s="6" t="s">
        <v>67</v>
      </c>
      <c r="D57" s="7" t="n">
        <v>9216</v>
      </c>
      <c r="E57" s="7" t="n">
        <v>9216</v>
      </c>
      <c r="F57" s="7" t="n">
        <v>9216</v>
      </c>
      <c r="G57" s="12" t="s">
        <v>199</v>
      </c>
      <c r="H57" s="12" t="s">
        <v>209</v>
      </c>
      <c r="I57" s="12" t="s">
        <v>210</v>
      </c>
    </row>
    <row r="58" customFormat="false" ht="17.15" hidden="false" customHeight="false" outlineLevel="0" collapsed="false">
      <c r="A58" s="0" t="s">
        <v>211</v>
      </c>
      <c r="B58" s="6" t="s">
        <v>212</v>
      </c>
      <c r="C58" s="0" t="s">
        <v>62</v>
      </c>
      <c r="D58" s="4" t="n">
        <f aca="false">D56*1000/D57</f>
        <v>1.30208333333333</v>
      </c>
      <c r="E58" s="4" t="n">
        <f aca="false">E56*1000/E57</f>
        <v>1.08506944444444</v>
      </c>
      <c r="F58" s="4" t="n">
        <f aca="false">F56*1000/F57</f>
        <v>1.03081597222222</v>
      </c>
      <c r="G58" s="12" t="s">
        <v>72</v>
      </c>
      <c r="H58" s="12" t="s">
        <v>72</v>
      </c>
      <c r="I58" s="2" t="s">
        <v>213</v>
      </c>
    </row>
    <row r="59" customFormat="false" ht="17.15" hidden="false" customHeight="false" outlineLevel="0" collapsed="false">
      <c r="A59" s="0" t="s">
        <v>214</v>
      </c>
      <c r="B59" s="6" t="s">
        <v>215</v>
      </c>
      <c r="C59" s="0" t="s">
        <v>76</v>
      </c>
      <c r="D59" s="14" t="n">
        <f aca="false">D55/D58</f>
        <v>3.543552</v>
      </c>
      <c r="E59" s="14" t="n">
        <f aca="false">E55/E58</f>
        <v>4.2522624</v>
      </c>
      <c r="F59" s="14" t="n">
        <f aca="false">F55/F58</f>
        <v>4.47606568421053</v>
      </c>
      <c r="G59" s="12" t="s">
        <v>72</v>
      </c>
      <c r="H59" s="12" t="s">
        <v>72</v>
      </c>
      <c r="I59" s="12"/>
    </row>
    <row r="60" customFormat="false" ht="17.15" hidden="false" customHeight="false" outlineLevel="0" collapsed="false">
      <c r="A60" s="0" t="s">
        <v>216</v>
      </c>
      <c r="B60" s="0" t="s">
        <v>217</v>
      </c>
      <c r="C60" s="0" t="s">
        <v>123</v>
      </c>
      <c r="D60" s="4" t="n">
        <f aca="false">D59/D10</f>
        <v>0.319200914285714</v>
      </c>
      <c r="E60" s="4" t="n">
        <f aca="false">E59/E10</f>
        <v>0.383041097142857</v>
      </c>
      <c r="F60" s="4" t="n">
        <f aca="false">F59/F10</f>
        <v>0.403201154887218</v>
      </c>
      <c r="G60" s="12" t="s">
        <v>72</v>
      </c>
      <c r="H60" s="12" t="s">
        <v>72</v>
      </c>
      <c r="I60" s="12"/>
    </row>
    <row r="61" customFormat="false" ht="79.85" hidden="false" customHeight="false" outlineLevel="0" collapsed="false">
      <c r="A61" s="0" t="s">
        <v>218</v>
      </c>
      <c r="B61" s="6" t="s">
        <v>219</v>
      </c>
      <c r="C61" s="0" t="s">
        <v>123</v>
      </c>
      <c r="D61" s="4" t="n">
        <f aca="false">E47</f>
        <v>0.744416311646984</v>
      </c>
      <c r="E61" s="4" t="n">
        <f aca="false">AVERAGE(E47,AVERAGE(E50,E53))</f>
        <v>0.855948752044972</v>
      </c>
      <c r="F61" s="4" t="n">
        <f aca="false">E50</f>
        <v>1.03901168013265</v>
      </c>
      <c r="G61" s="2" t="s">
        <v>220</v>
      </c>
      <c r="H61" s="12" t="s">
        <v>221</v>
      </c>
      <c r="I61" s="12" t="s">
        <v>222</v>
      </c>
    </row>
    <row r="62" customFormat="false" ht="17.15" hidden="false" customHeight="false" outlineLevel="0" collapsed="false">
      <c r="A62" s="0" t="s">
        <v>223</v>
      </c>
      <c r="B62" s="6" t="s">
        <v>224</v>
      </c>
      <c r="C62" s="0" t="s">
        <v>123</v>
      </c>
      <c r="D62" s="4" t="n">
        <f aca="false">D60*D61</f>
        <v>0.237618367286917</v>
      </c>
      <c r="E62" s="4" t="n">
        <f aca="false">E60*E61</f>
        <v>0.327863549081366</v>
      </c>
      <c r="F62" s="4" t="n">
        <f aca="false">F60*F61</f>
        <v>0.418930709370793</v>
      </c>
      <c r="G62" s="12" t="s">
        <v>72</v>
      </c>
      <c r="H62" s="12" t="s">
        <v>72</v>
      </c>
      <c r="I62" s="12"/>
    </row>
    <row r="63" customFormat="false" ht="32.8" hidden="false" customHeight="false" outlineLevel="0" collapsed="false">
      <c r="A63" s="0" t="s">
        <v>225</v>
      </c>
      <c r="B63" s="0" t="s">
        <v>226</v>
      </c>
      <c r="C63" s="0" t="s">
        <v>227</v>
      </c>
      <c r="D63" s="7" t="n">
        <v>9364</v>
      </c>
      <c r="E63" s="7" t="n">
        <v>9364</v>
      </c>
      <c r="F63" s="7" t="n">
        <v>9364</v>
      </c>
      <c r="G63" s="12" t="s">
        <v>228</v>
      </c>
      <c r="H63" s="2" t="s">
        <v>229</v>
      </c>
      <c r="I63" s="12"/>
    </row>
    <row r="64" customFormat="false" ht="17.15" hidden="false" customHeight="false" outlineLevel="0" collapsed="false">
      <c r="A64" s="0" t="s">
        <v>230</v>
      </c>
      <c r="B64" s="0" t="s">
        <v>231</v>
      </c>
      <c r="C64" s="0" t="s">
        <v>232</v>
      </c>
      <c r="D64" s="7" t="n">
        <v>8903</v>
      </c>
      <c r="E64" s="7" t="n">
        <v>8903</v>
      </c>
      <c r="F64" s="7" t="n">
        <v>8903</v>
      </c>
      <c r="G64" s="12" t="s">
        <v>228</v>
      </c>
      <c r="H64" s="2" t="s">
        <v>233</v>
      </c>
      <c r="I64" s="12" t="s">
        <v>234</v>
      </c>
    </row>
    <row r="65" customFormat="false" ht="17.15" hidden="false" customHeight="false" outlineLevel="0" collapsed="false">
      <c r="A65" s="0" t="s">
        <v>235</v>
      </c>
      <c r="B65" s="0" t="s">
        <v>236</v>
      </c>
      <c r="C65" s="0" t="s">
        <v>123</v>
      </c>
      <c r="D65" s="14" t="n">
        <f aca="false">D63/D64</f>
        <v>1.05178029877569</v>
      </c>
      <c r="E65" s="14" t="n">
        <f aca="false">E63/E64</f>
        <v>1.05178029877569</v>
      </c>
      <c r="F65" s="14" t="n">
        <f aca="false">F63/F64</f>
        <v>1.05178029877569</v>
      </c>
      <c r="G65" s="12" t="s">
        <v>72</v>
      </c>
      <c r="H65" s="12" t="s">
        <v>72</v>
      </c>
      <c r="I65" s="12"/>
    </row>
    <row r="66" customFormat="false" ht="17.15" hidden="false" customHeight="false" outlineLevel="0" collapsed="false">
      <c r="A66" s="0" t="s">
        <v>237</v>
      </c>
      <c r="B66" s="0" t="s">
        <v>238</v>
      </c>
      <c r="C66" s="0" t="s">
        <v>123</v>
      </c>
      <c r="D66" s="4" t="n">
        <f aca="false">E49</f>
        <v>0.510510067943965</v>
      </c>
      <c r="E66" s="4" t="n">
        <f aca="false">E49</f>
        <v>0.510510067943965</v>
      </c>
      <c r="F66" s="4" t="n">
        <f aca="false">E49</f>
        <v>0.510510067943965</v>
      </c>
      <c r="G66" s="2" t="s">
        <v>239</v>
      </c>
      <c r="H66" s="12" t="s">
        <v>72</v>
      </c>
      <c r="I66" s="12"/>
    </row>
    <row r="67" customFormat="false" ht="17.15" hidden="false" customHeight="false" outlineLevel="0" collapsed="false">
      <c r="A67" s="0" t="s">
        <v>240</v>
      </c>
      <c r="B67" s="0" t="s">
        <v>241</v>
      </c>
      <c r="C67" s="0" t="s">
        <v>62</v>
      </c>
      <c r="D67" s="4" t="n">
        <f aca="false">E38</f>
        <v>1.83333333333333</v>
      </c>
      <c r="E67" s="4" t="n">
        <f aca="false">E38</f>
        <v>1.83333333333333</v>
      </c>
      <c r="F67" s="4" t="n">
        <f aca="false">E38</f>
        <v>1.83333333333333</v>
      </c>
      <c r="G67" s="2" t="s">
        <v>239</v>
      </c>
      <c r="H67" s="12" t="s">
        <v>72</v>
      </c>
      <c r="I67" s="12"/>
    </row>
    <row r="68" customFormat="false" ht="48.5" hidden="false" customHeight="false" outlineLevel="0" collapsed="false">
      <c r="A68" s="0" t="s">
        <v>242</v>
      </c>
      <c r="B68" s="0" t="s">
        <v>243</v>
      </c>
      <c r="C68" s="0" t="s">
        <v>97</v>
      </c>
      <c r="D68" s="13" t="n">
        <v>2</v>
      </c>
      <c r="E68" s="13" t="n">
        <v>1.75</v>
      </c>
      <c r="F68" s="13" t="n">
        <v>1.5</v>
      </c>
      <c r="G68" s="2" t="s">
        <v>244</v>
      </c>
      <c r="H68" s="12" t="s">
        <v>221</v>
      </c>
      <c r="I68" s="12" t="s">
        <v>245</v>
      </c>
    </row>
    <row r="69" customFormat="false" ht="32.8" hidden="false" customHeight="false" outlineLevel="0" collapsed="false">
      <c r="A69" s="0" t="s">
        <v>246</v>
      </c>
      <c r="B69" s="6" t="s">
        <v>247</v>
      </c>
      <c r="C69" s="0" t="s">
        <v>123</v>
      </c>
      <c r="D69" s="4" t="n">
        <f aca="false">D66*(D67/D58)*D65/D68</f>
        <v>0.378008879980232</v>
      </c>
      <c r="E69" s="4" t="n">
        <f aca="false">E66*(E67/E58)*E65/E68</f>
        <v>0.518412178258605</v>
      </c>
      <c r="F69" s="4" t="n">
        <f aca="false">F66*(F67/F58)*F65/F68</f>
        <v>0.636646534703549</v>
      </c>
      <c r="G69" s="12" t="s">
        <v>72</v>
      </c>
      <c r="H69" s="2" t="s">
        <v>248</v>
      </c>
      <c r="I69" s="12" t="s">
        <v>249</v>
      </c>
    </row>
    <row r="70" customFormat="false" ht="32.8" hidden="false" customHeight="false" outlineLevel="0" collapsed="false">
      <c r="A70" s="0" t="s">
        <v>250</v>
      </c>
      <c r="B70" s="0" t="s">
        <v>251</v>
      </c>
      <c r="C70" s="0" t="s">
        <v>123</v>
      </c>
      <c r="D70" s="4" t="n">
        <f aca="false">D62</f>
        <v>0.237618367286917</v>
      </c>
      <c r="E70" s="4" t="n">
        <f aca="false">E62</f>
        <v>0.327863549081366</v>
      </c>
      <c r="F70" s="4" t="n">
        <f aca="false">F62</f>
        <v>0.418930709370793</v>
      </c>
      <c r="G70" s="12" t="s">
        <v>72</v>
      </c>
      <c r="H70" s="12" t="s">
        <v>252</v>
      </c>
      <c r="I70" s="12" t="s">
        <v>253</v>
      </c>
    </row>
    <row r="71" customFormat="false" ht="48.5" hidden="false" customHeight="false" outlineLevel="0" collapsed="false">
      <c r="A71" s="0" t="s">
        <v>254</v>
      </c>
      <c r="B71" s="6" t="s">
        <v>255</v>
      </c>
      <c r="C71" s="0" t="s">
        <v>256</v>
      </c>
      <c r="D71" s="7" t="n">
        <v>21</v>
      </c>
      <c r="E71" s="7" t="n">
        <v>25</v>
      </c>
      <c r="F71" s="7" t="n">
        <v>35</v>
      </c>
      <c r="G71" s="2" t="s">
        <v>257</v>
      </c>
      <c r="H71" s="12" t="s">
        <v>258</v>
      </c>
      <c r="I71" s="12" t="s">
        <v>259</v>
      </c>
    </row>
    <row r="72" customFormat="false" ht="17.15" hidden="false" customHeight="false" outlineLevel="0" collapsed="false">
      <c r="A72" s="0" t="s">
        <v>260</v>
      </c>
      <c r="B72" s="6" t="s">
        <v>261</v>
      </c>
      <c r="C72" s="6" t="s">
        <v>67</v>
      </c>
      <c r="D72" s="0" t="n">
        <f aca="false">D12*1000/$E$58</f>
        <v>847691.3664</v>
      </c>
      <c r="E72" s="0" t="n">
        <f aca="false">E12*1000/$E$58</f>
        <v>847691.3664</v>
      </c>
      <c r="F72" s="0" t="n">
        <f aca="false">F12*1000/$E$58</f>
        <v>847691.3664</v>
      </c>
      <c r="G72" s="12" t="s">
        <v>72</v>
      </c>
      <c r="H72" s="12" t="s">
        <v>72</v>
      </c>
      <c r="I72" s="12" t="s">
        <v>262</v>
      </c>
    </row>
    <row r="73" customFormat="false" ht="17.15" hidden="false" customHeight="false" outlineLevel="0" collapsed="false">
      <c r="A73" s="0" t="s">
        <v>263</v>
      </c>
      <c r="B73" s="6" t="s">
        <v>264</v>
      </c>
      <c r="C73" s="0" t="s">
        <v>93</v>
      </c>
      <c r="D73" s="0" t="n">
        <f aca="false">D72*D71/1000000*D15</f>
        <v>19.657962786816</v>
      </c>
      <c r="E73" s="0" t="n">
        <f aca="false">E72*E71/1000000*E15</f>
        <v>23.4023366509714</v>
      </c>
      <c r="F73" s="0" t="n">
        <f aca="false">F72*F71/1000000*F15</f>
        <v>32.76327131136</v>
      </c>
      <c r="G73" s="12" t="s">
        <v>72</v>
      </c>
      <c r="H73" s="12" t="s">
        <v>72</v>
      </c>
      <c r="I73" s="2" t="s">
        <v>265</v>
      </c>
    </row>
    <row r="74" customFormat="false" ht="17.15" hidden="false" customHeight="false" outlineLevel="0" collapsed="false">
      <c r="A74" s="0" t="s">
        <v>266</v>
      </c>
      <c r="B74" s="0" t="s">
        <v>267</v>
      </c>
      <c r="C74" s="0" t="s">
        <v>123</v>
      </c>
      <c r="D74" s="14" t="n">
        <f aca="false">D73/D14</f>
        <v>0.523008</v>
      </c>
      <c r="E74" s="14" t="n">
        <f aca="false">E73/E14</f>
        <v>0.622628571428571</v>
      </c>
      <c r="F74" s="14" t="n">
        <f aca="false">F73/F14</f>
        <v>0.87168</v>
      </c>
      <c r="G74" s="12" t="s">
        <v>72</v>
      </c>
      <c r="H74" s="12" t="s">
        <v>72</v>
      </c>
      <c r="I74" s="12"/>
    </row>
    <row r="75" customFormat="false" ht="17.15" hidden="false" customHeight="false" outlineLevel="0" collapsed="false">
      <c r="A75" s="0" t="s">
        <v>268</v>
      </c>
      <c r="B75" s="0" t="s">
        <v>269</v>
      </c>
      <c r="C75" s="0" t="s">
        <v>123</v>
      </c>
      <c r="D75" s="4" t="n">
        <f aca="false">1-D25*(1-D74)</f>
        <v>0.630850470247275</v>
      </c>
      <c r="E75" s="4" t="n">
        <f aca="false">1-E25*(1-E74)</f>
        <v>0.707947962650827</v>
      </c>
      <c r="F75" s="4" t="n">
        <f aca="false">1-F25*(1-F74)</f>
        <v>0.900691693659706</v>
      </c>
      <c r="G75" s="12" t="s">
        <v>72</v>
      </c>
      <c r="H75" s="12" t="s">
        <v>252</v>
      </c>
      <c r="I75" s="12"/>
    </row>
    <row r="76" customFormat="false" ht="32.8" hidden="false" customHeight="false" outlineLevel="0" collapsed="false">
      <c r="A76" s="0" t="s">
        <v>270</v>
      </c>
      <c r="B76" s="6" t="s">
        <v>271</v>
      </c>
      <c r="C76" s="0" t="s">
        <v>123</v>
      </c>
      <c r="D76" s="4" t="n">
        <f aca="false">1-E25*(1-21/E14)</f>
        <v>0.658483315578032</v>
      </c>
      <c r="E76" s="4" t="n">
        <f aca="false">E75</f>
        <v>0.707947962650827</v>
      </c>
      <c r="F76" s="4" t="n">
        <f aca="false">1-E25*(1-35/E14)</f>
        <v>0.946746435877635</v>
      </c>
      <c r="G76" s="12" t="s">
        <v>272</v>
      </c>
      <c r="H76" s="12" t="s">
        <v>72</v>
      </c>
      <c r="I76" s="2" t="s">
        <v>273</v>
      </c>
    </row>
    <row r="77" customFormat="false" ht="32.8" hidden="false" customHeight="false" outlineLevel="0" collapsed="false">
      <c r="A77" s="0" t="s">
        <v>274</v>
      </c>
      <c r="B77" s="6" t="s">
        <v>275</v>
      </c>
      <c r="C77" s="0" t="s">
        <v>123</v>
      </c>
      <c r="D77" s="4" t="n">
        <f aca="false">1.03*E72*8760/1000000000/E17</f>
        <v>0.62562412997307</v>
      </c>
      <c r="E77" s="4" t="n">
        <f aca="false">E75</f>
        <v>0.707947962650827</v>
      </c>
      <c r="F77" s="4" t="n">
        <f aca="false">1.6*E72*8760/1000000000/E17</f>
        <v>0.971843308696031</v>
      </c>
      <c r="G77" s="12" t="s">
        <v>276</v>
      </c>
      <c r="H77" s="2" t="s">
        <v>277</v>
      </c>
      <c r="I77" s="2" t="s">
        <v>278</v>
      </c>
    </row>
    <row r="78" customFormat="false" ht="17.15" hidden="false" customHeight="false" outlineLevel="0" collapsed="false">
      <c r="A78" s="9" t="s">
        <v>279</v>
      </c>
      <c r="B78" s="10"/>
      <c r="C78" s="10"/>
      <c r="D78" s="10"/>
      <c r="E78" s="10"/>
      <c r="F78" s="10"/>
      <c r="G78" s="11"/>
      <c r="H78" s="11"/>
      <c r="I78" s="11"/>
    </row>
    <row r="79" customFormat="false" ht="17.15" hidden="false" customHeight="false" outlineLevel="0" collapsed="false">
      <c r="A79" s="0" t="s">
        <v>280</v>
      </c>
      <c r="B79" s="6" t="s">
        <v>281</v>
      </c>
      <c r="C79" s="0" t="s">
        <v>57</v>
      </c>
      <c r="D79" s="7" t="n">
        <v>2.517</v>
      </c>
      <c r="E79" s="7" t="n">
        <v>2.517</v>
      </c>
      <c r="F79" s="7" t="n">
        <v>2.517</v>
      </c>
      <c r="G79" s="12" t="s">
        <v>282</v>
      </c>
      <c r="H79" s="12" t="s">
        <v>283</v>
      </c>
      <c r="I79" s="12" t="s">
        <v>284</v>
      </c>
    </row>
    <row r="80" customFormat="false" ht="64.15" hidden="false" customHeight="false" outlineLevel="0" collapsed="false">
      <c r="A80" s="0" t="s">
        <v>285</v>
      </c>
      <c r="B80" s="6" t="s">
        <v>286</v>
      </c>
      <c r="C80" s="0" t="s">
        <v>62</v>
      </c>
      <c r="D80" s="13" t="n">
        <v>1</v>
      </c>
      <c r="E80" s="13" t="n">
        <v>0.85</v>
      </c>
      <c r="F80" s="13" t="n">
        <v>0.7</v>
      </c>
      <c r="G80" s="2" t="s">
        <v>287</v>
      </c>
      <c r="H80" s="12" t="s">
        <v>288</v>
      </c>
      <c r="I80" s="2" t="s">
        <v>289</v>
      </c>
    </row>
    <row r="81" customFormat="false" ht="30.55" hidden="false" customHeight="false" outlineLevel="0" collapsed="false">
      <c r="A81" s="0" t="s">
        <v>290</v>
      </c>
      <c r="B81" s="6" t="s">
        <v>291</v>
      </c>
      <c r="C81" s="6" t="s">
        <v>67</v>
      </c>
      <c r="D81" s="7" t="n">
        <v>72</v>
      </c>
      <c r="E81" s="7" t="n">
        <v>72</v>
      </c>
      <c r="F81" s="7" t="n">
        <v>72</v>
      </c>
      <c r="G81" s="12" t="s">
        <v>292</v>
      </c>
      <c r="H81" s="12" t="s">
        <v>293</v>
      </c>
      <c r="I81" s="12"/>
    </row>
    <row r="82" customFormat="false" ht="17.15" hidden="false" customHeight="false" outlineLevel="0" collapsed="false">
      <c r="A82" s="0" t="s">
        <v>294</v>
      </c>
      <c r="B82" s="0" t="s">
        <v>295</v>
      </c>
      <c r="C82" s="0" t="s">
        <v>97</v>
      </c>
      <c r="D82" s="4" t="n">
        <f aca="false">132/(72*1.2)</f>
        <v>1.52777777777778</v>
      </c>
      <c r="E82" s="4" t="n">
        <f aca="false">132/(72*1.2)</f>
        <v>1.52777777777778</v>
      </c>
      <c r="F82" s="4" t="n">
        <f aca="false">132/(72*1.2)</f>
        <v>1.52777777777778</v>
      </c>
      <c r="G82" s="12" t="s">
        <v>296</v>
      </c>
      <c r="H82" s="12" t="s">
        <v>81</v>
      </c>
      <c r="I82" s="12"/>
    </row>
    <row r="83" customFormat="false" ht="17.15" hidden="false" customHeight="false" outlineLevel="0" collapsed="false">
      <c r="A83" s="0" t="s">
        <v>297</v>
      </c>
      <c r="B83" s="0" t="s">
        <v>298</v>
      </c>
      <c r="C83" s="0" t="s">
        <v>97</v>
      </c>
      <c r="D83" s="4" t="n">
        <f aca="false">136/(72*1.4)</f>
        <v>1.34920634920635</v>
      </c>
      <c r="E83" s="4" t="n">
        <f aca="false">136/(72*1.4)</f>
        <v>1.34920634920635</v>
      </c>
      <c r="F83" s="4" t="n">
        <f aca="false">136/(72*1.4)</f>
        <v>1.34920634920635</v>
      </c>
      <c r="G83" s="12" t="s">
        <v>299</v>
      </c>
      <c r="H83" s="12" t="s">
        <v>81</v>
      </c>
      <c r="I83" s="12"/>
    </row>
    <row r="84" customFormat="false" ht="17.15" hidden="false" customHeight="false" outlineLevel="0" collapsed="false">
      <c r="A84" s="0" t="s">
        <v>300</v>
      </c>
      <c r="B84" s="0" t="s">
        <v>301</v>
      </c>
      <c r="C84" s="0" t="s">
        <v>97</v>
      </c>
      <c r="D84" s="4" t="n">
        <f aca="false">188/(72*1.8)</f>
        <v>1.45061728395062</v>
      </c>
      <c r="E84" s="4" t="n">
        <f aca="false">188/(72*1.8)</f>
        <v>1.45061728395062</v>
      </c>
      <c r="F84" s="4" t="n">
        <f aca="false">188/(72*1.8)</f>
        <v>1.45061728395062</v>
      </c>
      <c r="G84" s="12" t="s">
        <v>302</v>
      </c>
      <c r="H84" s="12" t="s">
        <v>81</v>
      </c>
      <c r="I84" s="12"/>
    </row>
    <row r="85" customFormat="false" ht="32.8" hidden="false" customHeight="false" outlineLevel="0" collapsed="false">
      <c r="A85" s="0" t="s">
        <v>303</v>
      </c>
      <c r="B85" s="0" t="s">
        <v>304</v>
      </c>
      <c r="C85" s="0" t="s">
        <v>97</v>
      </c>
      <c r="D85" s="4" t="n">
        <f aca="false">D28</f>
        <v>1.75154320987654</v>
      </c>
      <c r="E85" s="4" t="n">
        <f aca="false">AVERAGE(E82,E83,E84,E28)</f>
        <v>1.51978615520282</v>
      </c>
      <c r="F85" s="4" t="n">
        <f aca="false">F83</f>
        <v>1.34920634920635</v>
      </c>
      <c r="G85" s="2" t="s">
        <v>305</v>
      </c>
      <c r="H85" s="12" t="s">
        <v>306</v>
      </c>
      <c r="I85" s="12" t="s">
        <v>307</v>
      </c>
    </row>
    <row r="86" customFormat="false" ht="32.8" hidden="false" customHeight="false" outlineLevel="0" collapsed="false">
      <c r="A86" s="0" t="s">
        <v>308</v>
      </c>
      <c r="B86" s="6" t="s">
        <v>309</v>
      </c>
      <c r="C86" s="0" t="s">
        <v>62</v>
      </c>
      <c r="D86" s="4" t="n">
        <f aca="false">D80*D81*D85</f>
        <v>126.111111111111</v>
      </c>
      <c r="E86" s="4" t="n">
        <f aca="false">E80*E81*E85</f>
        <v>93.0109126984127</v>
      </c>
      <c r="F86" s="4" t="n">
        <f aca="false">F80*F81*F85</f>
        <v>68</v>
      </c>
      <c r="G86" s="12" t="s">
        <v>310</v>
      </c>
      <c r="H86" s="12" t="s">
        <v>311</v>
      </c>
      <c r="I86" s="2" t="s">
        <v>312</v>
      </c>
    </row>
    <row r="87" customFormat="false" ht="15" hidden="false" customHeight="false" outlineLevel="0" collapsed="false">
      <c r="A87" s="0" t="s">
        <v>313</v>
      </c>
      <c r="B87" s="6" t="s">
        <v>314</v>
      </c>
      <c r="C87" s="0" t="s">
        <v>62</v>
      </c>
      <c r="D87" s="4" t="n">
        <f aca="false">D86/D81</f>
        <v>1.75154320987654</v>
      </c>
      <c r="E87" s="4" t="n">
        <f aca="false">E86/E81</f>
        <v>1.2918182319224</v>
      </c>
      <c r="F87" s="4" t="n">
        <f aca="false">F86/F81</f>
        <v>0.944444444444444</v>
      </c>
      <c r="G87" s="12" t="s">
        <v>72</v>
      </c>
      <c r="H87" s="12" t="s">
        <v>72</v>
      </c>
      <c r="I87" s="12"/>
    </row>
    <row r="88" customFormat="false" ht="17.15" hidden="false" customHeight="false" outlineLevel="0" collapsed="false">
      <c r="A88" s="0" t="s">
        <v>315</v>
      </c>
      <c r="B88" s="6" t="s">
        <v>215</v>
      </c>
      <c r="C88" s="0" t="s">
        <v>76</v>
      </c>
      <c r="D88" s="14" t="n">
        <f aca="false">D79/D87</f>
        <v>1.43701850220264</v>
      </c>
      <c r="E88" s="14" t="n">
        <f aca="false">E79/E87</f>
        <v>1.9484165324516</v>
      </c>
      <c r="F88" s="14" t="n">
        <f aca="false">F79/F87</f>
        <v>2.66505882352941</v>
      </c>
      <c r="G88" s="12" t="s">
        <v>72</v>
      </c>
      <c r="H88" s="12" t="s">
        <v>72</v>
      </c>
      <c r="I88" s="12"/>
    </row>
    <row r="89" customFormat="false" ht="17.15" hidden="false" customHeight="false" outlineLevel="0" collapsed="false">
      <c r="A89" s="0" t="s">
        <v>316</v>
      </c>
      <c r="B89" s="0" t="s">
        <v>217</v>
      </c>
      <c r="C89" s="0" t="s">
        <v>123</v>
      </c>
      <c r="D89" s="4" t="n">
        <f aca="false">D88/D10</f>
        <v>0.129445714285714</v>
      </c>
      <c r="E89" s="4" t="n">
        <f aca="false">E88/E10</f>
        <v>0.175512124153378</v>
      </c>
      <c r="F89" s="4" t="n">
        <f aca="false">F88/F10</f>
        <v>0.240066806722689</v>
      </c>
      <c r="G89" s="12" t="s">
        <v>72</v>
      </c>
      <c r="H89" s="12" t="s">
        <v>72</v>
      </c>
      <c r="I89" s="12"/>
    </row>
    <row r="90" customFormat="false" ht="48.5" hidden="false" customHeight="false" outlineLevel="0" collapsed="false">
      <c r="A90" s="0" t="s">
        <v>317</v>
      </c>
      <c r="B90" s="6" t="s">
        <v>318</v>
      </c>
      <c r="C90" s="0" t="s">
        <v>123</v>
      </c>
      <c r="D90" s="13" t="n">
        <v>0.5</v>
      </c>
      <c r="E90" s="13" t="n">
        <v>0.8</v>
      </c>
      <c r="F90" s="4" t="n">
        <f aca="false">E50</f>
        <v>1.03901168013265</v>
      </c>
      <c r="G90" s="2" t="s">
        <v>319</v>
      </c>
      <c r="H90" s="12" t="s">
        <v>221</v>
      </c>
      <c r="I90" s="12"/>
    </row>
    <row r="91" customFormat="false" ht="17.15" hidden="false" customHeight="false" outlineLevel="0" collapsed="false">
      <c r="A91" s="0" t="s">
        <v>320</v>
      </c>
      <c r="B91" s="0" t="s">
        <v>321</v>
      </c>
      <c r="C91" s="0" t="s">
        <v>123</v>
      </c>
      <c r="D91" s="4" t="n">
        <f aca="false">D89*D90</f>
        <v>0.0647228571428571</v>
      </c>
      <c r="E91" s="4" t="n">
        <f aca="false">E89*E90</f>
        <v>0.140409699322703</v>
      </c>
      <c r="F91" s="4" t="n">
        <f aca="false">F89*F90</f>
        <v>0.249432216197021</v>
      </c>
      <c r="G91" s="12" t="s">
        <v>72</v>
      </c>
      <c r="H91" s="12" t="s">
        <v>252</v>
      </c>
      <c r="I91" s="12"/>
    </row>
    <row r="92" customFormat="false" ht="48.5" hidden="false" customHeight="false" outlineLevel="0" collapsed="false">
      <c r="A92" s="0" t="s">
        <v>322</v>
      </c>
      <c r="B92" s="6" t="s">
        <v>323</v>
      </c>
      <c r="C92" s="0" t="s">
        <v>88</v>
      </c>
      <c r="D92" s="7" t="n">
        <v>1</v>
      </c>
      <c r="E92" s="7" t="n">
        <v>1.5</v>
      </c>
      <c r="F92" s="7" t="n">
        <v>2.2</v>
      </c>
      <c r="G92" s="2" t="s">
        <v>324</v>
      </c>
      <c r="H92" s="2" t="s">
        <v>325</v>
      </c>
      <c r="I92" s="12"/>
    </row>
    <row r="93" customFormat="false" ht="17.15" hidden="false" customHeight="false" outlineLevel="0" collapsed="false">
      <c r="A93" s="0" t="s">
        <v>326</v>
      </c>
      <c r="B93" s="6" t="s">
        <v>327</v>
      </c>
      <c r="C93" s="6" t="s">
        <v>79</v>
      </c>
      <c r="D93" s="0" t="n">
        <f aca="false">D12*1000/$E$86</f>
        <v>9889.20518372354</v>
      </c>
      <c r="E93" s="0" t="n">
        <f aca="false">E12*1000/$E$86</f>
        <v>9889.20518372354</v>
      </c>
      <c r="F93" s="0" t="n">
        <f aca="false">F12*1000/$E$86</f>
        <v>9889.20518372354</v>
      </c>
      <c r="G93" s="12" t="s">
        <v>72</v>
      </c>
      <c r="H93" s="12" t="s">
        <v>72</v>
      </c>
      <c r="I93" s="12"/>
    </row>
    <row r="94" customFormat="false" ht="17.15" hidden="false" customHeight="false" outlineLevel="0" collapsed="false">
      <c r="A94" s="0" t="s">
        <v>328</v>
      </c>
      <c r="B94" s="6" t="s">
        <v>264</v>
      </c>
      <c r="C94" s="0" t="s">
        <v>93</v>
      </c>
      <c r="D94" s="0" t="n">
        <f aca="false">D93*D92/1000*D15</f>
        <v>10.9205080100261</v>
      </c>
      <c r="E94" s="0" t="n">
        <f aca="false">E93*E92/1000*E15</f>
        <v>16.3807620150392</v>
      </c>
      <c r="F94" s="0" t="n">
        <f aca="false">F93*F92/1000*F15</f>
        <v>24.0251176220575</v>
      </c>
      <c r="G94" s="12" t="s">
        <v>72</v>
      </c>
      <c r="H94" s="12" t="s">
        <v>72</v>
      </c>
      <c r="I94" s="12"/>
    </row>
    <row r="95" customFormat="false" ht="17.15" hidden="false" customHeight="false" outlineLevel="0" collapsed="false">
      <c r="A95" s="0" t="s">
        <v>329</v>
      </c>
      <c r="B95" s="0" t="s">
        <v>267</v>
      </c>
      <c r="C95" s="0" t="s">
        <v>123</v>
      </c>
      <c r="D95" s="14" t="n">
        <f aca="false">D94/D14</f>
        <v>0.290544504293104</v>
      </c>
      <c r="E95" s="14" t="n">
        <f aca="false">E94/E14</f>
        <v>0.435816756439657</v>
      </c>
      <c r="F95" s="14" t="n">
        <f aca="false">F94/F14</f>
        <v>0.63919790944483</v>
      </c>
      <c r="G95" s="12" t="s">
        <v>72</v>
      </c>
      <c r="H95" s="12" t="s">
        <v>72</v>
      </c>
      <c r="I95" s="12"/>
    </row>
    <row r="96" customFormat="false" ht="17.15" hidden="false" customHeight="false" outlineLevel="0" collapsed="false">
      <c r="A96" s="0" t="s">
        <v>330</v>
      </c>
      <c r="B96" s="0" t="s">
        <v>331</v>
      </c>
      <c r="C96" s="0" t="s">
        <v>123</v>
      </c>
      <c r="D96" s="4" t="n">
        <f aca="false">1-D25*(1-D95)</f>
        <v>0.450944329001981</v>
      </c>
      <c r="E96" s="4" t="n">
        <f aca="false">1-E25*(1-E95)</f>
        <v>0.563372175938657</v>
      </c>
      <c r="F96" s="4" t="n">
        <f aca="false">1-F25*(1-F95)</f>
        <v>0.720771161650004</v>
      </c>
      <c r="G96" s="12" t="s">
        <v>72</v>
      </c>
      <c r="H96" s="12" t="s">
        <v>252</v>
      </c>
      <c r="I96" s="12"/>
    </row>
    <row r="97" customFormat="false" ht="17.15" hidden="false" customHeight="false" outlineLevel="0" collapsed="false">
      <c r="A97" s="0" t="s">
        <v>332</v>
      </c>
      <c r="B97" s="6" t="s">
        <v>333</v>
      </c>
      <c r="C97" s="6" t="s">
        <v>67</v>
      </c>
      <c r="D97" s="0" t="n">
        <f aca="false">D93*D81</f>
        <v>712022.773228095</v>
      </c>
      <c r="E97" s="0" t="n">
        <f aca="false">E93*E81</f>
        <v>712022.773228095</v>
      </c>
      <c r="F97" s="0" t="n">
        <f aca="false">F93*F81</f>
        <v>712022.773228095</v>
      </c>
      <c r="G97" s="12" t="s">
        <v>72</v>
      </c>
      <c r="H97" s="12" t="s">
        <v>72</v>
      </c>
      <c r="I97" s="12"/>
    </row>
    <row r="98" customFormat="false" ht="17.15" hidden="false" customHeight="false" outlineLevel="0" collapsed="false">
      <c r="A98" s="0" t="s">
        <v>334</v>
      </c>
      <c r="B98" s="0" t="s">
        <v>335</v>
      </c>
      <c r="C98" s="0" t="s">
        <v>336</v>
      </c>
      <c r="D98" s="0" t="n">
        <f aca="false">32.237224*1000000/(487008*5)</f>
        <v>13.2388888888889</v>
      </c>
      <c r="E98" s="0" t="n">
        <f aca="false">32.237224*1000000/(487008*5)</f>
        <v>13.2388888888889</v>
      </c>
      <c r="F98" s="0" t="n">
        <f aca="false">32.237224*1000000/(487008*5)</f>
        <v>13.2388888888889</v>
      </c>
      <c r="G98" s="12" t="s">
        <v>337</v>
      </c>
      <c r="H98" s="12" t="s">
        <v>81</v>
      </c>
      <c r="I98" s="12"/>
    </row>
    <row r="99" customFormat="false" ht="32.8" hidden="false" customHeight="false" outlineLevel="0" collapsed="false">
      <c r="A99" s="0" t="s">
        <v>338</v>
      </c>
      <c r="B99" s="6" t="s">
        <v>339</v>
      </c>
      <c r="C99" s="0" t="s">
        <v>123</v>
      </c>
      <c r="D99" s="14" t="n">
        <f aca="false">(D94*1000000/(E97*E79))/D98</f>
        <v>0.460271627663618</v>
      </c>
      <c r="E99" s="14" t="n">
        <f aca="false">(E94*1000000/(E97*E79))/E98</f>
        <v>0.690407441495427</v>
      </c>
      <c r="F99" s="14" t="n">
        <f aca="false">(F94*1000000/(E97*E79))/F98</f>
        <v>1.01259758085996</v>
      </c>
      <c r="G99" s="12" t="s">
        <v>340</v>
      </c>
      <c r="H99" s="12" t="s">
        <v>72</v>
      </c>
      <c r="I99" s="12" t="s">
        <v>341</v>
      </c>
    </row>
    <row r="100" customFormat="false" ht="17.15" hidden="false" customHeight="false" outlineLevel="0" collapsed="false">
      <c r="A100" s="9" t="s">
        <v>342</v>
      </c>
      <c r="B100" s="10"/>
      <c r="C100" s="10"/>
      <c r="D100" s="10"/>
      <c r="E100" s="10"/>
      <c r="F100" s="10"/>
      <c r="G100" s="11"/>
      <c r="H100" s="11"/>
      <c r="I100" s="11"/>
    </row>
    <row r="101" customFormat="false" ht="32.8" hidden="false" customHeight="false" outlineLevel="0" collapsed="false">
      <c r="A101" s="0" t="s">
        <v>343</v>
      </c>
      <c r="B101" s="0" t="s">
        <v>344</v>
      </c>
      <c r="C101" s="0" t="s">
        <v>123</v>
      </c>
      <c r="D101" s="4" t="n">
        <f aca="false">D62*E6/E26</f>
        <v>0.475236734573833</v>
      </c>
      <c r="E101" s="4" t="n">
        <f aca="false">E62*E6/E26</f>
        <v>0.655727098162731</v>
      </c>
      <c r="F101" s="4" t="n">
        <f aca="false">F62*E6/E26</f>
        <v>0.837861418741587</v>
      </c>
      <c r="G101" s="12" t="s">
        <v>72</v>
      </c>
      <c r="H101" s="12" t="s">
        <v>72</v>
      </c>
      <c r="I101" s="2" t="s">
        <v>345</v>
      </c>
    </row>
    <row r="102" customFormat="false" ht="17.15" hidden="false" customHeight="false" outlineLevel="0" collapsed="false">
      <c r="A102" s="0" t="s">
        <v>346</v>
      </c>
      <c r="B102" s="0" t="s">
        <v>347</v>
      </c>
      <c r="C102" s="0" t="s">
        <v>123</v>
      </c>
      <c r="D102" s="4" t="n">
        <f aca="false">D91*E6/E26</f>
        <v>0.129445714285714</v>
      </c>
      <c r="E102" s="4" t="n">
        <f aca="false">E91*E6/E26</f>
        <v>0.280819398645406</v>
      </c>
      <c r="F102" s="4" t="n">
        <f aca="false">F91*E6/E26</f>
        <v>0.498864432394043</v>
      </c>
      <c r="G102" s="12" t="s">
        <v>72</v>
      </c>
      <c r="H102" s="12" t="s">
        <v>72</v>
      </c>
      <c r="I102" s="2" t="s">
        <v>348</v>
      </c>
    </row>
    <row r="103" customFormat="false" ht="17.15" hidden="false" customHeight="false" outlineLevel="0" collapsed="false">
      <c r="A103" s="9" t="s">
        <v>349</v>
      </c>
      <c r="B103" s="10"/>
      <c r="C103" s="10"/>
      <c r="D103" s="10"/>
      <c r="E103" s="10"/>
      <c r="F103" s="10"/>
      <c r="G103" s="11"/>
      <c r="H103" s="11"/>
      <c r="I103" s="11"/>
    </row>
    <row r="104" customFormat="false" ht="17.15" hidden="false" customHeight="false" outlineLevel="0" collapsed="false">
      <c r="A104" s="0" t="s">
        <v>350</v>
      </c>
      <c r="B104" s="0" t="s">
        <v>351</v>
      </c>
      <c r="C104" s="6" t="s">
        <v>352</v>
      </c>
      <c r="D104" s="4" t="n">
        <f aca="false">E60*D61</f>
        <v>0.2851420407443</v>
      </c>
      <c r="E104" s="4" t="n">
        <f aca="false">E62</f>
        <v>0.327863549081366</v>
      </c>
      <c r="F104" s="4" t="n">
        <f aca="false">E60*F61</f>
        <v>0.397984173902254</v>
      </c>
      <c r="G104" s="12" t="s">
        <v>72</v>
      </c>
      <c r="H104" s="12" t="s">
        <v>72</v>
      </c>
      <c r="I104" s="12"/>
    </row>
    <row r="105" customFormat="false" ht="17.15" hidden="false" customHeight="false" outlineLevel="0" collapsed="false">
      <c r="A105" s="0" t="s">
        <v>353</v>
      </c>
      <c r="B105" s="0" t="s">
        <v>354</v>
      </c>
      <c r="C105" s="6" t="s">
        <v>352</v>
      </c>
      <c r="D105" s="4" t="n">
        <f aca="false">E55/1.5625/E10*E61</f>
        <v>0.227683020195393</v>
      </c>
      <c r="E105" s="4" t="n">
        <f aca="false">E62</f>
        <v>0.327863549081366</v>
      </c>
      <c r="F105" s="4" t="n">
        <f aca="false">E55/(10000/1.1/9216)/E10*E61</f>
        <v>0.360649903989502</v>
      </c>
      <c r="G105" s="12" t="s">
        <v>355</v>
      </c>
      <c r="H105" s="12" t="s">
        <v>72</v>
      </c>
      <c r="I105" s="12"/>
    </row>
    <row r="106" customFormat="false" ht="17.15" hidden="false" customHeight="false" outlineLevel="0" collapsed="false">
      <c r="A106" s="0" t="s">
        <v>356</v>
      </c>
      <c r="B106" s="0" t="s">
        <v>357</v>
      </c>
      <c r="C106" s="6" t="s">
        <v>352</v>
      </c>
      <c r="D106" s="4" t="n">
        <f aca="false">E66*(E67/E58)*E65/D68</f>
        <v>0.453610655976279</v>
      </c>
      <c r="E106" s="4" t="n">
        <f aca="false">E69</f>
        <v>0.518412178258605</v>
      </c>
      <c r="F106" s="4" t="n">
        <f aca="false">E66*(E67/E58)*E65/F68</f>
        <v>0.604814207968372</v>
      </c>
      <c r="G106" s="12" t="s">
        <v>72</v>
      </c>
      <c r="H106" s="12" t="s">
        <v>72</v>
      </c>
      <c r="I106" s="12"/>
    </row>
    <row r="107" customFormat="false" ht="17.15" hidden="false" customHeight="false" outlineLevel="0" collapsed="false">
      <c r="A107" s="0" t="s">
        <v>358</v>
      </c>
      <c r="B107" s="0" t="s">
        <v>359</v>
      </c>
      <c r="C107" s="6" t="s">
        <v>360</v>
      </c>
      <c r="D107" s="4" t="n">
        <f aca="false">1-E25*(1-(E12*1000/D58*E71/1000000*E15)/E14)</f>
        <v>0.62763807473046</v>
      </c>
      <c r="E107" s="4" t="n">
        <f aca="false">E75</f>
        <v>0.707947962650827</v>
      </c>
      <c r="F107" s="4" t="n">
        <f aca="false">1-E25*(1-(E12*1000/F58*E71/1000000*E15)/E14)</f>
        <v>0.733308979888837</v>
      </c>
      <c r="G107" s="12" t="s">
        <v>72</v>
      </c>
      <c r="H107" s="12" t="s">
        <v>72</v>
      </c>
      <c r="I107" s="2" t="s">
        <v>361</v>
      </c>
    </row>
    <row r="108" customFormat="false" ht="17.15" hidden="false" customHeight="false" outlineLevel="0" collapsed="false">
      <c r="A108" s="0" t="s">
        <v>362</v>
      </c>
      <c r="B108" s="0" t="s">
        <v>363</v>
      </c>
      <c r="C108" s="6" t="s">
        <v>352</v>
      </c>
      <c r="D108" s="4" t="n">
        <f aca="false">E89*D90</f>
        <v>0.0877560620766892</v>
      </c>
      <c r="E108" s="4" t="n">
        <f aca="false">E91</f>
        <v>0.140409699322703</v>
      </c>
      <c r="F108" s="4" t="n">
        <f aca="false">E89*F90</f>
        <v>0.182359147000252</v>
      </c>
      <c r="G108" s="12" t="s">
        <v>72</v>
      </c>
      <c r="H108" s="12" t="s">
        <v>72</v>
      </c>
      <c r="I108" s="12"/>
    </row>
    <row r="109" customFormat="false" ht="17.15" hidden="false" customHeight="false" outlineLevel="0" collapsed="false">
      <c r="A109" s="0" t="s">
        <v>364</v>
      </c>
      <c r="B109" s="0" t="s">
        <v>365</v>
      </c>
      <c r="C109" s="6" t="s">
        <v>352</v>
      </c>
      <c r="D109" s="4" t="n">
        <f aca="false">D89*E90</f>
        <v>0.103556571428571</v>
      </c>
      <c r="E109" s="4" t="n">
        <f aca="false">E91</f>
        <v>0.140409699322703</v>
      </c>
      <c r="F109" s="4" t="n">
        <f aca="false">F89*E90</f>
        <v>0.192053445378151</v>
      </c>
      <c r="G109" s="12" t="s">
        <v>72</v>
      </c>
      <c r="H109" s="12" t="s">
        <v>72</v>
      </c>
      <c r="I109" s="12"/>
    </row>
    <row r="110" customFormat="false" ht="17.15" hidden="false" customHeight="false" outlineLevel="0" collapsed="false">
      <c r="A110" s="0" t="s">
        <v>366</v>
      </c>
      <c r="B110" s="0" t="s">
        <v>367</v>
      </c>
      <c r="C110" s="6" t="s">
        <v>352</v>
      </c>
      <c r="D110" s="4" t="n">
        <f aca="false">E79/(127.5/72)/E10*E90</f>
        <v>0.102428504201681</v>
      </c>
      <c r="E110" s="4" t="n">
        <f aca="false">E91</f>
        <v>0.140409699322703</v>
      </c>
      <c r="F110" s="4" t="n">
        <f aca="false">E91</f>
        <v>0.140409699322703</v>
      </c>
      <c r="G110" s="12" t="s">
        <v>368</v>
      </c>
      <c r="H110" s="12" t="s">
        <v>72</v>
      </c>
      <c r="I110" s="2" t="s">
        <v>369</v>
      </c>
    </row>
    <row r="111" customFormat="false" ht="17.15" hidden="false" customHeight="false" outlineLevel="0" collapsed="false">
      <c r="A111" s="0" t="s">
        <v>370</v>
      </c>
      <c r="B111" s="0" t="s">
        <v>371</v>
      </c>
      <c r="C111" s="6" t="s">
        <v>352</v>
      </c>
      <c r="D111" s="4" t="n">
        <f aca="false">E79/(E80*D85)/E10*E90</f>
        <v>0.121831260504202</v>
      </c>
      <c r="E111" s="4" t="n">
        <f aca="false">E91</f>
        <v>0.140409699322703</v>
      </c>
      <c r="F111" s="4" t="n">
        <f aca="false">E79/(E80*F85)/E10*E90</f>
        <v>0.158161660899654</v>
      </c>
      <c r="G111" s="12" t="s">
        <v>72</v>
      </c>
      <c r="H111" s="12" t="s">
        <v>72</v>
      </c>
      <c r="I111" s="12" t="s">
        <v>372</v>
      </c>
    </row>
    <row r="112" customFormat="false" ht="17.15" hidden="false" customHeight="false" outlineLevel="0" collapsed="false">
      <c r="A112" s="0" t="s">
        <v>373</v>
      </c>
      <c r="B112" s="0" t="s">
        <v>374</v>
      </c>
      <c r="C112" s="6" t="s">
        <v>360</v>
      </c>
      <c r="D112" s="4" t="n">
        <f aca="false">1-E25*(1-(E12*1000/D86*E92/1000*E15)/E14)</f>
        <v>0.47484585955157</v>
      </c>
      <c r="E112" s="4" t="n">
        <f aca="false">E96</f>
        <v>0.563372175938657</v>
      </c>
      <c r="F112" s="4" t="n">
        <f aca="false">1-E25*(1-(E12*1000/F86*E92/1000*E15)/E14)</f>
        <v>0.687427605259409</v>
      </c>
      <c r="G112" s="12" t="s">
        <v>72</v>
      </c>
      <c r="H112" s="12" t="s">
        <v>72</v>
      </c>
      <c r="I11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56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24"/>
    <col collapsed="false" customWidth="true" hidden="false" outlineLevel="0" max="10" min="10" style="0" width="52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3" t="s">
        <v>46</v>
      </c>
      <c r="B1" s="3" t="s">
        <v>375</v>
      </c>
      <c r="C1" s="3" t="s">
        <v>376</v>
      </c>
      <c r="D1" s="3" t="s">
        <v>48</v>
      </c>
      <c r="E1" s="3" t="s">
        <v>377</v>
      </c>
      <c r="F1" s="3" t="s">
        <v>378</v>
      </c>
      <c r="G1" s="3" t="s">
        <v>379</v>
      </c>
      <c r="H1" s="3" t="s">
        <v>380</v>
      </c>
      <c r="I1" s="3" t="s">
        <v>12</v>
      </c>
      <c r="J1" s="3" t="s">
        <v>381</v>
      </c>
      <c r="K1" s="3" t="s">
        <v>382</v>
      </c>
    </row>
    <row r="2" customFormat="false" ht="48.5" hidden="false" customHeight="false" outlineLevel="0" collapsed="false">
      <c r="A2" s="12" t="s">
        <v>199</v>
      </c>
      <c r="B2" s="12" t="s">
        <v>383</v>
      </c>
      <c r="C2" s="12" t="s">
        <v>384</v>
      </c>
      <c r="D2" s="12" t="s">
        <v>385</v>
      </c>
      <c r="E2" s="2" t="s">
        <v>386</v>
      </c>
      <c r="F2" s="12" t="s">
        <v>387</v>
      </c>
      <c r="G2" s="12" t="s">
        <v>388</v>
      </c>
      <c r="H2" s="2" t="s">
        <v>389</v>
      </c>
      <c r="I2" s="12" t="s">
        <v>390</v>
      </c>
      <c r="J2" s="2" t="s">
        <v>391</v>
      </c>
      <c r="K2" s="12" t="s">
        <v>197</v>
      </c>
    </row>
    <row r="3" customFormat="false" ht="64.15" hidden="false" customHeight="false" outlineLevel="0" collapsed="false">
      <c r="A3" s="12" t="s">
        <v>392</v>
      </c>
      <c r="B3" s="12" t="s">
        <v>393</v>
      </c>
      <c r="C3" s="12" t="s">
        <v>394</v>
      </c>
      <c r="D3" s="12" t="s">
        <v>395</v>
      </c>
      <c r="E3" s="2" t="s">
        <v>396</v>
      </c>
      <c r="F3" s="12" t="s">
        <v>397</v>
      </c>
      <c r="G3" s="12" t="s">
        <v>398</v>
      </c>
      <c r="H3" s="2" t="s">
        <v>389</v>
      </c>
      <c r="I3" s="12" t="s">
        <v>200</v>
      </c>
      <c r="J3" s="2" t="s">
        <v>399</v>
      </c>
      <c r="K3" s="12" t="s">
        <v>400</v>
      </c>
    </row>
    <row r="4" customFormat="false" ht="79.85" hidden="false" customHeight="false" outlineLevel="0" collapsed="false">
      <c r="A4" s="12" t="s">
        <v>401</v>
      </c>
      <c r="B4" s="12" t="s">
        <v>402</v>
      </c>
      <c r="C4" s="12" t="s">
        <v>403</v>
      </c>
      <c r="D4" s="2" t="s">
        <v>404</v>
      </c>
      <c r="E4" s="12" t="s">
        <v>405</v>
      </c>
      <c r="F4" s="12" t="s">
        <v>406</v>
      </c>
      <c r="G4" s="12" t="s">
        <v>407</v>
      </c>
      <c r="H4" s="2" t="s">
        <v>408</v>
      </c>
      <c r="I4" s="12" t="s">
        <v>409</v>
      </c>
      <c r="J4" s="2" t="s">
        <v>410</v>
      </c>
      <c r="K4" s="12" t="s">
        <v>411</v>
      </c>
    </row>
    <row r="5" customFormat="false" ht="48.5" hidden="false" customHeight="false" outlineLevel="0" collapsed="false">
      <c r="A5" s="12" t="s">
        <v>412</v>
      </c>
      <c r="B5" s="12" t="s">
        <v>413</v>
      </c>
      <c r="C5" s="12" t="s">
        <v>414</v>
      </c>
      <c r="D5" s="2" t="s">
        <v>415</v>
      </c>
      <c r="E5" s="2" t="s">
        <v>416</v>
      </c>
      <c r="F5" s="12" t="s">
        <v>417</v>
      </c>
      <c r="G5" s="12" t="s">
        <v>418</v>
      </c>
      <c r="H5" s="2" t="s">
        <v>419</v>
      </c>
      <c r="I5" s="12" t="s">
        <v>420</v>
      </c>
      <c r="J5" s="2" t="s">
        <v>421</v>
      </c>
      <c r="K5" s="12" t="s">
        <v>422</v>
      </c>
    </row>
    <row r="6" customFormat="false" ht="126.85" hidden="false" customHeight="false" outlineLevel="0" collapsed="false">
      <c r="A6" s="12" t="s">
        <v>228</v>
      </c>
      <c r="B6" s="12" t="s">
        <v>423</v>
      </c>
      <c r="C6" s="12" t="s">
        <v>424</v>
      </c>
      <c r="D6" s="12" t="s">
        <v>425</v>
      </c>
      <c r="E6" s="12" t="s">
        <v>426</v>
      </c>
      <c r="F6" s="12" t="s">
        <v>427</v>
      </c>
      <c r="G6" s="12" t="s">
        <v>428</v>
      </c>
      <c r="H6" s="2" t="s">
        <v>389</v>
      </c>
      <c r="I6" s="2" t="s">
        <v>429</v>
      </c>
      <c r="J6" s="2" t="s">
        <v>430</v>
      </c>
      <c r="K6" s="12" t="s">
        <v>431</v>
      </c>
    </row>
    <row r="7" customFormat="false" ht="79.85" hidden="false" customHeight="false" outlineLevel="0" collapsed="false">
      <c r="A7" s="12" t="s">
        <v>432</v>
      </c>
      <c r="B7" s="12" t="s">
        <v>433</v>
      </c>
      <c r="C7" s="12" t="s">
        <v>434</v>
      </c>
      <c r="D7" s="12" t="s">
        <v>435</v>
      </c>
      <c r="E7" s="2" t="s">
        <v>436</v>
      </c>
      <c r="F7" s="12" t="s">
        <v>437</v>
      </c>
      <c r="G7" s="12" t="s">
        <v>438</v>
      </c>
      <c r="H7" s="2" t="s">
        <v>389</v>
      </c>
      <c r="I7" s="2" t="s">
        <v>277</v>
      </c>
      <c r="J7" s="2" t="s">
        <v>439</v>
      </c>
      <c r="K7" s="12" t="s">
        <v>440</v>
      </c>
    </row>
    <row r="8" customFormat="false" ht="113.4" hidden="false" customHeight="false" outlineLevel="0" collapsed="false">
      <c r="A8" s="12" t="s">
        <v>441</v>
      </c>
      <c r="B8" s="12" t="s">
        <v>442</v>
      </c>
      <c r="C8" s="12" t="s">
        <v>443</v>
      </c>
      <c r="D8" s="12" t="s">
        <v>444</v>
      </c>
      <c r="E8" s="12" t="s">
        <v>445</v>
      </c>
      <c r="F8" s="12" t="s">
        <v>446</v>
      </c>
      <c r="G8" s="12" t="s">
        <v>447</v>
      </c>
      <c r="H8" s="2" t="s">
        <v>448</v>
      </c>
      <c r="I8" s="12" t="s">
        <v>449</v>
      </c>
      <c r="J8" s="2" t="s">
        <v>450</v>
      </c>
      <c r="K8" s="12" t="s">
        <v>451</v>
      </c>
    </row>
    <row r="9" customFormat="false" ht="86.55" hidden="false" customHeight="false" outlineLevel="0" collapsed="false">
      <c r="A9" s="12" t="s">
        <v>452</v>
      </c>
      <c r="B9" s="12" t="s">
        <v>453</v>
      </c>
      <c r="C9" s="12" t="s">
        <v>454</v>
      </c>
      <c r="D9" s="12" t="s">
        <v>455</v>
      </c>
      <c r="E9" s="2" t="s">
        <v>456</v>
      </c>
      <c r="F9" s="12" t="s">
        <v>457</v>
      </c>
      <c r="G9" s="12" t="s">
        <v>458</v>
      </c>
      <c r="H9" s="2" t="s">
        <v>408</v>
      </c>
      <c r="I9" s="2" t="s">
        <v>459</v>
      </c>
      <c r="J9" s="2" t="s">
        <v>460</v>
      </c>
      <c r="K9" s="12" t="s">
        <v>461</v>
      </c>
    </row>
    <row r="10" customFormat="false" ht="115.65" hidden="false" customHeight="false" outlineLevel="0" collapsed="false">
      <c r="A10" s="12" t="s">
        <v>282</v>
      </c>
      <c r="B10" s="12" t="s">
        <v>462</v>
      </c>
      <c r="C10" s="12" t="s">
        <v>463</v>
      </c>
      <c r="D10" s="12" t="s">
        <v>464</v>
      </c>
      <c r="E10" s="2" t="s">
        <v>465</v>
      </c>
      <c r="F10" s="12" t="s">
        <v>466</v>
      </c>
      <c r="G10" s="12" t="s">
        <v>467</v>
      </c>
      <c r="H10" s="2" t="s">
        <v>389</v>
      </c>
      <c r="I10" s="12" t="s">
        <v>468</v>
      </c>
      <c r="J10" s="2" t="s">
        <v>469</v>
      </c>
      <c r="K10" s="12" t="s">
        <v>280</v>
      </c>
    </row>
    <row r="11" customFormat="false" ht="95.5" hidden="false" customHeight="false" outlineLevel="0" collapsed="false">
      <c r="A11" s="12" t="s">
        <v>368</v>
      </c>
      <c r="B11" s="12" t="s">
        <v>470</v>
      </c>
      <c r="C11" s="12" t="s">
        <v>471</v>
      </c>
      <c r="D11" s="12" t="s">
        <v>472</v>
      </c>
      <c r="E11" s="2" t="s">
        <v>473</v>
      </c>
      <c r="F11" s="12" t="s">
        <v>474</v>
      </c>
      <c r="G11" s="12" t="s">
        <v>475</v>
      </c>
      <c r="H11" s="2" t="s">
        <v>389</v>
      </c>
      <c r="I11" s="12" t="s">
        <v>476</v>
      </c>
      <c r="J11" s="2" t="s">
        <v>477</v>
      </c>
      <c r="K11" s="12" t="s">
        <v>478</v>
      </c>
    </row>
    <row r="12" customFormat="false" ht="106.7" hidden="false" customHeight="false" outlineLevel="0" collapsed="false">
      <c r="A12" s="12" t="s">
        <v>479</v>
      </c>
      <c r="B12" s="12" t="s">
        <v>480</v>
      </c>
      <c r="C12" s="12" t="s">
        <v>481</v>
      </c>
      <c r="D12" s="12" t="s">
        <v>135</v>
      </c>
      <c r="E12" s="2" t="s">
        <v>482</v>
      </c>
      <c r="F12" s="12" t="s">
        <v>483</v>
      </c>
      <c r="G12" s="12" t="s">
        <v>484</v>
      </c>
      <c r="H12" s="2" t="s">
        <v>408</v>
      </c>
      <c r="I12" s="12" t="s">
        <v>485</v>
      </c>
      <c r="J12" s="2" t="s">
        <v>486</v>
      </c>
      <c r="K12" s="12" t="s">
        <v>285</v>
      </c>
    </row>
    <row r="13" customFormat="false" ht="64.15" hidden="false" customHeight="false" outlineLevel="0" collapsed="false">
      <c r="A13" s="12" t="s">
        <v>487</v>
      </c>
      <c r="B13" s="12" t="s">
        <v>488</v>
      </c>
      <c r="C13" s="12" t="s">
        <v>489</v>
      </c>
      <c r="D13" s="12" t="s">
        <v>490</v>
      </c>
      <c r="E13" s="2" t="s">
        <v>491</v>
      </c>
      <c r="F13" s="12" t="s">
        <v>492</v>
      </c>
      <c r="G13" s="12" t="s">
        <v>493</v>
      </c>
      <c r="H13" s="2" t="s">
        <v>494</v>
      </c>
      <c r="I13" s="12" t="s">
        <v>19</v>
      </c>
      <c r="J13" s="2" t="s">
        <v>495</v>
      </c>
      <c r="K13" s="12" t="s">
        <v>496</v>
      </c>
    </row>
    <row r="14" customFormat="false" ht="64.15" hidden="false" customHeight="false" outlineLevel="0" collapsed="false">
      <c r="A14" s="12" t="s">
        <v>497</v>
      </c>
      <c r="B14" s="12" t="s">
        <v>498</v>
      </c>
      <c r="C14" s="12" t="s">
        <v>499</v>
      </c>
      <c r="D14" s="12" t="s">
        <v>500</v>
      </c>
      <c r="E14" s="2" t="s">
        <v>501</v>
      </c>
      <c r="F14" s="12" t="s">
        <v>502</v>
      </c>
      <c r="G14" s="12" t="s">
        <v>503</v>
      </c>
      <c r="H14" s="2" t="s">
        <v>504</v>
      </c>
      <c r="I14" s="2" t="s">
        <v>505</v>
      </c>
      <c r="J14" s="2" t="s">
        <v>506</v>
      </c>
      <c r="K14" s="12" t="s">
        <v>338</v>
      </c>
    </row>
    <row r="15" customFormat="false" ht="126.85" hidden="false" customHeight="false" outlineLevel="0" collapsed="false">
      <c r="A15" s="12" t="s">
        <v>507</v>
      </c>
      <c r="B15" s="2" t="s">
        <v>508</v>
      </c>
      <c r="C15" s="12" t="s">
        <v>123</v>
      </c>
      <c r="D15" s="12" t="s">
        <v>123</v>
      </c>
      <c r="E15" s="12" t="s">
        <v>123</v>
      </c>
      <c r="F15" s="2" t="s">
        <v>509</v>
      </c>
      <c r="G15" s="12" t="s">
        <v>123</v>
      </c>
      <c r="H15" s="12" t="s">
        <v>123</v>
      </c>
      <c r="I15" s="2" t="s">
        <v>510</v>
      </c>
      <c r="J15" s="12" t="s">
        <v>511</v>
      </c>
      <c r="K15" s="12" t="s">
        <v>512</v>
      </c>
    </row>
    <row r="16" customFormat="false" ht="111.15" hidden="false" customHeight="false" outlineLevel="0" collapsed="false">
      <c r="A16" s="12" t="s">
        <v>513</v>
      </c>
      <c r="B16" s="2" t="s">
        <v>514</v>
      </c>
      <c r="C16" s="2" t="s">
        <v>515</v>
      </c>
      <c r="D16" s="12" t="s">
        <v>123</v>
      </c>
      <c r="E16" s="2" t="s">
        <v>516</v>
      </c>
      <c r="F16" s="12" t="s">
        <v>517</v>
      </c>
      <c r="G16" s="12" t="s">
        <v>518</v>
      </c>
      <c r="H16" s="12" t="s">
        <v>123</v>
      </c>
      <c r="I16" s="12" t="s">
        <v>519</v>
      </c>
      <c r="J16" s="12" t="s">
        <v>520</v>
      </c>
      <c r="K16" s="12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5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3" t="s">
        <v>46</v>
      </c>
      <c r="B1" s="3" t="s">
        <v>522</v>
      </c>
      <c r="C1" s="3" t="s">
        <v>523</v>
      </c>
      <c r="D1" s="3" t="s">
        <v>524</v>
      </c>
      <c r="E1" s="3" t="s">
        <v>525</v>
      </c>
    </row>
    <row r="2" customFormat="false" ht="95.5" hidden="false" customHeight="false" outlineLevel="0" collapsed="false">
      <c r="A2" s="12" t="s">
        <v>526</v>
      </c>
      <c r="B2" s="2" t="s">
        <v>527</v>
      </c>
      <c r="C2" s="2" t="s">
        <v>528</v>
      </c>
      <c r="D2" s="12" t="s">
        <v>529</v>
      </c>
      <c r="E2" s="12" t="s">
        <v>530</v>
      </c>
    </row>
    <row r="3" customFormat="false" ht="64.15" hidden="false" customHeight="false" outlineLevel="0" collapsed="false">
      <c r="A3" s="12" t="s">
        <v>531</v>
      </c>
      <c r="B3" s="12" t="s">
        <v>532</v>
      </c>
      <c r="C3" s="2" t="s">
        <v>533</v>
      </c>
      <c r="D3" s="12" t="s">
        <v>534</v>
      </c>
      <c r="E3" s="12" t="s">
        <v>535</v>
      </c>
    </row>
    <row r="4" customFormat="false" ht="126.85" hidden="false" customHeight="false" outlineLevel="0" collapsed="false">
      <c r="A4" s="12" t="s">
        <v>536</v>
      </c>
      <c r="B4" s="12" t="s">
        <v>537</v>
      </c>
      <c r="C4" s="2" t="s">
        <v>538</v>
      </c>
      <c r="D4" s="12" t="s">
        <v>539</v>
      </c>
      <c r="E4" s="12" t="s">
        <v>540</v>
      </c>
    </row>
    <row r="5" customFormat="false" ht="95.5" hidden="false" customHeight="false" outlineLevel="0" collapsed="false">
      <c r="A5" s="12" t="s">
        <v>541</v>
      </c>
      <c r="B5" s="2" t="s">
        <v>542</v>
      </c>
      <c r="C5" s="2" t="s">
        <v>543</v>
      </c>
      <c r="D5" s="12" t="s">
        <v>544</v>
      </c>
      <c r="E5" s="12" t="s">
        <v>545</v>
      </c>
    </row>
    <row r="6" customFormat="false" ht="64.15" hidden="false" customHeight="false" outlineLevel="0" collapsed="false">
      <c r="A6" s="12" t="s">
        <v>546</v>
      </c>
      <c r="B6" s="12" t="s">
        <v>547</v>
      </c>
      <c r="C6" s="2" t="s">
        <v>548</v>
      </c>
      <c r="D6" s="12" t="s">
        <v>549</v>
      </c>
      <c r="E6" s="12" t="s">
        <v>550</v>
      </c>
    </row>
    <row r="7" customFormat="false" ht="48.5" hidden="false" customHeight="false" outlineLevel="0" collapsed="false">
      <c r="A7" s="12" t="s">
        <v>551</v>
      </c>
      <c r="B7" s="12" t="s">
        <v>552</v>
      </c>
      <c r="C7" s="2" t="s">
        <v>553</v>
      </c>
      <c r="D7" s="12" t="s">
        <v>554</v>
      </c>
      <c r="E7" s="12" t="s">
        <v>555</v>
      </c>
    </row>
    <row r="8" customFormat="false" ht="64.15" hidden="false" customHeight="false" outlineLevel="0" collapsed="false">
      <c r="A8" s="12" t="s">
        <v>556</v>
      </c>
      <c r="B8" s="2" t="s">
        <v>557</v>
      </c>
      <c r="C8" s="2" t="s">
        <v>558</v>
      </c>
      <c r="D8" s="12" t="s">
        <v>559</v>
      </c>
      <c r="E8" s="12" t="s">
        <v>560</v>
      </c>
    </row>
    <row r="9" customFormat="false" ht="32.8" hidden="false" customHeight="false" outlineLevel="0" collapsed="false">
      <c r="A9" s="12" t="s">
        <v>561</v>
      </c>
      <c r="B9" s="12" t="s">
        <v>562</v>
      </c>
      <c r="C9" s="2" t="s">
        <v>563</v>
      </c>
      <c r="D9" s="2" t="s">
        <v>564</v>
      </c>
      <c r="E9" s="12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2026-10-25T05:25:19Z</dcterms:created>
  <dc:creator>openpyxl</dc:creator>
  <dc:description/>
  <dc:language>en-US</dc:language>
  <cp:lastModifiedBy/>
  <dcterms:modified xsi:type="dcterms:W3CDTF">2026-10-25T05:25:19Z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