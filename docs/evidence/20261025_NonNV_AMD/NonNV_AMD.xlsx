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建議值" sheetId="1" state="visible" r:id="rId3"/>
    <sheet name="推導" sheetId="2" state="visible" r:id="rId4"/>
    <sheet name="證據" sheetId="3" state="visible" r:id="rId5"/>
    <sheet name="待判斷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<sst xmlns="http://schemas.openxmlformats.org/spreadsheetml/2006/main" count="919" uniqueCount="584">
  <si>
    <r>
      <rPr>
        <b val="true"/>
        <sz val="11"/>
        <rFont val="Noto Sans CJK SC"/>
        <family val="2"/>
      </rPr>
      <t xml:space="preserve">建議值 —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列（</t>
    </r>
    <r>
      <rPr>
        <b val="true"/>
        <sz val="11"/>
        <rFont val="Cambria"/>
        <family val="0"/>
        <charset val="1"/>
      </rPr>
      <t xml:space="preserve">AMD MI455X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Helios</t>
    </r>
    <r>
      <rPr>
        <b val="true"/>
        <sz val="11"/>
        <rFont val="Noto Sans CJK SC"/>
        <family val="2"/>
      </rPr>
      <t xml:space="preserve">）以每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方法重推｜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段唯讀查證，未寫入 </t>
    </r>
    <r>
      <rPr>
        <b val="true"/>
        <sz val="11"/>
        <rFont val="Cambria"/>
        <family val="0"/>
        <charset val="1"/>
      </rPr>
      <t xml:space="preserve">model/</t>
    </r>
    <r>
      <rPr>
        <b val="true"/>
        <sz val="11"/>
        <rFont val="Noto Sans CJK SC"/>
        <family val="2"/>
      </rPr>
      <t xml:space="preserve">；與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Trn3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Maia</t>
    </r>
    <r>
      <rPr>
        <b val="true"/>
        <sz val="11"/>
        <rFont val="Noto Sans CJK SC"/>
        <family val="2"/>
      </rPr>
      <t xml:space="preserve">／昇騰並排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</si>
  <si>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Noto Sans CJK SC"/>
        <family val="2"/>
      </rPr>
      <t xml:space="preserve">列＝推導頁公式的原始結果（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最高原生精度、</t>
    </r>
    <r>
      <rPr>
        <sz val="11"/>
        <color theme="1"/>
        <rFont val="Calibri"/>
        <family val="2"/>
        <charset val="1"/>
      </rPr>
      <t xml:space="preserve">(b) FP8 </t>
    </r>
    <r>
      <rPr>
        <sz val="11"/>
        <color theme="1"/>
        <rFont val="Noto Sans CJK SC"/>
        <family val="2"/>
      </rPr>
      <t xml:space="preserve">對齊）；第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列＝建議輸入值（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；產出比四捨五入至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；持有比保留兩位）；第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列＝</t>
    </r>
    <r>
      <rPr>
        <sz val="11"/>
        <color theme="1"/>
        <rFont val="Calibri"/>
        <family val="2"/>
        <charset val="1"/>
      </rPr>
      <t xml:space="preserve">TK v21.6 </t>
    </r>
    <r>
      <rPr>
        <sz val="11"/>
        <color theme="1"/>
        <rFont val="Noto Sans CJK SC"/>
        <family val="2"/>
      </rPr>
      <t xml:space="preserve">現值。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F÷C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成本比）、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E÷D</t>
    </r>
    <r>
      <rPr>
        <sz val="11"/>
        <color theme="1"/>
        <rFont val="Noto Sans CJK SC"/>
        <family val="2"/>
      </rPr>
      <t xml:space="preserve">（最佳角落）、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G÷B</t>
    </r>
    <r>
      <rPr>
        <sz val="11"/>
        <color theme="1"/>
        <rFont val="Noto Sans CJK SC"/>
        <family val="2"/>
      </rPr>
      <t xml:space="preserve">（最差角落），同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。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</si>
  <si>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</si>
  <si>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</si>
  <si>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</si>
  <si>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</si>
  <si>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</si>
  <si>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</si>
  <si>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</si>
  <si>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</si>
  <si>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</si>
  <si>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</si>
  <si>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t xml:space="preserve">標記</t>
  </si>
  <si>
    <t xml:space="preserve">說明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</si>
  <si>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最高原生精度；原始公式結果）</t>
    </r>
  </si>
  <si>
    <t xml:space="preserve">公式（連結推導頁）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</si>
  <si>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(b) FP8 </t>
    </r>
    <r>
      <rPr>
        <sz val="11"/>
        <color theme="1"/>
        <rFont val="Noto Sans CJK SC"/>
        <family val="2"/>
      </rPr>
      <t xml:space="preserve">對齊；原始公式結果）</t>
    </r>
  </si>
  <si>
    <r>
      <rPr>
        <b val="true"/>
        <sz val="11"/>
        <rFont val="Noto Sans CJK SC"/>
        <family val="2"/>
      </rPr>
      <t xml:space="preserve">建議輸入值（若寫入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</si>
  <si>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</si>
  <si>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</si>
  <si>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法：</t>
    </r>
    <r>
      <rPr>
        <sz val="11"/>
        <color theme="1"/>
        <rFont val="Calibri"/>
        <family val="2"/>
        <charset val="1"/>
      </rPr>
      <t xml:space="preserve">Helios 72 </t>
    </r>
    <r>
      <rPr>
        <sz val="11"/>
        <color theme="1"/>
        <rFont val="Noto Sans CJK SC"/>
        <family val="2"/>
      </rPr>
      <t xml:space="preserve">顆、機架 </t>
    </r>
    <r>
      <rPr>
        <sz val="11"/>
        <color theme="1"/>
        <rFont val="Calibri"/>
        <family val="2"/>
        <charset val="1"/>
      </rPr>
      <t xml:space="preserve">225–245 kW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數字經媒體；</t>
    </r>
    <r>
      <rPr>
        <sz val="11"/>
        <color theme="1"/>
        <rFont val="Calibri"/>
        <family val="2"/>
        <charset val="1"/>
      </rPr>
      <t xml:space="preserve">245 </t>
    </r>
    <r>
      <rPr>
        <sz val="11"/>
        <color theme="1"/>
        <rFont val="Noto Sans CJK SC"/>
        <family val="2"/>
      </rPr>
      <t xml:space="preserve">亦為散熱上限）→ 每顆 </t>
    </r>
    <r>
      <rPr>
        <sz val="11"/>
        <color theme="1"/>
        <rFont val="Calibri"/>
        <family val="2"/>
        <charset val="1"/>
      </rPr>
      <t xml:space="preserve">3.40 kW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MXFP4 40.27 PF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FP8 20.13</t>
    </r>
    <r>
      <rPr>
        <sz val="11"/>
        <color theme="1"/>
        <rFont val="Noto Sans CJK SC"/>
        <family val="2"/>
      </rPr>
      <t xml:space="preserve">），兩種精度口徑每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峰值皆為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1.07</t>
    </r>
    <r>
      <rPr>
        <sz val="11"/>
        <color theme="1"/>
        <rFont val="Noto Sans CJK SC"/>
        <family val="2"/>
      </rPr>
      <t xml:space="preserve">；效率因子由 </t>
    </r>
    <r>
      <rPr>
        <sz val="11"/>
        <color theme="1"/>
        <rFont val="Calibri"/>
        <family val="2"/>
        <charset val="1"/>
      </rPr>
      <t xml:space="preserve">MLPerf v6.1 MI355X DeepSeek-R1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TK 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錨點還原（</t>
    </r>
    <r>
      <rPr>
        <sz val="11"/>
        <color theme="1"/>
        <rFont val="Calibri"/>
        <family val="2"/>
        <charset val="1"/>
      </rPr>
      <t xml:space="preserve">0.74–0.99</t>
    </r>
    <r>
      <rPr>
        <sz val="11"/>
        <color theme="1"/>
        <rFont val="Noto Sans CJK SC"/>
        <family val="2"/>
      </rPr>
      <t xml:space="preserve">），再乘算力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頻寬轉換 </t>
    </r>
    <r>
      <rPr>
        <sz val="11"/>
        <color theme="1"/>
        <rFont val="Calibri"/>
        <family val="2"/>
        <charset val="1"/>
      </rPr>
      <t xml:space="preserve">0.89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）。持有比依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買方取得價口徑：每架 </t>
    </r>
    <r>
      <rPr>
        <sz val="11"/>
        <color theme="1"/>
        <rFont val="Calibri"/>
        <family val="2"/>
        <charset val="1"/>
      </rPr>
      <t xml:space="preserve">$5.25M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絕對價，口徑混用、下界）／</t>
    </r>
    <r>
      <rPr>
        <sz val="11"/>
        <color theme="1"/>
        <rFont val="Calibri"/>
        <family val="2"/>
        <charset val="1"/>
      </rPr>
      <t xml:space="preserve">$7.3M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自述隱含比 </t>
    </r>
    <r>
      <rPr>
        <sz val="11"/>
        <color theme="1"/>
        <rFont val="Calibri"/>
        <family val="2"/>
        <charset val="1"/>
      </rPr>
      <t xml:space="preserve">0.865 × VR200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$10.5M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同源比值 </t>
    </r>
    <r>
      <rPr>
        <sz val="11"/>
        <color theme="1"/>
        <rFont val="Calibri"/>
        <family val="2"/>
        <charset val="1"/>
      </rPr>
      <t xml:space="preserve">1.25 × VR200</t>
    </r>
    <r>
      <rPr>
        <sz val="11"/>
        <color theme="1"/>
        <rFont val="Noto Sans CJK SC"/>
        <family val="2"/>
      </rPr>
      <t xml:space="preserve">）推導（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）。證據：</t>
    </r>
    <r>
      <rPr>
        <sz val="11"/>
        <color theme="1"/>
        <rFont val="Calibri"/>
        <family val="2"/>
        <charset val="1"/>
      </rPr>
      <t xml:space="preserve">docs/evidence/20261025_NonNV_AMD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</si>
  <si>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TK v21.6 </t>
    </r>
    <r>
      <rPr>
        <b val="true"/>
        <sz val="11"/>
        <rFont val="Noto Sans CJK SC"/>
        <family val="2"/>
      </rPr>
      <t xml:space="preserve">現值（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列；慣例值、未推導）</t>
    </r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</si>
  <si>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）（現值）</t>
    </r>
  </si>
  <si>
    <t xml:space="preserve">model/20261025_Tokenomics_v21.6.xlsx NonNV!B5:G5</t>
  </si>
  <si>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段並排（每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峰值比為各自最高原生精度；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Trn3 </t>
    </r>
    <r>
      <rPr>
        <b val="true"/>
        <sz val="11"/>
        <rFont val="Noto Sans CJK SC"/>
        <family val="2"/>
      </rPr>
      <t xml:space="preserve">取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段建議值、</t>
    </r>
    <r>
      <rPr>
        <b val="true"/>
        <sz val="11"/>
        <rFont val="Cambria"/>
        <family val="0"/>
        <charset val="1"/>
      </rPr>
      <t xml:space="preserve">Maia</t>
    </r>
    <r>
      <rPr>
        <b val="true"/>
        <sz val="11"/>
        <rFont val="Noto Sans CJK SC"/>
        <family val="2"/>
      </rPr>
      <t xml:space="preserve">／昇騰取 </t>
    </r>
    <r>
      <rPr>
        <b val="true"/>
        <sz val="11"/>
        <rFont val="Cambria"/>
        <family val="0"/>
        <charset val="1"/>
      </rPr>
      <t xml:space="preserve">TK v21.6 NonNV </t>
    </r>
    <r>
      <rPr>
        <b val="true"/>
        <sz val="11"/>
        <rFont val="Noto Sans CJK SC"/>
        <family val="2"/>
      </rPr>
      <t xml:space="preserve">現值）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</si>
  <si>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峰值 </t>
    </r>
    <r>
      <rPr>
        <b val="true"/>
        <sz val="11"/>
        <rFont val="Cambria"/>
        <family val="0"/>
        <charset val="1"/>
      </rPr>
      <t xml:space="preserve">÷ VR200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</si>
  <si>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成本比</t>
    </r>
  </si>
  <si>
    <t xml:space="preserve">產出比 區間</t>
  </si>
  <si>
    <t xml:space="preserve">持有比 區間</t>
  </si>
  <si>
    <t xml:space="preserve">來源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</si>
  <si>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（本提案）</t>
    </r>
  </si>
  <si>
    <t xml:space="preserve">本表</t>
  </si>
  <si>
    <r>
      <rPr>
        <sz val="11"/>
        <color theme="1"/>
        <rFont val="Calibri"/>
        <family val="2"/>
        <charset val="1"/>
      </rPr>
      <t xml:space="preserve">Google TPU v7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段）</t>
    </r>
  </si>
  <si>
    <t xml:space="preserve">0.25–0.40</t>
  </si>
  <si>
    <t xml:space="preserve">0.65–0.90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</si>
  <si>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PR #172</t>
    </r>
    <r>
      <rPr>
        <sz val="11"/>
        <color theme="1"/>
        <rFont val="Noto Sans CJK SC"/>
        <family val="2"/>
      </rPr>
      <t xml:space="preserve">）建議值；持有比已寫入 </t>
    </r>
    <r>
      <rPr>
        <sz val="11"/>
        <color theme="1"/>
        <rFont val="Calibri"/>
        <family val="2"/>
        <charset val="1"/>
      </rPr>
      <t xml:space="preserve">v21.6</t>
    </r>
    <r>
      <rPr>
        <sz val="11"/>
        <color theme="1"/>
        <rFont val="Noto Sans CJK SC"/>
        <family val="2"/>
      </rPr>
      <t xml:space="preserve">（買方取得價，無口徑混用）</t>
    </r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</si>
  <si>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段）</t>
    </r>
  </si>
  <si>
    <t xml:space="preserve">0.06–0.25</t>
  </si>
  <si>
    <t xml:space="preserve">0.45–0.70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</si>
  <si>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PR #172</t>
    </r>
    <r>
      <rPr>
        <sz val="11"/>
        <color theme="1"/>
        <rFont val="Noto Sans CJK SC"/>
        <family val="2"/>
      </rPr>
      <t xml:space="preserve">）建議值；持有比已寫入 </t>
    </r>
    <r>
      <rPr>
        <sz val="11"/>
        <color theme="1"/>
        <rFont val="Calibri"/>
        <family val="2"/>
        <charset val="1"/>
      </rPr>
      <t xml:space="preserve">v21.6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KGI </t>
    </r>
    <r>
      <rPr>
        <sz val="11"/>
        <color theme="1"/>
        <rFont val="Noto Sans CJK SC"/>
        <family val="2"/>
      </rPr>
      <t xml:space="preserve">絕對價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價為口徑混用，同源比值時約 </t>
    </r>
    <r>
      <rPr>
        <sz val="11"/>
        <color theme="1"/>
        <rFont val="Calibri"/>
        <family val="2"/>
        <charset val="1"/>
      </rPr>
      <t xml:space="preserve">0.59–0.63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README §10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</si>
  <si>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段）</t>
    </r>
  </si>
  <si>
    <t xml:space="preserve">0.25–0.75</t>
  </si>
  <si>
    <t xml:space="preserve">0.40–0.60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</si>
  <si>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段推導 </t>
    </r>
    <r>
      <rPr>
        <sz val="11"/>
        <color theme="1"/>
        <rFont val="Calibri"/>
        <family val="2"/>
        <charset val="1"/>
      </rPr>
      <t xml:space="preserve">D6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</si>
  <si>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段）</t>
    </r>
  </si>
  <si>
    <t xml:space="preserve">0.05–0.15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</si>
  <si>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段推導 </t>
    </r>
    <r>
      <rPr>
        <sz val="11"/>
        <color theme="1"/>
        <rFont val="Calibri"/>
        <family val="2"/>
        <charset val="1"/>
      </rPr>
      <t xml:space="preserve">C6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</t>
    </r>
  </si>
  <si>
    <r>
      <rPr>
        <b val="true"/>
        <sz val="11"/>
        <rFont val="Noto Sans CJK SC"/>
        <family val="2"/>
      </rPr>
      <t xml:space="preserve">推導 — </t>
    </r>
    <r>
      <rPr>
        <b val="true"/>
        <sz val="11"/>
        <rFont val="Cambria"/>
        <family val="0"/>
        <charset val="1"/>
      </rPr>
      <t xml:space="preserve">AMD Instinct MI455X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Helios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72 </t>
    </r>
    <r>
      <rPr>
        <b val="true"/>
        <sz val="11"/>
        <rFont val="Noto Sans CJK SC"/>
        <family val="2"/>
      </rPr>
      <t xml:space="preserve">顆）相對 </t>
    </r>
    <r>
      <rPr>
        <b val="true"/>
        <sz val="11"/>
        <rFont val="Cambria"/>
        <family val="0"/>
        <charset val="1"/>
      </rPr>
      <t xml:space="preserve">VR200 NVL72 </t>
    </r>
    <r>
      <rPr>
        <b val="true"/>
        <sz val="11"/>
        <rFont val="Noto Sans CJK SC"/>
        <family val="2"/>
      </rPr>
      <t xml:space="preserve">的每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產出比與持有成本比（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段；方法同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段）</t>
    </r>
  </si>
  <si>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＝低端／基準／高端（產出列：悲觀→樂觀；持有列：成本低→成本高）。藍字＝輸入；黑字＝公式。標記沿用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分母取自 </t>
    </r>
    <r>
      <rPr>
        <sz val="11"/>
        <color theme="1"/>
        <rFont val="Calibri"/>
        <family val="2"/>
        <charset val="1"/>
      </rPr>
      <t xml:space="preserve">model/20261025_Tokenomics_v21.6.xlsx</t>
    </r>
    <r>
      <rPr>
        <sz val="11"/>
        <color theme="1"/>
        <rFont val="Noto Sans CJK SC"/>
        <family val="2"/>
      </rPr>
      <t xml:space="preserve">（基準成本欄 </t>
    </r>
    <r>
      <rPr>
        <sz val="11"/>
        <color theme="1"/>
        <rFont val="Calibri"/>
        <family val="2"/>
        <charset val="1"/>
      </rPr>
      <t xml:space="preserve">Interface!M</t>
    </r>
    <r>
      <rPr>
        <sz val="11"/>
        <color theme="1"/>
        <rFont val="Noto Sans CJK SC"/>
        <family val="2"/>
      </rPr>
      <t xml:space="preserve">）。證據編號 </t>
    </r>
    <r>
      <rPr>
        <sz val="11"/>
        <color theme="1"/>
        <rFont val="Calibri"/>
        <family val="2"/>
        <charset val="1"/>
      </rPr>
      <t xml:space="preserve">M01–M14 </t>
    </r>
    <r>
      <rPr>
        <sz val="11"/>
        <color theme="1"/>
        <rFont val="Noto Sans CJK SC"/>
        <family val="2"/>
      </rPr>
      <t xml:space="preserve">見『證據』頁。</t>
    </r>
  </si>
  <si>
    <t xml:space="preserve">編號</t>
  </si>
  <si>
    <t xml:space="preserve">物理量</t>
  </si>
  <si>
    <t xml:space="preserve">單位</t>
  </si>
  <si>
    <t xml:space="preserve">低端</t>
  </si>
  <si>
    <t xml:space="preserve">基準</t>
  </si>
  <si>
    <t xml:space="preserve">高端</t>
  </si>
  <si>
    <t xml:space="preserve">來源（證據編號／模型格）</t>
  </si>
  <si>
    <t xml:space="preserve">算式或說明</t>
  </si>
  <si>
    <r>
      <rPr>
        <b val="true"/>
        <sz val="11"/>
        <rFont val="Cambria"/>
        <family val="0"/>
        <charset val="1"/>
      </rPr>
      <t xml:space="preserve">A. VR200 NVL72 </t>
    </r>
    <r>
      <rPr>
        <b val="true"/>
        <sz val="11"/>
        <rFont val="Noto Sans CJK SC"/>
        <family val="2"/>
      </rPr>
      <t xml:space="preserve">分母（模型 </t>
    </r>
    <r>
      <rPr>
        <b val="true"/>
        <sz val="11"/>
        <rFont val="Cambria"/>
        <family val="0"/>
        <charset val="1"/>
      </rPr>
      <t xml:space="preserve">v21.6</t>
    </r>
    <r>
      <rPr>
        <b val="true"/>
        <sz val="11"/>
        <rFont val="Noto Sans CJK SC"/>
        <family val="2"/>
      </rPr>
      <t xml:space="preserve">；同層級、同 </t>
    </r>
    <r>
      <rPr>
        <b val="true"/>
        <sz val="11"/>
        <rFont val="Cambria"/>
        <family val="0"/>
        <charset val="1"/>
      </rPr>
      <t xml:space="preserve">SLO</t>
    </r>
    <r>
      <rPr>
        <b val="true"/>
        <sz val="11"/>
        <rFont val="Noto Sans CJK SC"/>
        <family val="2"/>
      </rPr>
      <t xml:space="preserve">）</t>
    </r>
  </si>
  <si>
    <t xml:space="preserve">A1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</si>
  <si>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計算用峰值（</t>
    </r>
    <r>
      <rPr>
        <sz val="11"/>
        <color theme="1"/>
        <rFont val="Calibri"/>
        <family val="2"/>
        <charset val="1"/>
      </rPr>
      <t xml:space="preserve">NVFP4 dense</t>
    </r>
    <r>
      <rPr>
        <sz val="11"/>
        <color theme="1"/>
        <rFont val="Noto Sans CJK SC"/>
        <family val="2"/>
      </rPr>
      <t xml:space="preserve">；模型服務精度）</t>
    </r>
  </si>
  <si>
    <t xml:space="preserve">PF</t>
  </si>
  <si>
    <r>
      <rPr>
        <sz val="11"/>
        <color theme="1"/>
        <rFont val="Calibri"/>
        <family val="2"/>
        <charset val="1"/>
      </rPr>
      <t xml:space="preserve">Spec_Rack!F35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F22 </t>
    </r>
    <r>
      <rPr>
        <sz val="11"/>
        <color theme="1"/>
        <rFont val="Noto Sans CJK SC"/>
        <family val="2"/>
      </rPr>
      <t xml:space="preserve">服務精度 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</si>
  <si>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規格）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</si>
  <si>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自己的 </t>
    </r>
    <r>
      <rPr>
        <sz val="11"/>
        <color theme="1"/>
        <rFont val="Calibri"/>
        <family val="2"/>
        <charset val="1"/>
      </rPr>
      <t xml:space="preserve">1.15X </t>
    </r>
    <r>
      <rPr>
        <sz val="11"/>
        <color theme="1"/>
        <rFont val="Noto Sans CJK SC"/>
        <family val="2"/>
      </rPr>
      <t xml:space="preserve">比較也用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M02</t>
    </r>
    <r>
      <rPr>
        <sz val="11"/>
        <color theme="1"/>
        <rFont val="Noto Sans CJK SC"/>
        <family val="2"/>
      </rPr>
      <t xml:space="preserve">）</t>
    </r>
  </si>
  <si>
    <t xml:space="preserve">A2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</si>
  <si>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機架配電設計功率（基準）</t>
    </r>
  </si>
  <si>
    <t xml:space="preserve">kW</t>
  </si>
  <si>
    <t xml:space="preserve">Spec_Rack!F9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</si>
  <si>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Schneider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</si>
  <si>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Max-P </t>
    </r>
    <r>
      <rPr>
        <sz val="11"/>
        <color theme="1"/>
        <rFont val="Noto Sans CJK SC"/>
        <family val="2"/>
      </rPr>
      <t xml:space="preserve">設計功率</t>
    </r>
  </si>
  <si>
    <t xml:space="preserve">A3</t>
  </si>
  <si>
    <r>
      <rPr>
        <sz val="11"/>
        <color theme="1"/>
        <rFont val="Noto Sans CJK SC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</t>
    </r>
  </si>
  <si>
    <t xml:space="preserve">顆</t>
  </si>
  <si>
    <t xml:space="preserve">Spec_Rack!F6</t>
  </si>
  <si>
    <t xml:space="preserve">Verified</t>
  </si>
  <si>
    <t xml:space="preserve">A4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</si>
  <si>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所攤機架功率</t>
    </r>
  </si>
  <si>
    <t xml:space="preserve">Derived</t>
  </si>
  <si>
    <t xml:space="preserve">227÷72</t>
  </si>
  <si>
    <t xml:space="preserve">A5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</si>
  <si>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峰值算力（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）</t>
    </r>
  </si>
  <si>
    <t xml:space="preserve">PF/kW</t>
  </si>
  <si>
    <t xml:space="preserve">A6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</si>
  <si>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</t>
    </r>
  </si>
  <si>
    <t xml:space="preserve">架</t>
  </si>
  <si>
    <t xml:space="preserve">Interface!M6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</si>
  <si>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（模型）</t>
    </r>
  </si>
  <si>
    <t xml:space="preserve">A7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</si>
  <si>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功率（＝</t>
    </r>
    <r>
      <rPr>
        <sz val="11"/>
        <color theme="1"/>
        <rFont val="Calibri"/>
        <family val="2"/>
        <charset val="1"/>
      </rPr>
      <t xml:space="preserve">A6×A2</t>
    </r>
    <r>
      <rPr>
        <sz val="11"/>
        <color theme="1"/>
        <rFont val="Noto Sans CJK SC"/>
        <family val="2"/>
      </rPr>
      <t xml:space="preserve">）</t>
    </r>
  </si>
  <si>
    <t xml:space="preserve">MW</t>
  </si>
  <si>
    <r>
      <rPr>
        <sz val="11"/>
        <color theme="1"/>
        <rFont val="Noto Sans CJK SC"/>
        <family val="2"/>
      </rPr>
      <t xml:space="preserve">候選每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架數＝此值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候選機架功率（與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段相同）</t>
    </r>
  </si>
  <si>
    <t xml:space="preserve">A8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</si>
  <si>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機架價格（基準）</t>
    </r>
  </si>
  <si>
    <t xml:space="preserve">$M</t>
  </si>
  <si>
    <t xml:space="preserve">Spec_Rack!F12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</si>
  <si>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</si>
  <si>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MS BOM 7.8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＋代工毛利 </t>
    </r>
    <r>
      <rPr>
        <sz val="11"/>
        <color theme="1"/>
        <rFont val="Calibri"/>
        <family val="2"/>
        <charset val="1"/>
      </rPr>
      <t xml:space="preserve">7.5%</t>
    </r>
    <r>
      <rPr>
        <sz val="11"/>
        <color theme="1"/>
        <rFont val="Noto Sans CJK SC"/>
        <family val="2"/>
      </rPr>
      <t xml:space="preserve">）</t>
    </r>
  </si>
  <si>
    <t xml:space="preserve">A9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</si>
  <si>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設備資本支出（基準）</t>
    </r>
  </si>
  <si>
    <t xml:space="preserve">$B</t>
  </si>
  <si>
    <t xml:space="preserve">Interface!M9</t>
  </si>
  <si>
    <t xml:space="preserve">A10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</si>
  <si>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（機架數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機架價）＝網路等加成</t>
    </r>
  </si>
  <si>
    <t xml:space="preserve">x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</si>
  <si>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；候選沿用同一加成</t>
    </r>
  </si>
  <si>
    <t xml:space="preserve">A11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</si>
  <si>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廠房資本支出（基準）</t>
    </r>
  </si>
  <si>
    <t xml:space="preserve">Interface!M10</t>
  </si>
  <si>
    <t xml:space="preserve">A12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</si>
  <si>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 — 經濟口徑（基準）</t>
    </r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</si>
  <si>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Noto Sans CJK SC"/>
        <family val="2"/>
      </rPr>
      <t xml:space="preserve">年</t>
    </r>
  </si>
  <si>
    <t xml:space="preserve">Interface!M13</t>
  </si>
  <si>
    <t xml:space="preserve">分母</t>
  </si>
  <si>
    <t xml:space="preserve">A13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</si>
  <si>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 — 會計口徑（基準）</t>
    </r>
  </si>
  <si>
    <t xml:space="preserve">Interface!M12</t>
  </si>
  <si>
    <t xml:space="preserve">A14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</si>
  <si>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折舊（基準）</t>
    </r>
  </si>
  <si>
    <t xml:space="preserve">Interface!M220</t>
  </si>
  <si>
    <t xml:space="preserve">A15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</si>
  <si>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維護（基準）</t>
    </r>
  </si>
  <si>
    <t xml:space="preserve">Interface!M224</t>
  </si>
  <si>
    <t xml:space="preserve">A16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</si>
  <si>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財產稅與保險（基準）</t>
    </r>
  </si>
  <si>
    <t xml:space="preserve">Interface!M227</t>
  </si>
  <si>
    <t xml:space="preserve">A17</t>
  </si>
  <si>
    <t xml:space="preserve">資金成本（經濟 − 會計）</t>
  </si>
  <si>
    <t xml:space="preserve">A18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</si>
  <si>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設備占總資本支出比例</t>
    </r>
  </si>
  <si>
    <t xml:space="preserve">—</t>
  </si>
  <si>
    <t xml:space="preserve">A19</t>
  </si>
  <si>
    <r>
      <rPr>
        <sz val="11"/>
        <color theme="1"/>
        <rFont val="Noto Sans CJK SC"/>
        <family val="2"/>
      </rPr>
      <t xml:space="preserve">持有成本中隨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設備資本支出成比例的部分</t>
    </r>
  </si>
  <si>
    <t xml:space="preserve">A20</t>
  </si>
  <si>
    <r>
      <rPr>
        <sz val="11"/>
        <color theme="1"/>
        <rFont val="Noto Sans CJK SC"/>
        <family val="2"/>
      </rPr>
      <t xml:space="preserve">上述部分占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持有成本比例 </t>
    </r>
    <r>
      <rPr>
        <sz val="11"/>
        <color theme="1"/>
        <rFont val="Calibri"/>
        <family val="2"/>
        <charset val="1"/>
      </rPr>
      <t xml:space="preserve">s</t>
    </r>
  </si>
  <si>
    <r>
      <rPr>
        <sz val="11"/>
        <color theme="1"/>
        <rFont val="Noto Sans CJK SC"/>
        <family val="2"/>
      </rPr>
      <t xml:space="preserve">候選持有比 ＝ </t>
    </r>
    <r>
      <rPr>
        <sz val="11"/>
        <color theme="1"/>
        <rFont val="Calibri"/>
        <family val="2"/>
        <charset val="1"/>
      </rPr>
      <t xml:space="preserve">1 − s×(1 − k)</t>
    </r>
  </si>
  <si>
    <t xml:space="preserve">A21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</si>
  <si>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FP8 dense</t>
    </r>
  </si>
  <si>
    <t xml:space="preserve">Spec_Rack!F40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</si>
  <si>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節『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對齊』用</t>
    </r>
  </si>
  <si>
    <t xml:space="preserve">A22</t>
  </si>
  <si>
    <r>
      <rPr>
        <sz val="11"/>
        <color theme="1"/>
        <rFont val="Calibri"/>
        <family val="2"/>
        <charset val="1"/>
      </rPr>
      <t xml:space="preserve">VR200 GPU </t>
    </r>
    <r>
      <rPr>
        <sz val="11"/>
        <color theme="1"/>
        <rFont val="Noto Sans CJK SC"/>
        <family val="2"/>
      </rPr>
      <t xml:space="preserve">功率（能量用）</t>
    </r>
  </si>
  <si>
    <t xml:space="preserve">W</t>
  </si>
  <si>
    <t xml:space="preserve">Spec_Rack!F33</t>
  </si>
  <si>
    <t xml:space="preserve">A23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</si>
  <si>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機架功率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晶片功率總和</t>
    </r>
  </si>
  <si>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旁證見 </t>
    </r>
    <r>
      <rPr>
        <sz val="11"/>
        <color theme="1"/>
        <rFont val="Calibri"/>
        <family val="2"/>
        <charset val="1"/>
      </rPr>
      <t xml:space="preserve">C3m</t>
    </r>
  </si>
  <si>
    <t xml:space="preserve">A24</t>
  </si>
  <si>
    <r>
      <rPr>
        <sz val="11"/>
        <color theme="1"/>
        <rFont val="Calibri"/>
        <family val="2"/>
        <charset val="1"/>
      </rPr>
      <t xml:space="preserve">VR200 HBM </t>
    </r>
    <r>
      <rPr>
        <sz val="11"/>
        <color theme="1"/>
        <rFont val="Noto Sans CJK SC"/>
        <family val="2"/>
      </rPr>
      <t xml:space="preserve">頻寬</t>
    </r>
  </si>
  <si>
    <t xml:space="preserve">TB/s</t>
  </si>
  <si>
    <t xml:space="preserve">Spec_Rack!F26</t>
  </si>
  <si>
    <t xml:space="preserve">A25</t>
  </si>
  <si>
    <r>
      <rPr>
        <sz val="11"/>
        <color theme="1"/>
        <rFont val="Calibri"/>
        <family val="2"/>
        <charset val="1"/>
      </rPr>
      <t xml:space="preserve">VR200 ridge point</t>
    </r>
    <r>
      <rPr>
        <sz val="11"/>
        <color theme="1"/>
        <rFont val="Noto Sans CJK SC"/>
        <family val="2"/>
      </rPr>
      <t xml:space="preserve">（峰值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頻寬）</t>
    </r>
  </si>
  <si>
    <t xml:space="preserve">FLOP/byte</t>
  </si>
  <si>
    <t xml:space="preserve">Spec_Rack!F36</t>
  </si>
  <si>
    <t xml:space="preserve">1,591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</si>
  <si>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還原既有世代：模型實際產出比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『每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峰值算力比』＝有效效率因子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（同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段）</t>
    </r>
  </si>
  <si>
    <t xml:space="preserve">B_H_pf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</si>
  <si>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計算用峰值</t>
    </r>
  </si>
  <si>
    <t xml:space="preserve">Spec_Rack!C35,C9,C6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</si>
  <si>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（無 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），其餘 </t>
    </r>
    <r>
      <rPr>
        <sz val="11"/>
        <color theme="1"/>
        <rFont val="Calibri"/>
        <family val="2"/>
        <charset val="1"/>
      </rPr>
      <t xml:space="preserve">NVFP4</t>
    </r>
  </si>
  <si>
    <t xml:space="preserve">B_H_kw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</si>
  <si>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Noto Sans CJK SC"/>
        <family val="2"/>
      </rPr>
      <t xml:space="preserve">機架配電功率（基準）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</si>
  <si>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</si>
  <si>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B_H_n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</si>
  <si>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Noto Sans CJK SC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</t>
    </r>
  </si>
  <si>
    <t xml:space="preserve">B_H_kwg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</si>
  <si>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Noto Sans CJK SC"/>
        <family val="2"/>
      </rPr>
      <t xml:space="preserve">每顆所攤功率</t>
    </r>
  </si>
  <si>
    <t xml:space="preserve">B_H_r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</si>
  <si>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 </t>
    </r>
    <r>
      <rPr>
        <sz val="11"/>
        <color theme="1"/>
        <rFont val="Calibri"/>
        <family val="2"/>
        <charset val="1"/>
      </rPr>
      <t xml:space="preserve">÷ VR200</t>
    </r>
  </si>
  <si>
    <t xml:space="preserve">B_G2_pf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</si>
  <si>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計算用峰值</t>
    </r>
  </si>
  <si>
    <t xml:space="preserve">Spec_Rack!D35,D9,D6</t>
  </si>
  <si>
    <t xml:space="preserve">B_G2_kw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</si>
  <si>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機架配電功率（基準）</t>
    </r>
  </si>
  <si>
    <t xml:space="preserve">B_G2_n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</si>
  <si>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</t>
    </r>
  </si>
  <si>
    <t xml:space="preserve">B_G2_kwg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</si>
  <si>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每顆所攤功率</t>
    </r>
  </si>
  <si>
    <t xml:space="preserve">B_G2_r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</si>
  <si>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 </t>
    </r>
    <r>
      <rPr>
        <sz val="11"/>
        <color theme="1"/>
        <rFont val="Calibri"/>
        <family val="2"/>
        <charset val="1"/>
      </rPr>
      <t xml:space="preserve">÷ VR200</t>
    </r>
  </si>
  <si>
    <t xml:space="preserve">B_G3_pf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</si>
  <si>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計算用峰值</t>
    </r>
  </si>
  <si>
    <t xml:space="preserve">Spec_Rack!E35,E9,E6</t>
  </si>
  <si>
    <t xml:space="preserve">B_G3_kw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</si>
  <si>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機架配電功率（基準）</t>
    </r>
  </si>
  <si>
    <t xml:space="preserve">B_G3_n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</si>
  <si>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</t>
    </r>
  </si>
  <si>
    <t xml:space="preserve">B_G3_kwg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</si>
  <si>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每顆所攤功率</t>
    </r>
  </si>
  <si>
    <t xml:space="preserve">B_G3_r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</si>
  <si>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 </t>
    </r>
    <r>
      <rPr>
        <sz val="11"/>
        <color theme="1"/>
        <rFont val="Calibri"/>
        <family val="2"/>
        <charset val="1"/>
      </rPr>
      <t xml:space="preserve">÷ VR200</t>
    </r>
  </si>
  <si>
    <t xml:space="preserve">B_H_v</t>
  </si>
  <si>
    <r>
      <rPr>
        <sz val="11"/>
        <color theme="1"/>
        <rFont val="Calibri"/>
        <family val="2"/>
        <charset val="1"/>
      </rPr>
      <t xml:space="preserve">Hopper VR-eq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</si>
  <si>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Interface IF_VReq_Luna/Sol/Astra</t>
    </r>
    <r>
      <rPr>
        <sz val="11"/>
        <color theme="1"/>
        <rFont val="Noto Sans CJK SC"/>
        <family val="2"/>
      </rPr>
      <t xml:space="preserve">（列 </t>
    </r>
    <r>
      <rPr>
        <sz val="11"/>
        <color theme="1"/>
        <rFont val="Calibri"/>
        <family val="2"/>
        <charset val="1"/>
      </rPr>
      <t xml:space="preserve">22/32/42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</si>
  <si>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D/E/F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（此行不是低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基準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高）</t>
    </r>
  </si>
  <si>
    <t xml:space="preserve">B_H_vm</t>
  </si>
  <si>
    <r>
      <rPr>
        <sz val="11"/>
        <color theme="1"/>
        <rFont val="Calibri"/>
        <family val="2"/>
        <charset val="1"/>
      </rPr>
      <t xml:space="preserve">Hopper VR-eq </t>
    </r>
    <r>
      <rPr>
        <sz val="11"/>
        <color theme="1"/>
        <rFont val="Noto Sans CJK SC"/>
        <family val="2"/>
      </rPr>
      <t xml:space="preserve">三層平均</t>
    </r>
  </si>
  <si>
    <t xml:space="preserve">B_H_f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</si>
  <si>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</si>
  <si>
    <t xml:space="preserve">B_G2_v</t>
  </si>
  <si>
    <r>
      <rPr>
        <sz val="11"/>
        <color theme="1"/>
        <rFont val="Calibri"/>
        <family val="2"/>
        <charset val="1"/>
      </rPr>
      <t xml:space="preserve">GB200 VR-eq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）</t>
    </r>
  </si>
  <si>
    <t xml:space="preserve">B_G2_vm</t>
  </si>
  <si>
    <r>
      <rPr>
        <sz val="11"/>
        <color theme="1"/>
        <rFont val="Calibri"/>
        <family val="2"/>
        <charset val="1"/>
      </rPr>
      <t xml:space="preserve">GB200 VR-eq </t>
    </r>
    <r>
      <rPr>
        <sz val="11"/>
        <color theme="1"/>
        <rFont val="Noto Sans CJK SC"/>
        <family val="2"/>
      </rPr>
      <t xml:space="preserve">三層平均</t>
    </r>
  </si>
  <si>
    <t xml:space="preserve">B_G2_f</t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</si>
  <si>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</si>
  <si>
    <t xml:space="preserve">B_G3_v</t>
  </si>
  <si>
    <r>
      <rPr>
        <sz val="11"/>
        <color theme="1"/>
        <rFont val="Calibri"/>
        <family val="2"/>
        <charset val="1"/>
      </rPr>
      <t xml:space="preserve">GB300 VR-eq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）</t>
    </r>
  </si>
  <si>
    <t xml:space="preserve">B_G3_vm</t>
  </si>
  <si>
    <r>
      <rPr>
        <sz val="11"/>
        <color theme="1"/>
        <rFont val="Calibri"/>
        <family val="2"/>
        <charset val="1"/>
      </rPr>
      <t xml:space="preserve">GB300 VR-eq </t>
    </r>
    <r>
      <rPr>
        <sz val="11"/>
        <color theme="1"/>
        <rFont val="Noto Sans CJK SC"/>
        <family val="2"/>
      </rPr>
      <t xml:space="preserve">三層平均</t>
    </r>
  </si>
  <si>
    <t xml:space="preserve">B_G3_f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</si>
  <si>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</si>
  <si>
    <t xml:space="preserve">B_V_f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</si>
  <si>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（定義）</t>
    </r>
  </si>
  <si>
    <r>
      <rPr>
        <sz val="11"/>
        <color theme="1"/>
        <rFont val="Noto Sans CJK SC"/>
        <family val="2"/>
      </rPr>
      <t xml:space="preserve">定義（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產出比＝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峰值比＝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</si>
  <si>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B2. MLPerf Inference v6.1 </t>
    </r>
    <r>
      <rPr>
        <b val="true"/>
        <sz val="11"/>
        <rFont val="Noto Sans CJK SC"/>
        <family val="2"/>
      </rPr>
      <t xml:space="preserve">每顆吞吐（</t>
    </r>
    <r>
      <rPr>
        <b val="true"/>
        <sz val="11"/>
        <rFont val="Cambria"/>
        <family val="0"/>
        <charset val="1"/>
      </rPr>
      <t xml:space="preserve">tok/s/GPU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Closed</t>
    </r>
    <r>
      <rPr>
        <b val="true"/>
        <sz val="11"/>
        <rFont val="Noto Sans CJK SC"/>
        <family val="2"/>
      </rPr>
      <t xml:space="preserve">）→ </t>
    </r>
    <r>
      <rPr>
        <b val="true"/>
        <sz val="11"/>
        <rFont val="Cambria"/>
        <family val="0"/>
        <charset val="1"/>
      </rPr>
      <t xml:space="preserve">MI355X </t>
    </r>
    <r>
      <rPr>
        <b val="true"/>
        <sz val="11"/>
        <rFont val="Noto Sans CJK SC"/>
        <family val="2"/>
      </rPr>
      <t xml:space="preserve">每峰值效率 → 以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錨點還原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MI455X </t>
    </r>
    <r>
      <rPr>
        <b val="true"/>
        <sz val="11"/>
        <rFont val="Noto Sans CJK SC"/>
        <family val="2"/>
      </rPr>
      <t xml:space="preserve">未提交，</t>
    </r>
    <r>
      <rPr>
        <b val="true"/>
        <sz val="11"/>
        <rFont val="Cambria"/>
        <family val="0"/>
        <charset val="1"/>
      </rPr>
      <t xml:space="preserve">M13</t>
    </r>
    <r>
      <rPr>
        <b val="true"/>
        <sz val="11"/>
        <rFont val="Noto Sans CJK SC"/>
        <family val="2"/>
      </rPr>
      <t xml:space="preserve">）</t>
    </r>
  </si>
  <si>
    <t xml:space="preserve">M_pk</t>
  </si>
  <si>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峰值（</t>
    </r>
    <r>
      <rPr>
        <sz val="11"/>
        <color theme="1"/>
        <rFont val="Calibri"/>
        <family val="2"/>
        <charset val="1"/>
      </rPr>
      <t xml:space="preserve">MXFP4 dense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</si>
  <si>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MI355X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MXFP4 10,066 TF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M01 </t>
    </r>
    <r>
      <rPr>
        <sz val="11"/>
        <color theme="1"/>
        <rFont val="Noto Sans CJK SC"/>
        <family val="2"/>
      </rPr>
      <t xml:space="preserve">同一表格格式）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</si>
  <si>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</si>
  <si>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MLPerf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為主（</t>
    </r>
    <r>
      <rPr>
        <sz val="11"/>
        <color theme="1"/>
        <rFont val="Calibri"/>
        <family val="2"/>
        <charset val="1"/>
      </rPr>
      <t xml:space="preserve">M05</t>
    </r>
    <r>
      <rPr>
        <sz val="11"/>
        <color theme="1"/>
        <rFont val="Noto Sans CJK SC"/>
        <family val="2"/>
      </rPr>
      <t xml:space="preserve">）</t>
    </r>
  </si>
  <si>
    <t xml:space="preserve">M_bw</t>
  </si>
  <si>
    <r>
      <rPr>
        <sz val="11"/>
        <color theme="1"/>
        <rFont val="Calibri"/>
        <family val="2"/>
        <charset val="1"/>
      </rPr>
      <t xml:space="preserve">MI355X HBM </t>
    </r>
    <r>
      <rPr>
        <sz val="11"/>
        <color theme="1"/>
        <rFont val="Noto Sans CJK SC"/>
        <family val="2"/>
      </rPr>
      <t xml:space="preserve">頻寬</t>
    </r>
  </si>
  <si>
    <r>
      <rPr>
        <sz val="11"/>
        <color theme="1"/>
        <rFont val="Calibri"/>
        <family val="2"/>
        <charset val="1"/>
      </rPr>
      <t xml:space="preserve">AMD MI355X </t>
    </r>
    <r>
      <rPr>
        <sz val="11"/>
        <color theme="1"/>
        <rFont val="Noto Sans CJK SC"/>
        <family val="2"/>
      </rPr>
      <t xml:space="preserve">規格</t>
    </r>
  </si>
  <si>
    <t xml:space="preserve">M_DS_a</t>
  </si>
  <si>
    <r>
      <rPr>
        <sz val="11"/>
        <color theme="1"/>
        <rFont val="Calibri"/>
        <family val="2"/>
        <charset val="1"/>
      </rPr>
      <t xml:space="preserve">DeepSeek-R1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MI355X</t>
    </r>
  </si>
  <si>
    <t xml:space="preserve">tok/s/GPU</t>
  </si>
  <si>
    <t xml:space="preserve">M05</t>
  </si>
  <si>
    <r>
      <rPr>
        <sz val="11"/>
        <color theme="1"/>
        <rFont val="Noto Sans CJK SC"/>
        <family val="2"/>
      </rPr>
      <t xml:space="preserve">第三方實測（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Noto Sans CJK SC"/>
        <family val="2"/>
      </rPr>
      <t xml:space="preserve">）</t>
    </r>
  </si>
  <si>
    <t xml:space="preserve">M_DS_g2</t>
  </si>
  <si>
    <r>
      <rPr>
        <sz val="11"/>
        <color theme="1"/>
        <rFont val="Calibri"/>
        <family val="2"/>
        <charset val="1"/>
      </rPr>
      <t xml:space="preserve">DeepSeek-R1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</t>
    </r>
  </si>
  <si>
    <t xml:space="preserve">M_DS_g3</t>
  </si>
  <si>
    <r>
      <rPr>
        <sz val="11"/>
        <color theme="1"/>
        <rFont val="Calibri"/>
        <family val="2"/>
        <charset val="1"/>
      </rPr>
      <t xml:space="preserve">DeepSeek-R1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</si>
  <si>
    <t xml:space="preserve">M_DS_v</t>
  </si>
  <si>
    <r>
      <rPr>
        <sz val="11"/>
        <color theme="1"/>
        <rFont val="Calibri"/>
        <family val="2"/>
        <charset val="1"/>
      </rPr>
      <t xml:space="preserve">DeepSeek-R1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Preview</t>
    </r>
    <r>
      <rPr>
        <sz val="11"/>
        <color theme="1"/>
        <rFont val="Noto Sans CJK SC"/>
        <family val="2"/>
      </rPr>
      <t xml:space="preserve">）</t>
    </r>
  </si>
  <si>
    <t xml:space="preserve">M06</t>
  </si>
  <si>
    <r>
      <rPr>
        <sz val="11"/>
        <color theme="1"/>
        <rFont val="Noto Sans CJK SC"/>
        <family val="2"/>
      </rPr>
      <t xml:space="preserve">第三方實測（</t>
    </r>
    <r>
      <rPr>
        <sz val="11"/>
        <color theme="1"/>
        <rFont val="Calibri"/>
        <family val="2"/>
        <charset val="1"/>
      </rPr>
      <t xml:space="preserve">MLPerf Preview</t>
    </r>
    <r>
      <rPr>
        <sz val="11"/>
        <color theme="1"/>
        <rFont val="Noto Sans CJK SC"/>
        <family val="2"/>
      </rPr>
      <t xml:space="preserve">）</t>
    </r>
  </si>
  <si>
    <t xml:space="preserve">M_DS_f2</t>
  </si>
  <si>
    <r>
      <rPr>
        <sz val="11"/>
        <color theme="1"/>
        <rFont val="Calibri"/>
        <family val="2"/>
        <charset val="1"/>
      </rPr>
      <t xml:space="preserve">DeepSeek-R1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錨點）＝ </t>
    </r>
    <r>
      <rPr>
        <sz val="11"/>
        <color theme="1"/>
        <rFont val="Calibri"/>
        <family val="2"/>
        <charset val="1"/>
      </rPr>
      <t xml:space="preserve">f_GB200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MI355X÷</t>
    </r>
    <r>
      <rPr>
        <sz val="11"/>
        <color theme="1"/>
        <rFont val="Noto Sans CJK SC"/>
        <family val="2"/>
      </rPr>
      <t xml:space="preserve">峰值）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GB200÷</t>
    </r>
    <r>
      <rPr>
        <sz val="11"/>
        <color theme="1"/>
        <rFont val="Noto Sans CJK SC"/>
        <family val="2"/>
      </rPr>
      <t xml:space="preserve">峰值）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</si>
  <si>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Noto Sans CJK SC"/>
        <family val="2"/>
      </rPr>
      <t xml:space="preserve">）</t>
    </r>
  </si>
  <si>
    <t xml:space="preserve">M_DS_f3</t>
  </si>
  <si>
    <r>
      <rPr>
        <sz val="11"/>
        <color theme="1"/>
        <rFont val="Calibri"/>
        <family val="2"/>
        <charset val="1"/>
      </rPr>
      <t xml:space="preserve">DeepSeek-R1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錨點）</t>
    </r>
  </si>
  <si>
    <t xml:space="preserve">M_DS_fv</t>
  </si>
  <si>
    <r>
      <rPr>
        <sz val="11"/>
        <color theme="1"/>
        <rFont val="Calibri"/>
        <family val="2"/>
        <charset val="1"/>
      </rPr>
      <t xml:space="preserve">DeepSeek-R1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</si>
  <si>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MLPerf Preview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</si>
  <si>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Preview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GB300÷VR200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0.38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MLPerf 0.51</t>
    </r>
    <r>
      <rPr>
        <sz val="11"/>
        <color theme="1"/>
        <rFont val="Noto Sans CJK SC"/>
        <family val="2"/>
      </rPr>
      <t xml:space="preserve">，故此錨點偏高（</t>
    </r>
    <r>
      <rPr>
        <sz val="11"/>
        <color theme="1"/>
        <rFont val="Calibri"/>
        <family val="2"/>
        <charset val="1"/>
      </rPr>
      <t xml:space="preserve">M06</t>
    </r>
    <r>
      <rPr>
        <sz val="11"/>
        <color theme="1"/>
        <rFont val="Noto Sans CJK SC"/>
        <family val="2"/>
      </rPr>
      <t xml:space="preserve">）</t>
    </r>
  </si>
  <si>
    <t xml:space="preserve">M_GS_a</t>
  </si>
  <si>
    <r>
      <rPr>
        <sz val="11"/>
        <color theme="1"/>
        <rFont val="Calibri"/>
        <family val="2"/>
        <charset val="1"/>
      </rPr>
      <t xml:space="preserve">gpt-oss-120b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MI355X</t>
    </r>
  </si>
  <si>
    <t xml:space="preserve">M_GS_g2</t>
  </si>
  <si>
    <r>
      <rPr>
        <sz val="11"/>
        <color theme="1"/>
        <rFont val="Calibri"/>
        <family val="2"/>
        <charset val="1"/>
      </rPr>
      <t xml:space="preserve">gpt-oss-120b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</t>
    </r>
  </si>
  <si>
    <t xml:space="preserve">M_GS_g3</t>
  </si>
  <si>
    <r>
      <rPr>
        <sz val="11"/>
        <color theme="1"/>
        <rFont val="Calibri"/>
        <family val="2"/>
        <charset val="1"/>
      </rPr>
      <t xml:space="preserve">gpt-oss-120b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</si>
  <si>
    <t xml:space="preserve">M_GS_f2</t>
  </si>
  <si>
    <r>
      <rPr>
        <sz val="11"/>
        <color theme="1"/>
        <rFont val="Calibri"/>
        <family val="2"/>
        <charset val="1"/>
      </rPr>
      <t xml:space="preserve">gpt-oss-120b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錨點）＝ </t>
    </r>
    <r>
      <rPr>
        <sz val="11"/>
        <color theme="1"/>
        <rFont val="Calibri"/>
        <family val="2"/>
        <charset val="1"/>
      </rPr>
      <t xml:space="preserve">f_GB200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MI355X÷</t>
    </r>
    <r>
      <rPr>
        <sz val="11"/>
        <color theme="1"/>
        <rFont val="Noto Sans CJK SC"/>
        <family val="2"/>
      </rPr>
      <t xml:space="preserve">峰值）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GB200÷</t>
    </r>
    <r>
      <rPr>
        <sz val="11"/>
        <color theme="1"/>
        <rFont val="Noto Sans CJK SC"/>
        <family val="2"/>
      </rPr>
      <t xml:space="preserve">峰值）</t>
    </r>
  </si>
  <si>
    <t xml:space="preserve">M_GS_f3</t>
  </si>
  <si>
    <r>
      <rPr>
        <sz val="11"/>
        <color theme="1"/>
        <rFont val="Calibri"/>
        <family val="2"/>
        <charset val="1"/>
      </rPr>
      <t xml:space="preserve">gpt-oss-120b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錨點）</t>
    </r>
  </si>
  <si>
    <t xml:space="preserve">M_GO_a</t>
  </si>
  <si>
    <r>
      <rPr>
        <sz val="11"/>
        <color theme="1"/>
        <rFont val="Calibri"/>
        <family val="2"/>
        <charset val="1"/>
      </rPr>
      <t xml:space="preserve">gpt-oss-120b Offline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MI355X</t>
    </r>
  </si>
  <si>
    <t xml:space="preserve">M_GO_g2</t>
  </si>
  <si>
    <r>
      <rPr>
        <sz val="11"/>
        <color theme="1"/>
        <rFont val="Calibri"/>
        <family val="2"/>
        <charset val="1"/>
      </rPr>
      <t xml:space="preserve">gpt-oss-120b Offline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</t>
    </r>
  </si>
  <si>
    <t xml:space="preserve">M_GO_g3</t>
  </si>
  <si>
    <r>
      <rPr>
        <sz val="11"/>
        <color theme="1"/>
        <rFont val="Calibri"/>
        <family val="2"/>
        <charset val="1"/>
      </rPr>
      <t xml:space="preserve">gpt-oss-120b Offline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</si>
  <si>
    <t xml:space="preserve">M_GO_f2</t>
  </si>
  <si>
    <r>
      <rPr>
        <sz val="11"/>
        <color theme="1"/>
        <rFont val="Calibri"/>
        <family val="2"/>
        <charset val="1"/>
      </rPr>
      <t xml:space="preserve">gpt-oss-120b Offline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錨點）＝ </t>
    </r>
    <r>
      <rPr>
        <sz val="11"/>
        <color theme="1"/>
        <rFont val="Calibri"/>
        <family val="2"/>
        <charset val="1"/>
      </rPr>
      <t xml:space="preserve">f_GB200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MI355X÷</t>
    </r>
    <r>
      <rPr>
        <sz val="11"/>
        <color theme="1"/>
        <rFont val="Noto Sans CJK SC"/>
        <family val="2"/>
      </rPr>
      <t xml:space="preserve">峰值）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GB200÷</t>
    </r>
    <r>
      <rPr>
        <sz val="11"/>
        <color theme="1"/>
        <rFont val="Noto Sans CJK SC"/>
        <family val="2"/>
      </rPr>
      <t xml:space="preserve">峰值）</t>
    </r>
  </si>
  <si>
    <t xml:space="preserve">M_GO_f3</t>
  </si>
  <si>
    <r>
      <rPr>
        <sz val="11"/>
        <color theme="1"/>
        <rFont val="Calibri"/>
        <family val="2"/>
        <charset val="1"/>
      </rPr>
      <t xml:space="preserve">gpt-oss-120b Offline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錨點）</t>
    </r>
  </si>
  <si>
    <t xml:space="preserve">M_LS_a</t>
  </si>
  <si>
    <r>
      <rPr>
        <sz val="11"/>
        <color theme="1"/>
        <rFont val="Calibri"/>
        <family val="2"/>
        <charset val="1"/>
      </rPr>
      <t xml:space="preserve">Llama2-70b-99.9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MI355X</t>
    </r>
  </si>
  <si>
    <t xml:space="preserve">M_LS_g2</t>
  </si>
  <si>
    <r>
      <rPr>
        <sz val="11"/>
        <color theme="1"/>
        <rFont val="Calibri"/>
        <family val="2"/>
        <charset val="1"/>
      </rPr>
      <t xml:space="preserve">Llama2-70b-99.9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</t>
    </r>
  </si>
  <si>
    <t xml:space="preserve">M_LS_g3</t>
  </si>
  <si>
    <r>
      <rPr>
        <sz val="11"/>
        <color theme="1"/>
        <rFont val="Calibri"/>
        <family val="2"/>
        <charset val="1"/>
      </rPr>
      <t xml:space="preserve">Llama2-70b-99.9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</si>
  <si>
    <t xml:space="preserve">M_LS_f2</t>
  </si>
  <si>
    <r>
      <rPr>
        <sz val="11"/>
        <color theme="1"/>
        <rFont val="Calibri"/>
        <family val="2"/>
        <charset val="1"/>
      </rPr>
      <t xml:space="preserve">Llama2-70b-99.9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錨點）＝ </t>
    </r>
    <r>
      <rPr>
        <sz val="11"/>
        <color theme="1"/>
        <rFont val="Calibri"/>
        <family val="2"/>
        <charset val="1"/>
      </rPr>
      <t xml:space="preserve">f_GB200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MI355X÷</t>
    </r>
    <r>
      <rPr>
        <sz val="11"/>
        <color theme="1"/>
        <rFont val="Noto Sans CJK SC"/>
        <family val="2"/>
      </rPr>
      <t xml:space="preserve">峰值）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GB200÷</t>
    </r>
    <r>
      <rPr>
        <sz val="11"/>
        <color theme="1"/>
        <rFont val="Noto Sans CJK SC"/>
        <family val="2"/>
      </rPr>
      <t xml:space="preserve">峰值）</t>
    </r>
  </si>
  <si>
    <t xml:space="preserve">M_LS_f3</t>
  </si>
  <si>
    <r>
      <rPr>
        <sz val="11"/>
        <color theme="1"/>
        <rFont val="Calibri"/>
        <family val="2"/>
        <charset val="1"/>
      </rPr>
      <t xml:space="preserve">Llama2-70b-99.9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錨點）</t>
    </r>
  </si>
  <si>
    <t xml:space="preserve">M_DSavg</t>
  </si>
  <si>
    <r>
      <rPr>
        <sz val="11"/>
        <color theme="1"/>
        <rFont val="Calibri"/>
        <family val="2"/>
        <charset val="1"/>
      </rPr>
      <t xml:space="preserve">DeepSeek-R1 </t>
    </r>
    <r>
      <rPr>
        <sz val="11"/>
        <color theme="1"/>
        <rFont val="Noto Sans CJK SC"/>
        <family val="2"/>
      </rPr>
      <t xml:space="preserve">三錨點平均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</si>
  <si>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最像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前沿負載（大型 </t>
    </r>
    <r>
      <rPr>
        <sz val="11"/>
        <color theme="1"/>
        <rFont val="Calibri"/>
        <family val="2"/>
        <charset val="1"/>
      </rPr>
      <t xml:space="preserve">MoE </t>
    </r>
    <r>
      <rPr>
        <sz val="11"/>
        <color theme="1"/>
        <rFont val="Noto Sans CJK SC"/>
        <family val="2"/>
      </rPr>
      <t xml:space="preserve">推理）</t>
    </r>
  </si>
  <si>
    <t xml:space="preserve">M_G23avg</t>
  </si>
  <si>
    <r>
      <rPr>
        <sz val="11"/>
        <color theme="1"/>
        <rFont val="Calibri"/>
        <family val="2"/>
        <charset val="1"/>
      </rPr>
      <t xml:space="preserve">DeepSeek-R1 </t>
    </r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兩錨點平均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</si>
  <si>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：排除已知偏高的 </t>
    </r>
    <r>
      <rPr>
        <sz val="11"/>
        <color theme="1"/>
        <rFont val="Calibri"/>
        <family val="2"/>
        <charset val="1"/>
      </rPr>
      <t xml:space="preserve">VR200 Preview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替代）</t>
    </r>
  </si>
  <si>
    <t xml:space="preserve">M_ALLavg</t>
  </si>
  <si>
    <r>
      <rPr>
        <sz val="11"/>
        <color theme="1"/>
        <rFont val="Noto Sans CJK SC"/>
        <family val="2"/>
      </rPr>
      <t xml:space="preserve">全部九個還原值平均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</si>
  <si>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含較小模型（</t>
    </r>
    <r>
      <rPr>
        <sz val="11"/>
        <color theme="1"/>
        <rFont val="Calibri"/>
        <family val="2"/>
        <charset val="1"/>
      </rPr>
      <t xml:space="preserve">gpt-oss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Llama2-70b</t>
    </r>
    <r>
      <rPr>
        <sz val="11"/>
        <color theme="1"/>
        <rFont val="Noto Sans CJK SC"/>
        <family val="2"/>
      </rPr>
      <t xml:space="preserve">），只作敏感度</t>
    </r>
  </si>
  <si>
    <t xml:space="preserve">M_rg</t>
  </si>
  <si>
    <t xml:space="preserve">MI355X ridge point</t>
  </si>
  <si>
    <t xml:space="preserve">1,258</t>
  </si>
  <si>
    <t xml:space="preserve">M_rgG2</t>
  </si>
  <si>
    <t xml:space="preserve">GB200 ridge point</t>
  </si>
  <si>
    <t xml:space="preserve">Spec_Rack!D36</t>
  </si>
  <si>
    <t xml:space="preserve">M_rgG3</t>
  </si>
  <si>
    <t xml:space="preserve">GB300 ridge point</t>
  </si>
  <si>
    <t xml:space="preserve">Spec_Rack!E36</t>
  </si>
  <si>
    <t xml:space="preserve">M_e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</si>
  <si>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ridge </t>
    </r>
    <r>
      <rPr>
        <sz val="11"/>
        <color theme="1"/>
        <rFont val="Noto Sans CJK SC"/>
        <family val="2"/>
      </rPr>
      <t xml:space="preserve">的彈性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GB200→GB300 </t>
    </r>
    <r>
      <rPr>
        <sz val="11"/>
        <color theme="1"/>
        <rFont val="Noto Sans CJK SC"/>
        <family val="2"/>
      </rPr>
      <t xml:space="preserve">類比）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</si>
  <si>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</si>
  <si>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f ∝ ridge^(−e)</t>
    </r>
    <r>
      <rPr>
        <sz val="11"/>
        <color theme="1"/>
        <rFont val="Noto Sans CJK SC"/>
        <family val="2"/>
      </rPr>
      <t xml:space="preserve">；旁證：以此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推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（實際定義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</si>
  <si>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AMD Instinct MI455X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Helios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運算托盤 </t>
    </r>
    <r>
      <rPr>
        <b val="true"/>
        <sz val="11"/>
        <rFont val="Cambria"/>
        <family val="0"/>
        <charset val="1"/>
      </rPr>
      <t xml:space="preserve">× 4 </t>
    </r>
    <r>
      <rPr>
        <b val="true"/>
        <sz val="11"/>
        <rFont val="Noto Sans CJK SC"/>
        <family val="2"/>
      </rPr>
      <t xml:space="preserve">＝ </t>
    </r>
    <r>
      <rPr>
        <b val="true"/>
        <sz val="11"/>
        <rFont val="Cambria"/>
        <family val="0"/>
        <charset val="1"/>
      </rPr>
      <t xml:space="preserve">72 </t>
    </r>
    <r>
      <rPr>
        <b val="true"/>
        <sz val="11"/>
        <rFont val="Noto Sans CJK SC"/>
        <family val="2"/>
      </rPr>
      <t xml:space="preserve">顆；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交換托盤）</t>
    </r>
  </si>
  <si>
    <t xml:space="preserve">C1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</si>
  <si>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MXFP4 dense </t>
    </r>
    <r>
      <rPr>
        <sz val="11"/>
        <color theme="1"/>
        <rFont val="Noto Sans CJK SC"/>
        <family val="2"/>
      </rPr>
      <t xml:space="preserve">峰值</t>
    </r>
  </si>
  <si>
    <r>
      <rPr>
        <sz val="11"/>
        <color theme="1"/>
        <rFont val="Calibri"/>
        <family val="2"/>
        <charset val="1"/>
      </rPr>
      <t xml:space="preserve">M01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資料表）</t>
    </r>
  </si>
  <si>
    <r>
      <rPr>
        <sz val="11"/>
        <color theme="1"/>
        <rFont val="Noto Sans CJK SC"/>
        <family val="2"/>
      </rPr>
      <t xml:space="preserve">有原生 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VR200 NVFP4 </t>
    </r>
    <r>
      <rPr>
        <sz val="11"/>
        <color theme="1"/>
        <rFont val="Noto Sans CJK SC"/>
        <family val="2"/>
      </rPr>
      <t xml:space="preserve">同為最高原生精度</t>
    </r>
  </si>
  <si>
    <t xml:space="preserve">C2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</si>
  <si>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FP8 dense </t>
    </r>
    <r>
      <rPr>
        <sz val="11"/>
        <color theme="1"/>
        <rFont val="Noto Sans CJK SC"/>
        <family val="2"/>
      </rPr>
      <t xml:space="preserve">峰值</t>
    </r>
  </si>
  <si>
    <t xml:space="preserve">M01</t>
  </si>
  <si>
    <r>
      <rPr>
        <sz val="11"/>
        <color theme="1"/>
        <rFont val="Calibri"/>
        <family val="2"/>
        <charset val="1"/>
      </rPr>
      <t xml:space="preserve">FP4:FP8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2:1</t>
    </r>
  </si>
  <si>
    <t xml:space="preserve">C2b</t>
  </si>
  <si>
    <r>
      <rPr>
        <sz val="11"/>
        <color theme="1"/>
        <rFont val="Calibri"/>
        <family val="2"/>
        <charset val="1"/>
      </rPr>
      <t xml:space="preserve">MI455X HBM </t>
    </r>
    <r>
      <rPr>
        <sz val="11"/>
        <color theme="1"/>
        <rFont val="Noto Sans CJK SC"/>
        <family val="2"/>
      </rPr>
      <t xml:space="preserve">頻寬</t>
    </r>
  </si>
  <si>
    <t xml:space="preserve">C3</t>
  </si>
  <si>
    <r>
      <rPr>
        <sz val="11"/>
        <color theme="1"/>
        <rFont val="Noto Sans CJK SC"/>
        <family val="2"/>
      </rPr>
      <t xml:space="preserve">每顆最大 </t>
    </r>
    <r>
      <rPr>
        <sz val="11"/>
        <color theme="1"/>
        <rFont val="Calibri"/>
        <family val="2"/>
        <charset val="1"/>
      </rPr>
      <t xml:space="preserve">TBP</t>
    </r>
  </si>
  <si>
    <r>
      <rPr>
        <sz val="11"/>
        <color theme="1"/>
        <rFont val="Calibri"/>
        <family val="2"/>
        <charset val="1"/>
      </rPr>
      <t xml:space="preserve">M02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maximum TBP of 2500W</t>
    </r>
    <r>
      <rPr>
        <sz val="11"/>
        <color theme="1"/>
        <rFont val="Noto Sans CJK SC"/>
        <family val="2"/>
      </rPr>
      <t xml:space="preserve">』）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</si>
  <si>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本人說）</t>
    </r>
  </si>
  <si>
    <r>
      <rPr>
        <sz val="11"/>
        <color theme="1"/>
        <rFont val="Noto Sans CJK SC"/>
        <family val="2"/>
      </rPr>
      <t xml:space="preserve">旁證：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傳聞 </t>
    </r>
    <r>
      <rPr>
        <sz val="11"/>
        <color theme="1"/>
        <rFont val="Calibri"/>
        <family val="2"/>
        <charset val="1"/>
      </rPr>
      <t xml:space="preserve">2,300→2,500 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M02 </t>
    </r>
    <r>
      <rPr>
        <sz val="11"/>
        <color theme="1"/>
        <rFont val="Noto Sans CJK SC"/>
        <family val="2"/>
      </rPr>
      <t xml:space="preserve">備註）</t>
    </r>
  </si>
  <si>
    <t xml:space="preserve">C4</t>
  </si>
  <si>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機架功率</t>
    </r>
  </si>
  <si>
    <r>
      <rPr>
        <sz val="11"/>
        <color theme="1"/>
        <rFont val="Calibri"/>
        <family val="2"/>
        <charset val="1"/>
      </rPr>
      <t xml:space="preserve">M03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數字經媒體：依負載 </t>
    </r>
    <r>
      <rPr>
        <sz val="11"/>
        <color theme="1"/>
        <rFont val="Calibri"/>
        <family val="2"/>
        <charset val="1"/>
      </rPr>
      <t xml:space="preserve">225–245 kW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245 </t>
    </r>
    <r>
      <rPr>
        <sz val="11"/>
        <color theme="1"/>
        <rFont val="Noto Sans CJK SC"/>
        <family val="2"/>
      </rPr>
      <t xml:space="preserve">亦為散熱上限）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</si>
  <si>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（區間）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</si>
  <si>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＝與 </t>
    </r>
    <r>
      <rPr>
        <sz val="11"/>
        <color theme="1"/>
        <rFont val="Calibri"/>
        <family val="2"/>
        <charset val="1"/>
      </rPr>
      <t xml:space="preserve">VR200 227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Max-P </t>
    </r>
    <r>
      <rPr>
        <sz val="11"/>
        <color theme="1"/>
        <rFont val="Noto Sans CJK SC"/>
        <family val="2"/>
      </rPr>
      <t xml:space="preserve">設計功率）同口徑的上限；高端產出 </t>
    </r>
    <r>
      <rPr>
        <sz val="11"/>
        <color theme="1"/>
        <rFont val="Calibri"/>
        <family val="2"/>
        <charset val="1"/>
      </rPr>
      <t xml:space="preserve">225</t>
    </r>
    <r>
      <rPr>
        <sz val="11"/>
        <color theme="1"/>
        <rFont val="Noto Sans CJK SC"/>
        <family val="2"/>
      </rPr>
      <t xml:space="preserve">＝輕負載（口徑偏樂觀）</t>
    </r>
  </si>
  <si>
    <t xml:space="preserve">C4n</t>
  </si>
  <si>
    <t xml:space="preserve">每機架晶片數</t>
  </si>
  <si>
    <r>
      <rPr>
        <sz val="11"/>
        <color theme="1"/>
        <rFont val="Calibri"/>
        <family val="2"/>
        <charset val="1"/>
      </rPr>
      <t xml:space="preserve">M01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M04</t>
    </r>
  </si>
  <si>
    <t xml:space="preserve">C3m</t>
  </si>
  <si>
    <r>
      <rPr>
        <sz val="11"/>
        <color theme="1"/>
        <rFont val="Noto Sans CJK SC"/>
        <family val="2"/>
      </rPr>
      <t xml:space="preserve">旁證：機架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TBP </t>
    </r>
    <r>
      <rPr>
        <sz val="11"/>
        <color theme="1"/>
        <rFont val="Noto Sans CJK SC"/>
        <family val="2"/>
      </rPr>
      <t xml:space="preserve">總和</t>
    </r>
  </si>
  <si>
    <r>
      <rPr>
        <sz val="11"/>
        <color theme="1"/>
        <rFont val="Calibri"/>
        <family val="2"/>
        <charset val="1"/>
      </rPr>
      <t xml:space="preserve">1.36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TK GB300 1.35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1.75</t>
    </r>
  </si>
  <si>
    <t xml:space="preserve">C5</t>
  </si>
  <si>
    <t xml:space="preserve">每顆所攤機架功率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</si>
  <si>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3.153</t>
    </r>
  </si>
  <si>
    <t xml:space="preserve">C6</t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</si>
  <si>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最高原生精度：每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峰值算力（</t>
    </r>
    <r>
      <rPr>
        <sz val="11"/>
        <color theme="1"/>
        <rFont val="Calibri"/>
        <family val="2"/>
        <charset val="1"/>
      </rPr>
      <t xml:space="preserve">MXFP4</t>
    </r>
    <r>
      <rPr>
        <sz val="11"/>
        <color theme="1"/>
        <rFont val="Noto Sans CJK SC"/>
        <family val="2"/>
      </rPr>
      <t xml:space="preserve">）</t>
    </r>
  </si>
  <si>
    <t xml:space="preserve">C6r</t>
  </si>
  <si>
    <r>
      <rPr>
        <sz val="11"/>
        <color theme="1"/>
        <rFont val="Calibri"/>
        <family val="2"/>
        <charset val="1"/>
      </rPr>
      <t xml:space="preserve">(a) ÷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峰值算力（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）</t>
    </r>
  </si>
  <si>
    <t xml:space="preserve">C6r8</t>
  </si>
  <si>
    <r>
      <rPr>
        <sz val="11"/>
        <color theme="1"/>
        <rFont val="Calibri"/>
        <family val="2"/>
        <charset val="1"/>
      </rPr>
      <t xml:space="preserve">(b) FP8 </t>
    </r>
    <r>
      <rPr>
        <sz val="11"/>
        <color theme="1"/>
        <rFont val="Noto Sans CJK SC"/>
        <family val="2"/>
      </rPr>
      <t xml:space="preserve">對齊：每 </t>
    </r>
    <r>
      <rPr>
        <sz val="11"/>
        <color theme="1"/>
        <rFont val="Calibri"/>
        <family val="2"/>
        <charset val="1"/>
      </rPr>
      <t xml:space="preserve">kW FP8 </t>
    </r>
    <r>
      <rPr>
        <sz val="11"/>
        <color theme="1"/>
        <rFont val="Noto Sans CJK SC"/>
        <family val="2"/>
      </rPr>
      <t xml:space="preserve">峰值 </t>
    </r>
    <r>
      <rPr>
        <sz val="11"/>
        <color theme="1"/>
        <rFont val="Calibri"/>
        <family val="2"/>
        <charset val="1"/>
      </rPr>
      <t xml:space="preserve">÷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FP8 </t>
    </r>
    <r>
      <rPr>
        <sz val="11"/>
        <color theme="1"/>
        <rFont val="Noto Sans CJK SC"/>
        <family val="2"/>
      </rPr>
      <t xml:space="preserve">峰值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</si>
  <si>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相同（兩者 </t>
    </r>
    <r>
      <rPr>
        <sz val="11"/>
        <color theme="1"/>
        <rFont val="Calibri"/>
        <family val="2"/>
        <charset val="1"/>
      </rPr>
      <t xml:space="preserve">FP4:FP8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2:1</t>
    </r>
    <r>
      <rPr>
        <sz val="11"/>
        <color theme="1"/>
        <rFont val="Noto Sans CJK SC"/>
        <family val="2"/>
      </rPr>
      <t xml:space="preserve">）</t>
    </r>
  </si>
  <si>
    <t xml:space="preserve">C7rg</t>
  </si>
  <si>
    <t xml:space="preserve">MI455X ridge point</t>
  </si>
  <si>
    <r>
      <rPr>
        <sz val="11"/>
        <color theme="1"/>
        <rFont val="Calibri"/>
        <family val="2"/>
        <charset val="1"/>
      </rPr>
      <t xml:space="preserve">1,728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1,591</t>
    </r>
    <r>
      <rPr>
        <sz val="11"/>
        <color theme="1"/>
        <rFont val="Noto Sans CJK SC"/>
        <family val="2"/>
      </rPr>
      <t xml:space="preserve">）</t>
    </r>
  </si>
  <si>
    <t xml:space="preserve">C7t</t>
  </si>
  <si>
    <r>
      <rPr>
        <sz val="11"/>
        <color theme="1"/>
        <rFont val="Calibri"/>
        <family val="2"/>
        <charset val="1"/>
      </rPr>
      <t xml:space="preserve">MI355X→MI455X </t>
    </r>
    <r>
      <rPr>
        <sz val="11"/>
        <color theme="1"/>
        <rFont val="Noto Sans CJK SC"/>
        <family val="2"/>
      </rPr>
      <t xml:space="preserve">轉換係數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MI455X ridge ÷ MI355X ridge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^(−e)</t>
    </r>
  </si>
  <si>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算力增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倍、頻寬增 </t>
    </r>
    <r>
      <rPr>
        <sz val="11"/>
        <color theme="1"/>
        <rFont val="Calibri"/>
        <family val="2"/>
        <charset val="1"/>
      </rPr>
      <t xml:space="preserve">2.9 </t>
    </r>
    <r>
      <rPr>
        <sz val="11"/>
        <color theme="1"/>
        <rFont val="Noto Sans CJK SC"/>
        <family val="2"/>
      </rPr>
      <t xml:space="preserve">倍，每峰值效率預期下降</t>
    </r>
  </si>
  <si>
    <t xml:space="preserve">C7c</t>
  </si>
  <si>
    <r>
      <rPr>
        <sz val="11"/>
        <color theme="1"/>
        <rFont val="Noto Sans CJK SC"/>
        <family val="2"/>
      </rPr>
      <t xml:space="preserve">佐證：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自述 </t>
    </r>
    <r>
      <rPr>
        <sz val="11"/>
        <color theme="1"/>
        <rFont val="Calibri"/>
        <family val="2"/>
        <charset val="1"/>
      </rPr>
      <t xml:space="preserve">Kimi K2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+15% </t>
    </r>
    <r>
      <rPr>
        <sz val="11"/>
        <color theme="1"/>
        <rFont val="Noto Sans CJK SC"/>
        <family val="2"/>
      </rPr>
      <t xml:space="preserve">換算的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＝ 比值 </t>
    </r>
    <r>
      <rPr>
        <sz val="11"/>
        <color theme="1"/>
        <rFont val="Calibri"/>
        <family val="2"/>
        <charset val="1"/>
      </rPr>
      <t xml:space="preserve">× A1 ÷ C1</t>
    </r>
  </si>
  <si>
    <t xml:space="preserve">M07</t>
  </si>
  <si>
    <r>
      <rPr>
        <sz val="11"/>
        <color theme="1"/>
        <rFont val="Noto Sans CJK SC"/>
        <family val="2"/>
      </rPr>
      <t xml:space="preserve">不進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，只作高端佐證</t>
    </r>
  </si>
  <si>
    <t xml:space="preserve">C7</t>
  </si>
  <si>
    <r>
      <rPr>
        <sz val="11"/>
        <color theme="1"/>
        <rFont val="Noto Sans CJK SC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</si>
  <si>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MLPerf DeepSeek-R1 GB300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t</t>
    </r>
    <r>
      <rPr>
        <sz val="11"/>
        <color theme="1"/>
        <rFont val="Noto Sans CJK SC"/>
        <family val="2"/>
      </rPr>
      <t xml:space="preserve">；基準＝三錨點平均 </t>
    </r>
    <r>
      <rPr>
        <sz val="11"/>
        <color theme="1"/>
        <rFont val="Calibri"/>
        <family val="2"/>
        <charset val="1"/>
      </rPr>
      <t xml:space="preserve">× t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錨點不打折（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自述 </t>
    </r>
    <r>
      <rPr>
        <sz val="11"/>
        <color theme="1"/>
        <rFont val="Calibri"/>
        <family val="2"/>
        <charset val="1"/>
      </rPr>
      <t xml:space="preserve">C7c 0.96–1.00 </t>
    </r>
    <r>
      <rPr>
        <sz val="11"/>
        <color theme="1"/>
        <rFont val="Noto Sans CJK SC"/>
        <family val="2"/>
      </rPr>
      <t xml:space="preserve">佐證）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</si>
  <si>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（區間；依據 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Noto Sans CJK SC"/>
        <family val="2"/>
      </rPr>
      <t xml:space="preserve">，轉換為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</si>
  <si>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SemiAnalysis InferenceX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M08</t>
    </r>
    <r>
      <rPr>
        <sz val="11"/>
        <color theme="1"/>
        <rFont val="Noto Sans CJK SC"/>
        <family val="2"/>
      </rPr>
      <t xml:space="preserve">）只作佐證，不進本列</t>
    </r>
  </si>
  <si>
    <t xml:space="preserve">C8</t>
  </si>
  <si>
    <r>
      <rPr>
        <sz val="11"/>
        <color theme="1"/>
        <rFont val="Calibri"/>
        <family val="2"/>
        <charset val="1"/>
      </rPr>
      <t xml:space="preserve">(a) MI455X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產出比（原始）＝ </t>
    </r>
    <r>
      <rPr>
        <sz val="11"/>
        <color theme="1"/>
        <rFont val="Calibri"/>
        <family val="2"/>
        <charset val="1"/>
      </rPr>
      <t xml:space="preserve">C6r × C7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</si>
  <si>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</si>
  <si>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持有成本比（每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設備價推導，同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段）</t>
    </r>
  </si>
  <si>
    <t xml:space="preserve">D7a</t>
  </si>
  <si>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同源比值 </t>
    </r>
    <r>
      <rPr>
        <sz val="11"/>
        <color theme="1"/>
        <rFont val="Calibri"/>
        <family val="2"/>
        <charset val="1"/>
      </rPr>
      <t xml:space="preserve">Helios ÷ 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5.0/4.0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5.25/3.75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5.5/3.5</t>
    </r>
    <r>
      <rPr>
        <sz val="11"/>
        <color theme="1"/>
        <rFont val="Noto Sans CJK SC"/>
        <family val="2"/>
      </rPr>
      <t xml:space="preserve">）</t>
    </r>
  </si>
  <si>
    <t xml:space="preserve">M09</t>
  </si>
  <si>
    <t xml:space="preserve">第三方估計</t>
  </si>
  <si>
    <t xml:space="preserve">同一來源相除，口徑差抵銷</t>
  </si>
  <si>
    <t xml:space="preserve">D9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</si>
  <si>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自述隱含 </t>
    </r>
    <r>
      <rPr>
        <sz val="11"/>
        <color theme="1"/>
        <rFont val="Calibri"/>
        <family val="2"/>
        <charset val="1"/>
      </rPr>
      <t xml:space="preserve">Helios ÷ VR200 </t>
    </r>
    <r>
      <rPr>
        <sz val="11"/>
        <color theme="1"/>
        <rFont val="Noto Sans CJK SC"/>
        <family val="2"/>
      </rPr>
      <t xml:space="preserve">每架價（每顆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+12.5%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+15% ÷ </t>
    </r>
    <r>
      <rPr>
        <sz val="11"/>
        <color theme="1"/>
        <rFont val="Noto Sans CJK SC"/>
        <family val="2"/>
      </rPr>
      <t xml:space="preserve">每美元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</si>
  <si>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假設的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價未揭露；比值乘 </t>
    </r>
    <r>
      <rPr>
        <sz val="11"/>
        <color theme="1"/>
        <rFont val="Calibri"/>
        <family val="2"/>
        <charset val="1"/>
      </rPr>
      <t xml:space="preserve">TK $8.4M</t>
    </r>
  </si>
  <si>
    <t xml:space="preserve">D1abs</t>
  </si>
  <si>
    <r>
      <rPr>
        <sz val="11"/>
        <color theme="1"/>
        <rFont val="Noto Sans CJK SC"/>
        <family val="2"/>
      </rPr>
      <t xml:space="preserve">分析師絕對價（</t>
    </r>
    <r>
      <rPr>
        <sz val="11"/>
        <color theme="1"/>
        <rFont val="Calibri"/>
        <family val="2"/>
        <charset val="1"/>
      </rPr>
      <t xml:space="preserve">CLSA $5.0M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$5.25M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上緣 </t>
    </r>
    <r>
      <rPr>
        <sz val="11"/>
        <color theme="1"/>
        <rFont val="Calibri"/>
        <family val="2"/>
        <charset val="1"/>
      </rPr>
      <t xml:space="preserve">$5.5M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</si>
  <si>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M09</t>
    </r>
  </si>
  <si>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：與 </t>
    </r>
    <r>
      <rPr>
        <sz val="11"/>
        <color theme="1"/>
        <rFont val="Calibri"/>
        <family val="2"/>
        <charset val="1"/>
      </rPr>
      <t xml:space="preserve">TK $8.4M</t>
    </r>
    <r>
      <rPr>
        <sz val="11"/>
        <color theme="1"/>
        <rFont val="Noto Sans CJK SC"/>
        <family val="2"/>
      </rPr>
      <t xml:space="preserve">（買方取得價，</t>
    </r>
    <r>
      <rPr>
        <sz val="11"/>
        <color theme="1"/>
        <rFont val="Calibri"/>
        <family val="2"/>
        <charset val="1"/>
      </rPr>
      <t xml:space="preserve">MS BOM×1.075</t>
    </r>
    <r>
      <rPr>
        <sz val="11"/>
        <color theme="1"/>
        <rFont val="Noto Sans CJK SC"/>
        <family val="2"/>
      </rPr>
      <t xml:space="preserve">）口徑不同；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同源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只 </t>
    </r>
    <r>
      <rPr>
        <sz val="11"/>
        <color theme="1"/>
        <rFont val="Calibri"/>
        <family val="2"/>
        <charset val="1"/>
      </rPr>
      <t xml:space="preserve">$3.5–4M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口徑的 </t>
    </r>
    <r>
      <rPr>
        <sz val="11"/>
        <color theme="1"/>
        <rFont val="Calibri"/>
        <family val="2"/>
        <charset val="1"/>
      </rPr>
      <t xml:space="preserve">0.42–0.48</t>
    </r>
    <r>
      <rPr>
        <sz val="11"/>
        <color theme="1"/>
        <rFont val="Noto Sans CJK SC"/>
        <family val="2"/>
      </rPr>
      <t xml:space="preserve">）</t>
    </r>
  </si>
  <si>
    <t xml:space="preserve">D2</t>
  </si>
  <si>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每架取得價（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買方取得價口徑）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</si>
  <si>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絕對價 </t>
    </r>
    <r>
      <rPr>
        <sz val="11"/>
        <color theme="1"/>
        <rFont val="Calibri"/>
        <family val="2"/>
        <charset val="1"/>
      </rPr>
      <t xml:space="preserve">$5.25M</t>
    </r>
    <r>
      <rPr>
        <sz val="11"/>
        <color theme="1"/>
        <rFont val="Noto Sans CJK SC"/>
        <family val="2"/>
      </rPr>
      <t xml:space="preserve">（口徑混用、下界）；基準＝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自述隱含比 </t>
    </r>
    <r>
      <rPr>
        <sz val="11"/>
        <color theme="1"/>
        <rFont val="Calibri"/>
        <family val="2"/>
        <charset val="1"/>
      </rPr>
      <t xml:space="preserve">0.865 × TK $8.4M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同源比值 </t>
    </r>
    <r>
      <rPr>
        <sz val="11"/>
        <color theme="1"/>
        <rFont val="Calibri"/>
        <family val="2"/>
        <charset val="1"/>
      </rPr>
      <t xml:space="preserve">1.25 × TK $8.4M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</si>
  <si>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／第三方估計（區間）</t>
    </r>
  </si>
  <si>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決定）：</t>
    </r>
    <r>
      <rPr>
        <sz val="11"/>
        <color theme="1"/>
        <rFont val="Calibri"/>
        <family val="2"/>
        <charset val="1"/>
      </rPr>
      <t xml:space="preserve">r0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8.4M</t>
    </r>
    <r>
      <rPr>
        <sz val="11"/>
        <color theme="1"/>
        <rFont val="Noto Sans CJK SC"/>
        <family val="2"/>
      </rPr>
      <t xml:space="preserve">（絕對價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價，口徑混用）</t>
    </r>
  </si>
  <si>
    <t xml:space="preserve">D3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</si>
  <si>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機架數（以基準功率）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</si>
  <si>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4,052</t>
    </r>
  </si>
  <si>
    <t xml:space="preserve">D4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</si>
  <si>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設備資本支出</t>
    </r>
  </si>
  <si>
    <r>
      <rPr>
        <sz val="11"/>
        <color theme="1"/>
        <rFont val="Noto Sans CJK SC"/>
        <family val="2"/>
      </rPr>
      <t xml:space="preserve">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同一網路加成</t>
    </r>
  </si>
  <si>
    <t xml:space="preserve">D5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</si>
  <si>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</si>
  <si>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t xml:space="preserve">D6</t>
  </si>
  <si>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持有成本比（原始）</t>
    </r>
  </si>
  <si>
    <t xml:space="preserve">D7</t>
  </si>
  <si>
    <r>
      <rPr>
        <sz val="11"/>
        <color theme="1"/>
        <rFont val="Noto Sans CJK SC"/>
        <family val="2"/>
      </rPr>
      <t xml:space="preserve">替代：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同源比值全區間 </t>
    </r>
    <r>
      <rPr>
        <sz val="11"/>
        <color theme="1"/>
        <rFont val="Calibri"/>
        <family val="2"/>
        <charset val="1"/>
      </rPr>
      <t xml:space="preserve">× TK $8.4M → </t>
    </r>
    <r>
      <rPr>
        <sz val="11"/>
        <color theme="1"/>
        <rFont val="Noto Sans CJK SC"/>
        <family val="2"/>
      </rPr>
      <t xml:space="preserve">持有比</t>
    </r>
  </si>
  <si>
    <r>
      <rPr>
        <sz val="11"/>
        <color theme="1"/>
        <rFont val="Noto Sans CJK SC"/>
        <family val="2"/>
      </rPr>
      <t xml:space="preserve">不進建議值（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替代）</t>
    </r>
  </si>
  <si>
    <t xml:space="preserve">D10</t>
  </si>
  <si>
    <r>
      <rPr>
        <sz val="11"/>
        <color theme="1"/>
        <rFont val="Noto Sans CJK SC"/>
        <family val="2"/>
      </rPr>
      <t xml:space="preserve">替代：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自述隱含比全區間 </t>
    </r>
    <r>
      <rPr>
        <sz val="11"/>
        <color theme="1"/>
        <rFont val="Calibri"/>
        <family val="2"/>
        <charset val="1"/>
      </rPr>
      <t xml:space="preserve">× $8.4M → </t>
    </r>
    <r>
      <rPr>
        <sz val="11"/>
        <color theme="1"/>
        <rFont val="Noto Sans CJK SC"/>
        <family val="2"/>
      </rPr>
      <t xml:space="preserve">持有比</t>
    </r>
  </si>
  <si>
    <t xml:space="preserve">不進建議值</t>
  </si>
  <si>
    <t xml:space="preserve">D11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</si>
  <si>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r0 </t>
    </r>
    <r>
      <rPr>
        <sz val="11"/>
        <color theme="1"/>
        <rFont val="Noto Sans CJK SC"/>
        <family val="2"/>
      </rPr>
      <t xml:space="preserve">口徑——分析師絕對價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價 → 持有比</t>
    </r>
  </si>
  <si>
    <r>
      <rPr>
        <sz val="11"/>
        <color theme="1"/>
        <rFont val="Noto Sans CJK SC"/>
        <family val="2"/>
      </rPr>
      <t xml:space="preserve">口徑混用，只作下界對照（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替代）</t>
    </r>
  </si>
  <si>
    <t xml:space="preserve">D12</t>
  </si>
  <si>
    <r>
      <rPr>
        <sz val="11"/>
        <color theme="1"/>
        <rFont val="Noto Sans CJK SC"/>
        <family val="2"/>
      </rPr>
      <t xml:space="preserve">旁證：</t>
    </r>
    <r>
      <rPr>
        <sz val="11"/>
        <color theme="1"/>
        <rFont val="Calibri"/>
        <family val="2"/>
        <charset val="1"/>
      </rPr>
      <t xml:space="preserve">Helios ÷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</si>
  <si>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StorageReview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 TB vs 20.7 TB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Spec_Rack!F14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BOM </t>
    </r>
    <r>
      <rPr>
        <sz val="11"/>
        <color theme="1"/>
        <rFont val="Noto Sans CJK SC"/>
        <family val="2"/>
      </rPr>
      <t xml:space="preserve">以記憶體為最大項，自購記憶體 </t>
    </r>
    <r>
      <rPr>
        <sz val="11"/>
        <color theme="1"/>
        <rFont val="Calibri"/>
        <family val="2"/>
        <charset val="1"/>
      </rPr>
      <t xml:space="preserve">$6.7M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</si>
  <si>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反向證據：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推理不支持 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明顯較便宜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</si>
  <si>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精度口徑 </t>
    </r>
    <r>
      <rPr>
        <b val="true"/>
        <sz val="11"/>
        <rFont val="Cambria"/>
        <family val="0"/>
        <charset val="1"/>
      </rPr>
      <t xml:space="preserve">(b)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FP8 </t>
    </r>
    <r>
      <rPr>
        <b val="true"/>
        <sz val="11"/>
        <rFont val="Noto Sans CJK SC"/>
        <family val="2"/>
      </rPr>
      <t xml:space="preserve">對齊（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也以 </t>
    </r>
    <r>
      <rPr>
        <b val="true"/>
        <sz val="11"/>
        <rFont val="Cambria"/>
        <family val="0"/>
        <charset val="1"/>
      </rPr>
      <t xml:space="preserve">FP8 </t>
    </r>
    <r>
      <rPr>
        <b val="true"/>
        <sz val="11"/>
        <rFont val="Noto Sans CJK SC"/>
        <family val="2"/>
      </rPr>
      <t xml:space="preserve">計）</t>
    </r>
  </si>
  <si>
    <t xml:space="preserve">E1</t>
  </si>
  <si>
    <r>
      <rPr>
        <sz val="11"/>
        <color theme="1"/>
        <rFont val="Calibri"/>
        <family val="2"/>
        <charset val="1"/>
      </rPr>
      <t xml:space="preserve">(b) MI455X </t>
    </r>
    <r>
      <rPr>
        <sz val="11"/>
        <color theme="1"/>
        <rFont val="Noto Sans CJK SC"/>
        <family val="2"/>
      </rPr>
      <t xml:space="preserve">產出比 ＝ </t>
    </r>
    <r>
      <rPr>
        <sz val="11"/>
        <color theme="1"/>
        <rFont val="Calibri"/>
        <family val="2"/>
        <charset val="1"/>
      </rPr>
      <t xml:space="preserve">C6r8 × C7</t>
    </r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</si>
  <si>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MLPerf </t>
    </r>
    <r>
      <rPr>
        <sz val="11"/>
        <color theme="1"/>
        <rFont val="Noto Sans CJK SC"/>
        <family val="2"/>
      </rPr>
      <t xml:space="preserve">還原時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已以 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服務；兩晶片 </t>
    </r>
    <r>
      <rPr>
        <sz val="11"/>
        <color theme="1"/>
        <rFont val="Calibri"/>
        <family val="2"/>
        <charset val="1"/>
      </rPr>
      <t xml:space="preserve">FP4:FP8 </t>
    </r>
    <r>
      <rPr>
        <sz val="11"/>
        <color theme="1"/>
        <rFont val="Noto Sans CJK SC"/>
        <family val="2"/>
      </rPr>
      <t xml:space="preserve">同比例，比值不變）</t>
    </r>
  </si>
  <si>
    <t xml:space="preserve">E2</t>
  </si>
  <si>
    <r>
      <rPr>
        <sz val="11"/>
        <color theme="1"/>
        <rFont val="Calibri"/>
        <family val="2"/>
        <charset val="1"/>
      </rPr>
      <t xml:space="preserve">(a) − (b) </t>
    </r>
    <r>
      <rPr>
        <sz val="11"/>
        <color theme="1"/>
        <rFont val="Noto Sans CJK SC"/>
        <family val="2"/>
      </rPr>
      <t xml:space="preserve">差</t>
    </r>
  </si>
  <si>
    <t xml:space="preserve">≈0</t>
  </si>
  <si>
    <t xml:space="preserve">E3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</si>
  <si>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改高情境 </t>
    </r>
    <r>
      <rPr>
        <sz val="11"/>
        <color theme="1"/>
        <rFont val="Calibri"/>
        <family val="2"/>
        <charset val="1"/>
      </rPr>
      <t xml:space="preserve">50 PF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Spec_Rack!F24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產出比</t>
    </r>
  </si>
  <si>
    <r>
      <rPr>
        <sz val="11"/>
        <color theme="1"/>
        <rFont val="Noto Sans CJK SC"/>
        <family val="2"/>
      </rPr>
      <t xml:space="preserve">只作對照（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推論壓縮口徑）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</si>
  <si>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敏感度（一次動一個參數，其餘取基準；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＝參數低值對應結果，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＝高值）</t>
    </r>
  </si>
  <si>
    <t xml:space="preserve">F1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</si>
  <si>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取 低／基準／高（功率取基準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）</t>
    </r>
  </si>
  <si>
    <t xml:space="preserve">產出比</t>
  </si>
  <si>
    <t xml:space="preserve">F2</t>
  </si>
  <si>
    <r>
      <rPr>
        <sz val="11"/>
        <color theme="1"/>
        <rFont val="Noto Sans CJK SC"/>
        <family val="2"/>
      </rPr>
      <t xml:space="preserve">機架功率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取基準）</t>
    </r>
  </si>
  <si>
    <t xml:space="preserve">M03</t>
  </si>
  <si>
    <t xml:space="preserve">F3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</si>
  <si>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不乘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保有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每峰值效率）：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三錨點平均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</si>
  <si>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替代 </t>
    </r>
    <r>
      <rPr>
        <sz val="11"/>
        <color theme="1"/>
        <rFont val="Calibri"/>
        <family val="2"/>
        <charset val="1"/>
      </rPr>
      <t xml:space="preserve">a</t>
    </r>
  </si>
  <si>
    <t xml:space="preserve">F4</t>
  </si>
  <si>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＝全部九個還原值平均 </t>
    </r>
    <r>
      <rPr>
        <sz val="11"/>
        <color theme="1"/>
        <rFont val="Calibri"/>
        <family val="2"/>
        <charset val="1"/>
      </rPr>
      <t xml:space="preserve">× t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</si>
  <si>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替代 </t>
    </r>
    <r>
      <rPr>
        <sz val="11"/>
        <color theme="1"/>
        <rFont val="Calibri"/>
        <family val="2"/>
        <charset val="1"/>
      </rPr>
      <t xml:space="preserve">b</t>
    </r>
  </si>
  <si>
    <t xml:space="preserve">F8</t>
  </si>
  <si>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DS-R1 </t>
    </r>
    <r>
      <rPr>
        <sz val="11"/>
        <color theme="1"/>
        <rFont val="Noto Sans CJK SC"/>
        <family val="2"/>
      </rPr>
      <t xml:space="preserve">兩錨點（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× t</t>
    </r>
  </si>
  <si>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新增；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替代</t>
    </r>
  </si>
  <si>
    <t xml:space="preserve">F5</t>
  </si>
  <si>
    <r>
      <rPr>
        <sz val="11"/>
        <color theme="1"/>
        <rFont val="Noto Sans CJK SC"/>
        <family val="2"/>
      </rPr>
      <t xml:space="preserve">低端再扣首代機架級風險 </t>
    </r>
    <r>
      <rPr>
        <sz val="11"/>
        <color theme="1"/>
        <rFont val="Calibri"/>
        <family val="2"/>
        <charset val="1"/>
      </rPr>
      <t xml:space="preserve">× 0.8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</si>
  <si>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替代 </t>
    </r>
    <r>
      <rPr>
        <sz val="11"/>
        <color theme="1"/>
        <rFont val="Calibri"/>
        <family val="2"/>
        <charset val="1"/>
      </rPr>
      <t xml:space="preserve">c</t>
    </r>
  </si>
  <si>
    <t xml:space="preserve">F6</t>
  </si>
  <si>
    <r>
      <rPr>
        <sz val="11"/>
        <color theme="1"/>
        <rFont val="Noto Sans CJK SC"/>
        <family val="2"/>
      </rPr>
      <t xml:space="preserve">每架價格 </t>
    </r>
    <r>
      <rPr>
        <sz val="11"/>
        <color theme="1"/>
        <rFont val="Calibri"/>
        <family val="2"/>
        <charset val="1"/>
      </rPr>
      <t xml:space="preserve">$5.25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7.27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10.5M</t>
    </r>
    <r>
      <rPr>
        <sz val="11"/>
        <color theme="1"/>
        <rFont val="Noto Sans CJK SC"/>
        <family val="2"/>
      </rPr>
      <t xml:space="preserve">（功率取基準）</t>
    </r>
  </si>
  <si>
    <t xml:space="preserve">持有比</t>
  </si>
  <si>
    <t xml:space="preserve">F7</t>
  </si>
  <si>
    <r>
      <rPr>
        <sz val="11"/>
        <color theme="1"/>
        <rFont val="Noto Sans CJK SC"/>
        <family val="2"/>
      </rPr>
      <t xml:space="preserve">機架功率對持有比：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225 kW</t>
    </r>
    <r>
      <rPr>
        <sz val="11"/>
        <color theme="1"/>
        <rFont val="Noto Sans CJK SC"/>
        <family val="2"/>
      </rPr>
      <t xml:space="preserve">（價格取基準）</t>
    </r>
  </si>
  <si>
    <r>
      <rPr>
        <sz val="11"/>
        <color theme="1"/>
        <rFont val="Noto Sans CJK SC"/>
        <family val="2"/>
      </rPr>
      <t xml:space="preserve">功率↓→每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架數↑→資本支出↑</t>
    </r>
  </si>
  <si>
    <t xml:space="preserve">主張</t>
  </si>
  <si>
    <t xml:space="preserve">數值</t>
  </si>
  <si>
    <t xml:space="preserve">口徑</t>
  </si>
  <si>
    <t xml:space="preserve">出處網址</t>
  </si>
  <si>
    <t xml:space="preserve">來源等級</t>
  </si>
  <si>
    <t xml:space="preserve">立場</t>
  </si>
  <si>
    <t xml:space="preserve">取得方式與備註</t>
  </si>
  <si>
    <t xml:space="preserve">用於</t>
  </si>
  <si>
    <r>
      <rPr>
        <sz val="11"/>
        <color theme="1"/>
        <rFont val="Calibri"/>
        <family val="2"/>
        <charset val="1"/>
      </rPr>
      <t xml:space="preserve">AMD MI455X </t>
    </r>
    <r>
      <rPr>
        <sz val="11"/>
        <color theme="1"/>
        <rFont val="Noto Sans CJK SC"/>
        <family val="2"/>
      </rPr>
      <t xml:space="preserve">資料表：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峰值 </t>
    </r>
    <r>
      <rPr>
        <sz val="11"/>
        <color theme="1"/>
        <rFont val="Calibri"/>
        <family val="2"/>
        <charset val="1"/>
      </rPr>
      <t xml:space="preserve">40,265 TF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MXFP8 20,133 TF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FP16 5,033 TF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432 GB HBM4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23.3 TB/s</t>
    </r>
    <r>
      <rPr>
        <sz val="11"/>
        <color theme="1"/>
        <rFont val="Noto Sans CJK SC"/>
        <family val="2"/>
      </rPr>
      <t xml:space="preserve">；液冷 </t>
    </r>
    <r>
      <rPr>
        <sz val="11"/>
        <color theme="1"/>
        <rFont val="Calibri"/>
        <family val="2"/>
        <charset val="1"/>
      </rPr>
      <t xml:space="preserve">EAM</t>
    </r>
    <r>
      <rPr>
        <sz val="11"/>
        <color theme="1"/>
        <rFont val="Noto Sans CJK SC"/>
        <family val="2"/>
      </rPr>
      <t xml:space="preserve">；『</t>
    </r>
    <r>
      <rPr>
        <sz val="11"/>
        <color theme="1"/>
        <rFont val="Calibri"/>
        <family val="2"/>
        <charset val="1"/>
      </rPr>
      <t xml:space="preserve">designed to be deployed in the AMD Helios rackscale solution with 72 GPUs per rack</t>
    </r>
    <r>
      <rPr>
        <sz val="11"/>
        <color theme="1"/>
        <rFont val="Noto Sans CJK SC"/>
        <family val="2"/>
      </rPr>
      <t xml:space="preserve">』、每托盤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托盤</t>
    </r>
  </si>
  <si>
    <r>
      <rPr>
        <sz val="11"/>
        <color theme="1"/>
        <rFont val="Calibri"/>
        <family val="2"/>
        <charset val="1"/>
      </rPr>
      <t xml:space="preserve">40,265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20,133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23.3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72</t>
    </r>
  </si>
  <si>
    <r>
      <rPr>
        <sz val="11"/>
        <color theme="1"/>
        <rFont val="Calibri"/>
        <family val="2"/>
        <charset val="1"/>
      </rPr>
      <t xml:space="preserve">TF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TB/s</t>
    </r>
    <r>
      <rPr>
        <sz val="11"/>
        <color theme="1"/>
        <rFont val="Noto Sans CJK SC"/>
        <family val="2"/>
      </rPr>
      <t xml:space="preserve">；顆／架</t>
    </r>
  </si>
  <si>
    <r>
      <rPr>
        <sz val="11"/>
        <color theme="1"/>
        <rFont val="Noto Sans CJK SC"/>
        <family val="2"/>
      </rPr>
      <t xml:space="preserve">單顆峰值；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：表有結構化稀疏欄，但 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未列稀疏值，故 </t>
    </r>
    <r>
      <rPr>
        <sz val="11"/>
        <color theme="1"/>
        <rFont val="Calibri"/>
        <family val="2"/>
        <charset val="1"/>
      </rPr>
      <t xml:space="preserve">40,265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ServeTheHome</t>
    </r>
    <r>
      <rPr>
        <sz val="11"/>
        <color theme="1"/>
        <rFont val="Noto Sans CJK SC"/>
        <family val="2"/>
      </rPr>
      <t xml:space="preserve">（『</t>
    </r>
    <r>
      <rPr>
        <sz val="11"/>
        <color theme="1"/>
        <rFont val="Calibri"/>
        <family val="2"/>
        <charset val="1"/>
      </rPr>
      <t xml:space="preserve">40 PFLOPS of dense FP4</t>
    </r>
    <r>
      <rPr>
        <sz val="11"/>
        <color theme="1"/>
        <rFont val="Noto Sans CJK SC"/>
        <family val="2"/>
      </rPr>
      <t xml:space="preserve">』）、</t>
    </r>
    <r>
      <rPr>
        <sz val="11"/>
        <color theme="1"/>
        <rFont val="Calibri"/>
        <family val="2"/>
        <charset val="1"/>
      </rPr>
      <t xml:space="preserve">Flopper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Dense 40,265</t>
    </r>
    <r>
      <rPr>
        <sz val="11"/>
        <color theme="1"/>
        <rFont val="Noto Sans CJK SC"/>
        <family val="2"/>
      </rPr>
      <t xml:space="preserve">、『</t>
    </r>
    <r>
      <rPr>
        <sz val="11"/>
        <color theme="1"/>
        <rFont val="Calibri"/>
        <family val="2"/>
        <charset val="1"/>
      </rPr>
      <t xml:space="preserve">vendor publishes no sparse figure</t>
    </r>
    <r>
      <rPr>
        <sz val="11"/>
        <color theme="1"/>
        <rFont val="Noto Sans CJK SC"/>
        <family val="2"/>
      </rPr>
      <t xml:space="preserve">』）與 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簡介註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（『</t>
    </r>
    <r>
      <rPr>
        <sz val="11"/>
        <color theme="1"/>
        <rFont val="Calibri"/>
        <family val="2"/>
        <charset val="1"/>
      </rPr>
      <t xml:space="preserve">MXFP4 dense Matrix datatype</t>
    </r>
    <r>
      <rPr>
        <sz val="11"/>
        <color theme="1"/>
        <rFont val="Noto Sans CJK SC"/>
        <family val="2"/>
      </rPr>
      <t xml:space="preserve">』）皆指 </t>
    </r>
    <r>
      <rPr>
        <sz val="11"/>
        <color theme="1"/>
        <rFont val="Calibri"/>
        <family val="2"/>
        <charset val="1"/>
      </rPr>
      <t xml:space="preserve">dense</t>
    </r>
  </si>
  <si>
    <r>
      <rPr>
        <sz val="11"/>
        <color theme="1"/>
        <rFont val="Calibri"/>
        <family val="2"/>
        <charset val="1"/>
      </rPr>
      <t xml:space="preserve">https://www.amd.com/content/dam/amd/en/documents/products/accelerators/instinct/amd-instinct-mi455x_brochure.pdf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https://flopper.io/gpu/amd-instinct-mi455x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https://www.servethehome.com/amd-instinct-mi455x-deep-dive-cdna-5-marks-the-next-era-of-instinct/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</si>
  <si>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資料表，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3</t>
    </r>
  </si>
  <si>
    <t xml:space="preserve">支持</t>
  </si>
  <si>
    <r>
      <rPr>
        <sz val="11"/>
        <color theme="1"/>
        <rFont val="Noto Sans CJK SC"/>
        <family val="2"/>
      </rPr>
      <t xml:space="preserve">全文（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表格文字錯置，數值以 </t>
    </r>
    <r>
      <rPr>
        <sz val="11"/>
        <color theme="1"/>
        <rFont val="Calibri"/>
        <family val="2"/>
        <charset val="1"/>
      </rPr>
      <t xml:space="preserve">Flopper </t>
    </r>
    <r>
      <rPr>
        <sz val="11"/>
        <color theme="1"/>
        <rFont val="Noto Sans CJK SC"/>
        <family val="2"/>
      </rPr>
      <t xml:space="preserve">引同一資料表與 </t>
    </r>
    <r>
      <rPr>
        <sz val="11"/>
        <color theme="1"/>
        <rFont val="Calibri"/>
        <family val="2"/>
        <charset val="1"/>
      </rPr>
      <t xml:space="preserve">STH </t>
    </r>
    <r>
      <rPr>
        <sz val="11"/>
        <color theme="1"/>
        <rFont val="Noto Sans CJK SC"/>
        <family val="2"/>
      </rPr>
      <t xml:space="preserve">核對）。</t>
    </r>
    <r>
      <rPr>
        <sz val="11"/>
        <color theme="1"/>
        <rFont val="Calibri"/>
        <family val="2"/>
        <charset val="1"/>
      </rPr>
      <t xml:space="preserve">FP4:FP8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2:1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35:17.5</t>
    </r>
    <r>
      <rPr>
        <sz val="11"/>
        <color theme="1"/>
        <rFont val="Noto Sans CJK SC"/>
        <family val="2"/>
      </rPr>
      <t xml:space="preserve">）同比例，所以兩種精度口徑的每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峰值比相同（推導 </t>
    </r>
    <r>
      <rPr>
        <sz val="11"/>
        <color theme="1"/>
        <rFont val="Calibri"/>
        <family val="2"/>
        <charset val="1"/>
      </rPr>
      <t xml:space="preserve">C5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C6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</si>
  <si>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C2</t>
    </r>
  </si>
  <si>
    <t xml:space="preserve">M02</t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</si>
  <si>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Helios 5 reasons why</t>
    </r>
    <r>
      <rPr>
        <sz val="11"/>
        <color theme="1"/>
        <rFont val="Noto Sans CJK SC"/>
        <family val="2"/>
      </rPr>
      <t xml:space="preserve">』：</t>
    </r>
    <r>
      <rPr>
        <sz val="11"/>
        <color theme="1"/>
        <rFont val="Calibri"/>
        <family val="2"/>
        <charset val="1"/>
      </rPr>
      <t xml:space="preserve">MI455X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with a maximum TBP of 2500W in liquid-cooled EAM form factor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峰值比 </t>
    </r>
    <r>
      <rPr>
        <sz val="11"/>
        <color theme="1"/>
        <rFont val="Calibri"/>
        <family val="2"/>
        <charset val="1"/>
      </rPr>
      <t xml:space="preserve">NVIDIA Vera Rubin GPU </t>
    </r>
    <r>
      <rPr>
        <sz val="11"/>
        <color theme="1"/>
        <rFont val="Noto Sans CJK SC"/>
        <family val="2"/>
      </rPr>
      <t xml:space="preserve">高『</t>
    </r>
    <r>
      <rPr>
        <sz val="11"/>
        <color theme="1"/>
        <rFont val="Calibri"/>
        <family val="2"/>
        <charset val="1"/>
      </rPr>
      <t xml:space="preserve">1.15X</t>
    </r>
    <r>
      <rPr>
        <sz val="11"/>
        <color theme="1"/>
        <rFont val="Noto Sans CJK SC"/>
        <family val="2"/>
      </rPr>
      <t xml:space="preserve">』、</t>
    </r>
    <r>
      <rPr>
        <sz val="11"/>
        <color theme="1"/>
        <rFont val="Calibri"/>
        <family val="2"/>
        <charset val="1"/>
      </rPr>
      <t xml:space="preserve">FP16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1.26X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1.5X</t>
    </r>
  </si>
  <si>
    <r>
      <rPr>
        <sz val="11"/>
        <color theme="1"/>
        <rFont val="Calibri"/>
        <family val="2"/>
        <charset val="1"/>
      </rPr>
      <t xml:space="preserve">2,500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1.15</t>
    </r>
  </si>
  <si>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</t>
    </r>
  </si>
  <si>
    <r>
      <rPr>
        <sz val="11"/>
        <color theme="1"/>
        <rFont val="Noto Sans CJK SC"/>
        <family val="2"/>
      </rPr>
      <t xml:space="preserve">單顆最大 </t>
    </r>
    <r>
      <rPr>
        <sz val="11"/>
        <color theme="1"/>
        <rFont val="Calibri"/>
        <family val="2"/>
        <charset val="1"/>
      </rPr>
      <t xml:space="preserve">TBP</t>
    </r>
    <r>
      <rPr>
        <sz val="11"/>
        <color theme="1"/>
        <rFont val="Noto Sans CJK SC"/>
        <family val="2"/>
      </rPr>
      <t xml:space="preserve">（板卡功率上限）；峰值為理論值</t>
    </r>
  </si>
  <si>
    <t xml:space="preserve">https://www.amd.com/content/dam/amd/en/documents/products/rackscale-solutions/amd-helios-instinct-mi455X-5-reasons-why.pdf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</si>
  <si>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官方文件）</t>
    </r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</si>
  <si>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1.15X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40.265÷35</t>
    </r>
    <r>
      <rPr>
        <sz val="11"/>
        <color theme="1"/>
        <rFont val="Noto Sans CJK SC"/>
        <family val="2"/>
      </rPr>
      <t xml:space="preserve">，表示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自己拿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 PF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dense NVFP4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TK Spec_Rack!F23 </t>
    </r>
    <r>
      <rPr>
        <sz val="11"/>
        <color theme="1"/>
        <rFont val="Noto Sans CJK SC"/>
        <family val="2"/>
      </rPr>
      <t xml:space="preserve">同）作比較基準。旁證：</t>
    </r>
    <r>
      <rPr>
        <sz val="11"/>
        <color theme="1"/>
        <rFont val="Calibri"/>
        <family val="2"/>
        <charset val="1"/>
      </rPr>
      <t xml:space="preserve">SemiAnalysis X </t>
    </r>
    <r>
      <rPr>
        <sz val="11"/>
        <color theme="1"/>
        <rFont val="Noto Sans CJK SC"/>
        <family val="2"/>
      </rPr>
      <t xml:space="preserve">貼文（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Wccftech </t>
    </r>
    <r>
      <rPr>
        <sz val="11"/>
        <color theme="1"/>
        <rFont val="Noto Sans CJK SC"/>
        <family val="2"/>
      </rPr>
      <t xml:space="preserve">轉述）稱 </t>
    </r>
    <r>
      <rPr>
        <sz val="11"/>
        <color theme="1"/>
        <rFont val="Calibri"/>
        <family val="2"/>
        <charset val="1"/>
      </rPr>
      <t xml:space="preserve">MI450X TGP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2,300 W </t>
    </r>
    <r>
      <rPr>
        <sz val="11"/>
        <color theme="1"/>
        <rFont val="Noto Sans CJK SC"/>
        <family val="2"/>
      </rPr>
      <t xml:space="preserve">調高至 </t>
    </r>
    <r>
      <rPr>
        <sz val="11"/>
        <color theme="1"/>
        <rFont val="Calibri"/>
        <family val="2"/>
        <charset val="1"/>
      </rPr>
      <t xml:space="preserve">2,500 W</t>
    </r>
    <r>
      <rPr>
        <sz val="11"/>
        <color theme="1"/>
        <rFont val="Noto Sans CJK SC"/>
        <family val="2"/>
      </rPr>
      <t xml:space="preserve">（傳聞，只作佐證）；</t>
    </r>
    <r>
      <rPr>
        <sz val="11"/>
        <color theme="1"/>
        <rFont val="Calibri"/>
        <family val="2"/>
        <charset val="1"/>
      </rPr>
      <t xml:space="preserve">ServeTheHome 2026-08-12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thought to be somewhere north of 2 kW</t>
    </r>
    <r>
      <rPr>
        <sz val="11"/>
        <color theme="1"/>
        <rFont val="Noto Sans CJK SC"/>
        <family val="2"/>
      </rPr>
      <t xml:space="preserve">』（記者推測）。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衝突註記：同一篇 </t>
    </r>
    <r>
      <rPr>
        <sz val="11"/>
        <color theme="1"/>
        <rFont val="Calibri"/>
        <family val="2"/>
        <charset val="1"/>
      </rPr>
      <t xml:space="preserve">STH </t>
    </r>
    <r>
      <rPr>
        <sz val="11"/>
        <color theme="1"/>
        <rFont val="Noto Sans CJK SC"/>
        <family val="2"/>
      </rPr>
      <t xml:space="preserve">寫『</t>
    </r>
    <r>
      <rPr>
        <sz val="11"/>
        <color theme="1"/>
        <rFont val="Calibri"/>
        <family val="2"/>
        <charset val="1"/>
      </rPr>
      <t xml:space="preserve">AMD has not even disclosed the power consumption of MI455X</t>
    </r>
    <r>
      <rPr>
        <sz val="11"/>
        <color theme="1"/>
        <rFont val="Noto Sans CJK SC"/>
        <family val="2"/>
      </rPr>
      <t xml:space="preserve">』，與 </t>
    </r>
    <r>
      <rPr>
        <sz val="11"/>
        <color theme="1"/>
        <rFont val="Calibri"/>
        <family val="2"/>
        <charset val="1"/>
      </rPr>
      <t xml:space="preserve">AMD 2026-07 </t>
    </r>
    <r>
      <rPr>
        <sz val="11"/>
        <color theme="1"/>
        <rFont val="Noto Sans CJK SC"/>
        <family val="2"/>
      </rPr>
      <t xml:space="preserve">本文件的 </t>
    </r>
    <r>
      <rPr>
        <sz val="11"/>
        <color theme="1"/>
        <rFont val="Calibri"/>
        <family val="2"/>
        <charset val="1"/>
      </rPr>
      <t xml:space="preserve">2,500 W </t>
    </r>
    <r>
      <rPr>
        <sz val="11"/>
        <color theme="1"/>
        <rFont val="Noto Sans CJK SC"/>
        <family val="2"/>
      </rPr>
      <t xml:space="preserve">衝突，以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原文為準。</t>
    </r>
  </si>
  <si>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C3m</t>
    </r>
  </si>
  <si>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機架功率：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）『</t>
    </r>
    <r>
      <rPr>
        <sz val="11"/>
        <color theme="1"/>
        <rFont val="Calibri"/>
        <family val="2"/>
        <charset val="1"/>
      </rPr>
      <t xml:space="preserve">under load can deliver between 225 and 245 kW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2026-07-24</t>
    </r>
    <r>
      <rPr>
        <sz val="11"/>
        <color theme="1"/>
        <rFont val="Noto Sans CJK SC"/>
        <family val="2"/>
      </rPr>
      <t xml:space="preserve">）『</t>
    </r>
    <r>
      <rPr>
        <sz val="11"/>
        <color theme="1"/>
        <rFont val="Calibri"/>
        <family val="2"/>
        <charset val="1"/>
      </rPr>
      <t xml:space="preserve">Official documentation states that the full rack power consumption ranges from 225kW to 245kW, depending on workloads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StorageReview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）『</t>
    </r>
    <r>
      <rPr>
        <sz val="11"/>
        <color theme="1"/>
        <rFont val="Calibri"/>
        <family val="2"/>
        <charset val="1"/>
      </rPr>
      <t xml:space="preserve">The whole rack draws 225 to 245kW depending on workload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ServeTheHome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）『</t>
    </r>
    <r>
      <rPr>
        <sz val="11"/>
        <color theme="1"/>
        <rFont val="Calibri"/>
        <family val="2"/>
        <charset val="1"/>
      </rPr>
      <t xml:space="preserve">According to AMD, the system requires a coolant flow rate of 385 liters per minute</t>
    </r>
    <r>
      <rPr>
        <sz val="11"/>
        <color theme="1"/>
        <rFont val="Noto Sans CJK SC"/>
        <family val="2"/>
      </rPr>
      <t xml:space="preserve">』以移除『</t>
    </r>
    <r>
      <rPr>
        <sz val="11"/>
        <color theme="1"/>
        <rFont val="Calibri"/>
        <family val="2"/>
        <charset val="1"/>
      </rPr>
      <t xml:space="preserve">up to 245kW of heat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ServeTheHome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）『</t>
    </r>
    <r>
      <rPr>
        <sz val="11"/>
        <color theme="1"/>
        <rFont val="Calibri"/>
        <family val="2"/>
        <charset val="1"/>
      </rPr>
      <t xml:space="preserve">a Helios rack consuming upwards of 245 kW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補：</t>
    </r>
    <r>
      <rPr>
        <sz val="11"/>
        <color theme="1"/>
        <rFont val="Calibri"/>
        <family val="2"/>
        <charset val="1"/>
      </rPr>
      <t xml:space="preserve">Schneider Electric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共同 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參考設計（</t>
    </r>
    <r>
      <rPr>
        <sz val="11"/>
        <color theme="1"/>
        <rFont val="Calibri"/>
        <family val="2"/>
        <charset val="1"/>
      </rPr>
      <t xml:space="preserve">2026-07-23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Fierce 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Taiwan News</t>
    </r>
    <r>
      <rPr>
        <sz val="11"/>
        <color theme="1"/>
        <rFont val="Noto Sans CJK SC"/>
        <family val="2"/>
      </rPr>
      <t xml:space="preserve">）『</t>
    </r>
    <r>
      <rPr>
        <sz val="11"/>
        <color theme="1"/>
        <rFont val="Calibri"/>
        <family val="2"/>
        <charset val="1"/>
      </rPr>
      <t xml:space="preserve">rack densities of up to 246 kW</t>
    </r>
    <r>
      <rPr>
        <sz val="11"/>
        <color theme="1"/>
        <rFont val="Noto Sans CJK SC"/>
        <family val="2"/>
      </rPr>
      <t xml:space="preserve">』／『</t>
    </r>
    <r>
      <rPr>
        <sz val="11"/>
        <color theme="1"/>
        <rFont val="Calibri"/>
        <family val="2"/>
        <charset val="1"/>
      </rPr>
      <t xml:space="preserve">Ten 246 kW IT racks</t>
    </r>
    <r>
      <rPr>
        <sz val="11"/>
        <color theme="1"/>
        <rFont val="Noto Sans CJK SC"/>
        <family val="2"/>
      </rPr>
      <t xml:space="preserve">』（改建版）</t>
    </r>
  </si>
  <si>
    <t xml:space="preserve">225–245</t>
  </si>
  <si>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／架</t>
    </r>
  </si>
  <si>
    <r>
      <rPr>
        <sz val="11"/>
        <color theme="1"/>
        <rFont val="Noto Sans CJK SC"/>
        <family val="2"/>
      </rPr>
      <t xml:space="preserve">整架、依負載；</t>
    </r>
    <r>
      <rPr>
        <sz val="11"/>
        <color theme="1"/>
        <rFont val="Calibri"/>
        <family val="2"/>
        <charset val="1"/>
      </rPr>
      <t xml:space="preserve">245 kW </t>
    </r>
    <r>
      <rPr>
        <sz val="11"/>
        <color theme="1"/>
        <rFont val="Noto Sans CJK SC"/>
        <family val="2"/>
      </rPr>
      <t xml:space="preserve">同時是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所稱的散熱能力上限；是否含設施冷卻：不含（機架內液冷迴路；</t>
    </r>
    <r>
      <rPr>
        <sz val="11"/>
        <color theme="1"/>
        <rFont val="Calibri"/>
        <family val="2"/>
        <charset val="1"/>
      </rPr>
      <t xml:space="preserve">CDU </t>
    </r>
    <r>
      <rPr>
        <sz val="11"/>
        <color theme="1"/>
        <rFont val="Noto Sans CJK SC"/>
        <family val="2"/>
      </rPr>
      <t xml:space="preserve">不在架內）</t>
    </r>
  </si>
  <si>
    <r>
      <rPr>
        <sz val="11"/>
        <color theme="1"/>
        <rFont val="Calibri"/>
        <family val="2"/>
        <charset val="1"/>
      </rPr>
      <t xml:space="preserve">https://www.theregister.com/systems/2026/07/23/amd-attacks-the-rack-with-helios-systems-that-rival-nvidias/5277246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https://eu.36kr.com/en/p/3908862210462850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https://www.storagereview.com/news/amd-mi455x-and-helios-432gb-hbm4-72-gpu-racks-and-a-real-answer-to-vera-rubin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https://www.servethehome.com/amd-helios-architecture-deep-dive-amd-broadcom-hardware-combined/2/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https://www.datacenterdynamics.com/en/product-news/schneider-electric-and-amd-collaborate-to-enable-fast-resilient-and-efficient-amd-helios-rackscale-solution-cluster-deployment/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https://www.fierce-network.com/cloud/schneider-electric-amd-unveil-helios-ai-blueprint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https://www.taiwannews.com.tw/en/news/6407255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</si>
  <si>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Schneider </t>
    </r>
    <r>
      <rPr>
        <sz val="11"/>
        <color theme="1"/>
        <rFont val="Noto Sans CJK SC"/>
        <family val="2"/>
      </rPr>
      <t xml:space="preserve">共同參考設計新聞稿）＋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（四家媒體轉述 </t>
    </r>
    <r>
      <rPr>
        <sz val="11"/>
        <color theme="1"/>
        <rFont val="Calibri"/>
        <family val="2"/>
        <charset val="1"/>
      </rPr>
      <t xml:space="preserve">AMD AAI 2026 </t>
    </r>
    <r>
      <rPr>
        <sz val="11"/>
        <color theme="1"/>
        <rFont val="Noto Sans CJK SC"/>
        <family val="2"/>
      </rPr>
      <t xml:space="preserve">資料）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</si>
  <si>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數字，經媒體轉述；</t>
    </r>
    <r>
      <rPr>
        <sz val="11"/>
        <color theme="1"/>
        <rFont val="Calibri"/>
        <family val="2"/>
        <charset val="1"/>
      </rPr>
      <t xml:space="preserve">36Kr </t>
    </r>
    <r>
      <rPr>
        <sz val="11"/>
        <color theme="1"/>
        <rFont val="Noto Sans CJK SC"/>
        <family val="2"/>
      </rPr>
      <t xml:space="preserve">稱出自官方文件、</t>
    </r>
    <r>
      <rPr>
        <sz val="11"/>
        <color theme="1"/>
        <rFont val="Calibri"/>
        <family val="2"/>
        <charset val="1"/>
      </rPr>
      <t xml:space="preserve">STH </t>
    </r>
    <r>
      <rPr>
        <sz val="11"/>
        <color theme="1"/>
        <rFont val="Noto Sans CJK SC"/>
        <family val="2"/>
      </rPr>
      <t xml:space="preserve">明寫 </t>
    </r>
    <r>
      <rPr>
        <sz val="11"/>
        <color theme="1"/>
        <rFont val="Calibri"/>
        <family val="2"/>
        <charset val="1"/>
      </rPr>
      <t xml:space="preserve">According to AMD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The Register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StorageReview </t>
    </r>
    <r>
      <rPr>
        <sz val="11"/>
        <color theme="1"/>
        <rFont val="Noto Sans CJK SC"/>
        <family val="2"/>
      </rPr>
      <t xml:space="preserve">未逐字歸屬）</t>
    </r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</si>
  <si>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官方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（資料表、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簡介、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資料表）皆未列機架功率（已逐份讀過）。旁證：</t>
    </r>
    <r>
      <rPr>
        <sz val="11"/>
        <color theme="1"/>
        <rFont val="Calibri"/>
        <family val="2"/>
        <charset val="1"/>
      </rPr>
      <t xml:space="preserve">72×2.5 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180 kW </t>
    </r>
    <r>
      <rPr>
        <sz val="11"/>
        <color theme="1"/>
        <rFont val="Noto Sans CJK SC"/>
        <family val="2"/>
      </rPr>
      <t xml:space="preserve">晶片，</t>
    </r>
    <r>
      <rPr>
        <sz val="11"/>
        <color theme="1"/>
        <rFont val="Calibri"/>
        <family val="2"/>
        <charset val="1"/>
      </rPr>
      <t xml:space="preserve">245÷180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GB300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Max-P 1.75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heise </t>
    </r>
    <r>
      <rPr>
        <sz val="11"/>
        <color theme="1"/>
        <rFont val="Noto Sans CJK SC"/>
        <family val="2"/>
      </rPr>
      <t xml:space="preserve">先前估『</t>
    </r>
    <r>
      <rPr>
        <sz val="11"/>
        <color theme="1"/>
        <rFont val="Calibri"/>
        <family val="2"/>
        <charset val="1"/>
      </rPr>
      <t xml:space="preserve">more than 200 kilowatts</t>
    </r>
    <r>
      <rPr>
        <sz val="11"/>
        <color theme="1"/>
        <rFont val="Noto Sans CJK SC"/>
        <family val="2"/>
      </rPr>
      <t xml:space="preserve">』（記者推測）。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246 kW </t>
    </r>
    <r>
      <rPr>
        <sz val="11"/>
        <color theme="1"/>
        <rFont val="Noto Sans CJK SC"/>
        <family val="2"/>
      </rPr>
      <t xml:space="preserve">參考設計與 </t>
    </r>
    <r>
      <rPr>
        <sz val="11"/>
        <color theme="1"/>
        <rFont val="Calibri"/>
        <family val="2"/>
        <charset val="1"/>
      </rPr>
      <t xml:space="preserve">TK VR200 227 kW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Schneider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參考設計 </t>
    </r>
    <r>
      <rPr>
        <sz val="11"/>
        <color theme="1"/>
        <rFont val="Calibri"/>
        <family val="2"/>
        <charset val="1"/>
      </rPr>
      <t xml:space="preserve">Max-P</t>
    </r>
    <r>
      <rPr>
        <sz val="11"/>
        <color theme="1"/>
        <rFont val="Noto Sans CJK SC"/>
        <family val="2"/>
      </rPr>
      <t xml:space="preserve">）同類，</t>
    </r>
    <r>
      <rPr>
        <sz val="11"/>
        <color theme="1"/>
        <rFont val="Calibri"/>
        <family val="2"/>
        <charset val="1"/>
      </rPr>
      <t xml:space="preserve">245 kW </t>
    </r>
    <r>
      <rPr>
        <sz val="11"/>
        <color theme="1"/>
        <rFont val="Noto Sans CJK SC"/>
        <family val="2"/>
      </rPr>
      <t xml:space="preserve">基準證據強度由『中』上調為『中強』。</t>
    </r>
    <r>
      <rPr>
        <sz val="11"/>
        <color theme="1"/>
        <rFont val="Calibri"/>
        <family val="2"/>
        <charset val="1"/>
      </rPr>
      <t xml:space="preserve">ABI Research </t>
    </r>
    <r>
      <rPr>
        <sz val="11"/>
        <color theme="1"/>
        <rFont val="Noto Sans CJK SC"/>
        <family val="2"/>
      </rPr>
      <t xml:space="preserve">的引述本代理未讀到。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版本標『</t>
    </r>
    <r>
      <rPr>
        <sz val="11"/>
        <color theme="1"/>
        <rFont val="Calibri"/>
        <family val="2"/>
        <charset val="1"/>
      </rPr>
      <t xml:space="preserve">Sponsored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 Press Release</t>
    </r>
    <r>
      <rPr>
        <sz val="11"/>
        <color theme="1"/>
        <rFont val="Noto Sans CJK SC"/>
        <family val="2"/>
      </rPr>
      <t xml:space="preserve">』（</t>
    </r>
    <r>
      <rPr>
        <sz val="11"/>
        <color theme="1"/>
        <rFont val="Calibri"/>
        <family val="2"/>
        <charset val="1"/>
      </rPr>
      <t xml:space="preserve">2026-09-28 </t>
    </r>
    <r>
      <rPr>
        <sz val="11"/>
        <color theme="1"/>
        <rFont val="Noto Sans CJK SC"/>
        <family val="2"/>
      </rPr>
      <t xml:space="preserve">刊）。</t>
    </r>
  </si>
  <si>
    <t xml:space="preserve">M04</t>
  </si>
  <si>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機架組成：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MI455X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6th Gen EPYC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 DPU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運算托盤＋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交換托盤（</t>
    </r>
    <r>
      <rPr>
        <sz val="11"/>
        <color theme="1"/>
        <rFont val="Calibri"/>
        <family val="2"/>
        <charset val="1"/>
      </rPr>
      <t xml:space="preserve">4OU ORW </t>
    </r>
    <r>
      <rPr>
        <sz val="11"/>
        <color theme="1"/>
        <rFont val="Noto Sans CJK SC"/>
        <family val="2"/>
      </rPr>
      <t xml:space="preserve">機架）；</t>
    </r>
    <r>
      <rPr>
        <sz val="11"/>
        <color theme="1"/>
        <rFont val="Calibri"/>
        <family val="2"/>
        <charset val="1"/>
      </rPr>
      <t xml:space="preserve">50 V </t>
    </r>
    <r>
      <rPr>
        <sz val="11"/>
        <color theme="1"/>
        <rFont val="Noto Sans CJK SC"/>
        <family val="2"/>
      </rPr>
      <t xml:space="preserve">匯流排；整架 </t>
    </r>
    <r>
      <rPr>
        <sz val="11"/>
        <color theme="1"/>
        <rFont val="Calibri"/>
        <family val="2"/>
        <charset val="1"/>
      </rPr>
      <t xml:space="preserve">2.9 EF FP4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OCP MXFP4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1.4 EF FP8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 TB HBM4</t>
    </r>
    <r>
      <rPr>
        <sz val="11"/>
        <color theme="1"/>
        <rFont val="Noto Sans CJK SC"/>
        <family val="2"/>
      </rPr>
      <t xml:space="preserve">；性能註腳為『</t>
    </r>
    <r>
      <rPr>
        <sz val="11"/>
        <color theme="1"/>
        <rFont val="Calibri"/>
        <family val="2"/>
        <charset val="1"/>
      </rPr>
      <t xml:space="preserve">engineering projections by AMD Performance Labs in September 2025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</si>
  <si>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31</t>
    </r>
  </si>
  <si>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EF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TB</t>
    </r>
  </si>
  <si>
    <r>
      <rPr>
        <sz val="11"/>
        <color theme="1"/>
        <rFont val="Noto Sans CJK SC"/>
        <family val="2"/>
      </rPr>
      <t xml:space="preserve">整架理論峰值（＝</t>
    </r>
    <r>
      <rPr>
        <sz val="11"/>
        <color theme="1"/>
        <rFont val="Calibri"/>
        <family val="2"/>
        <charset val="1"/>
      </rPr>
      <t xml:space="preserve">72 × </t>
    </r>
    <r>
      <rPr>
        <sz val="11"/>
        <color theme="1"/>
        <rFont val="Noto Sans CJK SC"/>
        <family val="2"/>
      </rPr>
      <t xml:space="preserve">單顆）</t>
    </r>
  </si>
  <si>
    <r>
      <rPr>
        <sz val="11"/>
        <color theme="1"/>
        <rFont val="Calibri"/>
        <family val="2"/>
        <charset val="1"/>
      </rPr>
      <t xml:space="preserve">https://www.amd.com/content/dam/amd/en/documents/solutions/ai/amd-helios-bro.pdf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https://www.supermicro.com/datasheet/datasheet_AMD_Helios.pdf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https://www.datacenterdynamics.com/en/news/amd-officially-launches-helios-rackscale-system-with-mi455x-gpus-venice-epyc-cpus-and-pensando/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</si>
  <si>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</si>
  <si>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2.9 EF ÷ 72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40.3 PF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M01 </t>
    </r>
    <r>
      <rPr>
        <sz val="11"/>
        <color theme="1"/>
        <rFont val="Noto Sans CJK SC"/>
        <family val="2"/>
      </rPr>
      <t xml:space="preserve">自洽。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2026-07-23 </t>
    </r>
    <r>
      <rPr>
        <sz val="11"/>
        <color theme="1"/>
        <rFont val="Noto Sans CJK SC"/>
        <family val="2"/>
      </rPr>
      <t xml:space="preserve">正式發表、全量生產、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末出貨；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為客戶。</t>
    </r>
  </si>
  <si>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C4</t>
    </r>
  </si>
  <si>
    <r>
      <rPr>
        <sz val="11"/>
        <color theme="1"/>
        <rFont val="Calibri"/>
        <family val="2"/>
        <charset val="1"/>
      </rPr>
      <t xml:space="preserve">MLPerf Inference v6.1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）每顆吞吐（</t>
    </r>
    <r>
      <rPr>
        <sz val="11"/>
        <color theme="1"/>
        <rFont val="Calibri"/>
        <family val="2"/>
        <charset val="1"/>
      </rPr>
      <t xml:space="preserve">Available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Closed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GPU Insights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MLCommons </t>
    </r>
    <r>
      <rPr>
        <sz val="11"/>
        <color theme="1"/>
        <rFont val="Noto Sans CJK SC"/>
        <family val="2"/>
      </rPr>
      <t xml:space="preserve">官方條目換算每顆）：</t>
    </r>
    <r>
      <rPr>
        <sz val="11"/>
        <color theme="1"/>
        <rFont val="Calibri"/>
        <family val="2"/>
        <charset val="1"/>
      </rPr>
      <t xml:space="preserve">gpt-oss-120b Server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Offline——MI355X 14,155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15,227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顆，</t>
    </r>
    <r>
      <rPr>
        <sz val="11"/>
        <color theme="1"/>
        <rFont val="Calibri"/>
        <family val="2"/>
        <charset val="1"/>
      </rPr>
      <t xml:space="preserve">6.1-0003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GB200 12,774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15,301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顆，</t>
    </r>
    <r>
      <rPr>
        <sz val="11"/>
        <color theme="1"/>
        <rFont val="Calibri"/>
        <family val="2"/>
        <charset val="1"/>
      </rPr>
      <t xml:space="preserve">6.1-0094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GB300 16,118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16,635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顆，</t>
    </r>
    <r>
      <rPr>
        <sz val="11"/>
        <color theme="1"/>
        <rFont val="Calibri"/>
        <family val="2"/>
        <charset val="1"/>
      </rPr>
      <t xml:space="preserve">6.1-0025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Llama2-70b-99.9 Server——MI355X 13,068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6.1-0069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GB200 12,648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顆，</t>
    </r>
    <r>
      <rPr>
        <sz val="11"/>
        <color theme="1"/>
        <rFont val="Calibri"/>
        <family val="2"/>
        <charset val="1"/>
      </rPr>
      <t xml:space="preserve">6.1-0023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GB300 15,998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6.1-0088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DeepSeek-R1 Server——MI355X 4,698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512 </t>
    </r>
    <r>
      <rPr>
        <sz val="11"/>
        <color theme="1"/>
        <rFont val="Noto Sans CJK SC"/>
        <family val="2"/>
      </rPr>
      <t xml:space="preserve">顆，</t>
    </r>
    <r>
      <rPr>
        <sz val="11"/>
        <color theme="1"/>
        <rFont val="Calibri"/>
        <family val="2"/>
        <charset val="1"/>
      </rPr>
      <t xml:space="preserve">6.1-0026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GB200 5,928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顆，</t>
    </r>
    <r>
      <rPr>
        <sz val="11"/>
        <color theme="1"/>
        <rFont val="Calibri"/>
        <family val="2"/>
        <charset val="1"/>
      </rPr>
      <t xml:space="preserve">6.1-0009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GB300 8,517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顆，</t>
    </r>
    <r>
      <rPr>
        <sz val="11"/>
        <color theme="1"/>
        <rFont val="Calibri"/>
        <family val="2"/>
        <charset val="1"/>
      </rPr>
      <t xml:space="preserve">6.1-0088</t>
    </r>
    <r>
      <rPr>
        <sz val="11"/>
        <color theme="1"/>
        <rFont val="Noto Sans CJK SC"/>
        <family val="2"/>
      </rPr>
      <t xml:space="preserve">）</t>
    </r>
  </si>
  <si>
    <t xml:space="preserve">見數值欄</t>
  </si>
  <si>
    <r>
      <rPr>
        <sz val="11"/>
        <color theme="1"/>
        <rFont val="Noto Sans CJK SC"/>
        <family val="2"/>
      </rPr>
      <t xml:space="preserve">同一基準、同一情境、同一精度要求（</t>
    </r>
    <r>
      <rPr>
        <sz val="11"/>
        <color theme="1"/>
        <rFont val="Calibri"/>
        <family val="2"/>
        <charset val="1"/>
      </rPr>
      <t xml:space="preserve">Closed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為主（</t>
    </r>
    <r>
      <rPr>
        <sz val="11"/>
        <color theme="1"/>
        <rFont val="Calibri"/>
        <family val="2"/>
        <charset val="1"/>
      </rPr>
      <t xml:space="preserve">DeepSeek-R1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專家＋</t>
    </r>
    <r>
      <rPr>
        <sz val="11"/>
        <color theme="1"/>
        <rFont val="Calibri"/>
        <family val="2"/>
        <charset val="1"/>
      </rPr>
      <t xml:space="preserve">BF16 MLA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FP8 KV cache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AMD ROCm </t>
    </r>
    <r>
      <rPr>
        <sz val="11"/>
        <color theme="1"/>
        <rFont val="Noto Sans CJK SC"/>
        <family val="2"/>
      </rPr>
      <t xml:space="preserve">部落格）</t>
    </r>
  </si>
  <si>
    <r>
      <rPr>
        <sz val="11"/>
        <color theme="1"/>
        <rFont val="Calibri"/>
        <family val="2"/>
        <charset val="1"/>
      </rPr>
      <t xml:space="preserve">https://gpuinsights.net/mlperf-inference-v6-1-per-gpu-results-2026/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https://rocm.blogs.amd.com/artificial-intelligence/mlperf-inf-v6.1/README.html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https://mlcommons.org/wp-content/uploads/2026/09/Supplemental-MLCommons-MLPerf-Inference-v6.1.pdf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</si>
  <si>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MLPerf </t>
    </r>
    <r>
      <rPr>
        <sz val="11"/>
        <color theme="1"/>
        <rFont val="Noto Sans CJK SC"/>
        <family val="2"/>
      </rPr>
      <t xml:space="preserve">同儕審查結果；每顆換算為第三方）</t>
    </r>
  </si>
  <si>
    <r>
      <rPr>
        <sz val="11"/>
        <color theme="1"/>
        <rFont val="Noto Sans CJK SC"/>
        <family val="2"/>
      </rPr>
      <t xml:space="preserve">第三方實測（</t>
    </r>
    <r>
      <rPr>
        <sz val="11"/>
        <color theme="1"/>
        <rFont val="Calibri"/>
        <family val="2"/>
        <charset val="1"/>
      </rPr>
      <t xml:space="preserve">MLCommons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條目由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提交（本人提交，但經審查）</t>
    </r>
  </si>
  <si>
    <r>
      <rPr>
        <sz val="11"/>
        <color theme="1"/>
        <rFont val="Noto Sans CJK SC"/>
        <family val="2"/>
      </rPr>
      <t xml:space="preserve">全文。核對：</t>
    </r>
    <r>
      <rPr>
        <sz val="11"/>
        <color theme="1"/>
        <rFont val="Calibri"/>
        <family val="2"/>
        <charset val="1"/>
      </rPr>
      <t xml:space="preserve">AMD ROCm </t>
    </r>
    <r>
      <rPr>
        <sz val="11"/>
        <color theme="1"/>
        <rFont val="Noto Sans CJK SC"/>
        <family val="2"/>
      </rPr>
      <t xml:space="preserve">部落格系統總量 </t>
    </r>
    <r>
      <rPr>
        <sz val="11"/>
        <color theme="1"/>
        <rFont val="Calibri"/>
        <family val="2"/>
        <charset val="1"/>
      </rPr>
      <t xml:space="preserve">113,241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121,818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顆）＝每顆 </t>
    </r>
    <r>
      <rPr>
        <sz val="11"/>
        <color theme="1"/>
        <rFont val="Calibri"/>
        <family val="2"/>
        <charset val="1"/>
      </rPr>
      <t xml:space="preserve">14,155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15,227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GPU Insights </t>
    </r>
    <r>
      <rPr>
        <sz val="11"/>
        <color theme="1"/>
        <rFont val="Noto Sans CJK SC"/>
        <family val="2"/>
      </rPr>
      <t xml:space="preserve">一致；</t>
    </r>
    <r>
      <rPr>
        <sz val="11"/>
        <color theme="1"/>
        <rFont val="Calibri"/>
        <family val="2"/>
        <charset val="1"/>
      </rPr>
      <t xml:space="preserve">Crusoe DeepSeek-R1 2,405,310÷512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4,698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GB300 1.16M÷72≈16.1K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HPE B300 14,300</t>
    </r>
    <r>
      <rPr>
        <sz val="11"/>
        <color theme="1"/>
        <rFont val="Noto Sans CJK SC"/>
        <family val="2"/>
      </rPr>
      <t xml:space="preserve">／顆、</t>
    </r>
    <r>
      <rPr>
        <sz val="11"/>
        <color theme="1"/>
        <rFont val="Calibri"/>
        <family val="2"/>
        <charset val="1"/>
      </rPr>
      <t xml:space="preserve">HPE B300 DeepSeek-R1 8,500</t>
    </r>
    <r>
      <rPr>
        <sz val="11"/>
        <color theme="1"/>
        <rFont val="Noto Sans CJK SC"/>
        <family val="2"/>
      </rPr>
      <t xml:space="preserve">／顆（</t>
    </r>
    <r>
      <rPr>
        <sz val="11"/>
        <color theme="1"/>
        <rFont val="Calibri"/>
        <family val="2"/>
        <charset val="1"/>
      </rPr>
      <t xml:space="preserve">Supplemental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列同量級。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未提交（</t>
    </r>
    <r>
      <rPr>
        <sz val="11"/>
        <color theme="1"/>
        <rFont val="Calibri"/>
        <family val="2"/>
        <charset val="1"/>
      </rPr>
      <t xml:space="preserve">MI400 </t>
    </r>
    <r>
      <rPr>
        <sz val="11"/>
        <color theme="1"/>
        <rFont val="Noto Sans CJK SC"/>
        <family val="2"/>
      </rPr>
      <t xml:space="preserve">系列尚未出貨）。官方 </t>
    </r>
    <r>
      <rPr>
        <sz val="11"/>
        <color theme="1"/>
        <rFont val="Calibri"/>
        <family val="2"/>
        <charset val="1"/>
      </rPr>
      <t xml:space="preserve">MLCommons </t>
    </r>
    <r>
      <rPr>
        <sz val="11"/>
        <color theme="1"/>
        <rFont val="Noto Sans CJK SC"/>
        <family val="2"/>
      </rPr>
      <t xml:space="preserve">總表（</t>
    </r>
    <r>
      <rPr>
        <sz val="11"/>
        <color theme="1"/>
        <rFont val="Calibri"/>
        <family val="2"/>
        <charset val="1"/>
      </rPr>
      <t xml:space="preserve">summary.xlsx</t>
    </r>
    <r>
      <rPr>
        <sz val="11"/>
        <color theme="1"/>
        <rFont val="Noto Sans CJK SC"/>
        <family val="2"/>
      </rPr>
      <t xml:space="preserve">）未直接讀取。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</si>
  <si>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列、</t>
    </r>
    <r>
      <rPr>
        <sz val="11"/>
        <color theme="1"/>
        <rFont val="Calibri"/>
        <family val="2"/>
        <charset val="1"/>
      </rPr>
      <t xml:space="preserve">C7</t>
    </r>
  </si>
  <si>
    <r>
      <rPr>
        <sz val="11"/>
        <color theme="1"/>
        <rFont val="Calibri"/>
        <family val="2"/>
        <charset val="1"/>
      </rPr>
      <t xml:space="preserve">MLPerf Inference v6.1 Vera 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Preview </t>
    </r>
    <r>
      <rPr>
        <sz val="11"/>
        <color theme="1"/>
        <rFont val="Noto Sans CJK SC"/>
        <family val="2"/>
      </rPr>
      <t xml:space="preserve">類別）：</t>
    </r>
    <r>
      <rPr>
        <sz val="11"/>
        <color theme="1"/>
        <rFont val="Calibri"/>
        <family val="2"/>
        <charset val="1"/>
      </rPr>
      <t xml:space="preserve">DeepSeek-R1 Server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16,427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Nebius VR200 NVL72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顆，</t>
    </r>
    <r>
      <rPr>
        <sz val="11"/>
        <color theme="1"/>
        <rFont val="Calibri"/>
        <family val="2"/>
        <charset val="1"/>
      </rPr>
      <t xml:space="preserve">6.1-0107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Offline 16,435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顆，</t>
    </r>
    <r>
      <rPr>
        <sz val="11"/>
        <color theme="1"/>
        <rFont val="Calibri"/>
        <family val="2"/>
        <charset val="1"/>
      </rPr>
      <t xml:space="preserve">6.1-0106</t>
    </r>
    <r>
      <rPr>
        <sz val="11"/>
        <color theme="1"/>
        <rFont val="Noto Sans CJK SC"/>
        <family val="2"/>
      </rPr>
      <t xml:space="preserve">）；對 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Server 1.97×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Offline 1.74×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Interactive 2.57×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自述『</t>
    </r>
    <r>
      <rPr>
        <sz val="11"/>
        <color theme="1"/>
        <rFont val="Calibri"/>
        <family val="2"/>
        <charset val="1"/>
      </rPr>
      <t xml:space="preserve">up to 2.5x</t>
    </r>
    <r>
      <rPr>
        <sz val="11"/>
        <color theme="1"/>
        <rFont val="Noto Sans CJK SC"/>
        <family val="2"/>
      </rPr>
      <t xml:space="preserve">』）</t>
    </r>
  </si>
  <si>
    <t xml:space="preserve">16,427</t>
  </si>
  <si>
    <r>
      <rPr>
        <sz val="11"/>
        <color theme="1"/>
        <rFont val="Calibri"/>
        <family val="2"/>
        <charset val="1"/>
      </rPr>
      <t xml:space="preserve">Preview</t>
    </r>
    <r>
      <rPr>
        <sz val="11"/>
        <color theme="1"/>
        <rFont val="Noto Sans CJK SC"/>
        <family val="2"/>
      </rPr>
      <t xml:space="preserve">（尚未正式供貨）；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TensorRT-LLM</t>
    </r>
    <r>
      <rPr>
        <sz val="11"/>
        <color theme="1"/>
        <rFont val="Noto Sans CJK SC"/>
        <family val="2"/>
      </rPr>
      <t xml:space="preserve">；是否使用 </t>
    </r>
    <r>
      <rPr>
        <sz val="11"/>
        <color theme="1"/>
        <rFont val="Calibri"/>
        <family val="2"/>
        <charset val="1"/>
      </rPr>
      <t xml:space="preserve">NVFP4 </t>
    </r>
    <r>
      <rPr>
        <sz val="11"/>
        <color theme="1"/>
        <rFont val="Noto Sans CJK SC"/>
        <family val="2"/>
      </rPr>
      <t xml:space="preserve">推論壓縮（</t>
    </r>
    <r>
      <rPr>
        <sz val="11"/>
        <color theme="1"/>
        <rFont val="Calibri"/>
        <family val="2"/>
        <charset val="1"/>
      </rPr>
      <t xml:space="preserve">50 PF </t>
    </r>
    <r>
      <rPr>
        <sz val="11"/>
        <color theme="1"/>
        <rFont val="Noto Sans CJK SC"/>
        <family val="2"/>
      </rPr>
      <t xml:space="preserve">口徑）未說明</t>
    </r>
  </si>
  <si>
    <r>
      <rPr>
        <sz val="11"/>
        <color theme="1"/>
        <rFont val="Calibri"/>
        <family val="2"/>
        <charset val="1"/>
      </rPr>
      <t xml:space="preserve">https://gpuinsights.net/mlperf-inference-v6-1-per-gpu-results-2026/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https://www.storagereview.com/news/mlperf-inference-v6-1-5-7x-per-accelerator-gains-a-512-gpu-run-and-vera-rubins-first-peer-reviewed-numbers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</si>
  <si>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MLPerf Preview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</si>
  <si>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第三方實測（</t>
    </r>
    <r>
      <rPr>
        <sz val="11"/>
        <color theme="1"/>
        <rFont val="Calibri"/>
        <family val="2"/>
        <charset val="1"/>
      </rPr>
      <t xml:space="preserve">Preview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</si>
  <si>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全文。用於以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本身作錨點還原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的效率因子（推導 </t>
    </r>
    <r>
      <rPr>
        <sz val="11"/>
        <color theme="1"/>
        <rFont val="Calibri"/>
        <family val="2"/>
        <charset val="1"/>
      </rPr>
      <t xml:space="preserve">B_V </t>
    </r>
    <r>
      <rPr>
        <sz val="11"/>
        <color theme="1"/>
        <rFont val="Noto Sans CJK SC"/>
        <family val="2"/>
      </rPr>
      <t xml:space="preserve">列）。注意：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每顆只有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VR-eq 0.64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顆數比），</t>
    </r>
    <r>
      <rPr>
        <sz val="11"/>
        <color theme="1"/>
        <rFont val="Calibri"/>
        <family val="2"/>
        <charset val="1"/>
      </rPr>
      <t xml:space="preserve">MLPerf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0.51</t>
    </r>
    <r>
      <rPr>
        <sz val="11"/>
        <color theme="1"/>
        <rFont val="Noto Sans CJK SC"/>
        <family val="2"/>
      </rPr>
      <t xml:space="preserve">，所以以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錨點得到的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比以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錨點高。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</si>
  <si>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</si>
  <si>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自述（</t>
    </r>
    <r>
      <rPr>
        <sz val="11"/>
        <color theme="1"/>
        <rFont val="Calibri"/>
        <family val="2"/>
        <charset val="1"/>
      </rPr>
      <t xml:space="preserve">AAI 2026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Kimi K2 Thinking </t>
    </r>
    <r>
      <rPr>
        <sz val="11"/>
        <color theme="1"/>
        <rFont val="Noto Sans CJK SC"/>
        <family val="2"/>
      </rPr>
      <t xml:space="preserve">上『</t>
    </r>
    <r>
      <rPr>
        <sz val="11"/>
        <color theme="1"/>
        <rFont val="Calibri"/>
        <family val="2"/>
        <charset val="1"/>
      </rPr>
      <t xml:space="preserve">10 to 15% more tokens per second per GPU</t>
    </r>
    <r>
      <rPr>
        <sz val="11"/>
        <color theme="1"/>
        <rFont val="Noto Sans CJK SC"/>
        <family val="2"/>
      </rPr>
      <t xml:space="preserve">』、『</t>
    </r>
    <r>
      <rPr>
        <sz val="11"/>
        <color theme="1"/>
        <rFont val="Calibri"/>
        <family val="2"/>
        <charset val="1"/>
      </rPr>
      <t xml:space="preserve">up to 30% more tokens per dollar</t>
    </r>
    <r>
      <rPr>
        <sz val="11"/>
        <color theme="1"/>
        <rFont val="Noto Sans CJK SC"/>
        <family val="2"/>
      </rPr>
      <t xml:space="preserve">』（對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公布數字，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內部測試）；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AMD estimates Helios’ higher peak performance will give it a 30 percent performance per dollar lead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實測 </t>
    </r>
    <r>
      <rPr>
        <sz val="11"/>
        <color theme="1"/>
        <rFont val="Calibri"/>
        <family val="2"/>
        <charset val="1"/>
      </rPr>
      <t xml:space="preserve">MAMF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MI455X achieved 20 petaFLOPS of FP4 performance — half of peak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</si>
  <si>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1.10–1.15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</si>
  <si>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PF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</si>
  <si>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內部測試，非獨立量測；</t>
    </r>
    <r>
      <rPr>
        <sz val="11"/>
        <color theme="1"/>
        <rFont val="Calibri"/>
        <family val="2"/>
        <charset val="1"/>
      </rPr>
      <t xml:space="preserve">tokens/$ </t>
    </r>
    <r>
      <rPr>
        <sz val="11"/>
        <color theme="1"/>
        <rFont val="Noto Sans CJK SC"/>
        <family val="2"/>
      </rPr>
      <t xml:space="preserve">依『</t>
    </r>
    <r>
      <rPr>
        <sz val="11"/>
        <color theme="1"/>
        <rFont val="Calibri"/>
        <family val="2"/>
        <charset val="1"/>
      </rPr>
      <t xml:space="preserve">projected pricing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</si>
  <si>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https://www.storagereview.com/news/amd-mi455x-and-helios-432gb-hbm4-72-gpu-racks-and-a-real-answer-to-vera-rubin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https://www.theregister.com/systems/2026/07/23/amd-attacks-the-rack-with-helios-systems-that-rival-nvidias/5277246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https://moorinsightsstrategy.com/field-notes/amd-advancing-ai-2026-helios-ships-venice-swings-and-the-software-moat-narrows/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</si>
  <si>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本人說，經媒體轉述）</t>
    </r>
  </si>
  <si>
    <t xml:space="preserve">支持（高端佐證）</t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</si>
  <si>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StorageReview </t>
    </r>
    <r>
      <rPr>
        <sz val="11"/>
        <color theme="1"/>
        <rFont val="Noto Sans CJK SC"/>
        <family val="2"/>
      </rPr>
      <t xml:space="preserve">作者：『</t>
    </r>
    <r>
      <rPr>
        <sz val="11"/>
        <color theme="1"/>
        <rFont val="Calibri"/>
        <family val="2"/>
        <charset val="1"/>
      </rPr>
      <t xml:space="preserve">Those are AMD’s numbers against NVIDIA’s published numbers, not independent measurements.</t>
    </r>
    <r>
      <rPr>
        <sz val="11"/>
        <color theme="1"/>
        <rFont val="Noto Sans CJK SC"/>
        <family val="2"/>
      </rPr>
      <t xml:space="preserve">』</t>
    </r>
    <r>
      <rPr>
        <sz val="11"/>
        <color theme="1"/>
        <rFont val="Calibri"/>
        <family val="2"/>
        <charset val="1"/>
      </rPr>
      <t xml:space="preserve">Moorhead</t>
    </r>
    <r>
      <rPr>
        <sz val="11"/>
        <color theme="1"/>
        <rFont val="Noto Sans CJK SC"/>
        <family val="2"/>
      </rPr>
      <t xml:space="preserve">（分析師看法）：</t>
    </r>
    <r>
      <rPr>
        <sz val="11"/>
        <color theme="1"/>
        <rFont val="Calibri"/>
        <family val="2"/>
        <charset val="1"/>
      </rPr>
      <t xml:space="preserve">tokens/$ </t>
    </r>
    <r>
      <rPr>
        <sz val="11"/>
        <color theme="1"/>
        <rFont val="Noto Sans CJK SC"/>
        <family val="2"/>
      </rPr>
      <t xml:space="preserve">說法『</t>
    </r>
    <r>
      <rPr>
        <sz val="11"/>
        <color theme="1"/>
        <rFont val="Calibri"/>
        <family val="2"/>
        <charset val="1"/>
      </rPr>
      <t xml:space="preserve">rests on projected pricing for systems neither vendor is selling at scale yet</t>
    </r>
    <r>
      <rPr>
        <sz val="11"/>
        <color theme="1"/>
        <rFont val="Noto Sans CJK SC"/>
        <family val="2"/>
      </rPr>
      <t xml:space="preserve">』，並指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FP4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MXFP4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dense NVFP4</t>
    </r>
    <r>
      <rPr>
        <sz val="11"/>
        <color theme="1"/>
        <rFont val="Noto Sans CJK SC"/>
        <family val="2"/>
      </rPr>
      <t xml:space="preserve">。換算：每顆 </t>
    </r>
    <r>
      <rPr>
        <sz val="11"/>
        <color theme="1"/>
        <rFont val="Calibri"/>
        <family val="2"/>
        <charset val="1"/>
      </rPr>
      <t xml:space="preserve">+10–15% ⇒ 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1.10–1.15 × 35 ÷ 40.265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0.96–1.00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C7c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+10–15% </t>
    </r>
    <r>
      <rPr>
        <sz val="11"/>
        <color theme="1"/>
        <rFont val="Noto Sans CJK SC"/>
        <family val="2"/>
      </rPr>
      <t xml:space="preserve">且每美元 </t>
    </r>
    <r>
      <rPr>
        <sz val="11"/>
        <color theme="1"/>
        <rFont val="Calibri"/>
        <family val="2"/>
        <charset val="1"/>
      </rPr>
      <t xml:space="preserve">+30% ⇒ AMD </t>
    </r>
    <r>
      <rPr>
        <sz val="11"/>
        <color theme="1"/>
        <rFont val="Noto Sans CJK SC"/>
        <family val="2"/>
      </rPr>
      <t xml:space="preserve">假設的每架價格約為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0.85–0.88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D9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：比值 </t>
    </r>
    <r>
      <rPr>
        <sz val="11"/>
        <color theme="1"/>
        <rFont val="Calibri"/>
        <family val="2"/>
        <charset val="1"/>
      </rPr>
      <t xml:space="preserve">0.865 × TK $8.4M </t>
    </r>
    <r>
      <rPr>
        <sz val="11"/>
        <color theme="1"/>
        <rFont val="Noto Sans CJK SC"/>
        <family val="2"/>
      </rPr>
      <t xml:space="preserve">作持有比基準（同口徑）。</t>
    </r>
  </si>
  <si>
    <r>
      <rPr>
        <sz val="11"/>
        <color theme="1"/>
        <rFont val="Calibri"/>
        <family val="2"/>
        <charset val="1"/>
      </rPr>
      <t xml:space="preserve">C7 </t>
    </r>
    <r>
      <rPr>
        <sz val="11"/>
        <color theme="1"/>
        <rFont val="Noto Sans CJK SC"/>
        <family val="2"/>
      </rPr>
      <t xml:space="preserve">高端佐證、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基準</t>
    </r>
  </si>
  <si>
    <t xml:space="preserve">M08</t>
  </si>
  <si>
    <r>
      <rPr>
        <sz val="11"/>
        <color theme="1"/>
        <rFont val="Calibri"/>
        <family val="2"/>
        <charset val="1"/>
      </rPr>
      <t xml:space="preserve">SemiAnalysis InferenceX</t>
    </r>
    <r>
      <rPr>
        <sz val="11"/>
        <color theme="1"/>
        <rFont val="Noto Sans CJK SC"/>
        <family val="2"/>
      </rPr>
      <t xml:space="preserve">（公開比較頁）：</t>
    </r>
    <r>
      <rPr>
        <sz val="11"/>
        <color theme="1"/>
        <rFont val="Calibri"/>
        <family val="2"/>
        <charset val="1"/>
      </rPr>
      <t xml:space="preserve">DeepSeek R1 8k/1k FP4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MI355X vs B200 </t>
    </r>
    <r>
      <rPr>
        <sz val="11"/>
        <color theme="1"/>
        <rFont val="Noto Sans CJK SC"/>
        <family val="2"/>
      </rPr>
      <t xml:space="preserve">每顆吞吐——</t>
    </r>
    <r>
      <rPr>
        <sz val="11"/>
        <color theme="1"/>
        <rFont val="Calibri"/>
        <family val="2"/>
        <charset val="1"/>
      </rPr>
      <t xml:space="preserve">87 tok/s/user 7,916 vs 7,986</t>
    </r>
    <r>
      <rPr>
        <sz val="11"/>
        <color theme="1"/>
        <rFont val="Noto Sans CJK SC"/>
        <family val="2"/>
      </rPr>
      <t xml:space="preserve">（『</t>
    </r>
    <r>
      <rPr>
        <sz val="11"/>
        <color theme="1"/>
        <rFont val="Calibri"/>
        <family val="2"/>
        <charset val="1"/>
      </rPr>
      <t xml:space="preserve">essentially tied</t>
    </r>
    <r>
      <rPr>
        <sz val="11"/>
        <color theme="1"/>
        <rFont val="Noto Sans CJK SC"/>
        <family val="2"/>
      </rPr>
      <t xml:space="preserve">』）、</t>
    </r>
    <r>
      <rPr>
        <sz val="11"/>
        <color theme="1"/>
        <rFont val="Calibri"/>
        <family val="2"/>
        <charset val="1"/>
      </rPr>
      <t xml:space="preserve">158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2,139 vs 2,053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781 vs 1,273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DeepSeek V4 Pro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agentic traces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MI355X vs GB200 NVL72——119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21,980 vs 24,122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13,314 vs 9,790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5,217 vs 6,018</t>
    </r>
  </si>
  <si>
    <t xml:space="preserve">見主張</t>
  </si>
  <si>
    <t xml:space="preserve">tok/s/chip</t>
  </si>
  <si>
    <r>
      <rPr>
        <sz val="11"/>
        <color theme="1"/>
        <rFont val="Noto Sans CJK SC"/>
        <family val="2"/>
      </rPr>
      <t xml:space="preserve">單一來源；高互動區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明顯落後</t>
    </r>
  </si>
  <si>
    <r>
      <rPr>
        <sz val="11"/>
        <color theme="1"/>
        <rFont val="Calibri"/>
        <family val="2"/>
        <charset val="1"/>
      </rPr>
      <t xml:space="preserve">https://inferencex.semianalysis.com/compare/deepseek-r1-b200-vs-mi355x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https://inferencex.semianalysis.com/compare/deepseek-v4-gb200-vs-mi355x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</si>
  <si>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（第三方實測，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</t>
    </r>
  </si>
  <si>
    <t xml:space="preserve">支持（中互動）／衝突（高互動）</t>
  </si>
  <si>
    <r>
      <rPr>
        <sz val="11"/>
        <color theme="1"/>
        <rFont val="Noto Sans CJK SC"/>
        <family val="2"/>
      </rPr>
      <t xml:space="preserve">第三方；單一來源（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），依本專案規則只作佐證、不單獨使用</t>
    </r>
  </si>
  <si>
    <r>
      <rPr>
        <sz val="11"/>
        <color theme="1"/>
        <rFont val="Noto Sans CJK SC"/>
        <family val="2"/>
      </rPr>
      <t xml:space="preserve">全文（公開頁；</t>
    </r>
    <r>
      <rPr>
        <sz val="11"/>
        <color theme="1"/>
        <rFont val="Calibri"/>
        <family val="2"/>
        <charset val="1"/>
      </rPr>
      <t xml:space="preserve">Run Date </t>
    </r>
    <r>
      <rPr>
        <sz val="11"/>
        <color theme="1"/>
        <rFont val="Noto Sans CJK SC"/>
        <family val="2"/>
      </rPr>
      <t xml:space="preserve">未顯示）。每峰值換算：</t>
    </r>
    <r>
      <rPr>
        <sz val="11"/>
        <color theme="1"/>
        <rFont val="Calibri"/>
        <family val="2"/>
        <charset val="1"/>
      </rPr>
      <t xml:space="preserve">MI355X 10.07 PF vs B200 9 PF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dense FP4</t>
    </r>
    <r>
      <rPr>
        <sz val="11"/>
        <color theme="1"/>
        <rFont val="Noto Sans CJK SC"/>
        <family val="2"/>
      </rPr>
      <t xml:space="preserve">），同吞吐時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每峰值效率約為 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0.89</t>
    </r>
    <r>
      <rPr>
        <sz val="11"/>
        <color theme="1"/>
        <rFont val="Noto Sans CJK SC"/>
        <family val="2"/>
      </rPr>
      <t xml:space="preserve">；高互動區約 </t>
    </r>
    <r>
      <rPr>
        <sz val="11"/>
        <color theme="1"/>
        <rFont val="Calibri"/>
        <family val="2"/>
        <charset val="1"/>
      </rPr>
      <t xml:space="preserve">0.55</t>
    </r>
    <r>
      <rPr>
        <sz val="11"/>
        <color theme="1"/>
        <rFont val="Noto Sans CJK SC"/>
        <family val="2"/>
      </rPr>
      <t xml:space="preserve">。與 </t>
    </r>
    <r>
      <rPr>
        <sz val="11"/>
        <color theme="1"/>
        <rFont val="Calibri"/>
        <family val="2"/>
        <charset val="1"/>
      </rPr>
      <t xml:space="preserve">MLPerf DeepSeek-R1 </t>
    </r>
    <r>
      <rPr>
        <sz val="11"/>
        <color theme="1"/>
        <rFont val="Noto Sans CJK SC"/>
        <family val="2"/>
      </rPr>
      <t xml:space="preserve">錨點的低端相容，只作佐證。</t>
    </r>
  </si>
  <si>
    <r>
      <rPr>
        <sz val="11"/>
        <color theme="1"/>
        <rFont val="Calibri"/>
        <family val="2"/>
        <charset val="1"/>
      </rPr>
      <t xml:space="preserve">C7 </t>
    </r>
    <r>
      <rPr>
        <sz val="11"/>
        <color theme="1"/>
        <rFont val="Noto Sans CJK SC"/>
        <family val="2"/>
      </rPr>
      <t xml:space="preserve">佐證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</si>
  <si>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CNBC 2026-07-20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每架『</t>
    </r>
    <r>
      <rPr>
        <sz val="11"/>
        <color theme="1"/>
        <rFont val="Calibri"/>
        <family val="2"/>
        <charset val="1"/>
      </rPr>
      <t xml:space="preserve">$5 million to $5.5 million</t>
    </r>
    <r>
      <rPr>
        <sz val="11"/>
        <color theme="1"/>
        <rFont val="Noto Sans CJK SC"/>
        <family val="2"/>
      </rPr>
      <t xml:space="preserve">』；同一來源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第二代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機架『</t>
    </r>
    <r>
      <rPr>
        <sz val="11"/>
        <color theme="1"/>
        <rFont val="Calibri"/>
        <family val="2"/>
        <charset val="1"/>
      </rPr>
      <t xml:space="preserve">$3.5 million to $4 million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Pricing, however, remains undisclosed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</si>
  <si>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5.0–5.5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3.5–4.0</t>
    </r>
  </si>
  <si>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</t>
    </r>
  </si>
  <si>
    <r>
      <rPr>
        <sz val="11"/>
        <color theme="1"/>
        <rFont val="Noto Sans CJK SC"/>
        <family val="2"/>
      </rPr>
      <t xml:space="preserve">分析師估計；口徑未說明（是否含網路、是否為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開票額）</t>
    </r>
  </si>
  <si>
    <r>
      <rPr>
        <sz val="11"/>
        <color theme="1"/>
        <rFont val="Calibri"/>
        <family val="2"/>
        <charset val="1"/>
      </rPr>
      <t xml:space="preserve">https://www.itiger.com/news/1105556916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https://www.trendforce.com/news/2026/07/21/news-amds-first-rack-scale-ai-system-helios-challenges-nvidia-with-hbm4-memory-edge-but-reportedly-comes-at-a-higher-price/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https://wccftech.com/amd-is-reportedly-pricing-its-helios-rack-40-above-nvidias-second-gen-rubin-confident-that-customers-will-pay-the-premium/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https://www.digitalcitizen.life/amd-helios-ai-racks-could-cost-up-to-5-5-million-around-40-percent-more-than-nvidia-rubin/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</si>
  <si>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（分析師，經媒體轉載；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原文未直接讀取）</t>
    </r>
  </si>
  <si>
    <t xml:space="preserve">支持（絕對值）／衝突（比值）</t>
  </si>
  <si>
    <r>
      <rPr>
        <sz val="11"/>
        <color theme="1"/>
        <rFont val="Noto Sans CJK SC"/>
        <family val="2"/>
      </rPr>
      <t xml:space="preserve">轉載全文。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：『約貴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』來源間不一致——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Citizen </t>
    </r>
    <r>
      <rPr>
        <sz val="11"/>
        <color theme="1"/>
        <rFont val="Noto Sans CJK SC"/>
        <family val="2"/>
      </rPr>
      <t xml:space="preserve">為作者由兩個區間換算；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）直接歸給 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（『</t>
    </r>
    <r>
      <rPr>
        <sz val="11"/>
        <color theme="1"/>
        <rFont val="Calibri"/>
        <family val="2"/>
        <charset val="1"/>
      </rPr>
      <t xml:space="preserve">According to estimates from Futurum Group</t>
    </r>
    <r>
      <rPr>
        <sz val="11"/>
        <color theme="1"/>
        <rFont val="Noto Sans CJK SC"/>
        <family val="2"/>
      </rPr>
      <t xml:space="preserve">』…『</t>
    </r>
    <r>
      <rPr>
        <sz val="11"/>
        <color theme="1"/>
        <rFont val="Calibri"/>
        <family val="2"/>
        <charset val="1"/>
      </rPr>
      <t xml:space="preserve">approximately 40% higher than Nvidia’s Rubin</t>
    </r>
    <r>
      <rPr>
        <sz val="11"/>
        <color theme="1"/>
        <rFont val="Noto Sans CJK SC"/>
        <family val="2"/>
      </rPr>
      <t xml:space="preserve">』）。同源 </t>
    </r>
    <r>
      <rPr>
        <sz val="11"/>
        <color theme="1"/>
        <rFont val="Calibri"/>
        <family val="2"/>
        <charset val="1"/>
      </rPr>
      <t xml:space="preserve">Rubin $3.5–4M </t>
    </r>
    <r>
      <rPr>
        <sz val="11"/>
        <color theme="1"/>
        <rFont val="Noto Sans CJK SC"/>
        <family val="2"/>
      </rPr>
      <t xml:space="preserve">遠低於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VR200 $8.4M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BOM $7.8M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$9.1M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『超過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萬美元』），所以 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的價格口徑與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口徑的 </t>
    </r>
    <r>
      <rPr>
        <sz val="11"/>
        <color theme="1"/>
        <rFont val="Calibri"/>
        <family val="2"/>
        <charset val="1"/>
      </rPr>
      <t xml:space="preserve">0.42–0.48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決定）：絕對價 </t>
    </r>
    <r>
      <rPr>
        <sz val="11"/>
        <color theme="1"/>
        <rFont val="Calibri"/>
        <family val="2"/>
        <charset val="1"/>
      </rPr>
      <t xml:space="preserve">$5.25M </t>
    </r>
    <r>
      <rPr>
        <sz val="11"/>
        <color theme="1"/>
        <rFont val="Noto Sans CJK SC"/>
        <family val="2"/>
      </rPr>
      <t xml:space="preserve">只作低端（口徑混用、下界）；同源比值 </t>
    </r>
    <r>
      <rPr>
        <sz val="11"/>
        <color theme="1"/>
        <rFont val="Calibri"/>
        <family val="2"/>
        <charset val="1"/>
      </rPr>
      <t xml:space="preserve">1.25 × TK $8.4M </t>
    </r>
    <r>
      <rPr>
        <sz val="11"/>
        <color theme="1"/>
        <rFont val="Noto Sans CJK SC"/>
        <family val="2"/>
      </rPr>
      <t xml:space="preserve">作高端。</t>
    </r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</si>
  <si>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低／高端、</t>
    </r>
    <r>
      <rPr>
        <sz val="11"/>
        <color theme="1"/>
        <rFont val="Calibri"/>
        <family val="2"/>
        <charset val="1"/>
      </rPr>
      <t xml:space="preserve">Q4</t>
    </r>
  </si>
  <si>
    <t xml:space="preserve">M10</t>
  </si>
  <si>
    <r>
      <rPr>
        <sz val="11"/>
        <color theme="1"/>
        <rFont val="Calibri"/>
        <family val="2"/>
        <charset val="1"/>
      </rPr>
      <t xml:space="preserve">CLSA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轉述）：『</t>
    </r>
    <r>
      <rPr>
        <sz val="11"/>
        <color theme="1"/>
        <rFont val="Calibri"/>
        <family val="2"/>
        <charset val="1"/>
      </rPr>
      <t xml:space="preserve">CLSA estimates the MI-455 GPU rack will have an average selling price of $5 million</t>
    </r>
    <r>
      <rPr>
        <sz val="11"/>
        <color theme="1"/>
        <rFont val="Noto Sans CJK SC"/>
        <family val="2"/>
      </rPr>
      <t xml:space="preserve">』、『</t>
    </r>
    <r>
      <rPr>
        <sz val="11"/>
        <color theme="1"/>
        <rFont val="Calibri"/>
        <family val="2"/>
        <charset val="1"/>
      </rPr>
      <t xml:space="preserve">implied pricing per GPU of $50,000</t>
    </r>
    <r>
      <rPr>
        <sz val="11"/>
        <color theme="1"/>
        <rFont val="Noto Sans CJK SC"/>
        <family val="2"/>
      </rPr>
      <t xml:space="preserve">』、『</t>
    </r>
    <r>
      <rPr>
        <sz val="11"/>
        <color theme="1"/>
        <rFont val="Calibri"/>
        <family val="2"/>
        <charset val="1"/>
      </rPr>
      <t xml:space="preserve">AMD will invoice approximately 70% of the rack’s ASP as revenue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</si>
  <si>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</si>
  <si>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／架；</t>
    </r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／顆；</t>
    </r>
    <r>
      <rPr>
        <sz val="11"/>
        <color theme="1"/>
        <rFont val="Calibri"/>
        <family val="2"/>
        <charset val="1"/>
      </rPr>
      <t xml:space="preserve">%</t>
    </r>
  </si>
  <si>
    <r>
      <rPr>
        <sz val="11"/>
        <color theme="1"/>
        <rFont val="Noto Sans CJK SC"/>
        <family val="2"/>
      </rPr>
      <t xml:space="preserve">整架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與其他零組件；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開票約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</si>
  <si>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https://www.investing.com/news/analyst-ratings/clsa-raises-amd-stock-price-target-to-710-on-mi455-gpu-outlook-93CH-4892806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</si>
  <si>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（賣方研究，經媒體轉述）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</si>
  <si>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（賣方研究，看多報告）</t>
    </r>
  </si>
  <si>
    <r>
      <rPr>
        <sz val="11"/>
        <color theme="1"/>
        <rFont val="Noto Sans CJK SC"/>
        <family val="2"/>
      </rPr>
      <t xml:space="preserve">全文（轉述）。與 </t>
    </r>
    <r>
      <rPr>
        <sz val="11"/>
        <color theme="1"/>
        <rFont val="Calibri"/>
        <family val="2"/>
        <charset val="1"/>
      </rPr>
      <t xml:space="preserve">M09 </t>
    </r>
    <r>
      <rPr>
        <sz val="11"/>
        <color theme="1"/>
        <rFont val="Noto Sans CJK SC"/>
        <family val="2"/>
      </rPr>
      <t xml:space="preserve">同量級，兩者是否獨立不明（皆為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下半年分析師估計）。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：絕對價口徑與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不同，只作 </t>
    </r>
    <r>
      <rPr>
        <sz val="11"/>
        <color theme="1"/>
        <rFont val="Calibri"/>
        <family val="2"/>
        <charset val="1"/>
      </rPr>
      <t xml:space="preserve">D1abs </t>
    </r>
    <r>
      <rPr>
        <sz val="11"/>
        <color theme="1"/>
        <rFont val="Noto Sans CJK SC"/>
        <family val="2"/>
      </rPr>
      <t xml:space="preserve">對照。</t>
    </r>
  </si>
  <si>
    <t xml:space="preserve">M11</t>
  </si>
  <si>
    <r>
      <rPr>
        <sz val="11"/>
        <color theme="1"/>
        <rFont val="Noto Sans CJK SC"/>
        <family val="2"/>
      </rPr>
      <t xml:space="preserve">低品質價格線索（不採用）：</t>
    </r>
    <r>
      <rPr>
        <sz val="11"/>
        <color theme="1"/>
        <rFont val="Calibri"/>
        <family val="2"/>
        <charset val="1"/>
      </rPr>
      <t xml:space="preserve">TechRadar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2025-10-19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OCP </t>
    </r>
    <r>
      <rPr>
        <sz val="11"/>
        <color theme="1"/>
        <rFont val="Noto Sans CJK SC"/>
        <family val="2"/>
      </rPr>
      <t xml:space="preserve">展示的 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參考設計『</t>
    </r>
    <r>
      <rPr>
        <sz val="11"/>
        <color theme="1"/>
        <rFont val="Calibri"/>
        <family val="2"/>
        <charset val="1"/>
      </rPr>
      <t xml:space="preserve">valued at roughly $3 million</t>
    </r>
    <r>
      <rPr>
        <sz val="11"/>
        <color theme="1"/>
        <rFont val="Noto Sans CJK SC"/>
        <family val="2"/>
      </rPr>
      <t xml:space="preserve">』（無出處）；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貼文 </t>
    </r>
    <r>
      <rPr>
        <sz val="11"/>
        <color theme="1"/>
        <rFont val="Calibri"/>
        <family val="2"/>
        <charset val="1"/>
      </rPr>
      <t xml:space="preserve">MI455X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$45,000-$50,000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Tech Insider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$5.25M ÷ 72 </t>
    </r>
    <r>
      <rPr>
        <sz val="11"/>
        <color theme="1"/>
        <rFont val="Noto Sans CJK SC"/>
        <family val="2"/>
      </rPr>
      <t xml:space="preserve">自行換算『</t>
    </r>
    <r>
      <rPr>
        <sz val="11"/>
        <color theme="1"/>
        <rFont val="Calibri"/>
        <family val="2"/>
        <charset val="1"/>
      </rPr>
      <t xml:space="preserve">roughly $73,000 per GPU</t>
    </r>
    <r>
      <rPr>
        <sz val="11"/>
        <color theme="1"/>
        <rFont val="Noto Sans CJK SC"/>
        <family val="2"/>
      </rPr>
      <t xml:space="preserve">』（記者推論，含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、網路）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</si>
  <si>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45–50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73</t>
    </r>
  </si>
  <si>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</si>
  <si>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https://www.techradar.com/pro/a-secret-amd-christmas-tree-nah-its-just-a-close-up-of-a-very-bright-usd3-million-72-gpu-mi450-helios-rack-monster-at-ocp-summit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https://x.com/MikeLongTerm/status/2010026478843371996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https://tech-insider.org/amd-advancing-ai-2026/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</si>
  <si>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（品質低）</t>
    </r>
  </si>
  <si>
    <r>
      <rPr>
        <sz val="11"/>
        <color theme="1"/>
        <rFont val="Noto Sans CJK SC"/>
        <family val="2"/>
      </rPr>
      <t xml:space="preserve">全文（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貼文只讀搜尋摘要）。均無可追溯出處，只列出不進推導。</t>
    </r>
  </si>
  <si>
    <t xml:space="preserve">M12</t>
  </si>
  <si>
    <r>
      <rPr>
        <sz val="11"/>
        <color theme="1"/>
        <rFont val="Noto Sans CJK SC"/>
        <family val="2"/>
      </rPr>
      <t xml:space="preserve">大單（無每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金額）：</t>
    </r>
    <r>
      <rPr>
        <sz val="11"/>
        <color theme="1"/>
        <rFont val="Calibri"/>
        <family val="2"/>
        <charset val="1"/>
      </rPr>
      <t xml:space="preserve">OpenAI 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2025-10-06</t>
    </r>
    <r>
      <rPr>
        <sz val="11"/>
        <color theme="1"/>
        <rFont val="Noto Sans CJK SC"/>
        <family val="2"/>
      </rPr>
      <t xml:space="preserve">，首 </t>
    </r>
    <r>
      <rPr>
        <sz val="11"/>
        <color theme="1"/>
        <rFont val="Calibri"/>
        <family val="2"/>
        <charset val="1"/>
      </rPr>
      <t xml:space="preserve">GW 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TechCrunch </t>
    </r>
    <r>
      <rPr>
        <sz val="11"/>
        <color theme="1"/>
        <rFont val="Noto Sans CJK SC"/>
        <family val="2"/>
      </rPr>
      <t xml:space="preserve">記者寫『</t>
    </r>
    <r>
      <rPr>
        <sz val="11"/>
        <color theme="1"/>
        <rFont val="Calibri"/>
        <family val="2"/>
        <charset val="1"/>
      </rPr>
      <t xml:space="preserve">tens of billions</t>
    </r>
    <r>
      <rPr>
        <sz val="11"/>
        <color theme="1"/>
        <rFont val="Noto Sans CJK SC"/>
        <family val="2"/>
      </rPr>
      <t xml:space="preserve">』）；</t>
    </r>
    <r>
      <rPr>
        <sz val="11"/>
        <color theme="1"/>
        <rFont val="Calibri"/>
        <family val="2"/>
        <charset val="1"/>
      </rPr>
      <t xml:space="preserve">Meta 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2 GW MI450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，首 </t>
    </r>
    <r>
      <rPr>
        <sz val="11"/>
        <color theme="1"/>
        <rFont val="Calibri"/>
        <family val="2"/>
        <charset val="1"/>
      </rPr>
      <t xml:space="preserve">GW 2027 </t>
    </r>
    <r>
      <rPr>
        <sz val="11"/>
        <color theme="1"/>
        <rFont val="Noto Sans CJK SC"/>
        <family val="2"/>
      </rPr>
      <t xml:space="preserve">上半年；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投資最多 </t>
    </r>
    <r>
      <rPr>
        <sz val="11"/>
        <color theme="1"/>
        <rFont val="Calibri"/>
        <family val="2"/>
        <charset val="1"/>
      </rPr>
      <t xml:space="preserve">$5B </t>
    </r>
    <r>
      <rPr>
        <sz val="11"/>
        <color theme="1"/>
        <rFont val="Noto Sans CJK SC"/>
        <family val="2"/>
      </rPr>
      <t xml:space="preserve">股權）；</t>
    </r>
    <r>
      <rPr>
        <sz val="11"/>
        <color theme="1"/>
        <rFont val="Calibri"/>
        <family val="2"/>
        <charset val="1"/>
      </rPr>
      <t xml:space="preserve">Microsoft Azure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</si>
  <si>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</t>
    </r>
  </si>
  <si>
    <t xml:space="preserve">GW</t>
  </si>
  <si>
    <r>
      <rPr>
        <sz val="11"/>
        <color theme="1"/>
        <rFont val="Noto Sans CJK SC"/>
        <family val="2"/>
      </rPr>
      <t xml:space="preserve">合約規模為『</t>
    </r>
    <r>
      <rPr>
        <sz val="11"/>
        <color theme="1"/>
        <rFont val="Calibri"/>
        <family val="2"/>
        <charset val="1"/>
      </rPr>
      <t xml:space="preserve">up to</t>
    </r>
    <r>
      <rPr>
        <sz val="11"/>
        <color theme="1"/>
        <rFont val="Noto Sans CJK SC"/>
        <family val="2"/>
      </rPr>
      <t xml:space="preserve">』；金額未揭露</t>
    </r>
  </si>
  <si>
    <r>
      <rPr>
        <sz val="11"/>
        <color theme="1"/>
        <rFont val="Calibri"/>
        <family val="2"/>
        <charset val="1"/>
      </rPr>
      <t xml:space="preserve">https://techcrunch.com/2025/10/06/amd-to-supply-6gw-of-compute-capacity-to-openai-in-chip-deal-worth-tens-of-billions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https://www.fierce-network.com/cloud/amds-helios-bets-ai-networking-open-ethernet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</si>
  <si>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新聞稿，經媒體）＋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</si>
  <si>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Noto Sans CJK SC"/>
        <family val="2"/>
      </rPr>
      <t xml:space="preserve">全文。沒有可用的每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未揭露；</t>
    </r>
    <r>
      <rPr>
        <sz val="11"/>
        <color theme="1"/>
        <rFont val="Calibri"/>
        <family val="2"/>
        <charset val="1"/>
      </rPr>
      <t xml:space="preserve">gpusmith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$90B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$100B </t>
    </r>
    <r>
      <rPr>
        <sz val="11"/>
        <color theme="1"/>
        <rFont val="Noto Sans CJK SC"/>
        <family val="2"/>
      </rPr>
      <t xml:space="preserve">為作者估計，未採用），不作價格交叉。</t>
    </r>
  </si>
  <si>
    <t xml:space="preserve">M13</t>
  </si>
  <si>
    <r>
      <rPr>
        <sz val="11"/>
        <color theme="1"/>
        <rFont val="Noto Sans CJK SC"/>
        <family val="2"/>
      </rPr>
      <t xml:space="preserve">已搜尋，未找到：</t>
    </r>
    <r>
      <rPr>
        <sz val="11"/>
        <color theme="1"/>
        <rFont val="Calibri"/>
        <family val="2"/>
        <charset val="1"/>
      </rPr>
      <t xml:space="preserve">(1) AMD </t>
    </r>
    <r>
      <rPr>
        <sz val="11"/>
        <color theme="1"/>
        <rFont val="Noto Sans CJK SC"/>
        <family val="2"/>
      </rPr>
      <t xml:space="preserve">自己的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機架功率（資料表、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簡介、</t>
    </r>
    <r>
      <rPr>
        <sz val="11"/>
        <color theme="1"/>
        <rFont val="Calibri"/>
        <family val="2"/>
        <charset val="1"/>
      </rPr>
      <t xml:space="preserve">5 reasons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資料表皆無）；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Schneider </t>
    </r>
    <r>
      <rPr>
        <sz val="11"/>
        <color theme="1"/>
        <rFont val="Noto Sans CJK SC"/>
        <family val="2"/>
      </rPr>
      <t xml:space="preserve">共同參考設計寫 </t>
    </r>
    <r>
      <rPr>
        <sz val="11"/>
        <color theme="1"/>
        <rFont val="Calibri"/>
        <family val="2"/>
        <charset val="1"/>
      </rPr>
      <t xml:space="preserve">246 kW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MI455X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MLPerf </t>
    </r>
    <r>
      <rPr>
        <sz val="11"/>
        <color theme="1"/>
        <rFont val="Noto Sans CJK SC"/>
        <family val="2"/>
      </rPr>
      <t xml:space="preserve">提交（</t>
    </r>
    <r>
      <rPr>
        <sz val="11"/>
        <color theme="1"/>
        <rFont val="Calibri"/>
        <family val="2"/>
        <charset val="1"/>
      </rPr>
      <t xml:space="preserve">v6.1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MI350X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MI350P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(3) MI455X </t>
    </r>
    <r>
      <rPr>
        <sz val="11"/>
        <color theme="1"/>
        <rFont val="Noto Sans CJK SC"/>
        <family val="2"/>
      </rPr>
      <t xml:space="preserve">的第三方吞吐實測（</t>
    </r>
    <r>
      <rPr>
        <sz val="11"/>
        <color theme="1"/>
        <rFont val="Calibri"/>
        <family val="2"/>
        <charset val="1"/>
      </rPr>
      <t xml:space="preserve">InferenceX </t>
    </r>
    <r>
      <rPr>
        <sz val="11"/>
        <color theme="1"/>
        <rFont val="Noto Sans CJK SC"/>
        <family val="2"/>
      </rPr>
      <t xml:space="preserve">未見 </t>
    </r>
    <r>
      <rPr>
        <sz val="11"/>
        <color theme="1"/>
        <rFont val="Calibri"/>
        <family val="2"/>
        <charset val="1"/>
      </rPr>
      <t xml:space="preserve">MI455X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(4) AMD </t>
    </r>
    <r>
      <rPr>
        <sz val="11"/>
        <color theme="1"/>
        <rFont val="Noto Sans CJK SC"/>
        <family val="2"/>
      </rPr>
      <t xml:space="preserve">官方 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售價；</t>
    </r>
    <r>
      <rPr>
        <sz val="11"/>
        <color theme="1"/>
        <rFont val="Calibri"/>
        <family val="2"/>
        <charset val="1"/>
      </rPr>
      <t xml:space="preserve">(5) AMD tokens/$ </t>
    </r>
    <r>
      <rPr>
        <sz val="11"/>
        <color theme="1"/>
        <rFont val="Noto Sans CJK SC"/>
        <family val="2"/>
      </rPr>
      <t xml:space="preserve">說法所用的假設價格（註腳 </t>
    </r>
    <r>
      <rPr>
        <sz val="11"/>
        <color theme="1"/>
        <rFont val="Calibri"/>
        <family val="2"/>
        <charset val="1"/>
      </rPr>
      <t xml:space="preserve">MI400-0xx </t>
    </r>
    <r>
      <rPr>
        <sz val="11"/>
        <color theme="1"/>
        <rFont val="Noto Sans CJK SC"/>
        <family val="2"/>
      </rPr>
      <t xml:space="preserve">文字未取得）；</t>
    </r>
    <r>
      <rPr>
        <sz val="11"/>
        <color theme="1"/>
        <rFont val="Calibri"/>
        <family val="2"/>
        <charset val="1"/>
      </rPr>
      <t xml:space="preserve">(6) CNBC </t>
    </r>
    <r>
      <rPr>
        <sz val="11"/>
        <color theme="1"/>
        <rFont val="Noto Sans CJK SC"/>
        <family val="2"/>
      </rPr>
      <t xml:space="preserve">原文</t>
    </r>
  </si>
  <si>
    <r>
      <rPr>
        <sz val="11"/>
        <color theme="1"/>
        <rFont val="Noto Sans CJK SC"/>
        <family val="2"/>
      </rPr>
      <t xml:space="preserve">搜尋詞：「</t>
    </r>
    <r>
      <rPr>
        <sz val="11"/>
        <color theme="1"/>
        <rFont val="Calibri"/>
        <family val="2"/>
        <charset val="1"/>
      </rPr>
      <t xml:space="preserve">MI455X TDP watts Helios rack power kW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Helios 245 kW 225kW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MLPerf Inference v6.1 AMD MI455X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InferenceX MI455X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Helios rack price million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MI450 ASP per GPU analyst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Helios tokens per dollar footnote estimated system pricing</t>
    </r>
    <r>
      <rPr>
        <sz val="11"/>
        <color theme="1"/>
        <rFont val="Noto Sans CJK SC"/>
        <family val="2"/>
      </rPr>
      <t xml:space="preserve">」；網站：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官方（資料表、簡介、</t>
    </r>
    <r>
      <rPr>
        <sz val="11"/>
        <color theme="1"/>
        <rFont val="Calibri"/>
        <family val="2"/>
        <charset val="1"/>
      </rPr>
      <t xml:space="preserve">ROCm </t>
    </r>
    <r>
      <rPr>
        <sz val="11"/>
        <color theme="1"/>
        <rFont val="Noto Sans CJK SC"/>
        <family val="2"/>
      </rPr>
      <t xml:space="preserve">部落格）、</t>
    </r>
    <r>
      <rPr>
        <sz val="11"/>
        <color theme="1"/>
        <rFont val="Calibri"/>
        <family val="2"/>
        <charset val="1"/>
      </rPr>
      <t xml:space="preserve">MLCommons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ServeTheHome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StorageReview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The Next Platform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Flopper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（公開頁）、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</si>
  <si>
    <t xml:space="preserve">『未找到』（非『不存在』）</t>
  </si>
  <si>
    <r>
      <rPr>
        <sz val="11"/>
        <color theme="1"/>
        <rFont val="Calibri"/>
        <family val="2"/>
        <charset val="1"/>
      </rPr>
      <t xml:space="preserve">The Next Platform 2026-02-23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規格表為圖片，未能讀取。</t>
    </r>
    <r>
      <rPr>
        <sz val="11"/>
        <color theme="1"/>
        <rFont val="Calibri"/>
        <family val="2"/>
        <charset val="1"/>
      </rPr>
      <t xml:space="preserve">AMD claims </t>
    </r>
    <r>
      <rPr>
        <sz val="11"/>
        <color theme="1"/>
        <rFont val="Noto Sans CJK SC"/>
        <family val="2"/>
      </rPr>
      <t xml:space="preserve">註腳頁未讀到具體文字。</t>
    </r>
  </si>
  <si>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D2</t>
    </r>
  </si>
  <si>
    <t xml:space="preserve">M14</t>
  </si>
  <si>
    <r>
      <rPr>
        <sz val="11"/>
        <color theme="1"/>
        <rFont val="Noto Sans CJK SC"/>
        <family val="2"/>
      </rPr>
      <t xml:space="preserve">模型分母（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v21.6</t>
    </r>
    <r>
      <rPr>
        <sz val="11"/>
        <color theme="1"/>
        <rFont val="Noto Sans CJK SC"/>
        <family val="2"/>
      </rPr>
      <t xml:space="preserve">）：每 </t>
    </r>
    <r>
      <rPr>
        <sz val="11"/>
        <color theme="1"/>
        <rFont val="Calibri"/>
        <family val="2"/>
        <charset val="1"/>
      </rPr>
      <t xml:space="preserve">GPU 35 PF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NVFP4 dense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FP8 dense 17.5</t>
    </r>
    <r>
      <rPr>
        <sz val="11"/>
        <color theme="1"/>
        <rFont val="Noto Sans CJK SC"/>
        <family val="2"/>
      </rPr>
      <t xml:space="preserve">；高情境推論口徑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HBM 22 TB/s</t>
    </r>
    <r>
      <rPr>
        <sz val="11"/>
        <color theme="1"/>
        <rFont val="Noto Sans CJK SC"/>
        <family val="2"/>
      </rPr>
      <t xml:space="preserve">、機架 </t>
    </r>
    <r>
      <rPr>
        <sz val="11"/>
        <color theme="1"/>
        <rFont val="Calibri"/>
        <family val="2"/>
        <charset val="1"/>
      </rPr>
      <t xml:space="preserve">227 kW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GPU 1,800 W</t>
    </r>
    <r>
      <rPr>
        <sz val="11"/>
        <color theme="1"/>
        <rFont val="Noto Sans CJK SC"/>
        <family val="2"/>
      </rPr>
      <t xml:space="preserve">、機架價 </t>
    </r>
    <r>
      <rPr>
        <sz val="11"/>
        <color theme="1"/>
        <rFont val="Calibri"/>
        <family val="2"/>
        <charset val="1"/>
      </rPr>
      <t xml:space="preserve">$8.4M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$37.59B</t>
    </r>
    <r>
      <rPr>
        <sz val="11"/>
        <color theme="1"/>
        <rFont val="Noto Sans CJK SC"/>
        <family val="2"/>
      </rPr>
      <t xml:space="preserve">、經濟持有成本 </t>
    </r>
    <r>
      <rPr>
        <sz val="11"/>
        <color theme="1"/>
        <rFont val="Calibri"/>
        <family val="2"/>
        <charset val="1"/>
      </rPr>
      <t xml:space="preserve">$12.23B</t>
    </r>
    <r>
      <rPr>
        <sz val="11"/>
        <color theme="1"/>
        <rFont val="Noto Sans CJK SC"/>
        <family val="2"/>
      </rPr>
      <t xml:space="preserve">／年；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VR-eq </t>
    </r>
    <r>
      <rPr>
        <sz val="11"/>
        <color theme="1"/>
        <rFont val="Noto Sans CJK SC"/>
        <family val="2"/>
      </rPr>
      <t xml:space="preserve">三層平均 </t>
    </r>
    <r>
      <rPr>
        <sz val="11"/>
        <color theme="1"/>
        <rFont val="Calibri"/>
        <family val="2"/>
        <charset val="1"/>
      </rPr>
      <t xml:space="preserve">0.1036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0.5105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0.6409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HBM 8 TB/s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AMD 0.5/0.7/1.0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0.8/0.9/1.0</t>
    </r>
  </si>
  <si>
    <r>
      <rPr>
        <sz val="11"/>
        <color theme="1"/>
        <rFont val="Noto Sans CJK SC"/>
        <family val="2"/>
      </rPr>
      <t xml:space="preserve">見推導頁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</si>
  <si>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</t>
    </r>
  </si>
  <si>
    <r>
      <rPr>
        <sz val="11"/>
        <color theme="1"/>
        <rFont val="Calibri"/>
        <family val="2"/>
        <charset val="1"/>
      </rPr>
      <t xml:space="preserve">model/20261025_Tokenomics_v21.6.xlsx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</si>
  <si>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（內部模型）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</si>
  <si>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（模型；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規格本身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</si>
  <si>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openpyxl data_only </t>
    </r>
    <r>
      <rPr>
        <sz val="11"/>
        <color theme="1"/>
        <rFont val="Noto Sans CJK SC"/>
        <family val="2"/>
      </rPr>
      <t xml:space="preserve">逐格讀取；數值與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段用的 </t>
    </r>
    <r>
      <rPr>
        <sz val="11"/>
        <color theme="1"/>
        <rFont val="Calibri"/>
        <family val="2"/>
        <charset val="1"/>
      </rPr>
      <t xml:space="preserve">v21.5 </t>
    </r>
    <r>
      <rPr>
        <sz val="11"/>
        <color theme="1"/>
        <rFont val="Noto Sans CJK SC"/>
        <family val="2"/>
      </rPr>
      <t xml:space="preserve">相同。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</si>
  <si>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、建議值</t>
    </r>
  </si>
  <si>
    <t xml:space="preserve">題目</t>
  </si>
  <si>
    <t xml:space="preserve">預設（本提案採用）</t>
  </si>
  <si>
    <t xml:space="preserve">替代方案</t>
  </si>
  <si>
    <t xml:space="preserve">影響</t>
  </si>
  <si>
    <t xml:space="preserve">Q1</t>
  </si>
  <si>
    <r>
      <rPr>
        <sz val="11"/>
        <color theme="1"/>
        <rFont val="Noto Sans CJK SC"/>
        <family val="2"/>
      </rPr>
      <t xml:space="preserve">精度口徑：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有原生 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MXFP4 40.265 PF</t>
    </r>
    <r>
      <rPr>
        <sz val="11"/>
        <color theme="1"/>
        <rFont val="Noto Sans CJK SC"/>
        <family val="2"/>
      </rPr>
      <t xml:space="preserve">）且 </t>
    </r>
    <r>
      <rPr>
        <sz val="11"/>
        <color theme="1"/>
        <rFont val="Calibri"/>
        <family val="2"/>
        <charset val="1"/>
      </rPr>
      <t xml:space="preserve">FP4:FP8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2:1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NVFP4 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FP8 17.5</t>
    </r>
    <r>
      <rPr>
        <sz val="11"/>
        <color theme="1"/>
        <rFont val="Noto Sans CJK SC"/>
        <family val="2"/>
      </rPr>
      <t xml:space="preserve">）同比例。兩種口徑的每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峰值比相同（</t>
    </r>
    <r>
      <rPr>
        <sz val="11"/>
        <color theme="1"/>
        <rFont val="Calibri"/>
        <family val="2"/>
        <charset val="1"/>
      </rPr>
      <t xml:space="preserve">1.066</t>
    </r>
    <r>
      <rPr>
        <sz val="11"/>
        <color theme="1"/>
        <rFont val="Noto Sans CJK SC"/>
        <family val="2"/>
      </rPr>
      <t xml:space="preserve">），本段不存在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的精度落差。是否接受以『最高原生精度』為主表？</t>
    </r>
  </si>
  <si>
    <r>
      <rPr>
        <sz val="11"/>
        <color theme="1"/>
        <rFont val="Noto Sans CJK SC"/>
        <family val="2"/>
      </rPr>
      <t xml:space="preserve">接受：主表＝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最高原生精度（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FP8 </t>
    </r>
    <r>
      <rPr>
        <sz val="11"/>
        <color theme="1"/>
        <rFont val="Noto Sans CJK SC"/>
        <family val="2"/>
      </rPr>
      <t xml:space="preserve">對齊的產出比數值與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相同（推導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MXFP4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元素區塊、</t>
    </r>
    <r>
      <rPr>
        <sz val="11"/>
        <color theme="1"/>
        <rFont val="Calibri"/>
        <family val="2"/>
        <charset val="1"/>
      </rPr>
      <t xml:space="preserve">E8M0 </t>
    </r>
    <r>
      <rPr>
        <sz val="11"/>
        <color theme="1"/>
        <rFont val="Noto Sans CJK SC"/>
        <family val="2"/>
      </rPr>
      <t xml:space="preserve">尺度）與 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元素、</t>
    </r>
    <r>
      <rPr>
        <sz val="11"/>
        <color theme="1"/>
        <rFont val="Calibri"/>
        <family val="2"/>
        <charset val="1"/>
      </rPr>
      <t xml:space="preserve">E4M3 </t>
    </r>
    <r>
      <rPr>
        <sz val="11"/>
        <color theme="1"/>
        <rFont val="Noto Sans CJK SC"/>
        <family val="2"/>
      </rPr>
      <t xml:space="preserve">尺度）精度不完全等價，差異已含在由 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達到 </t>
    </r>
    <r>
      <rPr>
        <sz val="11"/>
        <color theme="1"/>
        <rFont val="Calibri"/>
        <family val="2"/>
        <charset val="1"/>
      </rPr>
      <t xml:space="preserve">Closed </t>
    </r>
    <r>
      <rPr>
        <sz val="11"/>
        <color theme="1"/>
        <rFont val="Noto Sans CJK SC"/>
        <family val="2"/>
      </rPr>
      <t xml:space="preserve">精度要求）還原的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內。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</si>
  <si>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改採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Noto Sans CJK SC"/>
        <family val="2"/>
      </rPr>
      <t xml:space="preserve">對齊，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列不受影響；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改用高情境 </t>
    </r>
    <r>
      <rPr>
        <sz val="11"/>
        <color theme="1"/>
        <rFont val="Calibri"/>
        <family val="2"/>
        <charset val="1"/>
      </rPr>
      <t xml:space="preserve">50 PF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Spec_Rack!F24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峰值比降為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，產出比約 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</si>
  <si>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精度口徑不改變本列結論；與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的並排比較會因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段）的決定而改變相對位置。</t>
    </r>
  </si>
  <si>
    <t xml:space="preserve">Q2</t>
  </si>
  <si>
    <r>
      <rPr>
        <sz val="11"/>
        <color theme="1"/>
        <rFont val="Noto Sans CJK SC"/>
        <family val="2"/>
      </rPr>
      <t xml:space="preserve">機架功率：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數字（經媒體）為『依負載 </t>
    </r>
    <r>
      <rPr>
        <sz val="11"/>
        <color theme="1"/>
        <rFont val="Calibri"/>
        <family val="2"/>
        <charset val="1"/>
      </rPr>
      <t xml:space="preserve">225–245 kW</t>
    </r>
    <r>
      <rPr>
        <sz val="11"/>
        <color theme="1"/>
        <rFont val="Noto Sans CJK SC"/>
        <family val="2"/>
      </rPr>
      <t xml:space="preserve">』，</t>
    </r>
    <r>
      <rPr>
        <sz val="11"/>
        <color theme="1"/>
        <rFont val="Calibri"/>
        <family val="2"/>
        <charset val="1"/>
      </rPr>
      <t xml:space="preserve">245 kW </t>
    </r>
    <r>
      <rPr>
        <sz val="11"/>
        <color theme="1"/>
        <rFont val="Noto Sans CJK SC"/>
        <family val="2"/>
      </rPr>
      <t xml:space="preserve">同時是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所稱散熱上限。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VR200 227 kW </t>
    </r>
    <r>
      <rPr>
        <sz val="11"/>
        <color theme="1"/>
        <rFont val="Noto Sans CJK SC"/>
        <family val="2"/>
      </rPr>
      <t xml:space="preserve">為配電設計功率（</t>
    </r>
    <r>
      <rPr>
        <sz val="11"/>
        <color theme="1"/>
        <rFont val="Calibri"/>
        <family val="2"/>
        <charset val="1"/>
      </rPr>
      <t xml:space="preserve">Max-P</t>
    </r>
    <r>
      <rPr>
        <sz val="11"/>
        <color theme="1"/>
        <rFont val="Noto Sans CJK SC"/>
        <family val="2"/>
      </rPr>
      <t xml:space="preserve">）。本表以 </t>
    </r>
    <r>
      <rPr>
        <sz val="11"/>
        <color theme="1"/>
        <rFont val="Calibri"/>
        <family val="2"/>
        <charset val="1"/>
      </rPr>
      <t xml:space="preserve">245 kW </t>
    </r>
    <r>
      <rPr>
        <sz val="11"/>
        <color theme="1"/>
        <rFont val="Noto Sans CJK SC"/>
        <family val="2"/>
      </rPr>
      <t xml:space="preserve">為同口徑基準，</t>
    </r>
    <r>
      <rPr>
        <sz val="11"/>
        <color theme="1"/>
        <rFont val="Calibri"/>
        <family val="2"/>
        <charset val="1"/>
      </rPr>
      <t xml:space="preserve">225 kW </t>
    </r>
    <r>
      <rPr>
        <sz val="11"/>
        <color theme="1"/>
        <rFont val="Noto Sans CJK SC"/>
        <family val="2"/>
      </rPr>
      <t xml:space="preserve">只作高端產出。是否接受？</t>
    </r>
  </si>
  <si>
    <r>
      <rPr>
        <sz val="11"/>
        <color theme="1"/>
        <rFont val="Noto Sans CJK SC"/>
        <family val="2"/>
      </rPr>
      <t xml:space="preserve">接受：低／基準／高端產出＝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225 kW</t>
    </r>
    <r>
      <rPr>
        <sz val="11"/>
        <color theme="1"/>
        <rFont val="Noto Sans CJK SC"/>
        <family val="2"/>
      </rPr>
      <t xml:space="preserve">（每顆所攤 </t>
    </r>
    <r>
      <rPr>
        <sz val="11"/>
        <color theme="1"/>
        <rFont val="Calibri"/>
        <family val="2"/>
        <charset val="1"/>
      </rPr>
      <t xml:space="preserve">3.40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3.13 kW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</si>
  <si>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基準改 </t>
    </r>
    <r>
      <rPr>
        <sz val="11"/>
        <color theme="1"/>
        <rFont val="Calibri"/>
        <family val="2"/>
        <charset val="1"/>
      </rPr>
      <t xml:space="preserve">235 kW</t>
    </r>
    <r>
      <rPr>
        <sz val="11"/>
        <color theme="1"/>
        <rFont val="Noto Sans CJK SC"/>
        <family val="2"/>
      </rPr>
      <t xml:space="preserve">（區間中點）：產出比 </t>
    </r>
    <r>
      <rPr>
        <sz val="11"/>
        <color theme="1"/>
        <rFont val="Calibri"/>
        <family val="2"/>
        <charset val="1"/>
      </rPr>
      <t xml:space="preserve">+4%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若出貨版功率高於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（無證據），每 </t>
    </r>
    <r>
      <rPr>
        <sz val="11"/>
        <color theme="1"/>
        <rFont val="Calibri"/>
        <family val="2"/>
        <charset val="1"/>
      </rPr>
      <t xml:space="preserve">+10% </t>
    </r>
    <r>
      <rPr>
        <sz val="11"/>
        <color theme="1"/>
        <rFont val="Noto Sans CJK SC"/>
        <family val="2"/>
      </rPr>
      <t xml:space="preserve">產出比 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</si>
  <si>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產出比基準 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0.84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235</t>
    </r>
    <r>
      <rPr>
        <sz val="11"/>
        <color theme="1"/>
        <rFont val="Noto Sans CJK SC"/>
        <family val="2"/>
      </rPr>
      <t xml:space="preserve">）。</t>
    </r>
  </si>
  <si>
    <t xml:space="preserve">Q3</t>
  </si>
  <si>
    <r>
      <rPr>
        <sz val="11"/>
        <color theme="1"/>
        <rFont val="Noto Sans CJK SC"/>
        <family val="2"/>
      </rPr>
      <t xml:space="preserve">效率因子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MLPerf </t>
    </r>
    <r>
      <rPr>
        <sz val="11"/>
        <color theme="1"/>
        <rFont val="Noto Sans CJK SC"/>
        <family val="2"/>
      </rPr>
      <t xml:space="preserve">優先）：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未提交 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v6.1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DeepSeek-R1 Server </t>
    </r>
    <r>
      <rPr>
        <sz val="11"/>
        <color theme="1"/>
        <rFont val="Noto Sans CJK SC"/>
        <family val="2"/>
      </rPr>
      <t xml:space="preserve">每顆吞吐、按每峰值換算，對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三個錨點還原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0.82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），再乘 </t>
    </r>
    <r>
      <rPr>
        <sz val="11"/>
        <color theme="1"/>
        <rFont val="Calibri"/>
        <family val="2"/>
        <charset val="1"/>
      </rPr>
      <t xml:space="preserve">MI355X→MI455X </t>
    </r>
    <r>
      <rPr>
        <sz val="11"/>
        <color theme="1"/>
        <rFont val="Noto Sans CJK SC"/>
        <family val="2"/>
      </rPr>
      <t xml:space="preserve">的『算力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頻寬』轉換係數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TK GB200→GB300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ridge </t>
    </r>
    <r>
      <rPr>
        <sz val="11"/>
        <color theme="1"/>
        <rFont val="Noto Sans CJK SC"/>
        <family val="2"/>
      </rPr>
      <t xml:space="preserve">彈性類比，約 </t>
    </r>
    <r>
      <rPr>
        <sz val="11"/>
        <color theme="1"/>
        <rFont val="Calibri"/>
        <family val="2"/>
        <charset val="1"/>
      </rPr>
      <t xml:space="preserve">0.89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錨點</t>
    </r>
    <r>
      <rPr>
        <sz val="11"/>
        <color theme="1"/>
        <rFont val="Calibri"/>
        <family val="2"/>
        <charset val="1"/>
      </rPr>
      <t xml:space="preserve">×t</t>
    </r>
    <r>
      <rPr>
        <sz val="11"/>
        <color theme="1"/>
        <rFont val="Noto Sans CJK SC"/>
        <family val="2"/>
      </rPr>
      <t xml:space="preserve">、基準＝三錨點平均</t>
    </r>
    <r>
      <rPr>
        <sz val="11"/>
        <color theme="1"/>
        <rFont val="Calibri"/>
        <family val="2"/>
        <charset val="1"/>
      </rPr>
      <t xml:space="preserve">×t</t>
    </r>
    <r>
      <rPr>
        <sz val="11"/>
        <color theme="1"/>
        <rFont val="Noto Sans CJK SC"/>
        <family val="2"/>
      </rPr>
      <t xml:space="preserve">、高＝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錨點不打折（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自述 </t>
    </r>
    <r>
      <rPr>
        <sz val="11"/>
        <color theme="1"/>
        <rFont val="Calibri"/>
        <family val="2"/>
        <charset val="1"/>
      </rPr>
      <t xml:space="preserve">Kimi K2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0.96–1.00 </t>
    </r>
    <r>
      <rPr>
        <sz val="11"/>
        <color theme="1"/>
        <rFont val="Noto Sans CJK SC"/>
        <family val="2"/>
      </rPr>
      <t xml:space="preserve">佐證；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）。是否接受？</t>
    </r>
  </si>
  <si>
    <r>
      <rPr>
        <sz val="11"/>
        <color theme="1"/>
        <rFont val="Noto Sans CJK SC"/>
        <family val="2"/>
      </rPr>
      <t xml:space="preserve">接受：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0.656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 from MLPerf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gpt-oss-120b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Llama2-70b </t>
    </r>
    <r>
      <rPr>
        <sz val="11"/>
        <color theme="1"/>
        <rFont val="Noto Sans CJK SC"/>
        <family val="2"/>
      </rPr>
      <t xml:space="preserve">的還原值（</t>
    </r>
    <r>
      <rPr>
        <sz val="11"/>
        <color theme="1"/>
        <rFont val="Calibri"/>
        <family val="2"/>
        <charset val="1"/>
      </rPr>
      <t xml:space="preserve">1.03–1.22</t>
    </r>
    <r>
      <rPr>
        <sz val="11"/>
        <color theme="1"/>
        <rFont val="Noto Sans CJK SC"/>
        <family val="2"/>
      </rPr>
      <t xml:space="preserve">）屬較小模型、較不像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前沿負載，只放敏感度（平均</t>
    </r>
    <r>
      <rPr>
        <sz val="11"/>
        <color theme="1"/>
        <rFont val="Calibri"/>
        <family val="2"/>
        <charset val="1"/>
      </rPr>
      <t xml:space="preserve">×t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InferenceX </t>
    </r>
    <r>
      <rPr>
        <sz val="11"/>
        <color theme="1"/>
        <rFont val="Noto Sans CJK SC"/>
        <family val="2"/>
      </rPr>
      <t xml:space="preserve">只作佐證。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</si>
  <si>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不乘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保有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每峰值效率）：基準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、產出比 </t>
    </r>
    <r>
      <rPr>
        <sz val="11"/>
        <color theme="1"/>
        <rFont val="Calibri"/>
        <family val="2"/>
        <charset val="1"/>
      </rPr>
      <t xml:space="preserve">0.91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用全部九個還原值平均</t>
    </r>
    <r>
      <rPr>
        <sz val="11"/>
        <color theme="1"/>
        <rFont val="Calibri"/>
        <family val="2"/>
        <charset val="1"/>
      </rPr>
      <t xml:space="preserve">×t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）：產出比 </t>
    </r>
    <r>
      <rPr>
        <sz val="11"/>
        <color theme="1"/>
        <rFont val="Calibri"/>
        <family val="2"/>
        <charset val="1"/>
      </rPr>
      <t xml:space="preserve">0.98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低端再扣首代機架級 </t>
    </r>
    <r>
      <rPr>
        <sz val="11"/>
        <color theme="1"/>
        <rFont val="Calibri"/>
        <family val="2"/>
        <charset val="1"/>
      </rPr>
      <t xml:space="preserve">UALoE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CDNA 5 </t>
    </r>
    <r>
      <rPr>
        <sz val="11"/>
        <color theme="1"/>
        <rFont val="Noto Sans CJK SC"/>
        <family val="2"/>
      </rPr>
      <t xml:space="preserve">軟體風險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低端思路）：</t>
    </r>
    <r>
      <rPr>
        <sz val="11"/>
        <color theme="1"/>
        <rFont val="Calibri"/>
        <family val="2"/>
        <charset val="1"/>
      </rPr>
      <t xml:space="preserve">0.52</t>
    </r>
    <r>
      <rPr>
        <sz val="11"/>
        <color theme="1"/>
        <rFont val="Noto Sans CJK SC"/>
        <family val="2"/>
      </rPr>
      <t xml:space="preserve">、產出比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(d) r1</t>
    </r>
    <r>
      <rPr>
        <sz val="11"/>
        <color theme="1"/>
        <rFont val="Noto Sans CJK SC"/>
        <family val="2"/>
      </rPr>
      <t xml:space="preserve">：只用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兩錨點平均 </t>
    </r>
    <r>
      <rPr>
        <sz val="11"/>
        <color theme="1"/>
        <rFont val="Calibri"/>
        <family val="2"/>
        <charset val="1"/>
      </rPr>
      <t xml:space="preserve">× t</t>
    </r>
    <r>
      <rPr>
        <sz val="11"/>
        <color theme="1"/>
        <rFont val="Noto Sans CJK SC"/>
        <family val="2"/>
      </rPr>
      <t xml:space="preserve">（排除已知偏高的 </t>
    </r>
    <r>
      <rPr>
        <sz val="11"/>
        <color theme="1"/>
        <rFont val="Calibri"/>
        <family val="2"/>
        <charset val="1"/>
      </rPr>
      <t xml:space="preserve">VR200 Preview </t>
    </r>
    <r>
      <rPr>
        <sz val="11"/>
        <color theme="1"/>
        <rFont val="Noto Sans CJK SC"/>
        <family val="2"/>
      </rPr>
      <t xml:space="preserve">錨點）：</t>
    </r>
    <r>
      <rPr>
        <sz val="11"/>
        <color theme="1"/>
        <rFont val="Calibri"/>
        <family val="2"/>
        <charset val="1"/>
      </rPr>
      <t xml:space="preserve">f≈0.692</t>
    </r>
    <r>
      <rPr>
        <sz val="11"/>
        <color theme="1"/>
        <rFont val="Noto Sans CJK SC"/>
        <family val="2"/>
      </rPr>
      <t xml:space="preserve">、產出比約 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F8</t>
    </r>
    <r>
      <rPr>
        <sz val="11"/>
        <color theme="1"/>
        <rFont val="Noto Sans CJK SC"/>
        <family val="2"/>
      </rPr>
      <t xml:space="preserve">）。注意：</t>
    </r>
    <r>
      <rPr>
        <sz val="11"/>
        <color theme="1"/>
        <rFont val="Calibri"/>
        <family val="2"/>
        <charset val="1"/>
      </rPr>
      <t xml:space="preserve">MI355X DeepSeek-R1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512 </t>
    </r>
    <r>
      <rPr>
        <sz val="11"/>
        <color theme="1"/>
        <rFont val="Noto Sans CJK SC"/>
        <family val="2"/>
      </rPr>
      <t xml:space="preserve">顆多節點（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顆，規模不同。</t>
    </r>
  </si>
  <si>
    <r>
      <rPr>
        <sz val="11"/>
        <color theme="1"/>
        <rFont val="Noto Sans CJK SC"/>
        <family val="2"/>
      </rPr>
      <t xml:space="preserve">產出比基準 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(d) 0.74</t>
    </r>
    <r>
      <rPr>
        <sz val="11"/>
        <color theme="1"/>
        <rFont val="Noto Sans CJK SC"/>
        <family val="2"/>
      </rPr>
      <t xml:space="preserve">。</t>
    </r>
  </si>
  <si>
    <t xml:space="preserve">Q4</t>
  </si>
  <si>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每架價格（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決定改為同口徑）：</t>
    </r>
    <r>
      <rPr>
        <sz val="11"/>
        <color theme="1"/>
        <rFont val="Calibri"/>
        <family val="2"/>
        <charset val="1"/>
      </rPr>
      <t xml:space="preserve">TK VR200 $8.4M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Spec_Rack!F12 </t>
    </r>
    <r>
      <rPr>
        <sz val="11"/>
        <color theme="1"/>
        <rFont val="Noto Sans CJK SC"/>
        <family val="2"/>
      </rPr>
      <t xml:space="preserve">買方取得價（</t>
    </r>
    <r>
      <rPr>
        <sz val="11"/>
        <color theme="1"/>
        <rFont val="Calibri"/>
        <family val="2"/>
        <charset val="1"/>
      </rPr>
      <t xml:space="preserve">MS BOM 7.8 × 1.075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同源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只 </t>
    </r>
    <r>
      <rPr>
        <sz val="11"/>
        <color theme="1"/>
        <rFont val="Calibri"/>
        <family val="2"/>
        <charset val="1"/>
      </rPr>
      <t xml:space="preserve">$3.5–4M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口徑的 </t>
    </r>
    <r>
      <rPr>
        <sz val="11"/>
        <color theme="1"/>
        <rFont val="Calibri"/>
        <family val="2"/>
        <charset val="1"/>
      </rPr>
      <t xml:space="preserve">0.42–0.48</t>
    </r>
    <r>
      <rPr>
        <sz val="11"/>
        <color theme="1"/>
        <rFont val="Noto Sans CJK SC"/>
        <family val="2"/>
      </rPr>
      <t xml:space="preserve">），所以分析師 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絕對價 </t>
    </r>
    <r>
      <rPr>
        <sz val="11"/>
        <color theme="1"/>
        <rFont val="Calibri"/>
        <family val="2"/>
        <charset val="1"/>
      </rPr>
      <t xml:space="preserve">÷ TK $8.4M </t>
    </r>
    <r>
      <rPr>
        <sz val="11"/>
        <color theme="1"/>
        <rFont val="Noto Sans CJK SC"/>
        <family val="2"/>
      </rPr>
      <t xml:space="preserve">是不同口徑相除。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</si>
  <si>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絕對價 </t>
    </r>
    <r>
      <rPr>
        <sz val="11"/>
        <color theme="1"/>
        <rFont val="Calibri"/>
        <family val="2"/>
        <charset val="1"/>
      </rPr>
      <t xml:space="preserve">$5.25M</t>
    </r>
    <r>
      <rPr>
        <sz val="11"/>
        <color theme="1"/>
        <rFont val="Noto Sans CJK SC"/>
        <family val="2"/>
      </rPr>
      <t xml:space="preserve">（口徑混用、下界）；基準＝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自述隱含比 </t>
    </r>
    <r>
      <rPr>
        <sz val="11"/>
        <color theme="1"/>
        <rFont val="Calibri"/>
        <family val="2"/>
        <charset val="1"/>
      </rPr>
      <t xml:space="preserve">0.865 × $8.4M ≈ $7.27M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同源比值 </t>
    </r>
    <r>
      <rPr>
        <sz val="11"/>
        <color theme="1"/>
        <rFont val="Calibri"/>
        <family val="2"/>
        <charset val="1"/>
      </rPr>
      <t xml:space="preserve">1.25 × $8.4M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$10.5M →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1.12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D6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</si>
  <si>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(a) Futurum </t>
    </r>
    <r>
      <rPr>
        <sz val="11"/>
        <color theme="1"/>
        <rFont val="Noto Sans CJK SC"/>
        <family val="2"/>
      </rPr>
      <t xml:space="preserve">同源比值全區間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1.57 × $8.4M</t>
    </r>
    <r>
      <rPr>
        <sz val="11"/>
        <color theme="1"/>
        <rFont val="Noto Sans CJK SC"/>
        <family val="2"/>
      </rPr>
      <t xml:space="preserve">：持有比 </t>
    </r>
    <r>
      <rPr>
        <sz val="11"/>
        <color theme="1"/>
        <rFont val="Calibri"/>
        <family val="2"/>
        <charset val="1"/>
      </rPr>
      <t xml:space="preserve">1.12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D7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r0 </t>
    </r>
    <r>
      <rPr>
        <sz val="11"/>
        <color theme="1"/>
        <rFont val="Noto Sans CJK SC"/>
        <family val="2"/>
      </rPr>
      <t xml:space="preserve">口徑（絕對價 </t>
    </r>
    <r>
      <rPr>
        <sz val="11"/>
        <color theme="1"/>
        <rFont val="Calibri"/>
        <family val="2"/>
        <charset val="1"/>
      </rPr>
      <t xml:space="preserve">$5.0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5.5M ÷ TK </t>
    </r>
    <r>
      <rPr>
        <sz val="11"/>
        <color theme="1"/>
        <rFont val="Noto Sans CJK SC"/>
        <family val="2"/>
      </rPr>
      <t xml:space="preserve">價）：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D11</t>
    </r>
    <r>
      <rPr>
        <sz val="11"/>
        <color theme="1"/>
        <rFont val="Noto Sans CJK SC"/>
        <family val="2"/>
      </rPr>
      <t xml:space="preserve">，口徑混用）；</t>
    </r>
    <r>
      <rPr>
        <sz val="11"/>
        <color theme="1"/>
        <rFont val="Calibri"/>
        <family val="2"/>
        <charset val="1"/>
      </rPr>
      <t xml:space="preserve">(c) AMD </t>
    </r>
    <r>
      <rPr>
        <sz val="11"/>
        <color theme="1"/>
        <rFont val="Noto Sans CJK SC"/>
        <family val="2"/>
      </rPr>
      <t xml:space="preserve">自述隱含比全區間 </t>
    </r>
    <r>
      <rPr>
        <sz val="11"/>
        <color theme="1"/>
        <rFont val="Calibri"/>
        <family val="2"/>
        <charset val="1"/>
      </rPr>
      <t xml:space="preserve">0.846–0.885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0.83–0.86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D10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</si>
  <si>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持有比基準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成本比基準約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0.84</t>
    </r>
    <r>
      <rPr>
        <sz val="11"/>
        <color theme="1"/>
        <rFont val="Noto Sans CJK SC"/>
        <family val="2"/>
      </rPr>
      <t xml:space="preserve">）。</t>
    </r>
  </si>
  <si>
    <t xml:space="preserve">Q5</t>
  </si>
  <si>
    <r>
      <rPr>
        <sz val="11"/>
        <color theme="1"/>
        <rFont val="Noto Sans CJK SC"/>
        <family val="2"/>
      </rPr>
      <t xml:space="preserve">是否寫進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下一版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）？</t>
    </r>
  </si>
  <si>
    <r>
      <rPr>
        <sz val="11"/>
        <color theme="1"/>
        <rFont val="Noto Sans CJK SC"/>
        <family val="2"/>
      </rPr>
      <t xml:space="preserve">寫進：產出比與持有比都換（持有比用同口徑值）——產出比 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、持有比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1.12</t>
    </r>
    <r>
      <rPr>
        <sz val="11"/>
        <color theme="1"/>
        <rFont val="Noto Sans CJK SC"/>
        <family val="2"/>
      </rPr>
      <t xml:space="preserve">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，說明欄引本資料夾，移除『持有比為慣例值、未推導』字樣。</t>
    </r>
  </si>
  <si>
    <r>
      <rPr>
        <sz val="11"/>
        <color theme="1"/>
        <rFont val="Noto Sans CJK SC"/>
        <family val="2"/>
      </rPr>
      <t xml:space="preserve">保守替代：只換產出比（證據較強：官方功率＋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Noto Sans CJK SC"/>
        <family val="2"/>
      </rPr>
      <t xml:space="preserve">），持有比維持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待更好價格證據；或都不換，只在說明欄附本表區間。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</si>
  <si>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成本比 </t>
    </r>
    <r>
      <rPr>
        <sz val="11"/>
        <color theme="1"/>
        <rFont val="Calibri"/>
        <family val="2"/>
        <charset val="1"/>
      </rPr>
      <t xml:space="preserve">1.29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1.06</t>
    </r>
    <r>
      <rPr>
        <sz val="11"/>
        <color theme="1"/>
        <rFont val="Noto Sans CJK SC"/>
        <family val="2"/>
      </rPr>
      <t xml:space="preserve">（全換，建議輸入值）或約 </t>
    </r>
    <r>
      <rPr>
        <sz val="11"/>
        <color theme="1"/>
        <rFont val="Calibri"/>
        <family val="2"/>
        <charset val="1"/>
      </rPr>
      <t xml:space="preserve">1.13</t>
    </r>
    <r>
      <rPr>
        <sz val="11"/>
        <color theme="1"/>
        <rFont val="Noto Sans CJK SC"/>
        <family val="2"/>
      </rPr>
      <t xml:space="preserve">（只換產出比）。下游（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份額）每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成本略降。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</si>
</sst>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General"/>
    <numFmt numFmtId="167" formatCode="0.000"/>
    <numFmt numFmtId="168" formatCode="0.00"/>
    <numFmt numFmtId="169" formatCode="0.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7" min="3" style="0" width="11"/>
    <col collapsed="false" customWidth="true" hidden="false" outlineLevel="0" max="8" min="8" style="0" width="14"/>
    <col collapsed="false" customWidth="true" hidden="false" outlineLevel="0" max="11" min="9" style="0" width="10"/>
    <col collapsed="false" customWidth="true" hidden="false" outlineLevel="0" max="12" min="12" style="0" width="80"/>
  </cols>
  <sheetData>
    <row r="1" customFormat="false" ht="17.15" hidden="false" customHeight="false" outlineLevel="0" collapsed="false">
      <c r="A1" s="1" t="s">
        <v>0</v>
      </c>
    </row>
    <row r="2" customFormat="false" ht="111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7.15" hidden="false" customHeight="false" outlineLevel="0" collapsed="false">
      <c r="A4" s="0" t="s">
        <v>14</v>
      </c>
      <c r="B4" s="4" t="n">
        <f aca="false">推導!D105</f>
        <v>0.699062767017911</v>
      </c>
      <c r="C4" s="4" t="n">
        <f aca="false">推導!E105</f>
        <v>0.80649467481194</v>
      </c>
      <c r="D4" s="4" t="n">
        <f aca="false">推導!F105</f>
        <v>1.15416758192424</v>
      </c>
      <c r="E4" s="4" t="n">
        <f aca="false">推導!D114</f>
        <v>0.674246491827101</v>
      </c>
      <c r="F4" s="4" t="n">
        <f aca="false">推導!E114</f>
        <v>0.846614898249591</v>
      </c>
      <c r="G4" s="4" t="n">
        <f aca="false">推導!F114</f>
        <v>1.12240434852557</v>
      </c>
      <c r="H4" s="5" t="n">
        <f aca="false">F4/C4</f>
        <v>1.04974642076466</v>
      </c>
      <c r="I4" s="5" t="n">
        <f aca="false">E4/D4</f>
        <v>0.584184222799772</v>
      </c>
      <c r="J4" s="5" t="n">
        <f aca="false">G4/B4</f>
        <v>1.60558450754511</v>
      </c>
      <c r="L4" s="6" t="s">
        <v>15</v>
      </c>
    </row>
    <row r="5" customFormat="false" ht="17.15" hidden="false" customHeight="false" outlineLevel="0" collapsed="false">
      <c r="A5" s="0" t="s">
        <v>16</v>
      </c>
      <c r="B5" s="4" t="n">
        <f aca="false">推導!D120</f>
        <v>0.699080128566825</v>
      </c>
      <c r="C5" s="4" t="n">
        <f aca="false">推導!E120</f>
        <v>0.806514704482244</v>
      </c>
      <c r="D5" s="4" t="n">
        <f aca="false">推導!F120</f>
        <v>1.15419624621287</v>
      </c>
      <c r="E5" s="4" t="n">
        <f aca="false">推導!D114</f>
        <v>0.674246491827101</v>
      </c>
      <c r="F5" s="4" t="n">
        <f aca="false">推導!E114</f>
        <v>0.846614898249591</v>
      </c>
      <c r="G5" s="4" t="n">
        <f aca="false">推導!F114</f>
        <v>1.12240434852557</v>
      </c>
      <c r="H5" s="6" t="n">
        <f aca="false">F5/C5</f>
        <v>1.04972035047159</v>
      </c>
      <c r="I5" s="6" t="n">
        <f aca="false">E5/D5</f>
        <v>0.584169714673243</v>
      </c>
      <c r="J5" s="6" t="n">
        <f aca="false">G5/B5</f>
        <v>1.6055446330975</v>
      </c>
      <c r="L5" s="6" t="s">
        <v>15</v>
      </c>
    </row>
    <row r="7" customFormat="false" ht="17.15" hidden="false" customHeight="false" outlineLevel="0" collapsed="false">
      <c r="A7" s="1" t="s">
        <v>17</v>
      </c>
    </row>
    <row r="8" customFormat="false" ht="111.15" hidden="false" customHeight="false" outlineLevel="0" collapsed="false">
      <c r="A8" s="0" t="s">
        <v>18</v>
      </c>
      <c r="B8" s="7" t="n">
        <v>0.7</v>
      </c>
      <c r="C8" s="7" t="n">
        <v>0.8</v>
      </c>
      <c r="D8" s="7" t="n">
        <v>1.15</v>
      </c>
      <c r="E8" s="7" t="n">
        <v>0.67</v>
      </c>
      <c r="F8" s="7" t="n">
        <v>0.85</v>
      </c>
      <c r="G8" s="7" t="n">
        <v>1.12</v>
      </c>
      <c r="H8" s="6" t="n">
        <f aca="false">F8/C8</f>
        <v>1.0625</v>
      </c>
      <c r="I8" s="6" t="n">
        <f aca="false">E8/D8</f>
        <v>0.582608695652174</v>
      </c>
      <c r="J8" s="6" t="n">
        <f aca="false">G8/B8</f>
        <v>1.6</v>
      </c>
      <c r="K8" s="5" t="s">
        <v>19</v>
      </c>
      <c r="L8" s="2" t="s">
        <v>20</v>
      </c>
    </row>
    <row r="10" customFormat="false" ht="17.15" hidden="false" customHeight="false" outlineLevel="0" collapsed="false">
      <c r="A10" s="8" t="s">
        <v>21</v>
      </c>
    </row>
    <row r="11" customFormat="false" ht="17.15" hidden="false" customHeight="false" outlineLevel="0" collapsed="false">
      <c r="A11" s="0" t="s">
        <v>22</v>
      </c>
      <c r="B11" s="0" t="n">
        <v>0.5</v>
      </c>
      <c r="C11" s="0" t="n">
        <v>0.7</v>
      </c>
      <c r="D11" s="0" t="n">
        <v>1</v>
      </c>
      <c r="E11" s="0" t="n">
        <v>0.8</v>
      </c>
      <c r="F11" s="0" t="n">
        <v>0.9</v>
      </c>
      <c r="G11" s="0" t="n">
        <v>1</v>
      </c>
      <c r="H11" s="0" t="n">
        <f aca="false">F11/C11</f>
        <v>1.28571428571429</v>
      </c>
      <c r="I11" s="0" t="n">
        <f aca="false">E11/D11</f>
        <v>0.8</v>
      </c>
      <c r="J11" s="0" t="n">
        <f aca="false">G11/B11</f>
        <v>2</v>
      </c>
      <c r="K11" s="0" t="s">
        <v>19</v>
      </c>
      <c r="L11" s="0" t="s">
        <v>23</v>
      </c>
    </row>
    <row r="13" customFormat="false" ht="17.15" hidden="false" customHeight="false" outlineLevel="0" collapsed="false">
      <c r="A13" s="1" t="s">
        <v>24</v>
      </c>
    </row>
    <row r="14" customFormat="false" ht="17.15" hidden="false" customHeight="false" outlineLevel="0" collapsed="false">
      <c r="A14" s="3" t="s">
        <v>2</v>
      </c>
      <c r="B14" s="3" t="s">
        <v>25</v>
      </c>
      <c r="C14" s="3" t="s">
        <v>4</v>
      </c>
      <c r="D14" s="3" t="s">
        <v>7</v>
      </c>
      <c r="E14" s="3" t="s">
        <v>26</v>
      </c>
      <c r="F14" s="3" t="s">
        <v>27</v>
      </c>
      <c r="G14" s="3" t="s">
        <v>28</v>
      </c>
      <c r="H14" s="3" t="s">
        <v>29</v>
      </c>
    </row>
    <row r="15" customFormat="false" ht="17.15" hidden="false" customHeight="false" outlineLevel="0" collapsed="false">
      <c r="A15" s="0" t="s">
        <v>30</v>
      </c>
      <c r="B15" s="4" t="n">
        <f aca="false">推導!E99</f>
        <v>1.06590728862974</v>
      </c>
      <c r="C15" s="6" t="n">
        <f aca="false">C8</f>
        <v>0.8</v>
      </c>
      <c r="D15" s="6" t="n">
        <f aca="false">F8</f>
        <v>0.85</v>
      </c>
      <c r="E15" s="6" t="n">
        <f aca="false">D15/C15</f>
        <v>1.0625</v>
      </c>
      <c r="F15" s="0" t="str">
        <f aca="false">TEXT(B8,"0.00")&amp;"–"&amp;TEXT(D8,"0.00")</f>
        <v>0.70–1.15</v>
      </c>
      <c r="G15" s="0" t="str">
        <f aca="false">TEXT(E8,"0.00")&amp;"–"&amp;TEXT(G8,"0.00")</f>
        <v>0.67–1.12</v>
      </c>
      <c r="H15" s="6" t="s">
        <v>31</v>
      </c>
    </row>
    <row r="16" customFormat="false" ht="17.15" hidden="false" customHeight="false" outlineLevel="0" collapsed="false">
      <c r="A16" s="0" t="s">
        <v>32</v>
      </c>
      <c r="B16" s="7" t="n">
        <v>0.383</v>
      </c>
      <c r="C16" s="7" t="n">
        <v>0.35</v>
      </c>
      <c r="D16" s="7" t="n">
        <v>0.7</v>
      </c>
      <c r="E16" s="6" t="n">
        <f aca="false">D16/C16</f>
        <v>2</v>
      </c>
      <c r="F16" s="5" t="s">
        <v>33</v>
      </c>
      <c r="G16" s="5" t="s">
        <v>34</v>
      </c>
      <c r="H16" s="5" t="s">
        <v>35</v>
      </c>
    </row>
    <row r="17" customFormat="false" ht="17.15" hidden="false" customHeight="false" outlineLevel="0" collapsed="false">
      <c r="A17" s="0" t="s">
        <v>36</v>
      </c>
      <c r="B17" s="7" t="n">
        <v>0.176</v>
      </c>
      <c r="C17" s="7" t="n">
        <v>0.14</v>
      </c>
      <c r="D17" s="7" t="n">
        <v>0.55</v>
      </c>
      <c r="E17" s="6" t="n">
        <f aca="false">D17/C17</f>
        <v>3.92857142857143</v>
      </c>
      <c r="F17" s="5" t="s">
        <v>37</v>
      </c>
      <c r="G17" s="5" t="s">
        <v>38</v>
      </c>
      <c r="H17" s="5" t="s">
        <v>39</v>
      </c>
    </row>
    <row r="18" customFormat="false" ht="17.15" hidden="false" customHeight="false" outlineLevel="0" collapsed="false">
      <c r="A18" s="0" t="s">
        <v>40</v>
      </c>
      <c r="B18" s="7" t="n">
        <v>0.676</v>
      </c>
      <c r="C18" s="7" t="n">
        <v>0.55</v>
      </c>
      <c r="D18" s="7" t="n">
        <v>0.5</v>
      </c>
      <c r="E18" s="6" t="n">
        <f aca="false">D18/C18</f>
        <v>0.909090909090909</v>
      </c>
      <c r="F18" s="5" t="s">
        <v>41</v>
      </c>
      <c r="G18" s="5" t="s">
        <v>42</v>
      </c>
      <c r="H18" s="5" t="s">
        <v>43</v>
      </c>
    </row>
    <row r="19" customFormat="false" ht="17.15" hidden="false" customHeight="false" outlineLevel="0" collapsed="false">
      <c r="A19" s="6" t="s">
        <v>44</v>
      </c>
      <c r="B19" s="7" t="n">
        <v>0.093</v>
      </c>
      <c r="C19" s="7" t="n">
        <v>0.08</v>
      </c>
      <c r="D19" s="7" t="n">
        <v>0.55</v>
      </c>
      <c r="E19" s="6" t="n">
        <f aca="false">D19/C19</f>
        <v>6.875</v>
      </c>
      <c r="F19" s="5" t="s">
        <v>45</v>
      </c>
      <c r="G19" s="5" t="s">
        <v>38</v>
      </c>
      <c r="H19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50"/>
    <col collapsed="false" customWidth="true" hidden="false" outlineLevel="0" max="8" min="8" style="0" width="28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1" t="s">
        <v>47</v>
      </c>
    </row>
    <row r="2" customFormat="false" ht="534.3" hidden="false" customHeight="false" outlineLevel="0" collapsed="false">
      <c r="A2" s="2" t="s">
        <v>48</v>
      </c>
    </row>
    <row r="4" customFormat="false" ht="15" hidden="false" customHeight="false" outlineLevel="0" collapsed="false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12</v>
      </c>
      <c r="I4" s="3" t="s">
        <v>56</v>
      </c>
    </row>
    <row r="5" customFormat="false" ht="17.15" hidden="false" customHeight="false" outlineLevel="0" collapsed="false">
      <c r="A5" s="9" t="s">
        <v>57</v>
      </c>
      <c r="B5" s="10"/>
      <c r="C5" s="10"/>
      <c r="D5" s="10"/>
      <c r="E5" s="10"/>
      <c r="F5" s="10"/>
      <c r="G5" s="11"/>
      <c r="H5" s="11"/>
      <c r="I5" s="11"/>
    </row>
    <row r="6" customFormat="false" ht="32.8" hidden="false" customHeight="false" outlineLevel="0" collapsed="false">
      <c r="A6" s="0" t="s">
        <v>58</v>
      </c>
      <c r="B6" s="0" t="s">
        <v>59</v>
      </c>
      <c r="C6" s="0" t="s">
        <v>60</v>
      </c>
      <c r="D6" s="7" t="n">
        <v>35</v>
      </c>
      <c r="E6" s="7" t="n">
        <v>35</v>
      </c>
      <c r="F6" s="7" t="n">
        <v>35</v>
      </c>
      <c r="G6" s="12" t="s">
        <v>61</v>
      </c>
      <c r="H6" s="12" t="s">
        <v>62</v>
      </c>
      <c r="I6" s="12" t="s">
        <v>63</v>
      </c>
    </row>
    <row r="7" customFormat="false" ht="32.8" hidden="false" customHeight="false" outlineLevel="0" collapsed="false">
      <c r="A7" s="0" t="s">
        <v>64</v>
      </c>
      <c r="B7" s="0" t="s">
        <v>65</v>
      </c>
      <c r="C7" s="0" t="s">
        <v>66</v>
      </c>
      <c r="D7" s="13" t="n">
        <v>227</v>
      </c>
      <c r="E7" s="13" t="n">
        <v>227</v>
      </c>
      <c r="F7" s="13" t="n">
        <v>227</v>
      </c>
      <c r="G7" s="12" t="s">
        <v>67</v>
      </c>
      <c r="H7" s="12" t="s">
        <v>68</v>
      </c>
      <c r="I7" s="12" t="s">
        <v>69</v>
      </c>
    </row>
    <row r="8" customFormat="false" ht="17.15" hidden="false" customHeight="false" outlineLevel="0" collapsed="false">
      <c r="A8" s="0" t="s">
        <v>70</v>
      </c>
      <c r="B8" s="6" t="s">
        <v>71</v>
      </c>
      <c r="C8" s="6" t="s">
        <v>72</v>
      </c>
      <c r="D8" s="7" t="n">
        <v>72</v>
      </c>
      <c r="E8" s="7" t="n">
        <v>72</v>
      </c>
      <c r="F8" s="7" t="n">
        <v>72</v>
      </c>
      <c r="G8" s="12" t="s">
        <v>73</v>
      </c>
      <c r="H8" s="12" t="s">
        <v>74</v>
      </c>
      <c r="I8" s="12"/>
    </row>
    <row r="9" customFormat="false" ht="17.15" hidden="false" customHeight="false" outlineLevel="0" collapsed="false">
      <c r="A9" s="0" t="s">
        <v>75</v>
      </c>
      <c r="B9" s="0" t="s">
        <v>76</v>
      </c>
      <c r="C9" s="0" t="s">
        <v>66</v>
      </c>
      <c r="D9" s="4" t="n">
        <f aca="false">D7/D8</f>
        <v>3.15277777777778</v>
      </c>
      <c r="E9" s="4" t="n">
        <f aca="false">E7/E8</f>
        <v>3.15277777777778</v>
      </c>
      <c r="F9" s="4" t="n">
        <f aca="false">F7/F8</f>
        <v>3.15277777777778</v>
      </c>
      <c r="G9" s="12" t="s">
        <v>77</v>
      </c>
      <c r="H9" s="12" t="s">
        <v>77</v>
      </c>
      <c r="I9" s="12" t="s">
        <v>78</v>
      </c>
    </row>
    <row r="10" customFormat="false" ht="17.15" hidden="false" customHeight="false" outlineLevel="0" collapsed="false">
      <c r="A10" s="0" t="s">
        <v>79</v>
      </c>
      <c r="B10" s="0" t="s">
        <v>80</v>
      </c>
      <c r="C10" s="0" t="s">
        <v>81</v>
      </c>
      <c r="D10" s="4" t="n">
        <f aca="false">D6/D9</f>
        <v>11.1013215859031</v>
      </c>
      <c r="E10" s="4" t="n">
        <f aca="false">E6/E9</f>
        <v>11.1013215859031</v>
      </c>
      <c r="F10" s="4" t="n">
        <f aca="false">F6/F9</f>
        <v>11.1013215859031</v>
      </c>
      <c r="G10" s="12" t="s">
        <v>77</v>
      </c>
      <c r="H10" s="12" t="s">
        <v>77</v>
      </c>
      <c r="I10" s="12"/>
    </row>
    <row r="11" customFormat="false" ht="17.15" hidden="false" customHeight="false" outlineLevel="0" collapsed="false">
      <c r="A11" s="0" t="s">
        <v>82</v>
      </c>
      <c r="B11" s="0" t="s">
        <v>83</v>
      </c>
      <c r="C11" s="6" t="s">
        <v>84</v>
      </c>
      <c r="D11" s="7" t="n">
        <v>4052</v>
      </c>
      <c r="E11" s="7" t="n">
        <v>4052</v>
      </c>
      <c r="F11" s="7" t="n">
        <v>4052</v>
      </c>
      <c r="G11" s="12" t="s">
        <v>85</v>
      </c>
      <c r="H11" s="12" t="s">
        <v>86</v>
      </c>
      <c r="I11" s="12"/>
    </row>
    <row r="12" customFormat="false" ht="17.15" hidden="false" customHeight="false" outlineLevel="0" collapsed="false">
      <c r="A12" s="0" t="s">
        <v>87</v>
      </c>
      <c r="B12" s="0" t="s">
        <v>88</v>
      </c>
      <c r="C12" s="0" t="s">
        <v>89</v>
      </c>
      <c r="D12" s="0" t="n">
        <f aca="false">D11*D7/1000</f>
        <v>919.804</v>
      </c>
      <c r="E12" s="0" t="n">
        <f aca="false">E11*E7/1000</f>
        <v>919.804</v>
      </c>
      <c r="F12" s="0" t="n">
        <f aca="false">F11*F7/1000</f>
        <v>919.804</v>
      </c>
      <c r="G12" s="12" t="s">
        <v>77</v>
      </c>
      <c r="H12" s="12" t="s">
        <v>77</v>
      </c>
      <c r="I12" s="2" t="s">
        <v>90</v>
      </c>
    </row>
    <row r="13" customFormat="false" ht="17.15" hidden="false" customHeight="false" outlineLevel="0" collapsed="false">
      <c r="A13" s="0" t="s">
        <v>91</v>
      </c>
      <c r="B13" s="0" t="s">
        <v>92</v>
      </c>
      <c r="C13" s="0" t="s">
        <v>93</v>
      </c>
      <c r="D13" s="7" t="n">
        <v>8.4</v>
      </c>
      <c r="E13" s="7" t="n">
        <v>8.4</v>
      </c>
      <c r="F13" s="7" t="n">
        <v>8.4</v>
      </c>
      <c r="G13" s="12" t="s">
        <v>94</v>
      </c>
      <c r="H13" s="12" t="s">
        <v>95</v>
      </c>
      <c r="I13" s="12" t="s">
        <v>96</v>
      </c>
    </row>
    <row r="14" customFormat="false" ht="17.15" hidden="false" customHeight="false" outlineLevel="0" collapsed="false">
      <c r="A14" s="0" t="s">
        <v>97</v>
      </c>
      <c r="B14" s="0" t="s">
        <v>98</v>
      </c>
      <c r="C14" s="0" t="s">
        <v>99</v>
      </c>
      <c r="D14" s="7" t="n">
        <v>37.586352</v>
      </c>
      <c r="E14" s="7" t="n">
        <v>37.586352</v>
      </c>
      <c r="F14" s="7" t="n">
        <v>37.586352</v>
      </c>
      <c r="G14" s="12" t="s">
        <v>100</v>
      </c>
      <c r="H14" s="12" t="s">
        <v>86</v>
      </c>
      <c r="I14" s="12"/>
    </row>
    <row r="15" customFormat="false" ht="17.15" hidden="false" customHeight="false" outlineLevel="0" collapsed="false">
      <c r="A15" s="0" t="s">
        <v>101</v>
      </c>
      <c r="B15" s="0" t="s">
        <v>102</v>
      </c>
      <c r="C15" s="0" t="s">
        <v>103</v>
      </c>
      <c r="D15" s="4" t="n">
        <f aca="false">D14/(D11*D13/1000)</f>
        <v>1.10428571428571</v>
      </c>
      <c r="E15" s="4" t="n">
        <f aca="false">E14/(E11*E13/1000)</f>
        <v>1.10428571428571</v>
      </c>
      <c r="F15" s="4" t="n">
        <f aca="false">F14/(F11*F13/1000)</f>
        <v>1.10428571428571</v>
      </c>
      <c r="G15" s="12" t="s">
        <v>77</v>
      </c>
      <c r="H15" s="12" t="s">
        <v>77</v>
      </c>
      <c r="I15" s="2" t="s">
        <v>104</v>
      </c>
    </row>
    <row r="16" customFormat="false" ht="17.15" hidden="false" customHeight="false" outlineLevel="0" collapsed="false">
      <c r="A16" s="0" t="s">
        <v>105</v>
      </c>
      <c r="B16" s="0" t="s">
        <v>106</v>
      </c>
      <c r="C16" s="0" t="s">
        <v>99</v>
      </c>
      <c r="D16" s="7" t="n">
        <v>12.67</v>
      </c>
      <c r="E16" s="7" t="n">
        <v>12.67</v>
      </c>
      <c r="F16" s="7" t="n">
        <v>12.67</v>
      </c>
      <c r="G16" s="12" t="s">
        <v>107</v>
      </c>
      <c r="H16" s="12" t="s">
        <v>86</v>
      </c>
      <c r="I16" s="12"/>
    </row>
    <row r="17" customFormat="false" ht="17.15" hidden="false" customHeight="false" outlineLevel="0" collapsed="false">
      <c r="A17" s="0" t="s">
        <v>108</v>
      </c>
      <c r="B17" s="0" t="s">
        <v>109</v>
      </c>
      <c r="C17" s="0" t="s">
        <v>110</v>
      </c>
      <c r="D17" s="7" t="n">
        <v>12.2254710045841</v>
      </c>
      <c r="E17" s="7" t="n">
        <v>12.2254710045841</v>
      </c>
      <c r="F17" s="7" t="n">
        <v>12.2254710045841</v>
      </c>
      <c r="G17" s="12" t="s">
        <v>111</v>
      </c>
      <c r="H17" s="12" t="s">
        <v>86</v>
      </c>
      <c r="I17" s="2" t="s">
        <v>112</v>
      </c>
    </row>
    <row r="18" customFormat="false" ht="17.15" hidden="false" customHeight="false" outlineLevel="0" collapsed="false">
      <c r="A18" s="0" t="s">
        <v>113</v>
      </c>
      <c r="B18" s="0" t="s">
        <v>114</v>
      </c>
      <c r="C18" s="0" t="s">
        <v>110</v>
      </c>
      <c r="D18" s="7" t="n">
        <v>8.9923042149807</v>
      </c>
      <c r="E18" s="7" t="n">
        <v>8.9923042149807</v>
      </c>
      <c r="F18" s="7" t="n">
        <v>8.9923042149807</v>
      </c>
      <c r="G18" s="12" t="s">
        <v>115</v>
      </c>
      <c r="H18" s="12" t="s">
        <v>86</v>
      </c>
      <c r="I18" s="12"/>
    </row>
    <row r="19" customFormat="false" ht="17.15" hidden="false" customHeight="false" outlineLevel="0" collapsed="false">
      <c r="A19" s="0" t="s">
        <v>116</v>
      </c>
      <c r="B19" s="0" t="s">
        <v>117</v>
      </c>
      <c r="C19" s="0" t="s">
        <v>110</v>
      </c>
      <c r="D19" s="7" t="n">
        <v>6.264392</v>
      </c>
      <c r="E19" s="7" t="n">
        <v>6.264392</v>
      </c>
      <c r="F19" s="7" t="n">
        <v>6.264392</v>
      </c>
      <c r="G19" s="12" t="s">
        <v>118</v>
      </c>
      <c r="H19" s="12" t="s">
        <v>86</v>
      </c>
      <c r="I19" s="12"/>
    </row>
    <row r="20" customFormat="false" ht="17.15" hidden="false" customHeight="false" outlineLevel="0" collapsed="false">
      <c r="A20" s="0" t="s">
        <v>119</v>
      </c>
      <c r="B20" s="0" t="s">
        <v>120</v>
      </c>
      <c r="C20" s="0" t="s">
        <v>110</v>
      </c>
      <c r="D20" s="7" t="n">
        <v>0.591045788314028</v>
      </c>
      <c r="E20" s="7" t="n">
        <v>0.591045788314028</v>
      </c>
      <c r="F20" s="7" t="n">
        <v>0.591045788314028</v>
      </c>
      <c r="G20" s="12" t="s">
        <v>121</v>
      </c>
      <c r="H20" s="12" t="s">
        <v>86</v>
      </c>
      <c r="I20" s="12"/>
    </row>
    <row r="21" customFormat="false" ht="17.15" hidden="false" customHeight="false" outlineLevel="0" collapsed="false">
      <c r="A21" s="0" t="s">
        <v>122</v>
      </c>
      <c r="B21" s="0" t="s">
        <v>123</v>
      </c>
      <c r="C21" s="0" t="s">
        <v>110</v>
      </c>
      <c r="D21" s="7" t="n">
        <v>0.25128176</v>
      </c>
      <c r="E21" s="7" t="n">
        <v>0.25128176</v>
      </c>
      <c r="F21" s="7" t="n">
        <v>0.25128176</v>
      </c>
      <c r="G21" s="12" t="s">
        <v>124</v>
      </c>
      <c r="H21" s="12" t="s">
        <v>86</v>
      </c>
      <c r="I21" s="12"/>
    </row>
    <row r="22" customFormat="false" ht="17.15" hidden="false" customHeight="false" outlineLevel="0" collapsed="false">
      <c r="A22" s="0" t="s">
        <v>125</v>
      </c>
      <c r="B22" s="6" t="s">
        <v>126</v>
      </c>
      <c r="C22" s="0" t="s">
        <v>110</v>
      </c>
      <c r="D22" s="0" t="n">
        <f aca="false">D17-D18</f>
        <v>3.2331667896034</v>
      </c>
      <c r="E22" s="0" t="n">
        <f aca="false">E17-E18</f>
        <v>3.2331667896034</v>
      </c>
      <c r="F22" s="0" t="n">
        <f aca="false">F17-F18</f>
        <v>3.2331667896034</v>
      </c>
      <c r="G22" s="12" t="s">
        <v>77</v>
      </c>
      <c r="H22" s="12" t="s">
        <v>77</v>
      </c>
      <c r="I22" s="12"/>
    </row>
    <row r="23" customFormat="false" ht="17.15" hidden="false" customHeight="false" outlineLevel="0" collapsed="false">
      <c r="A23" s="0" t="s">
        <v>127</v>
      </c>
      <c r="B23" s="0" t="s">
        <v>128</v>
      </c>
      <c r="C23" s="0" t="s">
        <v>129</v>
      </c>
      <c r="D23" s="4" t="n">
        <f aca="false">D14/(D14+D16)</f>
        <v>0.747892564904034</v>
      </c>
      <c r="E23" s="4" t="n">
        <f aca="false">E14/(E14+E16)</f>
        <v>0.747892564904034</v>
      </c>
      <c r="F23" s="4" t="n">
        <f aca="false">F14/(F14+F16)</f>
        <v>0.747892564904034</v>
      </c>
      <c r="G23" s="12" t="s">
        <v>77</v>
      </c>
      <c r="H23" s="12" t="s">
        <v>77</v>
      </c>
      <c r="I23" s="12"/>
    </row>
    <row r="24" customFormat="false" ht="17.15" hidden="false" customHeight="false" outlineLevel="0" collapsed="false">
      <c r="A24" s="0" t="s">
        <v>130</v>
      </c>
      <c r="B24" s="6" t="s">
        <v>131</v>
      </c>
      <c r="C24" s="0" t="s">
        <v>110</v>
      </c>
      <c r="D24" s="0" t="n">
        <f aca="false">D19+D20+(D21+D22)*D23</f>
        <v>9.46143095135306</v>
      </c>
      <c r="E24" s="0" t="n">
        <f aca="false">E19+E20+(E21+E22)*E23</f>
        <v>9.46143095135306</v>
      </c>
      <c r="F24" s="0" t="n">
        <f aca="false">F19+F20+(F21+F22)*F23</f>
        <v>9.46143095135306</v>
      </c>
      <c r="G24" s="12" t="s">
        <v>77</v>
      </c>
      <c r="H24" s="12" t="s">
        <v>77</v>
      </c>
      <c r="I24" s="12"/>
    </row>
    <row r="25" customFormat="false" ht="17.15" hidden="false" customHeight="false" outlineLevel="0" collapsed="false">
      <c r="A25" s="0" t="s">
        <v>132</v>
      </c>
      <c r="B25" s="6" t="s">
        <v>133</v>
      </c>
      <c r="C25" s="0" t="s">
        <v>129</v>
      </c>
      <c r="D25" s="4" t="n">
        <f aca="false">D24/D17</f>
        <v>0.773911364871371</v>
      </c>
      <c r="E25" s="4" t="n">
        <f aca="false">E24/E17</f>
        <v>0.773911364871371</v>
      </c>
      <c r="F25" s="4" t="n">
        <f aca="false">F24/F17</f>
        <v>0.773911364871371</v>
      </c>
      <c r="G25" s="12" t="s">
        <v>77</v>
      </c>
      <c r="H25" s="12" t="s">
        <v>77</v>
      </c>
      <c r="I25" s="2" t="s">
        <v>134</v>
      </c>
    </row>
    <row r="26" customFormat="false" ht="17.15" hidden="false" customHeight="false" outlineLevel="0" collapsed="false">
      <c r="A26" s="0" t="s">
        <v>135</v>
      </c>
      <c r="B26" s="0" t="s">
        <v>136</v>
      </c>
      <c r="C26" s="0" t="s">
        <v>60</v>
      </c>
      <c r="D26" s="7" t="n">
        <v>17.5</v>
      </c>
      <c r="E26" s="7" t="n">
        <v>17.5</v>
      </c>
      <c r="F26" s="7" t="n">
        <v>17.5</v>
      </c>
      <c r="G26" s="12" t="s">
        <v>137</v>
      </c>
      <c r="H26" s="12" t="s">
        <v>95</v>
      </c>
      <c r="I26" s="12" t="s">
        <v>138</v>
      </c>
    </row>
    <row r="27" customFormat="false" ht="17.15" hidden="false" customHeight="false" outlineLevel="0" collapsed="false">
      <c r="A27" s="0" t="s">
        <v>139</v>
      </c>
      <c r="B27" s="0" t="s">
        <v>140</v>
      </c>
      <c r="C27" s="0" t="s">
        <v>141</v>
      </c>
      <c r="D27" s="7" t="n">
        <v>1800</v>
      </c>
      <c r="E27" s="7" t="n">
        <v>1800</v>
      </c>
      <c r="F27" s="7" t="n">
        <v>1800</v>
      </c>
      <c r="G27" s="12" t="s">
        <v>142</v>
      </c>
      <c r="H27" s="12" t="s">
        <v>95</v>
      </c>
      <c r="I27" s="12"/>
    </row>
    <row r="28" customFormat="false" ht="17.15" hidden="false" customHeight="false" outlineLevel="0" collapsed="false">
      <c r="A28" s="0" t="s">
        <v>143</v>
      </c>
      <c r="B28" s="0" t="s">
        <v>144</v>
      </c>
      <c r="C28" s="0" t="s">
        <v>103</v>
      </c>
      <c r="D28" s="4" t="n">
        <f aca="false">D7*1000/(D8*D27)</f>
        <v>1.75154320987654</v>
      </c>
      <c r="E28" s="4" t="n">
        <f aca="false">E7*1000/(E8*E27)</f>
        <v>1.75154320987654</v>
      </c>
      <c r="F28" s="4" t="n">
        <f aca="false">F7*1000/(F8*F27)</f>
        <v>1.75154320987654</v>
      </c>
      <c r="G28" s="12" t="s">
        <v>77</v>
      </c>
      <c r="H28" s="12" t="s">
        <v>77</v>
      </c>
      <c r="I28" s="12" t="s">
        <v>145</v>
      </c>
    </row>
    <row r="29" customFormat="false" ht="17.15" hidden="false" customHeight="false" outlineLevel="0" collapsed="false">
      <c r="A29" s="0" t="s">
        <v>146</v>
      </c>
      <c r="B29" s="0" t="s">
        <v>147</v>
      </c>
      <c r="C29" s="0" t="s">
        <v>148</v>
      </c>
      <c r="D29" s="7" t="n">
        <v>22</v>
      </c>
      <c r="E29" s="7" t="n">
        <v>22</v>
      </c>
      <c r="F29" s="7" t="n">
        <v>22</v>
      </c>
      <c r="G29" s="12" t="s">
        <v>149</v>
      </c>
      <c r="H29" s="12" t="s">
        <v>95</v>
      </c>
      <c r="I29" s="12"/>
    </row>
    <row r="30" customFormat="false" ht="17.15" hidden="false" customHeight="false" outlineLevel="0" collapsed="false">
      <c r="A30" s="0" t="s">
        <v>150</v>
      </c>
      <c r="B30" s="0" t="s">
        <v>151</v>
      </c>
      <c r="C30" s="0" t="s">
        <v>152</v>
      </c>
      <c r="D30" s="0" t="n">
        <f aca="false">D6*1000/D29</f>
        <v>1590.90909090909</v>
      </c>
      <c r="E30" s="0" t="n">
        <f aca="false">E6*1000/E29</f>
        <v>1590.90909090909</v>
      </c>
      <c r="F30" s="0" t="n">
        <f aca="false">F6*1000/F29</f>
        <v>1590.90909090909</v>
      </c>
      <c r="G30" s="12" t="s">
        <v>153</v>
      </c>
      <c r="H30" s="12" t="s">
        <v>77</v>
      </c>
      <c r="I30" s="12" t="s">
        <v>154</v>
      </c>
    </row>
    <row r="31" customFormat="false" ht="17.15" hidden="false" customHeight="false" outlineLevel="0" collapsed="false">
      <c r="A31" s="9" t="s">
        <v>155</v>
      </c>
      <c r="B31" s="10"/>
      <c r="C31" s="10"/>
      <c r="D31" s="10"/>
      <c r="E31" s="10"/>
      <c r="F31" s="10"/>
      <c r="G31" s="11"/>
      <c r="H31" s="11"/>
      <c r="I31" s="11"/>
    </row>
    <row r="32" customFormat="false" ht="17.15" hidden="false" customHeight="false" outlineLevel="0" collapsed="false">
      <c r="A32" s="0" t="s">
        <v>156</v>
      </c>
      <c r="B32" s="0" t="s">
        <v>157</v>
      </c>
      <c r="C32" s="0" t="s">
        <v>60</v>
      </c>
      <c r="D32" s="7" t="n">
        <v>1.979</v>
      </c>
      <c r="E32" s="7" t="n">
        <v>1.979</v>
      </c>
      <c r="F32" s="7" t="n">
        <v>1.979</v>
      </c>
      <c r="G32" s="12" t="s">
        <v>158</v>
      </c>
      <c r="H32" s="12" t="s">
        <v>95</v>
      </c>
      <c r="I32" s="12" t="s">
        <v>159</v>
      </c>
    </row>
    <row r="33" customFormat="false" ht="17.15" hidden="false" customHeight="false" outlineLevel="0" collapsed="false">
      <c r="A33" s="0" t="s">
        <v>160</v>
      </c>
      <c r="B33" s="0" t="s">
        <v>161</v>
      </c>
      <c r="C33" s="0" t="s">
        <v>66</v>
      </c>
      <c r="D33" s="13" t="n">
        <v>41</v>
      </c>
      <c r="E33" s="13" t="n">
        <v>41</v>
      </c>
      <c r="F33" s="13" t="n">
        <v>41</v>
      </c>
      <c r="G33" s="12" t="s">
        <v>158</v>
      </c>
      <c r="H33" s="12" t="s">
        <v>162</v>
      </c>
      <c r="I33" s="12"/>
    </row>
    <row r="34" customFormat="false" ht="17.15" hidden="false" customHeight="false" outlineLevel="0" collapsed="false">
      <c r="A34" s="0" t="s">
        <v>163</v>
      </c>
      <c r="B34" s="0" t="s">
        <v>164</v>
      </c>
      <c r="C34" s="6" t="s">
        <v>72</v>
      </c>
      <c r="D34" s="7" t="n">
        <v>32</v>
      </c>
      <c r="E34" s="7" t="n">
        <v>32</v>
      </c>
      <c r="F34" s="7" t="n">
        <v>32</v>
      </c>
      <c r="G34" s="12" t="s">
        <v>158</v>
      </c>
      <c r="H34" s="12" t="s">
        <v>74</v>
      </c>
      <c r="I34" s="12"/>
    </row>
    <row r="35" customFormat="false" ht="17.15" hidden="false" customHeight="false" outlineLevel="0" collapsed="false">
      <c r="A35" s="0" t="s">
        <v>165</v>
      </c>
      <c r="B35" s="0" t="s">
        <v>166</v>
      </c>
      <c r="C35" s="0" t="s">
        <v>66</v>
      </c>
      <c r="D35" s="4" t="n">
        <f aca="false">D33/D34</f>
        <v>1.28125</v>
      </c>
      <c r="E35" s="4" t="n">
        <f aca="false">E33/E34</f>
        <v>1.28125</v>
      </c>
      <c r="F35" s="4" t="n">
        <f aca="false">F33/F34</f>
        <v>1.28125</v>
      </c>
      <c r="G35" s="12" t="s">
        <v>77</v>
      </c>
      <c r="H35" s="12" t="s">
        <v>77</v>
      </c>
      <c r="I35" s="12"/>
    </row>
    <row r="36" customFormat="false" ht="17.15" hidden="false" customHeight="false" outlineLevel="0" collapsed="false">
      <c r="A36" s="0" t="s">
        <v>167</v>
      </c>
      <c r="B36" s="0" t="s">
        <v>168</v>
      </c>
      <c r="C36" s="0" t="s">
        <v>129</v>
      </c>
      <c r="D36" s="4" t="n">
        <f aca="false">(D32/D35)/D10</f>
        <v>0.139135269066976</v>
      </c>
      <c r="E36" s="4" t="n">
        <f aca="false">(E32/E35)/E10</f>
        <v>0.139135269066976</v>
      </c>
      <c r="F36" s="4" t="n">
        <f aca="false">(F32/F35)/F10</f>
        <v>0.139135269066976</v>
      </c>
      <c r="G36" s="12" t="s">
        <v>77</v>
      </c>
      <c r="H36" s="12" t="s">
        <v>77</v>
      </c>
      <c r="I36" s="12"/>
    </row>
    <row r="37" customFormat="false" ht="17.15" hidden="false" customHeight="false" outlineLevel="0" collapsed="false">
      <c r="A37" s="0" t="s">
        <v>169</v>
      </c>
      <c r="B37" s="0" t="s">
        <v>170</v>
      </c>
      <c r="C37" s="0" t="s">
        <v>60</v>
      </c>
      <c r="D37" s="7" t="n">
        <v>10</v>
      </c>
      <c r="E37" s="7" t="n">
        <v>10</v>
      </c>
      <c r="F37" s="7" t="n">
        <v>10</v>
      </c>
      <c r="G37" s="12" t="s">
        <v>171</v>
      </c>
      <c r="H37" s="12" t="s">
        <v>95</v>
      </c>
      <c r="I37" s="12" t="s">
        <v>159</v>
      </c>
    </row>
    <row r="38" customFormat="false" ht="17.15" hidden="false" customHeight="false" outlineLevel="0" collapsed="false">
      <c r="A38" s="0" t="s">
        <v>172</v>
      </c>
      <c r="B38" s="0" t="s">
        <v>173</v>
      </c>
      <c r="C38" s="0" t="s">
        <v>66</v>
      </c>
      <c r="D38" s="13" t="n">
        <v>132</v>
      </c>
      <c r="E38" s="13" t="n">
        <v>132</v>
      </c>
      <c r="F38" s="13" t="n">
        <v>132</v>
      </c>
      <c r="G38" s="12" t="s">
        <v>171</v>
      </c>
      <c r="H38" s="12" t="s">
        <v>162</v>
      </c>
      <c r="I38" s="12"/>
    </row>
    <row r="39" customFormat="false" ht="17.15" hidden="false" customHeight="false" outlineLevel="0" collapsed="false">
      <c r="A39" s="0" t="s">
        <v>174</v>
      </c>
      <c r="B39" s="0" t="s">
        <v>175</v>
      </c>
      <c r="C39" s="6" t="s">
        <v>72</v>
      </c>
      <c r="D39" s="7" t="n">
        <v>72</v>
      </c>
      <c r="E39" s="7" t="n">
        <v>72</v>
      </c>
      <c r="F39" s="7" t="n">
        <v>72</v>
      </c>
      <c r="G39" s="12" t="s">
        <v>171</v>
      </c>
      <c r="H39" s="12" t="s">
        <v>74</v>
      </c>
      <c r="I39" s="12"/>
    </row>
    <row r="40" customFormat="false" ht="17.15" hidden="false" customHeight="false" outlineLevel="0" collapsed="false">
      <c r="A40" s="0" t="s">
        <v>176</v>
      </c>
      <c r="B40" s="0" t="s">
        <v>177</v>
      </c>
      <c r="C40" s="0" t="s">
        <v>66</v>
      </c>
      <c r="D40" s="4" t="n">
        <f aca="false">D38/D39</f>
        <v>1.83333333333333</v>
      </c>
      <c r="E40" s="4" t="n">
        <f aca="false">E38/E39</f>
        <v>1.83333333333333</v>
      </c>
      <c r="F40" s="4" t="n">
        <f aca="false">F38/F39</f>
        <v>1.83333333333333</v>
      </c>
      <c r="G40" s="12" t="s">
        <v>77</v>
      </c>
      <c r="H40" s="12" t="s">
        <v>77</v>
      </c>
      <c r="I40" s="12"/>
    </row>
    <row r="41" customFormat="false" ht="17.15" hidden="false" customHeight="false" outlineLevel="0" collapsed="false">
      <c r="A41" s="0" t="s">
        <v>178</v>
      </c>
      <c r="B41" s="0" t="s">
        <v>179</v>
      </c>
      <c r="C41" s="0" t="s">
        <v>129</v>
      </c>
      <c r="D41" s="4" t="n">
        <f aca="false">(D37/D40)/D10</f>
        <v>0.491341991341991</v>
      </c>
      <c r="E41" s="4" t="n">
        <f aca="false">(E37/E40)/E10</f>
        <v>0.491341991341991</v>
      </c>
      <c r="F41" s="4" t="n">
        <f aca="false">(F37/F40)/F10</f>
        <v>0.491341991341991</v>
      </c>
      <c r="G41" s="12" t="s">
        <v>77</v>
      </c>
      <c r="H41" s="12" t="s">
        <v>77</v>
      </c>
      <c r="I41" s="12"/>
    </row>
    <row r="42" customFormat="false" ht="17.15" hidden="false" customHeight="false" outlineLevel="0" collapsed="false">
      <c r="A42" s="0" t="s">
        <v>180</v>
      </c>
      <c r="B42" s="0" t="s">
        <v>181</v>
      </c>
      <c r="C42" s="0" t="s">
        <v>60</v>
      </c>
      <c r="D42" s="7" t="n">
        <v>15</v>
      </c>
      <c r="E42" s="7" t="n">
        <v>15</v>
      </c>
      <c r="F42" s="7" t="n">
        <v>15</v>
      </c>
      <c r="G42" s="12" t="s">
        <v>182</v>
      </c>
      <c r="H42" s="12" t="s">
        <v>95</v>
      </c>
      <c r="I42" s="12" t="s">
        <v>159</v>
      </c>
    </row>
    <row r="43" customFormat="false" ht="17.15" hidden="false" customHeight="false" outlineLevel="0" collapsed="false">
      <c r="A43" s="0" t="s">
        <v>183</v>
      </c>
      <c r="B43" s="0" t="s">
        <v>184</v>
      </c>
      <c r="C43" s="0" t="s">
        <v>66</v>
      </c>
      <c r="D43" s="13" t="n">
        <v>136</v>
      </c>
      <c r="E43" s="13" t="n">
        <v>136</v>
      </c>
      <c r="F43" s="13" t="n">
        <v>136</v>
      </c>
      <c r="G43" s="12" t="s">
        <v>182</v>
      </c>
      <c r="H43" s="12" t="s">
        <v>162</v>
      </c>
      <c r="I43" s="12"/>
    </row>
    <row r="44" customFormat="false" ht="17.15" hidden="false" customHeight="false" outlineLevel="0" collapsed="false">
      <c r="A44" s="0" t="s">
        <v>185</v>
      </c>
      <c r="B44" s="0" t="s">
        <v>186</v>
      </c>
      <c r="C44" s="6" t="s">
        <v>72</v>
      </c>
      <c r="D44" s="7" t="n">
        <v>72</v>
      </c>
      <c r="E44" s="7" t="n">
        <v>72</v>
      </c>
      <c r="F44" s="7" t="n">
        <v>72</v>
      </c>
      <c r="G44" s="12" t="s">
        <v>182</v>
      </c>
      <c r="H44" s="12" t="s">
        <v>74</v>
      </c>
      <c r="I44" s="12"/>
    </row>
    <row r="45" customFormat="false" ht="17.15" hidden="false" customHeight="false" outlineLevel="0" collapsed="false">
      <c r="A45" s="0" t="s">
        <v>187</v>
      </c>
      <c r="B45" s="0" t="s">
        <v>188</v>
      </c>
      <c r="C45" s="0" t="s">
        <v>66</v>
      </c>
      <c r="D45" s="4" t="n">
        <f aca="false">D43/D44</f>
        <v>1.88888888888889</v>
      </c>
      <c r="E45" s="4" t="n">
        <f aca="false">E43/E44</f>
        <v>1.88888888888889</v>
      </c>
      <c r="F45" s="4" t="n">
        <f aca="false">F43/F44</f>
        <v>1.88888888888889</v>
      </c>
      <c r="G45" s="12" t="s">
        <v>77</v>
      </c>
      <c r="H45" s="12" t="s">
        <v>77</v>
      </c>
      <c r="I45" s="12"/>
    </row>
    <row r="46" customFormat="false" ht="17.15" hidden="false" customHeight="false" outlineLevel="0" collapsed="false">
      <c r="A46" s="0" t="s">
        <v>189</v>
      </c>
      <c r="B46" s="0" t="s">
        <v>190</v>
      </c>
      <c r="C46" s="0" t="s">
        <v>129</v>
      </c>
      <c r="D46" s="4" t="n">
        <f aca="false">(D42/D45)/D10</f>
        <v>0.715336134453781</v>
      </c>
      <c r="E46" s="4" t="n">
        <f aca="false">(E42/E45)/E10</f>
        <v>0.715336134453781</v>
      </c>
      <c r="F46" s="4" t="n">
        <f aca="false">(F42/F45)/F10</f>
        <v>0.715336134453781</v>
      </c>
      <c r="G46" s="12" t="s">
        <v>77</v>
      </c>
      <c r="H46" s="12" t="s">
        <v>77</v>
      </c>
      <c r="I46" s="12"/>
    </row>
    <row r="47" customFormat="false" ht="17.15" hidden="false" customHeight="false" outlineLevel="0" collapsed="false">
      <c r="A47" s="0" t="s">
        <v>191</v>
      </c>
      <c r="B47" s="0" t="s">
        <v>192</v>
      </c>
      <c r="C47" s="0" t="s">
        <v>129</v>
      </c>
      <c r="D47" s="13" t="n">
        <v>0.107484660941882</v>
      </c>
      <c r="E47" s="13" t="n">
        <v>0.10544360110803</v>
      </c>
      <c r="F47" s="13" t="n">
        <v>0.0977954294066359</v>
      </c>
      <c r="G47" s="12" t="s">
        <v>193</v>
      </c>
      <c r="H47" s="12" t="s">
        <v>86</v>
      </c>
      <c r="I47" s="2" t="s">
        <v>194</v>
      </c>
    </row>
    <row r="48" customFormat="false" ht="17.15" hidden="false" customHeight="false" outlineLevel="0" collapsed="false">
      <c r="A48" s="0" t="s">
        <v>195</v>
      </c>
      <c r="B48" s="0" t="s">
        <v>196</v>
      </c>
      <c r="C48" s="0" t="s">
        <v>129</v>
      </c>
      <c r="D48" s="4" t="n">
        <f aca="false">AVERAGE(D47:F47)</f>
        <v>0.103574563818849</v>
      </c>
      <c r="E48" s="4" t="n">
        <f aca="false">AVERAGE(D47:F47)</f>
        <v>0.103574563818849</v>
      </c>
      <c r="F48" s="4" t="n">
        <f aca="false">AVERAGE(D47:F47)</f>
        <v>0.103574563818849</v>
      </c>
      <c r="G48" s="12" t="s">
        <v>77</v>
      </c>
      <c r="H48" s="12" t="s">
        <v>77</v>
      </c>
      <c r="I48" s="12"/>
    </row>
    <row r="49" customFormat="false" ht="17.15" hidden="false" customHeight="false" outlineLevel="0" collapsed="false">
      <c r="A49" s="0" t="s">
        <v>197</v>
      </c>
      <c r="B49" s="0" t="s">
        <v>198</v>
      </c>
      <c r="C49" s="0" t="s">
        <v>129</v>
      </c>
      <c r="D49" s="4" t="n">
        <f aca="false">D48/D36</f>
        <v>0.744416311646984</v>
      </c>
      <c r="E49" s="4" t="n">
        <f aca="false">E48/E36</f>
        <v>0.744416311646984</v>
      </c>
      <c r="F49" s="4" t="n">
        <f aca="false">F48/F36</f>
        <v>0.744416311646984</v>
      </c>
      <c r="G49" s="12" t="s">
        <v>77</v>
      </c>
      <c r="H49" s="12" t="s">
        <v>77</v>
      </c>
      <c r="I49" s="12"/>
    </row>
    <row r="50" customFormat="false" ht="17.15" hidden="false" customHeight="false" outlineLevel="0" collapsed="false">
      <c r="A50" s="0" t="s">
        <v>199</v>
      </c>
      <c r="B50" s="0" t="s">
        <v>200</v>
      </c>
      <c r="C50" s="0" t="s">
        <v>129</v>
      </c>
      <c r="D50" s="13" t="n">
        <v>0.534632077509924</v>
      </c>
      <c r="E50" s="13" t="n">
        <v>0.513240130160715</v>
      </c>
      <c r="F50" s="13" t="n">
        <v>0.483657996161255</v>
      </c>
      <c r="G50" s="12" t="s">
        <v>193</v>
      </c>
      <c r="H50" s="12" t="s">
        <v>86</v>
      </c>
      <c r="I50" s="2" t="s">
        <v>194</v>
      </c>
    </row>
    <row r="51" customFormat="false" ht="17.15" hidden="false" customHeight="false" outlineLevel="0" collapsed="false">
      <c r="A51" s="0" t="s">
        <v>201</v>
      </c>
      <c r="B51" s="0" t="s">
        <v>202</v>
      </c>
      <c r="C51" s="0" t="s">
        <v>129</v>
      </c>
      <c r="D51" s="4" t="n">
        <f aca="false">AVERAGE(D50:F50)</f>
        <v>0.510510067943965</v>
      </c>
      <c r="E51" s="4" t="n">
        <f aca="false">AVERAGE(D50:F50)</f>
        <v>0.510510067943965</v>
      </c>
      <c r="F51" s="4" t="n">
        <f aca="false">AVERAGE(D50:F50)</f>
        <v>0.510510067943965</v>
      </c>
      <c r="G51" s="12" t="s">
        <v>77</v>
      </c>
      <c r="H51" s="12" t="s">
        <v>77</v>
      </c>
      <c r="I51" s="12"/>
    </row>
    <row r="52" customFormat="false" ht="17.15" hidden="false" customHeight="false" outlineLevel="0" collapsed="false">
      <c r="A52" s="0" t="s">
        <v>203</v>
      </c>
      <c r="B52" s="0" t="s">
        <v>204</v>
      </c>
      <c r="C52" s="0" t="s">
        <v>129</v>
      </c>
      <c r="D52" s="4" t="n">
        <f aca="false">D51/D41</f>
        <v>1.03901168013265</v>
      </c>
      <c r="E52" s="4" t="n">
        <f aca="false">E51/E41</f>
        <v>1.03901168013265</v>
      </c>
      <c r="F52" s="4" t="n">
        <f aca="false">F51/F41</f>
        <v>1.03901168013265</v>
      </c>
      <c r="G52" s="12" t="s">
        <v>77</v>
      </c>
      <c r="H52" s="12" t="s">
        <v>77</v>
      </c>
      <c r="I52" s="12"/>
    </row>
    <row r="53" customFormat="false" ht="17.15" hidden="false" customHeight="false" outlineLevel="0" collapsed="false">
      <c r="A53" s="0" t="s">
        <v>205</v>
      </c>
      <c r="B53" s="0" t="s">
        <v>206</v>
      </c>
      <c r="C53" s="0" t="s">
        <v>129</v>
      </c>
      <c r="D53" s="13" t="n">
        <v>0.693216239743152</v>
      </c>
      <c r="E53" s="13" t="n">
        <v>0.665656345719338</v>
      </c>
      <c r="F53" s="13" t="n">
        <v>0.563845155935545</v>
      </c>
      <c r="G53" s="12" t="s">
        <v>193</v>
      </c>
      <c r="H53" s="12" t="s">
        <v>86</v>
      </c>
      <c r="I53" s="2" t="s">
        <v>194</v>
      </c>
    </row>
    <row r="54" customFormat="false" ht="17.15" hidden="false" customHeight="false" outlineLevel="0" collapsed="false">
      <c r="A54" s="0" t="s">
        <v>207</v>
      </c>
      <c r="B54" s="0" t="s">
        <v>208</v>
      </c>
      <c r="C54" s="0" t="s">
        <v>129</v>
      </c>
      <c r="D54" s="4" t="n">
        <f aca="false">AVERAGE(D53:F53)</f>
        <v>0.640905913799345</v>
      </c>
      <c r="E54" s="4" t="n">
        <f aca="false">AVERAGE(D53:F53)</f>
        <v>0.640905913799345</v>
      </c>
      <c r="F54" s="4" t="n">
        <f aca="false">AVERAGE(D53:F53)</f>
        <v>0.640905913799345</v>
      </c>
      <c r="G54" s="12" t="s">
        <v>77</v>
      </c>
      <c r="H54" s="12" t="s">
        <v>77</v>
      </c>
      <c r="I54" s="12"/>
    </row>
    <row r="55" customFormat="false" ht="17.15" hidden="false" customHeight="false" outlineLevel="0" collapsed="false">
      <c r="A55" s="0" t="s">
        <v>209</v>
      </c>
      <c r="B55" s="0" t="s">
        <v>210</v>
      </c>
      <c r="C55" s="0" t="s">
        <v>129</v>
      </c>
      <c r="D55" s="4" t="n">
        <f aca="false">D54/D46</f>
        <v>0.89595070475327</v>
      </c>
      <c r="E55" s="4" t="n">
        <f aca="false">E54/E46</f>
        <v>0.89595070475327</v>
      </c>
      <c r="F55" s="4" t="n">
        <f aca="false">F54/F46</f>
        <v>0.89595070475327</v>
      </c>
      <c r="G55" s="12" t="s">
        <v>77</v>
      </c>
      <c r="H55" s="12" t="s">
        <v>77</v>
      </c>
      <c r="I55" s="12"/>
    </row>
    <row r="56" customFormat="false" ht="17.15" hidden="false" customHeight="false" outlineLevel="0" collapsed="false">
      <c r="A56" s="0" t="s">
        <v>211</v>
      </c>
      <c r="B56" s="0" t="s">
        <v>212</v>
      </c>
      <c r="C56" s="0" t="s">
        <v>129</v>
      </c>
      <c r="D56" s="13" t="n">
        <v>1</v>
      </c>
      <c r="E56" s="13" t="n">
        <v>1</v>
      </c>
      <c r="F56" s="13" t="n">
        <v>1</v>
      </c>
      <c r="G56" s="2" t="s">
        <v>213</v>
      </c>
      <c r="H56" s="12" t="s">
        <v>77</v>
      </c>
      <c r="I56" s="12"/>
    </row>
    <row r="57" customFormat="false" ht="17.15" hidden="false" customHeight="false" outlineLevel="0" collapsed="false">
      <c r="A57" s="9" t="s">
        <v>214</v>
      </c>
      <c r="B57" s="10"/>
      <c r="C57" s="10"/>
      <c r="D57" s="10"/>
      <c r="E57" s="10"/>
      <c r="F57" s="10"/>
      <c r="G57" s="11"/>
      <c r="H57" s="11"/>
      <c r="I57" s="11"/>
    </row>
    <row r="58" customFormat="false" ht="32.8" hidden="false" customHeight="false" outlineLevel="0" collapsed="false">
      <c r="A58" s="0" t="s">
        <v>215</v>
      </c>
      <c r="B58" s="0" t="s">
        <v>216</v>
      </c>
      <c r="C58" s="0" t="s">
        <v>60</v>
      </c>
      <c r="D58" s="7" t="n">
        <v>10.066</v>
      </c>
      <c r="E58" s="7" t="n">
        <v>10.066</v>
      </c>
      <c r="F58" s="7" t="n">
        <v>10.066</v>
      </c>
      <c r="G58" s="12" t="s">
        <v>217</v>
      </c>
      <c r="H58" s="12" t="s">
        <v>218</v>
      </c>
      <c r="I58" s="12" t="s">
        <v>219</v>
      </c>
    </row>
    <row r="59" customFormat="false" ht="17.15" hidden="false" customHeight="false" outlineLevel="0" collapsed="false">
      <c r="A59" s="0" t="s">
        <v>220</v>
      </c>
      <c r="B59" s="0" t="s">
        <v>221</v>
      </c>
      <c r="C59" s="0" t="s">
        <v>148</v>
      </c>
      <c r="D59" s="7" t="n">
        <v>8</v>
      </c>
      <c r="E59" s="7" t="n">
        <v>8</v>
      </c>
      <c r="F59" s="7" t="n">
        <v>8</v>
      </c>
      <c r="G59" s="12" t="s">
        <v>222</v>
      </c>
      <c r="H59" s="12" t="s">
        <v>218</v>
      </c>
      <c r="I59" s="12"/>
    </row>
    <row r="60" customFormat="false" ht="17.15" hidden="false" customHeight="false" outlineLevel="0" collapsed="false">
      <c r="A60" s="0" t="s">
        <v>223</v>
      </c>
      <c r="B60" s="0" t="s">
        <v>224</v>
      </c>
      <c r="C60" s="0" t="s">
        <v>225</v>
      </c>
      <c r="D60" s="7" t="n">
        <v>4698</v>
      </c>
      <c r="E60" s="7" t="n">
        <v>4698</v>
      </c>
      <c r="F60" s="7" t="n">
        <v>4698</v>
      </c>
      <c r="G60" s="12" t="s">
        <v>226</v>
      </c>
      <c r="H60" s="2" t="s">
        <v>227</v>
      </c>
      <c r="I60" s="12"/>
    </row>
    <row r="61" customFormat="false" ht="17.15" hidden="false" customHeight="false" outlineLevel="0" collapsed="false">
      <c r="A61" s="0" t="s">
        <v>228</v>
      </c>
      <c r="B61" s="0" t="s">
        <v>229</v>
      </c>
      <c r="C61" s="0" t="s">
        <v>225</v>
      </c>
      <c r="D61" s="7" t="n">
        <v>5928</v>
      </c>
      <c r="E61" s="7" t="n">
        <v>5928</v>
      </c>
      <c r="F61" s="7" t="n">
        <v>5928</v>
      </c>
      <c r="G61" s="12" t="s">
        <v>226</v>
      </c>
      <c r="H61" s="2" t="s">
        <v>227</v>
      </c>
      <c r="I61" s="12"/>
    </row>
    <row r="62" customFormat="false" ht="17.15" hidden="false" customHeight="false" outlineLevel="0" collapsed="false">
      <c r="A62" s="0" t="s">
        <v>230</v>
      </c>
      <c r="B62" s="0" t="s">
        <v>231</v>
      </c>
      <c r="C62" s="0" t="s">
        <v>225</v>
      </c>
      <c r="D62" s="7" t="n">
        <v>8517</v>
      </c>
      <c r="E62" s="7" t="n">
        <v>8517</v>
      </c>
      <c r="F62" s="7" t="n">
        <v>8517</v>
      </c>
      <c r="G62" s="12" t="s">
        <v>226</v>
      </c>
      <c r="H62" s="2" t="s">
        <v>227</v>
      </c>
      <c r="I62" s="12"/>
    </row>
    <row r="63" customFormat="false" ht="32.8" hidden="false" customHeight="false" outlineLevel="0" collapsed="false">
      <c r="A63" s="0" t="s">
        <v>232</v>
      </c>
      <c r="B63" s="0" t="s">
        <v>233</v>
      </c>
      <c r="C63" s="0" t="s">
        <v>225</v>
      </c>
      <c r="D63" s="7" t="n">
        <v>16427</v>
      </c>
      <c r="E63" s="7" t="n">
        <v>16427</v>
      </c>
      <c r="F63" s="7" t="n">
        <v>16427</v>
      </c>
      <c r="G63" s="12" t="s">
        <v>234</v>
      </c>
      <c r="H63" s="2" t="s">
        <v>235</v>
      </c>
      <c r="I63" s="12"/>
    </row>
    <row r="64" customFormat="false" ht="17.15" hidden="false" customHeight="false" outlineLevel="0" collapsed="false">
      <c r="A64" s="0" t="s">
        <v>236</v>
      </c>
      <c r="B64" s="0" t="s">
        <v>237</v>
      </c>
      <c r="C64" s="0" t="s">
        <v>129</v>
      </c>
      <c r="D64" s="14" t="n">
        <f aca="false">E52*(D60/E58)/(D61/E37)</f>
        <v>0.818028286129225</v>
      </c>
      <c r="E64" s="14" t="n">
        <f aca="false">E52*(E60/E58)/(E61/E37)</f>
        <v>0.818028286129225</v>
      </c>
      <c r="F64" s="14" t="n">
        <f aca="false">E52*(F60/E58)/(F61/E37)</f>
        <v>0.818028286129225</v>
      </c>
      <c r="G64" s="12" t="s">
        <v>77</v>
      </c>
      <c r="H64" s="12" t="s">
        <v>238</v>
      </c>
      <c r="I64" s="12"/>
    </row>
    <row r="65" customFormat="false" ht="17.15" hidden="false" customHeight="false" outlineLevel="0" collapsed="false">
      <c r="A65" s="0" t="s">
        <v>239</v>
      </c>
      <c r="B65" s="0" t="s">
        <v>240</v>
      </c>
      <c r="C65" s="0" t="s">
        <v>129</v>
      </c>
      <c r="D65" s="14" t="n">
        <f aca="false">E55*(D60/E58)/(D62/E42)</f>
        <v>0.736452623486479</v>
      </c>
      <c r="E65" s="14" t="n">
        <f aca="false">E55*(E60/E58)/(E62/E42)</f>
        <v>0.736452623486479</v>
      </c>
      <c r="F65" s="14" t="n">
        <f aca="false">E55*(F60/E58)/(F62/E42)</f>
        <v>0.736452623486479</v>
      </c>
      <c r="G65" s="12" t="s">
        <v>77</v>
      </c>
      <c r="H65" s="12" t="s">
        <v>238</v>
      </c>
      <c r="I65" s="12"/>
    </row>
    <row r="66" customFormat="false" ht="32.8" hidden="false" customHeight="false" outlineLevel="0" collapsed="false">
      <c r="A66" s="0" t="s">
        <v>241</v>
      </c>
      <c r="B66" s="0" t="s">
        <v>242</v>
      </c>
      <c r="C66" s="0" t="s">
        <v>129</v>
      </c>
      <c r="D66" s="14" t="n">
        <f aca="false">E56*(D60/E58)/(D63/E6)</f>
        <v>0.994410894306864</v>
      </c>
      <c r="E66" s="14" t="n">
        <f aca="false">E56*(E60/E58)/(E63/E6)</f>
        <v>0.994410894306864</v>
      </c>
      <c r="F66" s="14" t="n">
        <f aca="false">E56*(F60/E58)/(F63/E6)</f>
        <v>0.994410894306864</v>
      </c>
      <c r="G66" s="12" t="s">
        <v>77</v>
      </c>
      <c r="H66" s="12" t="s">
        <v>243</v>
      </c>
      <c r="I66" s="12" t="s">
        <v>244</v>
      </c>
    </row>
    <row r="67" customFormat="false" ht="17.15" hidden="false" customHeight="false" outlineLevel="0" collapsed="false">
      <c r="A67" s="0" t="s">
        <v>245</v>
      </c>
      <c r="B67" s="0" t="s">
        <v>246</v>
      </c>
      <c r="C67" s="0" t="s">
        <v>225</v>
      </c>
      <c r="D67" s="7" t="n">
        <v>14155</v>
      </c>
      <c r="E67" s="7" t="n">
        <v>14155</v>
      </c>
      <c r="F67" s="7" t="n">
        <v>14155</v>
      </c>
      <c r="G67" s="12" t="s">
        <v>226</v>
      </c>
      <c r="H67" s="2" t="s">
        <v>227</v>
      </c>
      <c r="I67" s="12"/>
    </row>
    <row r="68" customFormat="false" ht="17.15" hidden="false" customHeight="false" outlineLevel="0" collapsed="false">
      <c r="A68" s="0" t="s">
        <v>247</v>
      </c>
      <c r="B68" s="0" t="s">
        <v>248</v>
      </c>
      <c r="C68" s="0" t="s">
        <v>225</v>
      </c>
      <c r="D68" s="7" t="n">
        <v>12774</v>
      </c>
      <c r="E68" s="7" t="n">
        <v>12774</v>
      </c>
      <c r="F68" s="7" t="n">
        <v>12774</v>
      </c>
      <c r="G68" s="12" t="s">
        <v>226</v>
      </c>
      <c r="H68" s="2" t="s">
        <v>227</v>
      </c>
      <c r="I68" s="12"/>
    </row>
    <row r="69" customFormat="false" ht="17.15" hidden="false" customHeight="false" outlineLevel="0" collapsed="false">
      <c r="A69" s="0" t="s">
        <v>249</v>
      </c>
      <c r="B69" s="0" t="s">
        <v>250</v>
      </c>
      <c r="C69" s="0" t="s">
        <v>225</v>
      </c>
      <c r="D69" s="7" t="n">
        <v>16118</v>
      </c>
      <c r="E69" s="7" t="n">
        <v>16118</v>
      </c>
      <c r="F69" s="7" t="n">
        <v>16118</v>
      </c>
      <c r="G69" s="12" t="s">
        <v>226</v>
      </c>
      <c r="H69" s="2" t="s">
        <v>227</v>
      </c>
      <c r="I69" s="12"/>
    </row>
    <row r="70" customFormat="false" ht="17.15" hidden="false" customHeight="false" outlineLevel="0" collapsed="false">
      <c r="A70" s="0" t="s">
        <v>251</v>
      </c>
      <c r="B70" s="0" t="s">
        <v>252</v>
      </c>
      <c r="C70" s="0" t="s">
        <v>129</v>
      </c>
      <c r="D70" s="14" t="n">
        <f aca="false">E52*(D67/E58)/(D68/E37)</f>
        <v>1.14379044853813</v>
      </c>
      <c r="E70" s="14" t="n">
        <f aca="false">E52*(E67/E58)/(E68/E37)</f>
        <v>1.14379044853813</v>
      </c>
      <c r="F70" s="14" t="n">
        <f aca="false">E52*(F67/E58)/(F68/E37)</f>
        <v>1.14379044853813</v>
      </c>
      <c r="G70" s="12" t="s">
        <v>77</v>
      </c>
      <c r="H70" s="12" t="s">
        <v>238</v>
      </c>
      <c r="I70" s="12"/>
    </row>
    <row r="71" customFormat="false" ht="17.15" hidden="false" customHeight="false" outlineLevel="0" collapsed="false">
      <c r="A71" s="0" t="s">
        <v>253</v>
      </c>
      <c r="B71" s="0" t="s">
        <v>254</v>
      </c>
      <c r="C71" s="0" t="s">
        <v>129</v>
      </c>
      <c r="D71" s="14" t="n">
        <f aca="false">E55*(D67/E58)/(D69/E42)</f>
        <v>1.17251166119678</v>
      </c>
      <c r="E71" s="14" t="n">
        <f aca="false">E55*(E67/E58)/(E69/E42)</f>
        <v>1.17251166119678</v>
      </c>
      <c r="F71" s="14" t="n">
        <f aca="false">E55*(F67/E58)/(F69/E42)</f>
        <v>1.17251166119678</v>
      </c>
      <c r="G71" s="12" t="s">
        <v>77</v>
      </c>
      <c r="H71" s="12" t="s">
        <v>238</v>
      </c>
      <c r="I71" s="12"/>
    </row>
    <row r="72" customFormat="false" ht="17.15" hidden="false" customHeight="false" outlineLevel="0" collapsed="false">
      <c r="A72" s="0" t="s">
        <v>255</v>
      </c>
      <c r="B72" s="0" t="s">
        <v>256</v>
      </c>
      <c r="C72" s="0" t="s">
        <v>225</v>
      </c>
      <c r="D72" s="7" t="n">
        <v>15227</v>
      </c>
      <c r="E72" s="7" t="n">
        <v>15227</v>
      </c>
      <c r="F72" s="7" t="n">
        <v>15227</v>
      </c>
      <c r="G72" s="12" t="s">
        <v>226</v>
      </c>
      <c r="H72" s="2" t="s">
        <v>227</v>
      </c>
      <c r="I72" s="12"/>
    </row>
    <row r="73" customFormat="false" ht="17.15" hidden="false" customHeight="false" outlineLevel="0" collapsed="false">
      <c r="A73" s="0" t="s">
        <v>257</v>
      </c>
      <c r="B73" s="0" t="s">
        <v>258</v>
      </c>
      <c r="C73" s="0" t="s">
        <v>225</v>
      </c>
      <c r="D73" s="7" t="n">
        <v>15301</v>
      </c>
      <c r="E73" s="7" t="n">
        <v>15301</v>
      </c>
      <c r="F73" s="7" t="n">
        <v>15301</v>
      </c>
      <c r="G73" s="12" t="s">
        <v>226</v>
      </c>
      <c r="H73" s="2" t="s">
        <v>227</v>
      </c>
      <c r="I73" s="12"/>
    </row>
    <row r="74" customFormat="false" ht="17.15" hidden="false" customHeight="false" outlineLevel="0" collapsed="false">
      <c r="A74" s="0" t="s">
        <v>259</v>
      </c>
      <c r="B74" s="0" t="s">
        <v>260</v>
      </c>
      <c r="C74" s="0" t="s">
        <v>225</v>
      </c>
      <c r="D74" s="7" t="n">
        <v>16635</v>
      </c>
      <c r="E74" s="7" t="n">
        <v>16635</v>
      </c>
      <c r="F74" s="7" t="n">
        <v>16635</v>
      </c>
      <c r="G74" s="12" t="s">
        <v>226</v>
      </c>
      <c r="H74" s="2" t="s">
        <v>227</v>
      </c>
      <c r="I74" s="12"/>
    </row>
    <row r="75" customFormat="false" ht="17.15" hidden="false" customHeight="false" outlineLevel="0" collapsed="false">
      <c r="A75" s="0" t="s">
        <v>261</v>
      </c>
      <c r="B75" s="0" t="s">
        <v>262</v>
      </c>
      <c r="C75" s="0" t="s">
        <v>129</v>
      </c>
      <c r="D75" s="14" t="n">
        <f aca="false">E52*(D72/E58)/(D73/E37)</f>
        <v>1.02720715608075</v>
      </c>
      <c r="E75" s="14" t="n">
        <f aca="false">E52*(E72/E58)/(E73/E37)</f>
        <v>1.02720715608075</v>
      </c>
      <c r="F75" s="14" t="n">
        <f aca="false">E52*(F72/E58)/(F73/E37)</f>
        <v>1.02720715608075</v>
      </c>
      <c r="G75" s="12" t="s">
        <v>77</v>
      </c>
      <c r="H75" s="12" t="s">
        <v>238</v>
      </c>
      <c r="I75" s="12"/>
    </row>
    <row r="76" customFormat="false" ht="17.15" hidden="false" customHeight="false" outlineLevel="0" collapsed="false">
      <c r="A76" s="0" t="s">
        <v>263</v>
      </c>
      <c r="B76" s="0" t="s">
        <v>264</v>
      </c>
      <c r="C76" s="0" t="s">
        <v>129</v>
      </c>
      <c r="D76" s="14" t="n">
        <f aca="false">E55*(D72/E58)/(D74/E42)</f>
        <v>1.22210913662148</v>
      </c>
      <c r="E76" s="14" t="n">
        <f aca="false">E55*(E72/E58)/(E74/E42)</f>
        <v>1.22210913662148</v>
      </c>
      <c r="F76" s="14" t="n">
        <f aca="false">E55*(F72/E58)/(F74/E42)</f>
        <v>1.22210913662148</v>
      </c>
      <c r="G76" s="12" t="s">
        <v>77</v>
      </c>
      <c r="H76" s="12" t="s">
        <v>238</v>
      </c>
      <c r="I76" s="12"/>
    </row>
    <row r="77" customFormat="false" ht="17.15" hidden="false" customHeight="false" outlineLevel="0" collapsed="false">
      <c r="A77" s="0" t="s">
        <v>265</v>
      </c>
      <c r="B77" s="0" t="s">
        <v>266</v>
      </c>
      <c r="C77" s="0" t="s">
        <v>225</v>
      </c>
      <c r="D77" s="7" t="n">
        <v>13068</v>
      </c>
      <c r="E77" s="7" t="n">
        <v>13068</v>
      </c>
      <c r="F77" s="7" t="n">
        <v>13068</v>
      </c>
      <c r="G77" s="12" t="s">
        <v>226</v>
      </c>
      <c r="H77" s="2" t="s">
        <v>227</v>
      </c>
      <c r="I77" s="12"/>
    </row>
    <row r="78" customFormat="false" ht="17.15" hidden="false" customHeight="false" outlineLevel="0" collapsed="false">
      <c r="A78" s="0" t="s">
        <v>267</v>
      </c>
      <c r="B78" s="0" t="s">
        <v>268</v>
      </c>
      <c r="C78" s="0" t="s">
        <v>225</v>
      </c>
      <c r="D78" s="7" t="n">
        <v>12648</v>
      </c>
      <c r="E78" s="7" t="n">
        <v>12648</v>
      </c>
      <c r="F78" s="7" t="n">
        <v>12648</v>
      </c>
      <c r="G78" s="12" t="s">
        <v>226</v>
      </c>
      <c r="H78" s="2" t="s">
        <v>227</v>
      </c>
      <c r="I78" s="12"/>
    </row>
    <row r="79" customFormat="false" ht="17.15" hidden="false" customHeight="false" outlineLevel="0" collapsed="false">
      <c r="A79" s="0" t="s">
        <v>269</v>
      </c>
      <c r="B79" s="0" t="s">
        <v>270</v>
      </c>
      <c r="C79" s="0" t="s">
        <v>225</v>
      </c>
      <c r="D79" s="7" t="n">
        <v>15998</v>
      </c>
      <c r="E79" s="7" t="n">
        <v>15998</v>
      </c>
      <c r="F79" s="7" t="n">
        <v>15998</v>
      </c>
      <c r="G79" s="12" t="s">
        <v>226</v>
      </c>
      <c r="H79" s="2" t="s">
        <v>227</v>
      </c>
      <c r="I79" s="12"/>
    </row>
    <row r="80" customFormat="false" ht="17.15" hidden="false" customHeight="false" outlineLevel="0" collapsed="false">
      <c r="A80" s="0" t="s">
        <v>271</v>
      </c>
      <c r="B80" s="0" t="s">
        <v>272</v>
      </c>
      <c r="C80" s="0" t="s">
        <v>129</v>
      </c>
      <c r="D80" s="14" t="n">
        <f aca="false">E52*(D77/E58)/(D78/E37)</f>
        <v>1.06647522901455</v>
      </c>
      <c r="E80" s="14" t="n">
        <f aca="false">E52*(E77/E58)/(E78/E37)</f>
        <v>1.06647522901455</v>
      </c>
      <c r="F80" s="14" t="n">
        <f aca="false">E52*(F77/E58)/(F78/E37)</f>
        <v>1.06647522901455</v>
      </c>
      <c r="G80" s="12" t="s">
        <v>77</v>
      </c>
      <c r="H80" s="12" t="s">
        <v>238</v>
      </c>
      <c r="I80" s="12"/>
    </row>
    <row r="81" customFormat="false" ht="17.15" hidden="false" customHeight="false" outlineLevel="0" collapsed="false">
      <c r="A81" s="0" t="s">
        <v>273</v>
      </c>
      <c r="B81" s="0" t="s">
        <v>274</v>
      </c>
      <c r="C81" s="0" t="s">
        <v>129</v>
      </c>
      <c r="D81" s="14" t="n">
        <f aca="false">E55*(D77/E58)/(D79/E42)</f>
        <v>1.09059093062259</v>
      </c>
      <c r="E81" s="14" t="n">
        <f aca="false">E55*(E77/E58)/(E79/E42)</f>
        <v>1.09059093062259</v>
      </c>
      <c r="F81" s="14" t="n">
        <f aca="false">E55*(F77/E58)/(F79/E42)</f>
        <v>1.09059093062259</v>
      </c>
      <c r="G81" s="12" t="s">
        <v>77</v>
      </c>
      <c r="H81" s="12" t="s">
        <v>238</v>
      </c>
      <c r="I81" s="12"/>
    </row>
    <row r="82" customFormat="false" ht="17.15" hidden="false" customHeight="false" outlineLevel="0" collapsed="false">
      <c r="A82" s="0" t="s">
        <v>275</v>
      </c>
      <c r="B82" s="0" t="s">
        <v>276</v>
      </c>
      <c r="C82" s="0" t="s">
        <v>129</v>
      </c>
      <c r="D82" s="14" t="n">
        <f aca="false">AVERAGE(E64,E65,E66)</f>
        <v>0.849630601307523</v>
      </c>
      <c r="E82" s="14" t="n">
        <f aca="false">AVERAGE(E64,E65,E66)</f>
        <v>0.849630601307523</v>
      </c>
      <c r="F82" s="14" t="n">
        <f aca="false">AVERAGE(E64,E65,E66)</f>
        <v>0.849630601307523</v>
      </c>
      <c r="G82" s="12" t="s">
        <v>77</v>
      </c>
      <c r="H82" s="12" t="s">
        <v>238</v>
      </c>
      <c r="I82" s="2" t="s">
        <v>277</v>
      </c>
    </row>
    <row r="83" customFormat="false" ht="17.15" hidden="false" customHeight="false" outlineLevel="0" collapsed="false">
      <c r="A83" s="0" t="s">
        <v>278</v>
      </c>
      <c r="B83" s="0" t="s">
        <v>279</v>
      </c>
      <c r="C83" s="0" t="s">
        <v>129</v>
      </c>
      <c r="D83" s="14" t="n">
        <f aca="false">AVERAGE(E64,E65)</f>
        <v>0.777240454807852</v>
      </c>
      <c r="E83" s="14" t="n">
        <f aca="false">AVERAGE(E64,E65)</f>
        <v>0.777240454807852</v>
      </c>
      <c r="F83" s="14" t="n">
        <f aca="false">AVERAGE(E64,E65)</f>
        <v>0.777240454807852</v>
      </c>
      <c r="G83" s="12" t="s">
        <v>77</v>
      </c>
      <c r="H83" s="12" t="s">
        <v>238</v>
      </c>
      <c r="I83" s="12" t="s">
        <v>280</v>
      </c>
    </row>
    <row r="84" customFormat="false" ht="17.15" hidden="false" customHeight="false" outlineLevel="0" collapsed="false">
      <c r="A84" s="0" t="s">
        <v>281</v>
      </c>
      <c r="B84" s="6" t="s">
        <v>282</v>
      </c>
      <c r="C84" s="0" t="s">
        <v>129</v>
      </c>
      <c r="D84" s="14" t="n">
        <f aca="false">AVERAGE(E64,E65,E66,E70,E71,E75,E76,E80,E81)</f>
        <v>1.03017515177743</v>
      </c>
      <c r="E84" s="14" t="n">
        <f aca="false">AVERAGE(E64,E65,E66,E70,E71,E75,E76,E80,E81)</f>
        <v>1.03017515177743</v>
      </c>
      <c r="F84" s="14" t="n">
        <f aca="false">AVERAGE(E64,E65,E66,E70,E71,E75,E76,E80,E81)</f>
        <v>1.03017515177743</v>
      </c>
      <c r="G84" s="12" t="s">
        <v>77</v>
      </c>
      <c r="H84" s="12" t="s">
        <v>238</v>
      </c>
      <c r="I84" s="2" t="s">
        <v>283</v>
      </c>
    </row>
    <row r="85" customFormat="false" ht="15" hidden="false" customHeight="false" outlineLevel="0" collapsed="false">
      <c r="A85" s="0" t="s">
        <v>284</v>
      </c>
      <c r="B85" s="0" t="s">
        <v>285</v>
      </c>
      <c r="C85" s="0" t="s">
        <v>152</v>
      </c>
      <c r="D85" s="0" t="n">
        <f aca="false">D58*1000/D59</f>
        <v>1258.25</v>
      </c>
      <c r="E85" s="0" t="n">
        <f aca="false">E58*1000/E59</f>
        <v>1258.25</v>
      </c>
      <c r="F85" s="0" t="n">
        <f aca="false">F58*1000/F59</f>
        <v>1258.25</v>
      </c>
      <c r="G85" s="12" t="s">
        <v>77</v>
      </c>
      <c r="H85" s="12" t="s">
        <v>77</v>
      </c>
      <c r="I85" s="12" t="s">
        <v>286</v>
      </c>
    </row>
    <row r="86" customFormat="false" ht="17.15" hidden="false" customHeight="false" outlineLevel="0" collapsed="false">
      <c r="A86" s="0" t="s">
        <v>287</v>
      </c>
      <c r="B86" s="0" t="s">
        <v>288</v>
      </c>
      <c r="C86" s="0" t="s">
        <v>152</v>
      </c>
      <c r="D86" s="0" t="n">
        <f aca="false">10*1000/8</f>
        <v>1250</v>
      </c>
      <c r="E86" s="0" t="n">
        <f aca="false">10*1000/8</f>
        <v>1250</v>
      </c>
      <c r="F86" s="0" t="n">
        <f aca="false">10*1000/8</f>
        <v>1250</v>
      </c>
      <c r="G86" s="12" t="s">
        <v>289</v>
      </c>
      <c r="H86" s="12" t="s">
        <v>86</v>
      </c>
      <c r="I86" s="12"/>
    </row>
    <row r="87" customFormat="false" ht="17.15" hidden="false" customHeight="false" outlineLevel="0" collapsed="false">
      <c r="A87" s="0" t="s">
        <v>290</v>
      </c>
      <c r="B87" s="0" t="s">
        <v>291</v>
      </c>
      <c r="C87" s="0" t="s">
        <v>152</v>
      </c>
      <c r="D87" s="0" t="n">
        <f aca="false">15*1000/8</f>
        <v>1875</v>
      </c>
      <c r="E87" s="0" t="n">
        <f aca="false">15*1000/8</f>
        <v>1875</v>
      </c>
      <c r="F87" s="0" t="n">
        <f aca="false">15*1000/8</f>
        <v>1875</v>
      </c>
      <c r="G87" s="12" t="s">
        <v>292</v>
      </c>
      <c r="H87" s="12" t="s">
        <v>86</v>
      </c>
      <c r="I87" s="12"/>
    </row>
    <row r="88" customFormat="false" ht="32.8" hidden="false" customHeight="false" outlineLevel="0" collapsed="false">
      <c r="A88" s="0" t="s">
        <v>293</v>
      </c>
      <c r="B88" s="0" t="s">
        <v>294</v>
      </c>
      <c r="C88" s="0" t="s">
        <v>129</v>
      </c>
      <c r="D88" s="14" t="n">
        <f aca="false">-LN(E55/E52)/LN(E87/E86)</f>
        <v>0.365357796108154</v>
      </c>
      <c r="E88" s="14" t="n">
        <f aca="false">-LN(E55/E52)/LN(E87/E86)</f>
        <v>0.365357796108154</v>
      </c>
      <c r="F88" s="14" t="n">
        <f aca="false">-LN(E55/E52)/LN(E87/E86)</f>
        <v>0.365357796108154</v>
      </c>
      <c r="G88" s="12" t="s">
        <v>77</v>
      </c>
      <c r="H88" s="12" t="s">
        <v>295</v>
      </c>
      <c r="I88" s="12" t="s">
        <v>296</v>
      </c>
    </row>
    <row r="89" customFormat="false" ht="17.15" hidden="false" customHeight="false" outlineLevel="0" collapsed="false">
      <c r="A89" s="9" t="s">
        <v>297</v>
      </c>
      <c r="B89" s="10"/>
      <c r="C89" s="10"/>
      <c r="D89" s="10"/>
      <c r="E89" s="10"/>
      <c r="F89" s="10"/>
      <c r="G89" s="11"/>
      <c r="H89" s="11"/>
      <c r="I89" s="11"/>
    </row>
    <row r="90" customFormat="false" ht="17.15" hidden="false" customHeight="false" outlineLevel="0" collapsed="false">
      <c r="A90" s="0" t="s">
        <v>298</v>
      </c>
      <c r="B90" s="6" t="s">
        <v>299</v>
      </c>
      <c r="C90" s="0" t="s">
        <v>60</v>
      </c>
      <c r="D90" s="7" t="n">
        <v>40.265</v>
      </c>
      <c r="E90" s="7" t="n">
        <v>40.265</v>
      </c>
      <c r="F90" s="7" t="n">
        <v>40.265</v>
      </c>
      <c r="G90" s="12" t="s">
        <v>300</v>
      </c>
      <c r="H90" s="12" t="s">
        <v>218</v>
      </c>
      <c r="I90" s="2" t="s">
        <v>301</v>
      </c>
    </row>
    <row r="91" customFormat="false" ht="17.15" hidden="false" customHeight="false" outlineLevel="0" collapsed="false">
      <c r="A91" s="0" t="s">
        <v>302</v>
      </c>
      <c r="B91" s="6" t="s">
        <v>303</v>
      </c>
      <c r="C91" s="0" t="s">
        <v>60</v>
      </c>
      <c r="D91" s="7" t="n">
        <v>20.133</v>
      </c>
      <c r="E91" s="7" t="n">
        <v>20.133</v>
      </c>
      <c r="F91" s="7" t="n">
        <v>20.133</v>
      </c>
      <c r="G91" s="12" t="s">
        <v>304</v>
      </c>
      <c r="H91" s="12" t="s">
        <v>218</v>
      </c>
      <c r="I91" s="12" t="s">
        <v>305</v>
      </c>
    </row>
    <row r="92" customFormat="false" ht="17.15" hidden="false" customHeight="false" outlineLevel="0" collapsed="false">
      <c r="A92" s="0" t="s">
        <v>306</v>
      </c>
      <c r="B92" s="0" t="s">
        <v>307</v>
      </c>
      <c r="C92" s="0" t="s">
        <v>148</v>
      </c>
      <c r="D92" s="7" t="n">
        <v>23.3</v>
      </c>
      <c r="E92" s="7" t="n">
        <v>23.3</v>
      </c>
      <c r="F92" s="7" t="n">
        <v>23.3</v>
      </c>
      <c r="G92" s="12" t="s">
        <v>304</v>
      </c>
      <c r="H92" s="12" t="s">
        <v>218</v>
      </c>
      <c r="I92" s="12"/>
    </row>
    <row r="93" customFormat="false" ht="32.8" hidden="false" customHeight="false" outlineLevel="0" collapsed="false">
      <c r="A93" s="0" t="s">
        <v>308</v>
      </c>
      <c r="B93" s="6" t="s">
        <v>309</v>
      </c>
      <c r="C93" s="0" t="s">
        <v>66</v>
      </c>
      <c r="D93" s="13" t="n">
        <v>2.5</v>
      </c>
      <c r="E93" s="13" t="n">
        <v>2.5</v>
      </c>
      <c r="F93" s="13" t="n">
        <v>2.5</v>
      </c>
      <c r="G93" s="12" t="s">
        <v>310</v>
      </c>
      <c r="H93" s="12" t="s">
        <v>311</v>
      </c>
      <c r="I93" s="2" t="s">
        <v>312</v>
      </c>
    </row>
    <row r="94" customFormat="false" ht="32.8" hidden="false" customHeight="false" outlineLevel="0" collapsed="false">
      <c r="A94" s="0" t="s">
        <v>313</v>
      </c>
      <c r="B94" s="0" t="s">
        <v>314</v>
      </c>
      <c r="C94" s="0" t="s">
        <v>66</v>
      </c>
      <c r="D94" s="13" t="n">
        <v>245</v>
      </c>
      <c r="E94" s="13" t="n">
        <v>245</v>
      </c>
      <c r="F94" s="13" t="n">
        <v>225</v>
      </c>
      <c r="G94" s="12" t="s">
        <v>315</v>
      </c>
      <c r="H94" s="12" t="s">
        <v>316</v>
      </c>
      <c r="I94" s="2" t="s">
        <v>317</v>
      </c>
    </row>
    <row r="95" customFormat="false" ht="17.15" hidden="false" customHeight="false" outlineLevel="0" collapsed="false">
      <c r="A95" s="0" t="s">
        <v>318</v>
      </c>
      <c r="B95" s="6" t="s">
        <v>319</v>
      </c>
      <c r="C95" s="6" t="s">
        <v>72</v>
      </c>
      <c r="D95" s="7" t="n">
        <v>72</v>
      </c>
      <c r="E95" s="7" t="n">
        <v>72</v>
      </c>
      <c r="F95" s="7" t="n">
        <v>72</v>
      </c>
      <c r="G95" s="12" t="s">
        <v>320</v>
      </c>
      <c r="H95" s="12" t="s">
        <v>218</v>
      </c>
      <c r="I95" s="12"/>
    </row>
    <row r="96" customFormat="false" ht="17.15" hidden="false" customHeight="false" outlineLevel="0" collapsed="false">
      <c r="A96" s="0" t="s">
        <v>321</v>
      </c>
      <c r="B96" s="6" t="s">
        <v>322</v>
      </c>
      <c r="C96" s="0" t="s">
        <v>103</v>
      </c>
      <c r="D96" s="4" t="n">
        <f aca="false">D94/(D95*D93)</f>
        <v>1.36111111111111</v>
      </c>
      <c r="E96" s="4" t="n">
        <f aca="false">E94/(E95*E93)</f>
        <v>1.36111111111111</v>
      </c>
      <c r="F96" s="4" t="n">
        <f aca="false">F94/(F95*F93)</f>
        <v>1.25</v>
      </c>
      <c r="G96" s="12" t="s">
        <v>77</v>
      </c>
      <c r="H96" s="12" t="s">
        <v>77</v>
      </c>
      <c r="I96" s="12" t="s">
        <v>323</v>
      </c>
    </row>
    <row r="97" customFormat="false" ht="17.15" hidden="false" customHeight="false" outlineLevel="0" collapsed="false">
      <c r="A97" s="0" t="s">
        <v>324</v>
      </c>
      <c r="B97" s="6" t="s">
        <v>325</v>
      </c>
      <c r="C97" s="0" t="s">
        <v>66</v>
      </c>
      <c r="D97" s="4" t="n">
        <f aca="false">D94/D95</f>
        <v>3.40277777777778</v>
      </c>
      <c r="E97" s="4" t="n">
        <f aca="false">E94/E95</f>
        <v>3.40277777777778</v>
      </c>
      <c r="F97" s="4" t="n">
        <f aca="false">F94/F95</f>
        <v>3.125</v>
      </c>
      <c r="G97" s="12" t="s">
        <v>77</v>
      </c>
      <c r="H97" s="12" t="s">
        <v>77</v>
      </c>
      <c r="I97" s="12" t="s">
        <v>326</v>
      </c>
    </row>
    <row r="98" customFormat="false" ht="17.15" hidden="false" customHeight="false" outlineLevel="0" collapsed="false">
      <c r="A98" s="0" t="s">
        <v>327</v>
      </c>
      <c r="B98" s="0" t="s">
        <v>328</v>
      </c>
      <c r="C98" s="0" t="s">
        <v>81</v>
      </c>
      <c r="D98" s="14" t="n">
        <f aca="false">D90/D97</f>
        <v>11.8329795918367</v>
      </c>
      <c r="E98" s="14" t="n">
        <f aca="false">E90/E97</f>
        <v>11.8329795918367</v>
      </c>
      <c r="F98" s="14" t="n">
        <f aca="false">F90/F97</f>
        <v>12.8848</v>
      </c>
      <c r="G98" s="12" t="s">
        <v>77</v>
      </c>
      <c r="H98" s="12" t="s">
        <v>77</v>
      </c>
      <c r="I98" s="12"/>
    </row>
    <row r="99" customFormat="false" ht="17.15" hidden="false" customHeight="false" outlineLevel="0" collapsed="false">
      <c r="A99" s="0" t="s">
        <v>329</v>
      </c>
      <c r="B99" s="0" t="s">
        <v>330</v>
      </c>
      <c r="C99" s="0" t="s">
        <v>129</v>
      </c>
      <c r="D99" s="4" t="n">
        <f aca="false">D98/D10</f>
        <v>1.06590728862974</v>
      </c>
      <c r="E99" s="4" t="n">
        <f aca="false">E98/E10</f>
        <v>1.06590728862974</v>
      </c>
      <c r="F99" s="4" t="n">
        <f aca="false">F98/F10</f>
        <v>1.1606546031746</v>
      </c>
      <c r="G99" s="12" t="s">
        <v>77</v>
      </c>
      <c r="H99" s="12" t="s">
        <v>77</v>
      </c>
      <c r="I99" s="12"/>
    </row>
    <row r="100" customFormat="false" ht="17.15" hidden="false" customHeight="false" outlineLevel="0" collapsed="false">
      <c r="A100" s="0" t="s">
        <v>331</v>
      </c>
      <c r="B100" s="0" t="s">
        <v>332</v>
      </c>
      <c r="C100" s="0" t="s">
        <v>129</v>
      </c>
      <c r="D100" s="4" t="n">
        <f aca="false">(D91/D97)/(D26/D9)</f>
        <v>1.06593376093294</v>
      </c>
      <c r="E100" s="4" t="n">
        <f aca="false">(E91/E97)/(E26/E9)</f>
        <v>1.06593376093294</v>
      </c>
      <c r="F100" s="4" t="n">
        <f aca="false">(F91/F97)/(F26/F9)</f>
        <v>1.16068342857143</v>
      </c>
      <c r="G100" s="12" t="s">
        <v>77</v>
      </c>
      <c r="H100" s="12" t="s">
        <v>77</v>
      </c>
      <c r="I100" s="2" t="s">
        <v>333</v>
      </c>
    </row>
    <row r="101" customFormat="false" ht="17.15" hidden="false" customHeight="false" outlineLevel="0" collapsed="false">
      <c r="A101" s="0" t="s">
        <v>334</v>
      </c>
      <c r="B101" s="0" t="s">
        <v>335</v>
      </c>
      <c r="C101" s="0" t="s">
        <v>152</v>
      </c>
      <c r="D101" s="0" t="n">
        <f aca="false">D90*1000/D92</f>
        <v>1728.11158798283</v>
      </c>
      <c r="E101" s="0" t="n">
        <f aca="false">E90*1000/E92</f>
        <v>1728.11158798283</v>
      </c>
      <c r="F101" s="0" t="n">
        <f aca="false">F90*1000/F92</f>
        <v>1728.11158798283</v>
      </c>
      <c r="G101" s="12" t="s">
        <v>77</v>
      </c>
      <c r="H101" s="12" t="s">
        <v>77</v>
      </c>
      <c r="I101" s="12" t="s">
        <v>336</v>
      </c>
    </row>
    <row r="102" customFormat="false" ht="17.15" hidden="false" customHeight="false" outlineLevel="0" collapsed="false">
      <c r="A102" s="0" t="s">
        <v>337</v>
      </c>
      <c r="B102" s="0" t="s">
        <v>338</v>
      </c>
      <c r="C102" s="0" t="s">
        <v>129</v>
      </c>
      <c r="D102" s="14" t="n">
        <f aca="false">(E101/E85)^(-E88)</f>
        <v>0.890536913714902</v>
      </c>
      <c r="E102" s="14" t="n">
        <f aca="false">(E101/E85)^(-E88)</f>
        <v>0.890536913714902</v>
      </c>
      <c r="F102" s="14" t="n">
        <f aca="false">(E101/E85)^(-E88)</f>
        <v>0.890536913714902</v>
      </c>
      <c r="G102" s="12" t="s">
        <v>77</v>
      </c>
      <c r="H102" s="12" t="s">
        <v>295</v>
      </c>
      <c r="I102" s="12" t="s">
        <v>339</v>
      </c>
    </row>
    <row r="103" customFormat="false" ht="17.15" hidden="false" customHeight="false" outlineLevel="0" collapsed="false">
      <c r="A103" s="0" t="s">
        <v>340</v>
      </c>
      <c r="B103" s="6" t="s">
        <v>341</v>
      </c>
      <c r="C103" s="0" t="s">
        <v>129</v>
      </c>
      <c r="D103" s="14" t="n">
        <f aca="false">1.1*E6/E90</f>
        <v>0.956165404197194</v>
      </c>
      <c r="E103" s="14" t="n">
        <f aca="false">1.125*E6/E90</f>
        <v>0.977896436110766</v>
      </c>
      <c r="F103" s="14" t="n">
        <f aca="false">1.15*E6/E90</f>
        <v>0.999627468024339</v>
      </c>
      <c r="G103" s="12" t="s">
        <v>342</v>
      </c>
      <c r="H103" s="12" t="s">
        <v>218</v>
      </c>
      <c r="I103" s="2" t="s">
        <v>343</v>
      </c>
    </row>
    <row r="104" customFormat="false" ht="48.5" hidden="false" customHeight="false" outlineLevel="0" collapsed="false">
      <c r="A104" s="0" t="s">
        <v>344</v>
      </c>
      <c r="B104" s="6" t="s">
        <v>345</v>
      </c>
      <c r="C104" s="0" t="s">
        <v>129</v>
      </c>
      <c r="D104" s="14" t="n">
        <f aca="false">E65*E102</f>
        <v>0.655838246416892</v>
      </c>
      <c r="E104" s="14" t="n">
        <f aca="false">E82*E102</f>
        <v>0.756627413486137</v>
      </c>
      <c r="F104" s="14" t="n">
        <f aca="false">E66</f>
        <v>0.994410894306864</v>
      </c>
      <c r="G104" s="2" t="s">
        <v>346</v>
      </c>
      <c r="H104" s="12" t="s">
        <v>347</v>
      </c>
      <c r="I104" s="12" t="s">
        <v>348</v>
      </c>
    </row>
    <row r="105" customFormat="false" ht="17.15" hidden="false" customHeight="false" outlineLevel="0" collapsed="false">
      <c r="A105" s="0" t="s">
        <v>349</v>
      </c>
      <c r="B105" s="0" t="s">
        <v>350</v>
      </c>
      <c r="C105" s="0" t="s">
        <v>129</v>
      </c>
      <c r="D105" s="4" t="n">
        <f aca="false">D99*D104</f>
        <v>0.699062767017911</v>
      </c>
      <c r="E105" s="4" t="n">
        <f aca="false">E99*E104</f>
        <v>0.80649467481194</v>
      </c>
      <c r="F105" s="4" t="n">
        <f aca="false">F99*F104</f>
        <v>1.15416758192424</v>
      </c>
      <c r="G105" s="12" t="s">
        <v>77</v>
      </c>
      <c r="H105" s="12" t="s">
        <v>351</v>
      </c>
      <c r="I105" s="12"/>
    </row>
    <row r="106" customFormat="false" ht="17.15" hidden="false" customHeight="false" outlineLevel="0" collapsed="false">
      <c r="A106" s="9" t="s">
        <v>352</v>
      </c>
      <c r="B106" s="10"/>
      <c r="C106" s="10"/>
      <c r="D106" s="10"/>
      <c r="E106" s="10"/>
      <c r="F106" s="10"/>
      <c r="G106" s="11"/>
      <c r="H106" s="11"/>
      <c r="I106" s="11"/>
    </row>
    <row r="107" customFormat="false" ht="17.15" hidden="false" customHeight="false" outlineLevel="0" collapsed="false">
      <c r="A107" s="0" t="s">
        <v>353</v>
      </c>
      <c r="B107" s="0" t="s">
        <v>354</v>
      </c>
      <c r="C107" s="0" t="s">
        <v>103</v>
      </c>
      <c r="D107" s="4" t="n">
        <f aca="false">5/4</f>
        <v>1.25</v>
      </c>
      <c r="E107" s="4" t="n">
        <f aca="false">5.25/3.75</f>
        <v>1.4</v>
      </c>
      <c r="F107" s="4" t="n">
        <f aca="false">5.5/3.5</f>
        <v>1.57142857142857</v>
      </c>
      <c r="G107" s="12" t="s">
        <v>355</v>
      </c>
      <c r="H107" s="2" t="s">
        <v>356</v>
      </c>
      <c r="I107" s="2" t="s">
        <v>357</v>
      </c>
    </row>
    <row r="108" customFormat="false" ht="17.15" hidden="false" customHeight="false" outlineLevel="0" collapsed="false">
      <c r="A108" s="0" t="s">
        <v>358</v>
      </c>
      <c r="B108" s="0" t="s">
        <v>359</v>
      </c>
      <c r="C108" s="0" t="s">
        <v>103</v>
      </c>
      <c r="D108" s="14" t="n">
        <f aca="false">1.1/1.3</f>
        <v>0.846153846153846</v>
      </c>
      <c r="E108" s="14" t="n">
        <f aca="false">1.125/1.3</f>
        <v>0.865384615384615</v>
      </c>
      <c r="F108" s="14" t="n">
        <f aca="false">1.15/1.3</f>
        <v>0.884615384615385</v>
      </c>
      <c r="G108" s="12" t="s">
        <v>342</v>
      </c>
      <c r="H108" s="12" t="s">
        <v>218</v>
      </c>
      <c r="I108" s="12" t="s">
        <v>360</v>
      </c>
    </row>
    <row r="109" customFormat="false" ht="32.8" hidden="false" customHeight="false" outlineLevel="0" collapsed="false">
      <c r="A109" s="0" t="s">
        <v>361</v>
      </c>
      <c r="B109" s="6" t="s">
        <v>362</v>
      </c>
      <c r="C109" s="0" t="s">
        <v>93</v>
      </c>
      <c r="D109" s="7" t="n">
        <v>5</v>
      </c>
      <c r="E109" s="7" t="n">
        <v>5.25</v>
      </c>
      <c r="F109" s="7" t="n">
        <v>5.5</v>
      </c>
      <c r="G109" s="12" t="s">
        <v>363</v>
      </c>
      <c r="H109" s="2" t="s">
        <v>356</v>
      </c>
      <c r="I109" s="12" t="s">
        <v>364</v>
      </c>
    </row>
    <row r="110" customFormat="false" ht="48.5" hidden="false" customHeight="false" outlineLevel="0" collapsed="false">
      <c r="A110" s="0" t="s">
        <v>365</v>
      </c>
      <c r="B110" s="0" t="s">
        <v>366</v>
      </c>
      <c r="C110" s="0" t="s">
        <v>93</v>
      </c>
      <c r="D110" s="0" t="n">
        <f aca="false">E109</f>
        <v>5.25</v>
      </c>
      <c r="E110" s="0" t="n">
        <f aca="false">E108*E13</f>
        <v>7.26923076923077</v>
      </c>
      <c r="F110" s="0" t="n">
        <f aca="false">D107*E13</f>
        <v>10.5</v>
      </c>
      <c r="G110" s="2" t="s">
        <v>367</v>
      </c>
      <c r="H110" s="12" t="s">
        <v>368</v>
      </c>
      <c r="I110" s="12" t="s">
        <v>369</v>
      </c>
    </row>
    <row r="111" customFormat="false" ht="17.15" hidden="false" customHeight="false" outlineLevel="0" collapsed="false">
      <c r="A111" s="0" t="s">
        <v>370</v>
      </c>
      <c r="B111" s="6" t="s">
        <v>371</v>
      </c>
      <c r="C111" s="6" t="s">
        <v>84</v>
      </c>
      <c r="D111" s="0" t="n">
        <f aca="false">D12*1000/$E$94</f>
        <v>3754.30204081633</v>
      </c>
      <c r="E111" s="0" t="n">
        <f aca="false">E12*1000/$E$94</f>
        <v>3754.30204081633</v>
      </c>
      <c r="F111" s="0" t="n">
        <f aca="false">F12*1000/$E$94</f>
        <v>3754.30204081633</v>
      </c>
      <c r="G111" s="12" t="s">
        <v>77</v>
      </c>
      <c r="H111" s="12" t="s">
        <v>77</v>
      </c>
      <c r="I111" s="12" t="s">
        <v>372</v>
      </c>
    </row>
    <row r="112" customFormat="false" ht="17.15" hidden="false" customHeight="false" outlineLevel="0" collapsed="false">
      <c r="A112" s="0" t="s">
        <v>373</v>
      </c>
      <c r="B112" s="6" t="s">
        <v>374</v>
      </c>
      <c r="C112" s="0" t="s">
        <v>99</v>
      </c>
      <c r="D112" s="0" t="n">
        <f aca="false">D111*D110/1000*D15</f>
        <v>21.7655660816327</v>
      </c>
      <c r="E112" s="0" t="n">
        <f aca="false">E111*E110/1000*E15</f>
        <v>30.1369376514914</v>
      </c>
      <c r="F112" s="0" t="n">
        <f aca="false">F111*F110/1000*F15</f>
        <v>43.5311321632653</v>
      </c>
      <c r="G112" s="12" t="s">
        <v>77</v>
      </c>
      <c r="H112" s="12" t="s">
        <v>77</v>
      </c>
      <c r="I112" s="2" t="s">
        <v>375</v>
      </c>
    </row>
    <row r="113" customFormat="false" ht="17.15" hidden="false" customHeight="false" outlineLevel="0" collapsed="false">
      <c r="A113" s="0" t="s">
        <v>376</v>
      </c>
      <c r="B113" s="0" t="s">
        <v>377</v>
      </c>
      <c r="C113" s="0" t="s">
        <v>129</v>
      </c>
      <c r="D113" s="14" t="n">
        <f aca="false">D112/D14</f>
        <v>0.579081632653061</v>
      </c>
      <c r="E113" s="14" t="n">
        <f aca="false">E112/E14</f>
        <v>0.801805337519623</v>
      </c>
      <c r="F113" s="14" t="n">
        <f aca="false">F112/F14</f>
        <v>1.15816326530612</v>
      </c>
      <c r="G113" s="12" t="s">
        <v>77</v>
      </c>
      <c r="H113" s="12" t="s">
        <v>77</v>
      </c>
      <c r="I113" s="12"/>
    </row>
    <row r="114" customFormat="false" ht="17.15" hidden="false" customHeight="false" outlineLevel="0" collapsed="false">
      <c r="A114" s="0" t="s">
        <v>378</v>
      </c>
      <c r="B114" s="0" t="s">
        <v>379</v>
      </c>
      <c r="C114" s="0" t="s">
        <v>129</v>
      </c>
      <c r="D114" s="4" t="n">
        <f aca="false">1-D25*(1-D113)</f>
        <v>0.674246491827101</v>
      </c>
      <c r="E114" s="4" t="n">
        <f aca="false">1-E25*(1-E113)</f>
        <v>0.846614898249591</v>
      </c>
      <c r="F114" s="4" t="n">
        <f aca="false">1-F25*(1-F113)</f>
        <v>1.12240434852557</v>
      </c>
      <c r="G114" s="12" t="s">
        <v>77</v>
      </c>
      <c r="H114" s="12" t="s">
        <v>351</v>
      </c>
      <c r="I114" s="12"/>
    </row>
    <row r="115" customFormat="false" ht="17.15" hidden="false" customHeight="false" outlineLevel="0" collapsed="false">
      <c r="A115" s="0" t="s">
        <v>380</v>
      </c>
      <c r="B115" s="6" t="s">
        <v>381</v>
      </c>
      <c r="C115" s="0" t="s">
        <v>129</v>
      </c>
      <c r="D115" s="4" t="n">
        <f aca="false">1-E25*(1-E111*D107*E13/1000*E15/E14)</f>
        <v>1.12240434852557</v>
      </c>
      <c r="E115" s="4" t="n">
        <f aca="false">1-E25*(1-E111*E107*E13/1000*E15/E14)</f>
        <v>1.22996223413321</v>
      </c>
      <c r="F115" s="4" t="n">
        <f aca="false">1-E25*(1-E111*F107*E13/1000*E15/E14)</f>
        <v>1.3528855319705</v>
      </c>
      <c r="G115" s="12" t="s">
        <v>77</v>
      </c>
      <c r="H115" s="12" t="s">
        <v>77</v>
      </c>
      <c r="I115" s="2" t="s">
        <v>382</v>
      </c>
    </row>
    <row r="116" customFormat="false" ht="17.15" hidden="false" customHeight="false" outlineLevel="0" collapsed="false">
      <c r="A116" s="0" t="s">
        <v>383</v>
      </c>
      <c r="B116" s="6" t="s">
        <v>384</v>
      </c>
      <c r="C116" s="0" t="s">
        <v>129</v>
      </c>
      <c r="D116" s="4" t="n">
        <f aca="false">1-E25*(1-E111*D108*E13/1000*E15/E14)</f>
        <v>0.832825425735792</v>
      </c>
      <c r="E116" s="4" t="n">
        <f aca="false">1-E25*(1-E111*E108*E13/1000*E15/E14)</f>
        <v>0.846614898249591</v>
      </c>
      <c r="F116" s="4" t="n">
        <f aca="false">1-E25*(1-E111*F108*E13/1000*E15/E14)</f>
        <v>0.86040437076339</v>
      </c>
      <c r="G116" s="12" t="s">
        <v>77</v>
      </c>
      <c r="H116" s="12" t="s">
        <v>77</v>
      </c>
      <c r="I116" s="2" t="s">
        <v>385</v>
      </c>
    </row>
    <row r="117" customFormat="false" ht="17.15" hidden="false" customHeight="false" outlineLevel="0" collapsed="false">
      <c r="A117" s="0" t="s">
        <v>386</v>
      </c>
      <c r="B117" s="6" t="s">
        <v>387</v>
      </c>
      <c r="C117" s="0" t="s">
        <v>129</v>
      </c>
      <c r="D117" s="4" t="n">
        <f aca="false">1-E25*(1-E111*D109/1000*E15/E14)</f>
        <v>0.652905641508127</v>
      </c>
      <c r="E117" s="4" t="n">
        <f aca="false">1-E25*(1-E111*E109/1000*E15/E14)</f>
        <v>0.674246491827101</v>
      </c>
      <c r="F117" s="4" t="n">
        <f aca="false">1-E25*(1-E111*F109/1000*E15/E14)</f>
        <v>0.695587342146076</v>
      </c>
      <c r="G117" s="12" t="s">
        <v>77</v>
      </c>
      <c r="H117" s="12" t="s">
        <v>77</v>
      </c>
      <c r="I117" s="2" t="s">
        <v>388</v>
      </c>
    </row>
    <row r="118" customFormat="false" ht="48.5" hidden="false" customHeight="false" outlineLevel="0" collapsed="false">
      <c r="A118" s="0" t="s">
        <v>389</v>
      </c>
      <c r="B118" s="6" t="s">
        <v>390</v>
      </c>
      <c r="C118" s="0" t="s">
        <v>103</v>
      </c>
      <c r="D118" s="15" t="n">
        <f aca="false">31/20.7</f>
        <v>1.4975845410628</v>
      </c>
      <c r="E118" s="15" t="n">
        <f aca="false">31/20.7</f>
        <v>1.4975845410628</v>
      </c>
      <c r="F118" s="15" t="n">
        <f aca="false">31/20.7</f>
        <v>1.4975845410628</v>
      </c>
      <c r="G118" s="12" t="s">
        <v>391</v>
      </c>
      <c r="H118" s="12" t="s">
        <v>77</v>
      </c>
      <c r="I118" s="2" t="s">
        <v>392</v>
      </c>
    </row>
    <row r="119" customFormat="false" ht="17.15" hidden="false" customHeight="false" outlineLevel="0" collapsed="false">
      <c r="A119" s="9" t="s">
        <v>393</v>
      </c>
      <c r="B119" s="10"/>
      <c r="C119" s="10"/>
      <c r="D119" s="10"/>
      <c r="E119" s="10"/>
      <c r="F119" s="10"/>
      <c r="G119" s="11"/>
      <c r="H119" s="11"/>
      <c r="I119" s="11"/>
    </row>
    <row r="120" customFormat="false" ht="32.8" hidden="false" customHeight="false" outlineLevel="0" collapsed="false">
      <c r="A120" s="0" t="s">
        <v>394</v>
      </c>
      <c r="B120" s="0" t="s">
        <v>395</v>
      </c>
      <c r="C120" s="0" t="s">
        <v>129</v>
      </c>
      <c r="D120" s="4" t="n">
        <f aca="false">D100*D104</f>
        <v>0.699080128566825</v>
      </c>
      <c r="E120" s="4" t="n">
        <f aca="false">E100*E104</f>
        <v>0.806514704482244</v>
      </c>
      <c r="F120" s="4" t="n">
        <f aca="false">F100*F104</f>
        <v>1.15419624621287</v>
      </c>
      <c r="G120" s="12" t="s">
        <v>77</v>
      </c>
      <c r="H120" s="12" t="s">
        <v>77</v>
      </c>
      <c r="I120" s="12" t="s">
        <v>396</v>
      </c>
    </row>
    <row r="121" customFormat="false" ht="17.15" hidden="false" customHeight="false" outlineLevel="0" collapsed="false">
      <c r="A121" s="0" t="s">
        <v>397</v>
      </c>
      <c r="B121" s="0" t="s">
        <v>398</v>
      </c>
      <c r="C121" s="0" t="s">
        <v>129</v>
      </c>
      <c r="D121" s="16" t="n">
        <f aca="false">D105-D120</f>
        <v>-1.73615489138523E-005</v>
      </c>
      <c r="E121" s="16" t="n">
        <f aca="false">E105-E120</f>
        <v>-2.00296703044556E-005</v>
      </c>
      <c r="F121" s="16" t="n">
        <f aca="false">F105-F120</f>
        <v>-2.86642886357935E-005</v>
      </c>
      <c r="G121" s="12" t="s">
        <v>77</v>
      </c>
      <c r="H121" s="12" t="s">
        <v>77</v>
      </c>
      <c r="I121" s="12" t="s">
        <v>399</v>
      </c>
    </row>
    <row r="122" customFormat="false" ht="17.15" hidden="false" customHeight="false" outlineLevel="0" collapsed="false">
      <c r="A122" s="0" t="s">
        <v>400</v>
      </c>
      <c r="B122" s="6" t="s">
        <v>401</v>
      </c>
      <c r="C122" s="0" t="s">
        <v>129</v>
      </c>
      <c r="D122" s="4" t="n">
        <f aca="false">D105*35/50</f>
        <v>0.489343936912537</v>
      </c>
      <c r="E122" s="4" t="n">
        <f aca="false">E105*35/50</f>
        <v>0.564546272368358</v>
      </c>
      <c r="F122" s="4" t="n">
        <f aca="false">F105*35/50</f>
        <v>0.807917307346965</v>
      </c>
      <c r="G122" s="12" t="s">
        <v>77</v>
      </c>
      <c r="H122" s="12" t="s">
        <v>77</v>
      </c>
      <c r="I122" s="2" t="s">
        <v>402</v>
      </c>
    </row>
    <row r="123" customFormat="false" ht="17.15" hidden="false" customHeight="false" outlineLevel="0" collapsed="false">
      <c r="A123" s="9" t="s">
        <v>403</v>
      </c>
      <c r="B123" s="10"/>
      <c r="C123" s="10"/>
      <c r="D123" s="10"/>
      <c r="E123" s="10"/>
      <c r="F123" s="10"/>
      <c r="G123" s="11"/>
      <c r="H123" s="11"/>
      <c r="I123" s="11"/>
    </row>
    <row r="124" customFormat="false" ht="17.15" hidden="false" customHeight="false" outlineLevel="0" collapsed="false">
      <c r="A124" s="0" t="s">
        <v>404</v>
      </c>
      <c r="B124" s="0" t="s">
        <v>405</v>
      </c>
      <c r="C124" s="6" t="s">
        <v>406</v>
      </c>
      <c r="D124" s="4" t="n">
        <f aca="false">E99*D104</f>
        <v>0.699062767017911</v>
      </c>
      <c r="E124" s="4" t="n">
        <f aca="false">E105</f>
        <v>0.80649467481194</v>
      </c>
      <c r="F124" s="4" t="n">
        <f aca="false">E99*F104</f>
        <v>1.0599498201345</v>
      </c>
      <c r="G124" s="12" t="s">
        <v>77</v>
      </c>
      <c r="H124" s="12" t="s">
        <v>77</v>
      </c>
      <c r="I124" s="12"/>
    </row>
    <row r="125" customFormat="false" ht="17.15" hidden="false" customHeight="false" outlineLevel="0" collapsed="false">
      <c r="A125" s="0" t="s">
        <v>407</v>
      </c>
      <c r="B125" s="6" t="s">
        <v>408</v>
      </c>
      <c r="C125" s="6" t="s">
        <v>406</v>
      </c>
      <c r="D125" s="4" t="n">
        <f aca="false">E90/(245/72)/E10*E104</f>
        <v>0.80649467481194</v>
      </c>
      <c r="E125" s="4" t="n">
        <f aca="false">E90/(235/72)/E10*E104</f>
        <v>0.840813597144363</v>
      </c>
      <c r="F125" s="4" t="n">
        <f aca="false">E90/(225/72)/E10*E104</f>
        <v>0.878183090350779</v>
      </c>
      <c r="G125" s="12" t="s">
        <v>409</v>
      </c>
      <c r="H125" s="12" t="s">
        <v>77</v>
      </c>
      <c r="I125" s="12"/>
    </row>
    <row r="126" customFormat="false" ht="17.15" hidden="false" customHeight="false" outlineLevel="0" collapsed="false">
      <c r="A126" s="0" t="s">
        <v>410</v>
      </c>
      <c r="B126" s="0" t="s">
        <v>411</v>
      </c>
      <c r="C126" s="6" t="s">
        <v>406</v>
      </c>
      <c r="D126" s="4" t="n">
        <f aca="false">E99*E65</f>
        <v>0.78499021910473</v>
      </c>
      <c r="E126" s="4" t="n">
        <f aca="false">E99*E82</f>
        <v>0.905627450576555</v>
      </c>
      <c r="F126" s="4" t="n">
        <f aca="false">E99*E66</f>
        <v>1.0599498201345</v>
      </c>
      <c r="G126" s="12" t="s">
        <v>77</v>
      </c>
      <c r="H126" s="12" t="s">
        <v>77</v>
      </c>
      <c r="I126" s="12" t="s">
        <v>412</v>
      </c>
    </row>
    <row r="127" customFormat="false" ht="17.15" hidden="false" customHeight="false" outlineLevel="0" collapsed="false">
      <c r="A127" s="0" t="s">
        <v>413</v>
      </c>
      <c r="B127" s="0" t="s">
        <v>414</v>
      </c>
      <c r="C127" s="6" t="s">
        <v>406</v>
      </c>
      <c r="D127" s="4" t="n">
        <f aca="false">E99*E84*E102</f>
        <v>0.977872940020624</v>
      </c>
      <c r="E127" s="4" t="n">
        <f aca="false">E99*E84*E102</f>
        <v>0.977872940020624</v>
      </c>
      <c r="F127" s="4" t="n">
        <f aca="false">E99*E84*E102</f>
        <v>0.977872940020624</v>
      </c>
      <c r="G127" s="12" t="s">
        <v>77</v>
      </c>
      <c r="H127" s="12" t="s">
        <v>77</v>
      </c>
      <c r="I127" s="12" t="s">
        <v>415</v>
      </c>
    </row>
    <row r="128" customFormat="false" ht="17.15" hidden="false" customHeight="false" outlineLevel="0" collapsed="false">
      <c r="A128" s="0" t="s">
        <v>416</v>
      </c>
      <c r="B128" s="0" t="s">
        <v>417</v>
      </c>
      <c r="C128" s="6" t="s">
        <v>406</v>
      </c>
      <c r="D128" s="4" t="n">
        <f aca="false">E99*E83*E102</f>
        <v>0.737779791460288</v>
      </c>
      <c r="E128" s="4" t="n">
        <f aca="false">E99*E83*E102</f>
        <v>0.737779791460288</v>
      </c>
      <c r="F128" s="4" t="n">
        <f aca="false">E99*E83*E102</f>
        <v>0.737779791460288</v>
      </c>
      <c r="G128" s="12" t="s">
        <v>77</v>
      </c>
      <c r="H128" s="12" t="s">
        <v>77</v>
      </c>
      <c r="I128" s="12" t="s">
        <v>418</v>
      </c>
    </row>
    <row r="129" customFormat="false" ht="17.15" hidden="false" customHeight="false" outlineLevel="0" collapsed="false">
      <c r="A129" s="0" t="s">
        <v>419</v>
      </c>
      <c r="B129" s="6" t="s">
        <v>420</v>
      </c>
      <c r="C129" s="6" t="s">
        <v>406</v>
      </c>
      <c r="D129" s="4" t="n">
        <f aca="false">D105*0.8</f>
        <v>0.559250213614329</v>
      </c>
      <c r="E129" s="4" t="n">
        <f aca="false">D105*0.8</f>
        <v>0.559250213614329</v>
      </c>
      <c r="F129" s="4" t="n">
        <f aca="false">D105*0.8</f>
        <v>0.559250213614329</v>
      </c>
      <c r="G129" s="12" t="s">
        <v>77</v>
      </c>
      <c r="H129" s="12" t="s">
        <v>19</v>
      </c>
      <c r="I129" s="12" t="s">
        <v>421</v>
      </c>
    </row>
    <row r="130" customFormat="false" ht="17.15" hidden="false" customHeight="false" outlineLevel="0" collapsed="false">
      <c r="A130" s="0" t="s">
        <v>422</v>
      </c>
      <c r="B130" s="6" t="s">
        <v>423</v>
      </c>
      <c r="C130" s="6" t="s">
        <v>424</v>
      </c>
      <c r="D130" s="4" t="n">
        <f aca="false">D114</f>
        <v>0.674246491827101</v>
      </c>
      <c r="E130" s="4" t="n">
        <f aca="false">E114</f>
        <v>0.846614898249591</v>
      </c>
      <c r="F130" s="4" t="n">
        <f aca="false">F114</f>
        <v>1.12240434852557</v>
      </c>
      <c r="G130" s="12" t="s">
        <v>77</v>
      </c>
      <c r="H130" s="12" t="s">
        <v>77</v>
      </c>
      <c r="I130" s="12"/>
    </row>
    <row r="131" customFormat="false" ht="17.15" hidden="false" customHeight="false" outlineLevel="0" collapsed="false">
      <c r="A131" s="0" t="s">
        <v>425</v>
      </c>
      <c r="B131" s="6" t="s">
        <v>426</v>
      </c>
      <c r="C131" s="6" t="s">
        <v>424</v>
      </c>
      <c r="D131" s="4" t="n">
        <f aca="false">1-E25*(1-(E12*1000/245*E110/1000*E15)/E14)</f>
        <v>0.846614898249591</v>
      </c>
      <c r="E131" s="4" t="n">
        <f aca="false">1-E25*(1-(E12*1000/235*E110/1000*E15)/E14)</f>
        <v>0.873020271148355</v>
      </c>
      <c r="F131" s="4" t="n">
        <f aca="false">1-E25*(1-(E12*1000/225*E110/1000*E15)/E14)</f>
        <v>0.901772788304787</v>
      </c>
      <c r="G131" s="12" t="s">
        <v>77</v>
      </c>
      <c r="H131" s="12" t="s">
        <v>77</v>
      </c>
      <c r="I131" s="2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56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24"/>
    <col collapsed="false" customWidth="true" hidden="false" outlineLevel="0" max="10" min="10" style="0" width="52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3" t="s">
        <v>49</v>
      </c>
      <c r="B1" s="3" t="s">
        <v>428</v>
      </c>
      <c r="C1" s="3" t="s">
        <v>429</v>
      </c>
      <c r="D1" s="3" t="s">
        <v>51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12</v>
      </c>
      <c r="J1" s="3" t="s">
        <v>434</v>
      </c>
      <c r="K1" s="3" t="s">
        <v>435</v>
      </c>
    </row>
    <row r="2" customFormat="false" ht="155.95" hidden="false" customHeight="false" outlineLevel="0" collapsed="false">
      <c r="A2" s="12" t="s">
        <v>304</v>
      </c>
      <c r="B2" s="12" t="s">
        <v>436</v>
      </c>
      <c r="C2" s="12" t="s">
        <v>437</v>
      </c>
      <c r="D2" s="12" t="s">
        <v>438</v>
      </c>
      <c r="E2" s="2" t="s">
        <v>439</v>
      </c>
      <c r="F2" s="12" t="s">
        <v>440</v>
      </c>
      <c r="G2" s="12" t="s">
        <v>441</v>
      </c>
      <c r="H2" s="2" t="s">
        <v>442</v>
      </c>
      <c r="I2" s="12" t="s">
        <v>311</v>
      </c>
      <c r="J2" s="2" t="s">
        <v>443</v>
      </c>
      <c r="K2" s="12" t="s">
        <v>444</v>
      </c>
    </row>
    <row r="3" customFormat="false" ht="142.5" hidden="false" customHeight="false" outlineLevel="0" collapsed="false">
      <c r="A3" s="12" t="s">
        <v>445</v>
      </c>
      <c r="B3" s="12" t="s">
        <v>446</v>
      </c>
      <c r="C3" s="12" t="s">
        <v>447</v>
      </c>
      <c r="D3" s="12" t="s">
        <v>448</v>
      </c>
      <c r="E3" s="2" t="s">
        <v>449</v>
      </c>
      <c r="F3" s="12" t="s">
        <v>450</v>
      </c>
      <c r="G3" s="12" t="s">
        <v>451</v>
      </c>
      <c r="H3" s="2" t="s">
        <v>442</v>
      </c>
      <c r="I3" s="12" t="s">
        <v>311</v>
      </c>
      <c r="J3" s="2" t="s">
        <v>452</v>
      </c>
      <c r="K3" s="12" t="s">
        <v>453</v>
      </c>
    </row>
    <row r="4" customFormat="false" ht="216.4" hidden="false" customHeight="false" outlineLevel="0" collapsed="false">
      <c r="A4" s="12" t="s">
        <v>409</v>
      </c>
      <c r="B4" s="12" t="s">
        <v>454</v>
      </c>
      <c r="C4" s="12" t="s">
        <v>455</v>
      </c>
      <c r="D4" s="12" t="s">
        <v>456</v>
      </c>
      <c r="E4" s="2" t="s">
        <v>457</v>
      </c>
      <c r="F4" s="12" t="s">
        <v>458</v>
      </c>
      <c r="G4" s="12" t="s">
        <v>459</v>
      </c>
      <c r="H4" s="2" t="s">
        <v>442</v>
      </c>
      <c r="I4" s="12" t="s">
        <v>460</v>
      </c>
      <c r="J4" s="2" t="s">
        <v>461</v>
      </c>
      <c r="K4" s="12" t="s">
        <v>313</v>
      </c>
    </row>
    <row r="5" customFormat="false" ht="86.55" hidden="false" customHeight="false" outlineLevel="0" collapsed="false">
      <c r="A5" s="12" t="s">
        <v>462</v>
      </c>
      <c r="B5" s="12" t="s">
        <v>463</v>
      </c>
      <c r="C5" s="12" t="s">
        <v>464</v>
      </c>
      <c r="D5" s="2" t="s">
        <v>465</v>
      </c>
      <c r="E5" s="2" t="s">
        <v>466</v>
      </c>
      <c r="F5" s="12" t="s">
        <v>467</v>
      </c>
      <c r="G5" s="12" t="s">
        <v>468</v>
      </c>
      <c r="H5" s="2" t="s">
        <v>442</v>
      </c>
      <c r="I5" s="12" t="s">
        <v>218</v>
      </c>
      <c r="J5" s="2" t="s">
        <v>469</v>
      </c>
      <c r="K5" s="12" t="s">
        <v>470</v>
      </c>
    </row>
    <row r="6" customFormat="false" ht="173.85" hidden="false" customHeight="false" outlineLevel="0" collapsed="false">
      <c r="A6" s="12" t="s">
        <v>226</v>
      </c>
      <c r="B6" s="12" t="s">
        <v>471</v>
      </c>
      <c r="C6" s="2" t="s">
        <v>472</v>
      </c>
      <c r="D6" s="12" t="s">
        <v>225</v>
      </c>
      <c r="E6" s="2" t="s">
        <v>473</v>
      </c>
      <c r="F6" s="12" t="s">
        <v>474</v>
      </c>
      <c r="G6" s="12" t="s">
        <v>475</v>
      </c>
      <c r="H6" s="2" t="s">
        <v>442</v>
      </c>
      <c r="I6" s="2" t="s">
        <v>476</v>
      </c>
      <c r="J6" s="2" t="s">
        <v>477</v>
      </c>
      <c r="K6" s="12" t="s">
        <v>478</v>
      </c>
    </row>
    <row r="7" customFormat="false" ht="79.85" hidden="false" customHeight="false" outlineLevel="0" collapsed="false">
      <c r="A7" s="12" t="s">
        <v>234</v>
      </c>
      <c r="B7" s="12" t="s">
        <v>479</v>
      </c>
      <c r="C7" s="12" t="s">
        <v>480</v>
      </c>
      <c r="D7" s="12" t="s">
        <v>225</v>
      </c>
      <c r="E7" s="12" t="s">
        <v>481</v>
      </c>
      <c r="F7" s="12" t="s">
        <v>482</v>
      </c>
      <c r="G7" s="12" t="s">
        <v>483</v>
      </c>
      <c r="H7" s="2" t="s">
        <v>442</v>
      </c>
      <c r="I7" s="2" t="s">
        <v>484</v>
      </c>
      <c r="J7" s="2" t="s">
        <v>485</v>
      </c>
      <c r="K7" s="12" t="s">
        <v>486</v>
      </c>
    </row>
    <row r="8" customFormat="false" ht="155.95" hidden="false" customHeight="false" outlineLevel="0" collapsed="false">
      <c r="A8" s="12" t="s">
        <v>342</v>
      </c>
      <c r="B8" s="12" t="s">
        <v>487</v>
      </c>
      <c r="C8" s="12" t="s">
        <v>488</v>
      </c>
      <c r="D8" s="12" t="s">
        <v>489</v>
      </c>
      <c r="E8" s="12" t="s">
        <v>490</v>
      </c>
      <c r="F8" s="12" t="s">
        <v>491</v>
      </c>
      <c r="G8" s="12" t="s">
        <v>492</v>
      </c>
      <c r="H8" s="2" t="s">
        <v>493</v>
      </c>
      <c r="I8" s="12" t="s">
        <v>218</v>
      </c>
      <c r="J8" s="2" t="s">
        <v>494</v>
      </c>
      <c r="K8" s="12" t="s">
        <v>495</v>
      </c>
    </row>
    <row r="9" customFormat="false" ht="108.95" hidden="false" customHeight="false" outlineLevel="0" collapsed="false">
      <c r="A9" s="12" t="s">
        <v>496</v>
      </c>
      <c r="B9" s="12" t="s">
        <v>497</v>
      </c>
      <c r="C9" s="2" t="s">
        <v>498</v>
      </c>
      <c r="D9" s="12" t="s">
        <v>499</v>
      </c>
      <c r="E9" s="2" t="s">
        <v>500</v>
      </c>
      <c r="F9" s="12" t="s">
        <v>501</v>
      </c>
      <c r="G9" s="12" t="s">
        <v>502</v>
      </c>
      <c r="H9" s="2" t="s">
        <v>503</v>
      </c>
      <c r="I9" s="2" t="s">
        <v>504</v>
      </c>
      <c r="J9" s="2" t="s">
        <v>505</v>
      </c>
      <c r="K9" s="12" t="s">
        <v>506</v>
      </c>
    </row>
    <row r="10" customFormat="false" ht="158.2" hidden="false" customHeight="false" outlineLevel="0" collapsed="false">
      <c r="A10" s="12" t="s">
        <v>355</v>
      </c>
      <c r="B10" s="12" t="s">
        <v>507</v>
      </c>
      <c r="C10" s="12" t="s">
        <v>508</v>
      </c>
      <c r="D10" s="12" t="s">
        <v>509</v>
      </c>
      <c r="E10" s="2" t="s">
        <v>510</v>
      </c>
      <c r="F10" s="12" t="s">
        <v>511</v>
      </c>
      <c r="G10" s="12" t="s">
        <v>512</v>
      </c>
      <c r="H10" s="2" t="s">
        <v>513</v>
      </c>
      <c r="I10" s="2" t="s">
        <v>356</v>
      </c>
      <c r="J10" s="2" t="s">
        <v>514</v>
      </c>
      <c r="K10" s="12" t="s">
        <v>515</v>
      </c>
    </row>
    <row r="11" customFormat="false" ht="77.6" hidden="false" customHeight="false" outlineLevel="0" collapsed="false">
      <c r="A11" s="12" t="s">
        <v>516</v>
      </c>
      <c r="B11" s="12" t="s">
        <v>517</v>
      </c>
      <c r="C11" s="12" t="s">
        <v>518</v>
      </c>
      <c r="D11" s="12" t="s">
        <v>519</v>
      </c>
      <c r="E11" s="2" t="s">
        <v>520</v>
      </c>
      <c r="F11" s="12" t="s">
        <v>521</v>
      </c>
      <c r="G11" s="12" t="s">
        <v>522</v>
      </c>
      <c r="H11" s="2" t="s">
        <v>442</v>
      </c>
      <c r="I11" s="12" t="s">
        <v>523</v>
      </c>
      <c r="J11" s="2" t="s">
        <v>524</v>
      </c>
      <c r="K11" s="12" t="s">
        <v>361</v>
      </c>
    </row>
    <row r="12" customFormat="false" ht="95.5" hidden="false" customHeight="false" outlineLevel="0" collapsed="false">
      <c r="A12" s="12" t="s">
        <v>525</v>
      </c>
      <c r="B12" s="2" t="s">
        <v>526</v>
      </c>
      <c r="C12" s="12" t="s">
        <v>527</v>
      </c>
      <c r="D12" s="12" t="s">
        <v>528</v>
      </c>
      <c r="E12" s="12" t="s">
        <v>129</v>
      </c>
      <c r="F12" s="12" t="s">
        <v>529</v>
      </c>
      <c r="G12" s="12" t="s">
        <v>530</v>
      </c>
      <c r="H12" s="12" t="s">
        <v>129</v>
      </c>
      <c r="I12" s="12" t="s">
        <v>19</v>
      </c>
      <c r="J12" s="2" t="s">
        <v>531</v>
      </c>
      <c r="K12" s="12" t="s">
        <v>129</v>
      </c>
    </row>
    <row r="13" customFormat="false" ht="95.5" hidden="false" customHeight="false" outlineLevel="0" collapsed="false">
      <c r="A13" s="12" t="s">
        <v>532</v>
      </c>
      <c r="B13" s="2" t="s">
        <v>533</v>
      </c>
      <c r="C13" s="12" t="s">
        <v>534</v>
      </c>
      <c r="D13" s="12" t="s">
        <v>535</v>
      </c>
      <c r="E13" s="2" t="s">
        <v>536</v>
      </c>
      <c r="F13" s="12" t="s">
        <v>537</v>
      </c>
      <c r="G13" s="12" t="s">
        <v>538</v>
      </c>
      <c r="H13" s="12" t="s">
        <v>129</v>
      </c>
      <c r="I13" s="12" t="s">
        <v>95</v>
      </c>
      <c r="J13" s="2" t="s">
        <v>539</v>
      </c>
      <c r="K13" s="12" t="s">
        <v>129</v>
      </c>
    </row>
    <row r="14" customFormat="false" ht="142.5" hidden="false" customHeight="false" outlineLevel="0" collapsed="false">
      <c r="A14" s="12" t="s">
        <v>540</v>
      </c>
      <c r="B14" s="2" t="s">
        <v>541</v>
      </c>
      <c r="C14" s="12" t="s">
        <v>129</v>
      </c>
      <c r="D14" s="12" t="s">
        <v>129</v>
      </c>
      <c r="E14" s="12" t="s">
        <v>129</v>
      </c>
      <c r="F14" s="2" t="s">
        <v>542</v>
      </c>
      <c r="G14" s="12" t="s">
        <v>129</v>
      </c>
      <c r="H14" s="12" t="s">
        <v>129</v>
      </c>
      <c r="I14" s="2" t="s">
        <v>543</v>
      </c>
      <c r="J14" s="12" t="s">
        <v>544</v>
      </c>
      <c r="K14" s="12" t="s">
        <v>545</v>
      </c>
    </row>
    <row r="15" customFormat="false" ht="111.15" hidden="false" customHeight="false" outlineLevel="0" collapsed="false">
      <c r="A15" s="12" t="s">
        <v>546</v>
      </c>
      <c r="B15" s="2" t="s">
        <v>547</v>
      </c>
      <c r="C15" s="2" t="s">
        <v>548</v>
      </c>
      <c r="D15" s="12" t="s">
        <v>129</v>
      </c>
      <c r="E15" s="2" t="s">
        <v>549</v>
      </c>
      <c r="F15" s="12" t="s">
        <v>550</v>
      </c>
      <c r="G15" s="12" t="s">
        <v>551</v>
      </c>
      <c r="H15" s="12" t="s">
        <v>129</v>
      </c>
      <c r="I15" s="12" t="s">
        <v>552</v>
      </c>
      <c r="J15" s="12" t="s">
        <v>553</v>
      </c>
      <c r="K15" s="12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5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3" t="s">
        <v>49</v>
      </c>
      <c r="B1" s="3" t="s">
        <v>555</v>
      </c>
      <c r="C1" s="3" t="s">
        <v>556</v>
      </c>
      <c r="D1" s="3" t="s">
        <v>557</v>
      </c>
      <c r="E1" s="3" t="s">
        <v>558</v>
      </c>
    </row>
    <row r="2" customFormat="false" ht="95.5" hidden="false" customHeight="false" outlineLevel="0" collapsed="false">
      <c r="A2" s="12" t="s">
        <v>559</v>
      </c>
      <c r="B2" s="2" t="s">
        <v>560</v>
      </c>
      <c r="C2" s="2" t="s">
        <v>561</v>
      </c>
      <c r="D2" s="12" t="s">
        <v>562</v>
      </c>
      <c r="E2" s="2" t="s">
        <v>563</v>
      </c>
    </row>
    <row r="3" customFormat="false" ht="79.85" hidden="false" customHeight="false" outlineLevel="0" collapsed="false">
      <c r="A3" s="12" t="s">
        <v>564</v>
      </c>
      <c r="B3" s="2" t="s">
        <v>565</v>
      </c>
      <c r="C3" s="2" t="s">
        <v>566</v>
      </c>
      <c r="D3" s="12" t="s">
        <v>567</v>
      </c>
      <c r="E3" s="2" t="s">
        <v>568</v>
      </c>
    </row>
    <row r="4" customFormat="false" ht="142.5" hidden="false" customHeight="false" outlineLevel="0" collapsed="false">
      <c r="A4" s="12" t="s">
        <v>569</v>
      </c>
      <c r="B4" s="2" t="s">
        <v>570</v>
      </c>
      <c r="C4" s="2" t="s">
        <v>571</v>
      </c>
      <c r="D4" s="12" t="s">
        <v>572</v>
      </c>
      <c r="E4" s="2" t="s">
        <v>573</v>
      </c>
    </row>
    <row r="5" customFormat="false" ht="79.85" hidden="false" customHeight="false" outlineLevel="0" collapsed="false">
      <c r="A5" s="12" t="s">
        <v>574</v>
      </c>
      <c r="B5" s="12" t="s">
        <v>575</v>
      </c>
      <c r="C5" s="2" t="s">
        <v>576</v>
      </c>
      <c r="D5" s="12" t="s">
        <v>577</v>
      </c>
      <c r="E5" s="2" t="s">
        <v>578</v>
      </c>
    </row>
    <row r="6" customFormat="false" ht="64.15" hidden="false" customHeight="false" outlineLevel="0" collapsed="false">
      <c r="A6" s="12" t="s">
        <v>579</v>
      </c>
      <c r="B6" s="2" t="s">
        <v>580</v>
      </c>
      <c r="C6" s="2" t="s">
        <v>581</v>
      </c>
      <c r="D6" s="2" t="s">
        <v>582</v>
      </c>
      <c r="E6" s="2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2026-10-25T07:53:14Z</dcterms:created>
  <dc:creator>openpyxl</dc:creator>
  <dc:description/>
  <dc:language>en-US</dc:language>
  <cp:lastModifiedBy/>
  <dcterms:modified xsi:type="dcterms:W3CDTF">2026-10-25T07:53:14Z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