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0_封面" sheetId="1" state="visible" r:id="rId3"/>
    <sheet name="01_結論" sheetId="2" state="visible" r:id="rId4"/>
    <sheet name="02_待判斷" sheetId="3" state="visible" r:id="rId5"/>
    <sheet name="S0_現值v5.29與工作單的對應" sheetId="4" state="visible" r:id="rId6"/>
    <sheet name="S1_機架價格GB200、GB300、VR" sheetId="5" state="visible" r:id="rId7"/>
    <sheet name="S2_公司揭露的每 MW／每 GPU IT" sheetId="6" state="visible" r:id="rId8"/>
    <sheet name="S3_IT 維護率" sheetId="7" state="visible" r:id="rId9"/>
    <sheet name="S4_人員、軟體授權`IF_StaffSW" sheetId="8" state="visible" r:id="rId10"/>
    <sheet name="S5_影響估算基準欄，$BGW；GB300" sheetId="9" state="visible" r:id="rId11"/>
    <sheet name="S5b_影響試算_活公式" sheetId="10" state="visible" r:id="rId12"/>
    <sheet name="S6_DB_Evidence 登錄提案16" sheetId="11" state="visible" r:id="rId13"/>
    <sheet name="DB_Evidence提案_原欄位" sheetId="12" state="visible" r:id="rId14"/>
    <sheet name="S7_找不到的資料找不到 ≠ 不存在" sheetId="13" state="visible" r:id="rId15"/>
    <sheet name="S8_讀取紀錄關鍵數字兩次讀取" sheetId="14" state="visible" r:id="rId16"/>
    <sheet name="09_下一步" sheetId="15" state="visible" r:id="rId17"/>
    <sheet name="10_Andy待辦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<sst xmlns="http://schemas.openxmlformats.org/spreadsheetml/2006/main" count="959" uniqueCount="652">
  <si>
    <r>
      <rPr>
        <b val="true"/>
        <sz val="12"/>
        <rFont val="Cambria"/>
        <family val="0"/>
        <charset val="1"/>
      </rPr>
      <t xml:space="preserve">v5.31 A </t>
    </r>
    <r>
      <rPr>
        <b val="true"/>
        <sz val="12"/>
        <rFont val="Noto Sans CJK SC"/>
        <family val="2"/>
      </rPr>
      <t xml:space="preserve">段：</t>
    </r>
    <r>
      <rPr>
        <b val="true"/>
        <sz val="12"/>
        <rFont val="Cambria"/>
        <family val="0"/>
        <charset val="1"/>
      </rPr>
      <t xml:space="preserve">GB300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VR200 </t>
    </r>
    <r>
      <rPr>
        <b val="true"/>
        <sz val="12"/>
        <rFont val="Noto Sans CJK SC"/>
        <family val="2"/>
      </rPr>
      <t xml:space="preserve">機架價格與 </t>
    </r>
    <r>
      <rPr>
        <b val="true"/>
        <sz val="12"/>
        <rFont val="Cambria"/>
        <family val="0"/>
        <charset val="1"/>
      </rPr>
      <t xml:space="preserve">IT </t>
    </r>
    <r>
      <rPr>
        <b val="true"/>
        <sz val="12"/>
        <rFont val="Noto Sans CJK SC"/>
        <family val="2"/>
      </rPr>
      <t xml:space="preserve">維護率查證（不改 </t>
    </r>
    <r>
      <rPr>
        <b val="true"/>
        <sz val="12"/>
        <rFont val="Cambria"/>
        <family val="0"/>
        <charset val="1"/>
      </rPr>
      <t xml:space="preserve">Excel</t>
    </r>
    <r>
      <rPr>
        <b val="true"/>
        <sz val="12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</si>
  <si>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分支：</t>
    </r>
    <r>
      <rPr>
        <sz val="11"/>
        <color theme="1"/>
        <rFont val="Calibri"/>
        <family val="2"/>
        <charset val="1"/>
      </rPr>
      <t xml:space="preserve">`claude/v5.31A-research`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base `claude/v5.31-workorder` b4e7858</t>
    </r>
    <r>
      <rPr>
        <sz val="11"/>
        <color theme="1"/>
        <rFont val="Noto Sans CJK SC"/>
        <family val="2"/>
      </rPr>
      <t xml:space="preserve">）｜</t>
    </r>
    <r>
      <rPr>
        <sz val="11"/>
        <color theme="1"/>
        <rFont val="Calibri"/>
        <family val="2"/>
        <charset val="1"/>
      </rPr>
      <t xml:space="preserve">PR #34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draft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</si>
  <si>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報告檔：</t>
    </r>
    <r>
      <rPr>
        <sz val="11"/>
        <color theme="1"/>
        <rFont val="Calibri"/>
        <family val="2"/>
        <charset val="1"/>
      </rPr>
      <t xml:space="preserve">`docs/reports/20261008_v5.31A_</t>
    </r>
    <r>
      <rPr>
        <sz val="11"/>
        <color theme="1"/>
        <rFont val="Noto Sans CJK SC"/>
        <family val="2"/>
      </rPr>
      <t xml:space="preserve">查證</t>
    </r>
    <r>
      <rPr>
        <sz val="11"/>
        <color theme="1"/>
        <rFont val="Calibri"/>
        <family val="2"/>
        <charset val="1"/>
      </rPr>
      <t xml:space="preserve">.md`</t>
    </r>
    <r>
      <rPr>
        <sz val="11"/>
        <color theme="1"/>
        <rFont val="Noto Sans CJK SC"/>
        <family val="2"/>
      </rPr>
      <t xml:space="preserve">；表格版 </t>
    </r>
    <r>
      <rPr>
        <sz val="11"/>
        <color theme="1"/>
        <rFont val="Calibri"/>
        <family val="2"/>
        <charset val="1"/>
      </rPr>
      <t xml:space="preserve">`docs/reports/20261008_v5.31A_</t>
    </r>
    <r>
      <rPr>
        <sz val="11"/>
        <color theme="1"/>
        <rFont val="Noto Sans CJK SC"/>
        <family val="2"/>
      </rPr>
      <t xml:space="preserve">查證</t>
    </r>
    <r>
      <rPr>
        <sz val="11"/>
        <color theme="1"/>
        <rFont val="Calibri"/>
        <family val="2"/>
        <charset val="1"/>
      </rPr>
      <t xml:space="preserve">.xlsx`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</si>
  <si>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最新提交 </t>
    </r>
    <r>
      <rPr>
        <sz val="11"/>
        <color theme="1"/>
        <rFont val="Calibri"/>
        <family val="2"/>
        <charset val="1"/>
      </rPr>
      <t xml:space="preserve">SHA</t>
    </r>
    <r>
      <rPr>
        <sz val="11"/>
        <color theme="1"/>
        <rFont val="Noto Sans CJK SC"/>
        <family val="2"/>
      </rPr>
      <t xml:space="preserve">：見 </t>
    </r>
    <r>
      <rPr>
        <sz val="11"/>
        <color theme="1"/>
        <rFont val="Calibri"/>
        <family val="2"/>
        <charset val="1"/>
      </rPr>
      <t xml:space="preserve">PR #34 </t>
    </r>
    <r>
      <rPr>
        <sz val="11"/>
        <color theme="1"/>
        <rFont val="Noto Sans CJK SC"/>
        <family val="2"/>
      </rPr>
      <t xml:space="preserve">留言（本檔提交後補記）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</si>
  <si>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類別：判斷類（輸入值）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段＝只產文件；未改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SRC</t>
    </r>
    <r>
      <rPr>
        <sz val="11"/>
        <color theme="1"/>
        <rFont val="Noto Sans CJK SC"/>
        <family val="2"/>
      </rPr>
      <t xml:space="preserve">。現行模型 </t>
    </r>
    <r>
      <rPr>
        <sz val="11"/>
        <color theme="1"/>
        <rFont val="Calibri"/>
        <family val="2"/>
        <charset val="1"/>
      </rPr>
      <t xml:space="preserve">`model/20261008_Tokenomics_v5.29.xlsx`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</si>
  <si>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讀取者：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；讀取日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；讀取通道 </t>
    </r>
    <r>
      <rPr>
        <sz val="11"/>
        <color theme="1"/>
        <rFont val="Calibri"/>
        <family val="2"/>
        <charset val="1"/>
      </rPr>
      <t xml:space="preserve">WebSearch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WebFetch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WebFetch </t>
    </r>
    <r>
      <rPr>
        <sz val="11"/>
        <color theme="1"/>
        <rFont val="Noto Sans CJK SC"/>
        <family val="2"/>
      </rPr>
      <t xml:space="preserve">由小模型轉文字，引文以回傳片段為準；關鍵數字皆讀兩次）。</t>
    </r>
  </si>
  <si>
    <t xml:space="preserve">結論（先讀這段）</t>
  </si>
  <si>
    <r>
      <rPr>
        <sz val="11"/>
        <color theme="1"/>
        <rFont val="Calibri"/>
        <family val="2"/>
        <charset val="1"/>
      </rPr>
      <t xml:space="preserve">1. GB300 </t>
    </r>
    <r>
      <rPr>
        <sz val="11"/>
        <color theme="1"/>
        <rFont val="Noto Sans CJK SC"/>
        <family val="2"/>
      </rPr>
      <t xml:space="preserve">機架價格 </t>
    </r>
    <r>
      <rPr>
        <sz val="11"/>
        <color theme="1"/>
        <rFont val="Calibri"/>
        <family val="2"/>
        <charset val="1"/>
      </rPr>
      <t xml:space="preserve">$5.0M </t>
    </r>
    <r>
      <rPr>
        <sz val="11"/>
        <color theme="1"/>
        <rFont val="Noto Sans CJK SC"/>
        <family val="2"/>
      </rPr>
      <t xml:space="preserve">偏高的證據多於偏低：同業已讀到的買方價或成本估計有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推算）、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Wolfe Research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reported</t>
    </r>
    <r>
      <rPr>
        <sz val="11"/>
        <color theme="1"/>
        <rFont val="Noto Sans CJK SC"/>
        <family val="2"/>
      </rPr>
      <t xml:space="preserve">」）、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採購單，不含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6.0–6.5</t>
    </r>
    <r>
      <rPr>
        <sz val="11"/>
        <color theme="1"/>
        <rFont val="Noto Sans CJK SC"/>
        <family val="2"/>
      </rPr>
      <t xml:space="preserve">（媒體）。唯一的公司揭露（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向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採購 </t>
    </r>
    <r>
      <rPr>
        <sz val="11"/>
        <color theme="1"/>
        <rFont val="Calibri"/>
        <family val="2"/>
        <charset val="1"/>
      </rPr>
      <t xml:space="preserve">$5.8bn GB300 </t>
    </r>
    <r>
      <rPr>
        <sz val="11"/>
        <color theme="1"/>
        <rFont val="Noto Sans CJK SC"/>
        <family val="2"/>
      </rPr>
      <t xml:space="preserve">設備，對應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）換算每 </t>
    </r>
    <r>
      <rPr>
        <sz val="11"/>
        <color theme="1"/>
        <rFont val="Calibri"/>
        <family val="2"/>
        <charset val="1"/>
      </rPr>
      <t xml:space="preserve">IT MW 29.0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、軟體、部署），在 </t>
    </r>
    <r>
      <rPr>
        <sz val="11"/>
        <color theme="1"/>
        <rFont val="Calibri"/>
        <family val="2"/>
        <charset val="1"/>
      </rPr>
      <t xml:space="preserve">136 kW</t>
    </r>
    <r>
      <rPr>
        <sz val="11"/>
        <color theme="1"/>
        <rFont val="Noto Sans CJK SC"/>
        <family val="2"/>
      </rPr>
      <t xml:space="preserve">／架下約等於每架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（含網路）。建議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改為 低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（基準＝</t>
    </r>
    <r>
      <rPr>
        <sz val="11"/>
        <color theme="1"/>
        <rFont val="Calibri"/>
        <family val="2"/>
        <charset val="1"/>
      </rPr>
      <t xml:space="preserve">MS BOM 4.0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＋代工毛利 </t>
    </r>
    <r>
      <rPr>
        <sz val="11"/>
        <color theme="1"/>
        <rFont val="Calibri"/>
        <family val="2"/>
        <charset val="1"/>
      </rPr>
      <t xml:space="preserve">7.5%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的算法一致；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倍」也與 </t>
    </r>
    <r>
      <rPr>
        <sz val="11"/>
        <color theme="1"/>
        <rFont val="Calibri"/>
        <family val="2"/>
        <charset val="1"/>
      </rPr>
      <t xml:space="preserve">8.4÷4.3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1.95 </t>
    </r>
    <r>
      <rPr>
        <sz val="11"/>
        <color theme="1"/>
        <rFont val="Noto Sans CJK SC"/>
        <family val="2"/>
      </rPr>
      <t xml:space="preserve">相符）。另一個選項（嚴格套 </t>
    </r>
    <r>
      <rPr>
        <sz val="11"/>
        <color theme="1"/>
        <rFont val="Calibri"/>
        <family val="2"/>
        <charset val="1"/>
      </rPr>
      <t xml:space="preserve">G13</t>
    </r>
    <r>
      <rPr>
        <sz val="11"/>
        <color theme="1"/>
        <rFont val="Noto Sans CJK SC"/>
        <family val="2"/>
      </rPr>
      <t xml:space="preserve">「同口徑多家估計取中位數」）是維持基準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。需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</si>
  <si>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Calibri"/>
        <family val="2"/>
        <charset val="1"/>
      </rPr>
      <t xml:space="preserve">2. GB200 → GB300 +61% </t>
    </r>
    <r>
      <rPr>
        <sz val="11"/>
        <color theme="1"/>
        <rFont val="Noto Sans CJK SC"/>
        <family val="2"/>
      </rPr>
      <t xml:space="preserve">的跳幅：有一半來自日期與口徑不一致（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$3M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年上市時報價，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$5.0M </t>
    </r>
    <r>
      <rPr>
        <sz val="11"/>
        <color theme="1"/>
        <rFont val="Noto Sans CJK SC"/>
        <family val="2"/>
      </rPr>
      <t xml:space="preserve">是 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採購單）。同一來源同一日期的比較（</t>
    </r>
    <r>
      <rPr>
        <sz val="11"/>
        <color theme="1"/>
        <rFont val="Calibri"/>
        <family val="2"/>
        <charset val="1"/>
      </rPr>
      <t xml:space="preserve">Wolfe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3.0 → 4.3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+43%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</si>
  <si>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3. VR200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7.8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：新讀到 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原文轉載（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，平均成本，含網路 </t>
    </r>
    <r>
      <rPr>
        <sz val="11"/>
        <color theme="1"/>
        <rFont val="Calibri"/>
        <family val="2"/>
        <charset val="1"/>
      </rPr>
      <t xml:space="preserve">$1.2M</t>
    </r>
    <r>
      <rPr>
        <sz val="11"/>
        <color theme="1"/>
        <rFont val="Noto Sans CJK SC"/>
        <family val="2"/>
      </rPr>
      <t xml:space="preserve">），落在區間內；但 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9.1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網路，而模型另加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網路，高情境約重複計算 </t>
    </r>
    <r>
      <rPr>
        <sz val="11"/>
        <color theme="1"/>
        <rFont val="Calibri"/>
        <family val="2"/>
        <charset val="1"/>
      </rPr>
      <t xml:space="preserve">$0.8–0.9M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+2%</t>
    </r>
    <r>
      <rPr>
        <sz val="11"/>
        <color theme="1"/>
        <rFont val="Noto Sans CJK SC"/>
        <family val="2"/>
      </rPr>
      <t xml:space="preserve">）——列待判斷。</t>
    </r>
  </si>
  <si>
    <r>
      <rPr>
        <sz val="11"/>
        <color theme="1"/>
        <rFont val="Calibri"/>
        <family val="2"/>
        <charset val="1"/>
      </rPr>
      <t xml:space="preserve">4. IT </t>
    </r>
    <r>
      <rPr>
        <sz val="11"/>
        <color theme="1"/>
        <rFont val="Noto Sans CJK SC"/>
        <family val="2"/>
      </rPr>
      <t xml:space="preserve">維護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／年（從第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年起固定）偏高，建議改為機齡曲線：三家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的標準保固為 </t>
    </r>
    <r>
      <rPr>
        <sz val="11"/>
        <color theme="1"/>
        <rFont val="Calibri"/>
        <family val="2"/>
        <charset val="1"/>
      </rPr>
      <t xml:space="preserve">HPE GB300 NVL72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年零件、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年人工、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年到場」（一手已讀）、</t>
    </r>
    <r>
      <rPr>
        <sz val="11"/>
        <color theme="1"/>
        <rFont val="Calibri"/>
        <family val="2"/>
        <charset val="1"/>
      </rPr>
      <t xml:space="preserve">Supermicro GPU </t>
    </r>
    <r>
      <rPr>
        <sz val="11"/>
        <color theme="1"/>
        <rFont val="Noto Sans CJK SC"/>
        <family val="2"/>
      </rPr>
      <t xml:space="preserve">系統「人工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年、零件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年」（一手已讀）、</t>
    </r>
    <r>
      <rPr>
        <sz val="11"/>
        <color theme="1"/>
        <rFont val="Calibri"/>
        <family val="2"/>
        <charset val="1"/>
      </rPr>
      <t xml:space="preserve">Dell XE9680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ProSupport</t>
    </r>
    <r>
      <rPr>
        <sz val="11"/>
        <color theme="1"/>
        <rFont val="Noto Sans CJK SC"/>
        <family val="2"/>
      </rPr>
      <t xml:space="preserve">」（經銷頁）；保固期滿後的原廠續約價（</t>
    </r>
    <r>
      <rPr>
        <sz val="11"/>
        <color theme="1"/>
        <rFont val="Calibri"/>
        <family val="2"/>
        <charset val="1"/>
      </rPr>
      <t xml:space="preserve">NVIDIA DGX B200 </t>
    </r>
    <r>
      <rPr>
        <sz val="11"/>
        <color theme="1"/>
        <rFont val="Noto Sans CJK SC"/>
        <family val="2"/>
      </rPr>
      <t xml:space="preserve">英國經銷牌價）約每年系統價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營運成本反推的維護額接近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（在保固期內的機隊）。建議：第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0.25–1%</t>
    </r>
    <r>
      <rPr>
        <sz val="11"/>
        <color theme="1"/>
        <rFont val="Noto Sans CJK SC"/>
        <family val="2"/>
      </rPr>
      <t xml:space="preserve">）、第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2–5%</t>
    </r>
    <r>
      <rPr>
        <sz val="11"/>
        <color theme="1"/>
        <rFont val="Noto Sans CJK SC"/>
        <family val="2"/>
      </rPr>
      <t xml:space="preserve">）；若不改機制，等值的單一費率（以 </t>
    </r>
    <r>
      <rPr>
        <sz val="11"/>
        <color theme="1"/>
        <rFont val="Calibri"/>
        <family val="2"/>
        <charset val="1"/>
      </rPr>
      <t xml:space="preserve">WACC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年年金折算）為 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1.0–2.7%</t>
    </r>
    <r>
      <rPr>
        <sz val="11"/>
        <color theme="1"/>
        <rFont val="Noto Sans CJK SC"/>
        <family val="2"/>
      </rPr>
      <t xml:space="preserve">）。機制變更屬 </t>
    </r>
    <r>
      <rPr>
        <sz val="11"/>
        <color theme="1"/>
        <rFont val="Calibri"/>
        <family val="2"/>
        <charset val="1"/>
      </rPr>
      <t xml:space="preserve">Project </t>
    </r>
    <r>
      <rPr>
        <sz val="11"/>
        <color theme="1"/>
        <rFont val="Noto Sans CJK SC"/>
        <family val="2"/>
      </rPr>
      <t xml:space="preserve">判斷。</t>
    </r>
  </si>
  <si>
    <r>
      <rPr>
        <sz val="11"/>
        <color theme="1"/>
        <rFont val="Calibri"/>
        <family val="2"/>
        <charset val="1"/>
      </rPr>
      <t xml:space="preserve">5. </t>
    </r>
    <r>
      <rPr>
        <sz val="11"/>
        <color theme="1"/>
        <rFont val="Noto Sans CJK SC"/>
        <family val="2"/>
      </rPr>
      <t xml:space="preserve">影響（基準欄、每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`IF_CapexIT` 37.4 → 32.2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`IF_MaintIT` 1.12 → 0.51</t>
    </r>
    <r>
      <rPr>
        <sz val="11"/>
        <color theme="1"/>
        <rFont val="Noto Sans CJK SC"/>
        <family val="2"/>
      </rPr>
      <t xml:space="preserve">（機架與維護都改，−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`IF_HoldEcon` 12.72 → 10.89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只受維護影響：</t>
    </r>
    <r>
      <rPr>
        <sz val="11"/>
        <color theme="1"/>
        <rFont val="Calibri"/>
        <family val="2"/>
        <charset val="1"/>
      </rPr>
      <t xml:space="preserve">`IF_MaintIT` 1.13 → 0.59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`IF_HoldEcon` 12.76 → 12.22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）。已以 </t>
    </r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重算試算副本核對（與手算一致到小數第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位）。</t>
    </r>
  </si>
  <si>
    <r>
      <rPr>
        <sz val="11"/>
        <color theme="1"/>
        <rFont val="Calibri"/>
        <family val="2"/>
        <charset val="1"/>
      </rPr>
      <t xml:space="preserve">6.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差距的解釋力：兩項都改後，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用的每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34.8 → 30.6</t>
    </r>
    <r>
      <rPr>
        <sz val="11"/>
        <color theme="1"/>
        <rFont val="Noto Sans CJK SC"/>
        <family val="2"/>
      </rPr>
      <t xml:space="preserve">（對實際 </t>
    </r>
    <r>
      <rPr>
        <sz val="11"/>
        <color theme="1"/>
        <rFont val="Calibri"/>
        <family val="2"/>
        <charset val="1"/>
      </rPr>
      <t xml:space="preserve">24.8 </t>
    </r>
    <r>
      <rPr>
        <sz val="11"/>
        <color theme="1"/>
        <rFont val="Noto Sans CJK SC"/>
        <family val="2"/>
      </rPr>
      <t xml:space="preserve">仍 −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）、營運成本約 </t>
    </r>
    <r>
      <rPr>
        <sz val="11"/>
        <color theme="1"/>
        <rFont val="Calibri"/>
        <family val="2"/>
        <charset val="1"/>
      </rPr>
      <t xml:space="preserve">2.09 → 1.6</t>
    </r>
    <r>
      <rPr>
        <sz val="11"/>
        <color theme="1"/>
        <rFont val="Noto Sans CJK SC"/>
        <family val="2"/>
      </rPr>
      <t xml:space="preserve">（對實際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）。剩下的差距主要是口徑（</t>
    </r>
    <r>
      <rPr>
        <sz val="11"/>
        <color theme="1"/>
        <rFont val="Calibri"/>
        <family val="2"/>
        <charset val="1"/>
      </rPr>
      <t xml:space="preserve">CRWV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」是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還是設施、每架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、預建與付款時點），不是單價。</t>
    </r>
  </si>
  <si>
    <r>
      <rPr>
        <sz val="11"/>
        <color theme="1"/>
        <rFont val="Calibri"/>
        <family val="2"/>
        <charset val="1"/>
      </rPr>
      <t xml:space="preserve">7. </t>
    </r>
    <r>
      <rPr>
        <sz val="11"/>
        <color theme="1"/>
        <rFont val="Noto Sans CJK SC"/>
        <family val="2"/>
      </rPr>
      <t xml:space="preserve">人員、軟體（</t>
    </r>
    <r>
      <rPr>
        <sz val="11"/>
        <color theme="1"/>
        <rFont val="Calibri"/>
        <family val="2"/>
        <charset val="1"/>
      </rPr>
      <t xml:space="preserve">`IF_StaffSW` $325M/GW</t>
    </r>
    <r>
      <rPr>
        <sz val="11"/>
        <color theme="1"/>
        <rFont val="Noto Sans CJK SC"/>
        <family val="2"/>
      </rPr>
      <t xml:space="preserve">）：範圍不含平台研發（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32–33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500 FTE </t>
    </r>
    <r>
      <rPr>
        <sz val="11"/>
        <color theme="1"/>
        <rFont val="Noto Sans CJK SC"/>
        <family val="2"/>
      </rPr>
      <t xml:space="preserve">站點人員、軟體授權與連線）。外部對照：超大型資料中心常駐人員約 </t>
    </r>
    <r>
      <rPr>
        <sz val="11"/>
        <color theme="1"/>
        <rFont val="Calibri"/>
        <family val="2"/>
        <charset val="1"/>
      </rPr>
      <t xml:space="preserve">0.2–0.5 </t>
    </r>
    <r>
      <rPr>
        <sz val="11"/>
        <color theme="1"/>
        <rFont val="Noto Sans CJK SC"/>
        <family val="2"/>
      </rPr>
      <t xml:space="preserve">人／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（二手、低品質），模型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人／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在上緣；軟體 </t>
    </r>
    <r>
      <rPr>
        <sz val="11"/>
        <color theme="1"/>
        <rFont val="Calibri"/>
        <family val="2"/>
        <charset val="1"/>
      </rPr>
      <t xml:space="preserve">$200M/GW ≈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$410</t>
    </r>
    <r>
      <rPr>
        <sz val="11"/>
        <color theme="1"/>
        <rFont val="Noto Sans CJK SC"/>
        <family val="2"/>
      </rPr>
      <t xml:space="preserve">，遠低於 </t>
    </r>
    <r>
      <rPr>
        <sz val="11"/>
        <color theme="1"/>
        <rFont val="Calibri"/>
        <family val="2"/>
        <charset val="1"/>
      </rPr>
      <t xml:space="preserve">NVIDIA AI Enterprise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$4,500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／年，但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裸機出租是否付此授權找不到。建議數值不改、標籤補「不含平台研發」。</t>
    </r>
  </si>
  <si>
    <r>
      <rPr>
        <sz val="11"/>
        <color theme="1"/>
        <rFont val="Calibri"/>
        <family val="2"/>
        <charset val="1"/>
      </rPr>
      <t xml:space="preserve">8. DB_Evidence </t>
    </r>
    <r>
      <rPr>
        <sz val="11"/>
        <color theme="1"/>
        <rFont val="Noto Sans CJK SC"/>
        <family val="2"/>
      </rPr>
      <t xml:space="preserve">登錄提案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筆（第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節），其中建議採用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、部分採用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、不採用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、待查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</si>
  <si>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2"/>
        <rFont val="Noto Sans CJK SC"/>
        <family val="2"/>
      </rPr>
      <t xml:space="preserve">需要 </t>
    </r>
    <r>
      <rPr>
        <b val="true"/>
        <sz val="12"/>
        <rFont val="Cambria"/>
        <family val="0"/>
        <charset val="1"/>
      </rPr>
      <t xml:space="preserve">Andy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Project </t>
    </r>
    <r>
      <rPr>
        <b val="true"/>
        <sz val="12"/>
        <rFont val="Noto Sans CJK SC"/>
        <family val="2"/>
      </rPr>
      <t xml:space="preserve">判斷的事項（逐項附建議）</t>
    </r>
  </si>
  <si>
    <t xml:space="preserve">#</t>
  </si>
  <si>
    <t xml:space="preserve">問題</t>
  </si>
  <si>
    <t xml:space="preserve">選項</t>
  </si>
  <si>
    <t xml:space="preserve">建議</t>
  </si>
  <si>
    <r>
      <rPr>
        <b val="true"/>
        <sz val="11"/>
        <rFont val="Noto Sans CJK SC"/>
        <family val="2"/>
      </rPr>
      <t xml:space="preserve">影響（</t>
    </r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IF_HoldEcon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$B/GW/</t>
    </r>
    <r>
      <rPr>
        <b val="true"/>
        <sz val="11"/>
        <rFont val="Noto Sans CJK SC"/>
        <family val="2"/>
      </rPr>
      <t xml:space="preserve">年）</t>
    </r>
  </si>
  <si>
    <t xml:space="preserve">J1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</si>
  <si>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機架價格</t>
    </r>
  </si>
  <si>
    <r>
      <rPr>
        <sz val="11"/>
        <color theme="1"/>
        <rFont val="Calibri"/>
        <family val="2"/>
        <charset val="1"/>
      </rPr>
      <t xml:space="preserve">(a) 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BOM×1.075</t>
    </r>
    <r>
      <rPr>
        <sz val="11"/>
        <color theme="1"/>
        <rFont val="Noto Sans CJK SC"/>
        <family val="2"/>
      </rPr>
      <t xml:space="preserve">，同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算法）；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G13 </t>
    </r>
    <r>
      <rPr>
        <sz val="11"/>
        <color theme="1"/>
        <rFont val="Noto Sans CJK SC"/>
        <family val="2"/>
      </rPr>
      <t xml:space="preserve">中位數取同口徑售價估計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6.25</t>
    </r>
    <r>
      <rPr>
        <sz val="11"/>
        <color theme="1"/>
        <rFont val="Noto Sans CJK SC"/>
        <family val="2"/>
      </rPr>
      <t xml:space="preserve">）</t>
    </r>
  </si>
  <si>
    <t xml:space="preserve">(a)</t>
  </si>
  <si>
    <r>
      <rPr>
        <sz val="11"/>
        <color theme="1"/>
        <rFont val="Calibri"/>
        <family val="2"/>
        <charset val="1"/>
      </rPr>
      <t xml:space="preserve">(a) 12.72 → 11.35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不變</t>
    </r>
  </si>
  <si>
    <t xml:space="preserve">J2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</si>
  <si>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維護是否改為機齡曲線（機制變更）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</si>
  <si>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曲線：第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0.5%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0.25–1%</t>
    </r>
    <r>
      <rPr>
        <sz val="11"/>
        <color theme="1"/>
        <rFont val="Noto Sans CJK SC"/>
        <family val="2"/>
      </rPr>
      <t xml:space="preserve">）、第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2–5%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不改機制，單一費率 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1.0–2.7%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2–4%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</si>
  <si>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下游公司模型要逐年機齡（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機隊有新有舊）→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；只看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穩態 → 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已足夠</t>
    </r>
  </si>
  <si>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(b) 12.72 → 12.19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(c) </t>
    </r>
    <r>
      <rPr>
        <sz val="11"/>
        <color theme="1"/>
        <rFont val="Noto Sans CJK SC"/>
        <family val="2"/>
      </rPr>
      <t xml:space="preserve">不變</t>
    </r>
  </si>
  <si>
    <t xml:space="preserve">J3</t>
  </si>
  <si>
    <r>
      <rPr>
        <sz val="11"/>
        <color theme="1"/>
        <rFont val="Noto Sans CJK SC"/>
        <family val="2"/>
      </rPr>
      <t xml:space="preserve">保固年限取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年的依據</t>
    </r>
  </si>
  <si>
    <r>
      <rPr>
        <sz val="11"/>
        <color theme="1"/>
        <rFont val="Calibri"/>
        <family val="2"/>
        <charset val="1"/>
      </rPr>
      <t xml:space="preserve">HPE 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人工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、零件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Dell 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ProSupport</t>
    </r>
  </si>
  <si>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年（大型買家多透過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零件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年由高情境 </t>
    </r>
    <r>
      <rPr>
        <sz val="11"/>
        <color theme="1"/>
        <rFont val="Calibri"/>
        <family val="2"/>
        <charset val="1"/>
      </rPr>
      <t xml:space="preserve">1% </t>
    </r>
    <r>
      <rPr>
        <sz val="11"/>
        <color theme="1"/>
        <rFont val="Noto Sans CJK SC"/>
        <family val="2"/>
      </rPr>
      <t xml:space="preserve">涵蓋）</t>
    </r>
  </si>
  <si>
    <r>
      <rPr>
        <sz val="11"/>
        <color theme="1"/>
        <rFont val="Noto Sans CJK SC"/>
        <family val="2"/>
      </rPr>
      <t xml:space="preserve">若取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年：單一費率約 </t>
    </r>
    <r>
      <rPr>
        <sz val="11"/>
        <color theme="1"/>
        <rFont val="Calibri"/>
        <family val="2"/>
        <charset val="1"/>
      </rPr>
      <t xml:space="preserve">2.6%</t>
    </r>
  </si>
  <si>
    <t xml:space="preserve">J4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</si>
  <si>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高情境 </t>
    </r>
    <r>
      <rPr>
        <sz val="11"/>
        <color theme="1"/>
        <rFont val="Calibri"/>
        <family val="2"/>
        <charset val="1"/>
      </rPr>
      <t xml:space="preserve">9.1 </t>
    </r>
    <r>
      <rPr>
        <sz val="11"/>
        <color theme="1"/>
        <rFont val="Noto Sans CJK SC"/>
        <family val="2"/>
      </rPr>
      <t xml:space="preserve">的範圍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</si>
  <si>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維持 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註明 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含網路，高情境網路比率另設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或把高情境改為 </t>
    </r>
    <r>
      <rPr>
        <sz val="11"/>
        <color theme="1"/>
        <rFont val="Calibri"/>
        <family val="2"/>
        <charset val="1"/>
      </rPr>
      <t xml:space="preserve">rack-only ≈ 7.9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比值上限</t>
    </r>
  </si>
  <si>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＋在 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列註明口徑（不改數值）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</si>
  <si>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若改：高情境約 −</t>
    </r>
    <r>
      <rPr>
        <sz val="11"/>
        <color theme="1"/>
        <rFont val="Calibri"/>
        <family val="2"/>
        <charset val="1"/>
      </rPr>
      <t xml:space="preserve">2%</t>
    </r>
  </si>
  <si>
    <t xml:space="preserve">J5</t>
  </si>
  <si>
    <r>
      <rPr>
        <sz val="11"/>
        <color theme="1"/>
        <rFont val="Calibri"/>
        <family val="2"/>
        <charset val="1"/>
      </rPr>
      <t xml:space="preserve">`IF_StaffSW`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</si>
  <si>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Noto Sans CJK SC"/>
        <family val="2"/>
      </rPr>
      <t xml:space="preserve">標籤補「不含平台研發；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$0.37M/MW·</t>
    </r>
    <r>
      <rPr>
        <sz val="11"/>
        <color theme="1"/>
        <rFont val="Noto Sans CJK SC"/>
        <family val="2"/>
      </rPr>
      <t xml:space="preserve">年另計」</t>
    </r>
  </si>
  <si>
    <t xml:space="preserve">補標籤（數值不改）</t>
  </si>
  <si>
    <t xml:space="preserve">J6</t>
  </si>
  <si>
    <r>
      <rPr>
        <sz val="11"/>
        <color theme="1"/>
        <rFont val="Noto Sans CJK SC"/>
        <family val="2"/>
      </rPr>
      <t xml:space="preserve">新增「公司揭露的每 </t>
    </r>
    <r>
      <rPr>
        <sz val="11"/>
        <color theme="1"/>
        <rFont val="Calibri"/>
        <family val="2"/>
        <charset val="1"/>
      </rPr>
      <t xml:space="preserve">IT MW </t>
    </r>
    <r>
      <rPr>
        <sz val="11"/>
        <color theme="1"/>
        <rFont val="Noto Sans CJK SC"/>
        <family val="2"/>
      </rPr>
      <t xml:space="preserve">資本支出」對照列（</t>
    </r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</si>
  <si>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IREN 29.0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2025-11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CRWV 24.8</t>
    </r>
    <r>
      <rPr>
        <sz val="11"/>
        <color theme="1"/>
        <rFont val="Noto Sans CJK SC"/>
        <family val="2"/>
      </rPr>
      <t xml:space="preserve">（口徑不明）</t>
    </r>
  </si>
  <si>
    <r>
      <rPr>
        <sz val="11"/>
        <color theme="1"/>
        <rFont val="Noto Sans CJK SC"/>
        <family val="2"/>
      </rPr>
      <t xml:space="preserve">加 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一列（</t>
    </r>
    <r>
      <rPr>
        <sz val="11"/>
        <color theme="1"/>
        <rFont val="Calibri"/>
        <family val="2"/>
        <charset val="1"/>
      </rPr>
      <t xml:space="preserve">SRC_DC </t>
    </r>
    <r>
      <rPr>
        <sz val="11"/>
        <color theme="1"/>
        <rFont val="Noto Sans CJK SC"/>
        <family val="2"/>
      </rPr>
      <t xml:space="preserve">新紀錄＋</t>
    </r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Noto Sans CJK SC"/>
        <family val="2"/>
      </rPr>
      <t xml:space="preserve">對照）；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不加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</si>
  <si>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（只是對照）</t>
    </r>
  </si>
  <si>
    <r>
      <rPr>
        <b val="true"/>
        <sz val="12"/>
        <rFont val="Cambria"/>
        <family val="0"/>
        <charset val="1"/>
      </rPr>
      <t xml:space="preserve">0. </t>
    </r>
    <r>
      <rPr>
        <b val="true"/>
        <sz val="12"/>
        <rFont val="Noto Sans CJK SC"/>
        <family val="2"/>
      </rPr>
      <t xml:space="preserve">現值（</t>
    </r>
    <r>
      <rPr>
        <b val="true"/>
        <sz val="12"/>
        <rFont val="Cambria"/>
        <family val="0"/>
        <charset val="1"/>
      </rPr>
      <t xml:space="preserve">v5.29</t>
    </r>
    <r>
      <rPr>
        <b val="true"/>
        <sz val="12"/>
        <rFont val="Noto Sans CJK SC"/>
        <family val="2"/>
      </rPr>
      <t xml:space="preserve">）與工作單的對應</t>
    </r>
  </si>
  <si>
    <t xml:space="preserve">項目</t>
  </si>
  <si>
    <t xml:space="preserve">現值</t>
  </si>
  <si>
    <t xml:space="preserve">位置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</si>
  <si>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機架價格（低／基準／高，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</si>
  <si>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7.8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9.1</t>
    </r>
  </si>
  <si>
    <t xml:space="preserve">Spec_Rack D11:F13</t>
  </si>
  <si>
    <t xml:space="preserve">價格涵蓋範圍</t>
  </si>
  <si>
    <r>
      <rPr>
        <sz val="11"/>
        <color theme="1"/>
        <rFont val="Noto Sans CJK SC"/>
        <family val="2"/>
      </rPr>
      <t xml:space="preserve">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另含約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</si>
  <si>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列（工作單寫第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列；第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列是「功率來源」）</t>
    </r>
  </si>
  <si>
    <r>
      <rPr>
        <sz val="11"/>
        <color theme="1"/>
        <rFont val="Noto Sans CJK SC"/>
        <family val="2"/>
      </rPr>
      <t xml:space="preserve">機架外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機架價格；儲存與管理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</si>
  <si>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</si>
  <si>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Inputs E13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E14</t>
    </r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</si>
  <si>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</t>
    </r>
  </si>
  <si>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4% IT </t>
    </r>
    <r>
      <rPr>
        <sz val="11"/>
        <color theme="1"/>
        <rFont val="Noto Sans CJK SC"/>
        <family val="2"/>
      </rPr>
      <t xml:space="preserve">資本／年，</t>
    </r>
    <r>
      <rPr>
        <sz val="11"/>
        <color theme="1"/>
        <rFont val="Calibri"/>
        <family val="2"/>
        <charset val="1"/>
      </rPr>
      <t xml:space="preserve">[Analogy]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v4 </t>
    </r>
    <r>
      <rPr>
        <sz val="11"/>
        <color theme="1"/>
        <rFont val="Noto Sans CJK SC"/>
        <family val="2"/>
      </rPr>
      <t xml:space="preserve">沿用</t>
    </r>
  </si>
  <si>
    <t xml:space="preserve">Inputs D30:F30</t>
  </si>
  <si>
    <t xml:space="preserve">人員；軟體授權與連線；水與耗材</t>
  </si>
  <si>
    <r>
      <rPr>
        <sz val="11"/>
        <color theme="1"/>
        <rFont val="Calibri"/>
        <family val="2"/>
        <charset val="1"/>
      </rPr>
      <t xml:space="preserve">$75M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$200M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$0.05M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／年</t>
    </r>
  </si>
  <si>
    <t xml:space="preserve">Inputs E32:E34</t>
  </si>
  <si>
    <t xml:space="preserve">每架配電設計功率（基準）</t>
  </si>
  <si>
    <r>
      <rPr>
        <sz val="11"/>
        <color theme="1"/>
        <rFont val="Calibri"/>
        <family val="2"/>
        <charset val="1"/>
      </rPr>
      <t xml:space="preserve">GB300 136 kW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VR200 227 kW</t>
    </r>
  </si>
  <si>
    <r>
      <rPr>
        <sz val="11"/>
        <color theme="1"/>
        <rFont val="Calibri"/>
        <family val="2"/>
        <charset val="1"/>
      </rPr>
      <t xml:space="preserve">Spec_Rack E9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F9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</si>
  <si>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基準欄（</t>
    </r>
    <r>
      <rPr>
        <sz val="11"/>
        <color theme="1"/>
        <rFont val="Calibri"/>
        <family val="2"/>
        <charset val="1"/>
      </rPr>
      <t xml:space="preserve">DC_Cost J </t>
    </r>
    <r>
      <rPr>
        <sz val="11"/>
        <color theme="1"/>
        <rFont val="Noto Sans CJK SC"/>
        <family val="2"/>
      </rPr>
      <t xml:space="preserve">欄）</t>
    </r>
    <r>
      <rPr>
        <sz val="11"/>
        <color theme="1"/>
        <rFont val="Calibri"/>
        <family val="2"/>
        <charset val="1"/>
      </rPr>
      <t xml:space="preserve">`IF_CapexIT`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`IF_MaintIT`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`IF_HoldEcon`</t>
    </r>
  </si>
  <si>
    <r>
      <rPr>
        <sz val="11"/>
        <color theme="1"/>
        <rFont val="Calibri"/>
        <family val="2"/>
        <charset val="1"/>
      </rPr>
      <t xml:space="preserve">37.446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12.725 $B/GW</t>
    </r>
  </si>
  <si>
    <r>
      <rPr>
        <sz val="11"/>
        <color theme="1"/>
        <rFont val="Calibri"/>
        <family val="2"/>
        <charset val="1"/>
      </rPr>
      <t xml:space="preserve">Interface J9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J224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J13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</si>
  <si>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基準欄（</t>
    </r>
    <r>
      <rPr>
        <sz val="11"/>
        <color theme="1"/>
        <rFont val="Calibri"/>
        <family val="2"/>
        <charset val="1"/>
      </rPr>
      <t xml:space="preserve">DC_Cost M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</si>
  <si>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37.586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12.762</t>
    </r>
  </si>
  <si>
    <r>
      <rPr>
        <sz val="11"/>
        <color theme="1"/>
        <rFont val="Calibri"/>
        <family val="2"/>
        <charset val="1"/>
      </rPr>
      <t xml:space="preserve">Interface M9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M224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M13</t>
    </r>
  </si>
  <si>
    <r>
      <rPr>
        <sz val="11"/>
        <color theme="1"/>
        <rFont val="Noto Sans CJK SC"/>
        <family val="2"/>
      </rPr>
      <t xml:space="preserve">公式鏈：</t>
    </r>
    <r>
      <rPr>
        <sz val="11"/>
        <color theme="1"/>
        <rFont val="Calibri"/>
        <family val="2"/>
        <charset val="1"/>
      </rPr>
      <t xml:space="preserve">`IF_CapexIT`</t>
    </r>
    <r>
      <rPr>
        <sz val="11"/>
        <color theme="1"/>
        <rFont val="Noto Sans CJK SC"/>
        <family val="2"/>
      </rPr>
      <t xml:space="preserve">＝機架數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＋網路比率）＋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儲存單價；</t>
    </r>
    <r>
      <rPr>
        <sz val="11"/>
        <color theme="1"/>
        <rFont val="Calibri"/>
        <family val="2"/>
        <charset val="1"/>
      </rPr>
      <t xml:space="preserve">`IF_MaintIT`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`IF_CapexIT` × IT </t>
    </r>
    <r>
      <rPr>
        <sz val="11"/>
        <color theme="1"/>
        <rFont val="Noto Sans CJK SC"/>
        <family val="2"/>
      </rPr>
      <t xml:space="preserve">維護率；</t>
    </r>
    <r>
      <rPr>
        <sz val="11"/>
        <color theme="1"/>
        <rFont val="Calibri"/>
        <family val="2"/>
        <charset val="1"/>
      </rPr>
      <t xml:space="preserve">`IF_HoldEcon`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`IF_CapexIT` × </t>
    </r>
    <r>
      <rPr>
        <sz val="11"/>
        <color theme="1"/>
        <rFont val="Noto Sans CJK SC"/>
        <family val="2"/>
      </rPr>
      <t xml:space="preserve">資本回收係數（</t>
    </r>
    <r>
      <rPr>
        <sz val="11"/>
        <color theme="1"/>
        <rFont val="Calibri"/>
        <family val="2"/>
        <charset val="1"/>
      </rPr>
      <t xml:space="preserve">WACC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0.2296</t>
    </r>
    <r>
      <rPr>
        <sz val="11"/>
        <color theme="1"/>
        <rFont val="Noto Sans CJK SC"/>
        <family val="2"/>
      </rPr>
      <t xml:space="preserve">）＋廠房資本回收＋營運費用。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＝機架價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kW</t>
    </r>
    <r>
      <rPr>
        <sz val="11"/>
        <color theme="1"/>
        <rFont val="Noto Sans CJK SC"/>
        <family val="2"/>
      </rPr>
      <t xml:space="preserve">，所以每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的外部對照同時受「單價」與「每架功率」影響。</t>
    </r>
  </si>
  <si>
    <r>
      <rPr>
        <b val="true"/>
        <sz val="12"/>
        <rFont val="Cambria"/>
        <family val="0"/>
        <charset val="1"/>
      </rPr>
      <t xml:space="preserve">1. </t>
    </r>
    <r>
      <rPr>
        <b val="true"/>
        <sz val="12"/>
        <rFont val="Noto Sans CJK SC"/>
        <family val="2"/>
      </rPr>
      <t xml:space="preserve">機架價格（</t>
    </r>
    <r>
      <rPr>
        <b val="true"/>
        <sz val="12"/>
        <rFont val="Cambria"/>
        <family val="0"/>
        <charset val="1"/>
      </rPr>
      <t xml:space="preserve">GB200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GB300</t>
    </r>
    <r>
      <rPr>
        <b val="true"/>
        <sz val="12"/>
        <rFont val="Noto Sans CJK SC"/>
        <family val="2"/>
      </rPr>
      <t xml:space="preserve">、</t>
    </r>
    <r>
      <rPr>
        <b val="true"/>
        <sz val="12"/>
        <rFont val="Cambria"/>
        <family val="0"/>
        <charset val="1"/>
      </rPr>
      <t xml:space="preserve">VR200 NVL72</t>
    </r>
    <r>
      <rPr>
        <b val="true"/>
        <sz val="12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</si>
  <si>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1.1 </t>
    </r>
    <r>
      <rPr>
        <b val="true"/>
        <sz val="12"/>
        <rFont val="Noto Sans CJK SC"/>
        <family val="2"/>
      </rPr>
      <t xml:space="preserve">證據表</t>
    </r>
  </si>
  <si>
    <t xml:space="preserve">ID</t>
  </si>
  <si>
    <t xml:space="preserve">世代</t>
  </si>
  <si>
    <t xml:space="preserve">數值</t>
  </si>
  <si>
    <t xml:space="preserve">口徑（涵蓋範圍）</t>
  </si>
  <si>
    <t xml:space="preserve">期間／文件日</t>
  </si>
  <si>
    <t xml:space="preserve">來源（名稱＋網址）</t>
  </si>
  <si>
    <t xml:space="preserve">標記</t>
  </si>
  <si>
    <t xml:space="preserve">等級</t>
  </si>
  <si>
    <t xml:space="preserve">獨立性</t>
  </si>
  <si>
    <t xml:space="preserve">P01</t>
  </si>
  <si>
    <t xml:space="preserve">GB300</t>
  </si>
  <si>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250 kW CDU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+$32K</t>
    </r>
    <r>
      <rPr>
        <sz val="11"/>
        <color theme="1"/>
        <rFont val="Noto Sans CJK SC"/>
        <family val="2"/>
      </rPr>
      <t xml:space="preserve">；部署合計約 </t>
    </r>
    <r>
      <rPr>
        <sz val="11"/>
        <color theme="1"/>
        <rFont val="Calibri"/>
        <family val="2"/>
        <charset val="1"/>
      </rPr>
      <t xml:space="preserve">$5.7M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DC </t>
    </r>
    <r>
      <rPr>
        <sz val="11"/>
        <color theme="1"/>
        <rFont val="Noto Sans CJK SC"/>
        <family val="2"/>
      </rPr>
      <t xml:space="preserve">建造、叢集核心交換、儲存）；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模組約 </t>
    </r>
    <r>
      <rPr>
        <sz val="11"/>
        <color theme="1"/>
        <rFont val="Calibri"/>
        <family val="2"/>
        <charset val="1"/>
      </rPr>
      <t xml:space="preserve">$3.4M</t>
    </r>
    <r>
      <rPr>
        <sz val="11"/>
        <color theme="1"/>
        <rFont val="Noto Sans CJK SC"/>
        <family val="2"/>
      </rPr>
      <t xml:space="preserve">、運算匣占約 </t>
    </r>
    <r>
      <rPr>
        <sz val="11"/>
        <color theme="1"/>
        <rFont val="Calibri"/>
        <family val="2"/>
        <charset val="1"/>
      </rPr>
      <t xml:space="preserve">87%</t>
    </r>
  </si>
  <si>
    <r>
      <rPr>
        <sz val="11"/>
        <color theme="1"/>
        <rFont val="Noto Sans CJK SC"/>
        <family val="2"/>
      </rPr>
      <t xml:space="preserve">售價（採購單），不含 </t>
    </r>
    <r>
      <rPr>
        <sz val="11"/>
        <color theme="1"/>
        <rFont val="Calibri"/>
        <family val="2"/>
        <charset val="1"/>
      </rPr>
      <t xml:space="preserve">CDU</t>
    </r>
  </si>
  <si>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採購單；文件 </t>
    </r>
    <r>
      <rPr>
        <sz val="11"/>
        <color theme="1"/>
        <rFont val="Calibri"/>
        <family val="2"/>
        <charset val="1"/>
      </rPr>
      <t xml:space="preserve">2026-08-31</t>
    </r>
  </si>
  <si>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How much does an NVIDIA NVL72 cost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https://www.datagravity.dev/p/how-much-does-an-nvidia-nvl72-cost</t>
    </r>
    <r>
      <rPr>
        <sz val="11"/>
        <color theme="1"/>
        <rFont val="Noto Sans CJK SC"/>
        <family val="2"/>
      </rPr>
      <t xml:space="preserve">（本輪直接讀到原文；前輪只讀到 </t>
    </r>
    <r>
      <rPr>
        <sz val="11"/>
        <color theme="1"/>
        <rFont val="Calibri"/>
        <family val="2"/>
        <charset val="1"/>
      </rPr>
      <t xml:space="preserve">wing.vc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https://www.wing.vc/content/how-much-does-an-nvidia-nvl72-cost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</si>
  <si>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（未具名交易方）</t>
    </r>
  </si>
  <si>
    <r>
      <rPr>
        <sz val="11"/>
        <color theme="1"/>
        <rFont val="Noto Sans CJK SC"/>
        <family val="2"/>
      </rPr>
      <t xml:space="preserve">獨立（</t>
    </r>
    <r>
      <rPr>
        <sz val="11"/>
        <color theme="1"/>
        <rFont val="Calibri"/>
        <family val="2"/>
        <charset val="1"/>
      </rPr>
      <t xml:space="preserve">wing.vc </t>
    </r>
    <r>
      <rPr>
        <sz val="11"/>
        <color theme="1"/>
        <rFont val="Noto Sans CJK SC"/>
        <family val="2"/>
      </rPr>
      <t xml:space="preserve">是同一文的轉載，不另算）</t>
    </r>
  </si>
  <si>
    <t xml:space="preserve">P02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</si>
  <si>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</si>
  <si>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$5–6M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</si>
  <si>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Reported prices</t>
    </r>
    <r>
      <rPr>
        <sz val="11"/>
        <color theme="1"/>
        <rFont val="Noto Sans CJK SC"/>
        <family val="2"/>
      </rPr>
      <t xml:space="preserve">」（分析師轉述，口徑未明）</t>
    </r>
  </si>
  <si>
    <t xml:space="preserve">2026-01-30</t>
  </si>
  <si>
    <r>
      <rPr>
        <sz val="11"/>
        <color theme="1"/>
        <rFont val="Calibri"/>
        <family val="2"/>
        <charset val="1"/>
      </rPr>
      <t xml:space="preserve">Wolfe Research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Pratyush Thakur</t>
    </r>
    <r>
      <rPr>
        <sz val="11"/>
        <color theme="1"/>
        <rFont val="Noto Sans CJK SC"/>
        <family val="2"/>
      </rPr>
      <t xml:space="preserve">）於 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https://ca.finance.yahoo.com/news/wolfe-lifts-nvidia-target-25-145211458.html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</si>
  <si>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（賣方研究，引述「</t>
    </r>
    <r>
      <rPr>
        <sz val="11"/>
        <color theme="1"/>
        <rFont val="Calibri"/>
        <family val="2"/>
        <charset val="1"/>
      </rPr>
      <t xml:space="preserve">reported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</si>
  <si>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Noto Sans CJK SC"/>
        <family val="2"/>
      </rPr>
      <t xml:space="preserve">部分獨立（自稱 </t>
    </r>
    <r>
      <rPr>
        <sz val="11"/>
        <color theme="1"/>
        <rFont val="Calibri"/>
        <family val="2"/>
        <charset val="1"/>
      </rPr>
      <t xml:space="preserve">reported</t>
    </r>
    <r>
      <rPr>
        <sz val="11"/>
        <color theme="1"/>
        <rFont val="Noto Sans CJK SC"/>
        <family val="2"/>
      </rPr>
      <t xml:space="preserve">，底層出處不明，可能與媒體同源）；</t>
    </r>
    <r>
      <rPr>
        <sz val="11"/>
        <color theme="1"/>
        <rFont val="Calibri"/>
        <family val="2"/>
        <charset val="1"/>
      </rPr>
      <t xml:space="preserve">gpuperhour </t>
    </r>
    <r>
      <rPr>
        <sz val="11"/>
        <color theme="1"/>
        <rFont val="Noto Sans CJK SC"/>
        <family val="2"/>
      </rPr>
      <t xml:space="preserve">彙整頁 </t>
    </r>
    <r>
      <rPr>
        <sz val="11"/>
        <color theme="1"/>
        <rFont val="Calibri"/>
        <family val="2"/>
        <charset val="1"/>
      </rPr>
      <t xml:space="preserve">https://gpuperhour.com/blog/gb200-gb300-nvl72-explained </t>
    </r>
    <r>
      <rPr>
        <sz val="11"/>
        <color theme="1"/>
        <rFont val="Noto Sans CJK SC"/>
        <family val="2"/>
      </rPr>
      <t xml:space="preserve">引同一筆，不另算</t>
    </r>
  </si>
  <si>
    <t xml:space="preserve">P03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</si>
  <si>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（推算）</t>
    </r>
  </si>
  <si>
    <r>
      <rPr>
        <sz val="11"/>
        <color theme="1"/>
        <rFont val="Calibri"/>
        <family val="2"/>
        <charset val="1"/>
      </rPr>
      <t xml:space="preserve">≈ $4.0M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VR200 BOM 7.8 ÷ 1.95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</si>
  <si>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成本（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），同 </t>
    </r>
    <r>
      <rPr>
        <sz val="11"/>
        <color theme="1"/>
        <rFont val="Calibri"/>
        <family val="2"/>
        <charset val="1"/>
      </rPr>
      <t xml:space="preserve">SRC_HW_015</t>
    </r>
  </si>
  <si>
    <t xml:space="preserve">2026-05-21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</si>
  <si>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Nvidia NVL72 Bill of Materials</t>
    </r>
    <r>
      <rPr>
        <sz val="11"/>
        <color theme="1"/>
        <rFont val="Noto Sans CJK SC"/>
        <family val="2"/>
      </rPr>
      <t xml:space="preserve">」表，經 </t>
    </r>
    <r>
      <rPr>
        <sz val="11"/>
        <color theme="1"/>
        <rFont val="Calibri"/>
        <family val="2"/>
        <charset val="1"/>
      </rPr>
      <t xml:space="preserve">wccftech https://wccftech.com/nvidia-vera-rubin-rack-hit-with-memory-price-surge-pushing-hbm4-lpddr5x-bill-to-2m-of-7-8m-total/amp/</t>
    </r>
    <r>
      <rPr>
        <sz val="11"/>
        <color theme="1"/>
        <rFont val="Noto Sans CJK SC"/>
        <family val="2"/>
      </rPr>
      <t xml:space="preserve">（圖片替代文字：記憶體 </t>
    </r>
    <r>
      <rPr>
        <sz val="11"/>
        <color theme="1"/>
        <rFont val="Calibri"/>
        <family val="2"/>
        <charset val="1"/>
      </rPr>
      <t xml:space="preserve">$373,939 → $2,001,600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total cost difference of 95%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</si>
  <si>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（來自 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中立賣方研究）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</si>
  <si>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（表為圖片，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總額未讀到文字）</t>
    </r>
  </si>
  <si>
    <t xml:space="preserve">獨立</t>
  </si>
  <si>
    <t xml:space="preserve">P04</t>
  </si>
  <si>
    <t xml:space="preserve">$6.0–6.5M</t>
  </si>
  <si>
    <t xml:space="preserve">媒體報價</t>
  </si>
  <si>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SRC_HW_007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</si>
  <si>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亦轉述為「</t>
    </r>
    <r>
      <rPr>
        <sz val="11"/>
        <color theme="1"/>
        <rFont val="Calibri"/>
        <family val="2"/>
        <charset val="1"/>
      </rPr>
      <t xml:space="preserve">Media estimates</t>
    </r>
    <r>
      <rPr>
        <sz val="11"/>
        <color theme="1"/>
        <rFont val="Noto Sans CJK SC"/>
        <family val="2"/>
      </rPr>
      <t xml:space="preserve">」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</si>
  <si>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</si>
  <si>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（本輪未讀原文）</t>
    </r>
  </si>
  <si>
    <t xml:space="preserve">底層出處不明</t>
  </si>
  <si>
    <t xml:space="preserve">P05</t>
  </si>
  <si>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IT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</si>
  <si>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$5.8bn ÷ 200 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$29.0M/MW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136 kW</t>
    </r>
    <r>
      <rPr>
        <sz val="11"/>
        <color theme="1"/>
        <rFont val="Noto Sans CJK SC"/>
        <family val="2"/>
      </rPr>
      <t xml:space="preserve">／架、機架外 </t>
    </r>
    <r>
      <rPr>
        <sz val="11"/>
        <color theme="1"/>
        <rFont val="Calibri"/>
        <family val="2"/>
        <charset val="1"/>
      </rPr>
      <t xml:space="preserve">IT 8% </t>
    </r>
    <r>
      <rPr>
        <sz val="11"/>
        <color theme="1"/>
        <rFont val="Noto Sans CJK SC"/>
        <family val="2"/>
      </rPr>
      <t xml:space="preserve">推算每架（含網路）≈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155 kW</t>
    </r>
    <r>
      <rPr>
        <sz val="11"/>
        <color theme="1"/>
        <rFont val="Noto Sans CJK SC"/>
        <family val="2"/>
      </rPr>
      <t xml:space="preserve">／架 ≈ </t>
    </r>
    <r>
      <rPr>
        <sz val="11"/>
        <color theme="1"/>
        <rFont val="Calibri"/>
        <family val="2"/>
        <charset val="1"/>
      </rPr>
      <t xml:space="preserve">$4.9M</t>
    </r>
  </si>
  <si>
    <r>
      <rPr>
        <sz val="11"/>
        <color theme="1"/>
        <rFont val="Noto Sans CJK SC"/>
        <family val="2"/>
      </rPr>
      <t xml:space="preserve">公司揭露：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與附屬設備，「</t>
    </r>
    <r>
      <rPr>
        <sz val="11"/>
        <color theme="1"/>
        <rFont val="Calibri"/>
        <family val="2"/>
        <charset val="1"/>
      </rPr>
      <t xml:space="preserve">Includes deployment services, servers, InfiniBand, cabling, software and licensing costs</t>
    </r>
    <r>
      <rPr>
        <sz val="11"/>
        <color theme="1"/>
        <rFont val="Noto Sans CJK SC"/>
        <family val="2"/>
      </rPr>
      <t xml:space="preserve">」</t>
    </r>
  </si>
  <si>
    <t xml:space="preserve">2025-11-03</t>
  </si>
  <si>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https://iren.gcs-web.com/news-releases/news-release-details/iren-secures-97bn-ai-cloud-contract-microsoft</t>
    </r>
    <r>
      <rPr>
        <sz val="11"/>
        <color theme="1"/>
        <rFont val="Noto Sans CJK SC"/>
        <family val="2"/>
      </rPr>
      <t xml:space="preserve">（另一份 </t>
    </r>
    <r>
      <rPr>
        <sz val="11"/>
        <color theme="1"/>
        <rFont val="Calibri"/>
        <family val="2"/>
        <charset val="1"/>
      </rPr>
      <t xml:space="preserve">https://irisenergy.gcs-web.com/…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DCD https://www.datacenterdynamics.com/en/news/microsoft-signs-97bn-cloud-capacity-deal-with-iren/ </t>
    </r>
    <r>
      <rPr>
        <sz val="11"/>
        <color theme="1"/>
        <rFont val="Noto Sans CJK SC"/>
        <family val="2"/>
      </rPr>
      <t xml:space="preserve">皆讀到；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數量未揭露、</t>
    </r>
    <r>
      <rPr>
        <sz val="11"/>
        <color theme="1"/>
        <rFont val="Calibri"/>
        <family val="2"/>
        <charset val="1"/>
      </rPr>
      <t xml:space="preserve">$5.8bn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的對應原文未明寫）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</si>
  <si>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（總額與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、每架）</t>
    </r>
  </si>
  <si>
    <t xml:space="preserve">獨立（唯一買方公開揭露）</t>
  </si>
  <si>
    <t xml:space="preserve">P06</t>
  </si>
  <si>
    <t xml:space="preserve">VR200</t>
  </si>
  <si>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（平均成本／「</t>
    </r>
    <r>
      <rPr>
        <sz val="11"/>
        <color theme="1"/>
        <rFont val="Calibri"/>
        <family val="2"/>
        <charset val="1"/>
      </rPr>
      <t xml:space="preserve">end price</t>
    </r>
    <r>
      <rPr>
        <sz val="11"/>
        <color theme="1"/>
        <rFont val="Noto Sans CJK SC"/>
        <family val="2"/>
      </rPr>
      <t xml:space="preserve">」）；拆項：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系統約 </t>
    </r>
    <r>
      <rPr>
        <sz val="11"/>
        <color theme="1"/>
        <rFont val="Calibri"/>
        <family val="2"/>
        <charset val="1"/>
      </rPr>
      <t xml:space="preserve">$4.0M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與儲存約 </t>
    </r>
    <r>
      <rPr>
        <sz val="11"/>
        <color theme="1"/>
        <rFont val="Calibri"/>
        <family val="2"/>
        <charset val="1"/>
      </rPr>
      <t xml:space="preserve">$3.2M</t>
    </r>
    <r>
      <rPr>
        <sz val="11"/>
        <color theme="1"/>
        <rFont val="Noto Sans CJK SC"/>
        <family val="2"/>
      </rPr>
      <t xml:space="preserve">、網路約 </t>
    </r>
    <r>
      <rPr>
        <sz val="11"/>
        <color theme="1"/>
        <rFont val="Calibri"/>
        <family val="2"/>
        <charset val="1"/>
      </rPr>
      <t xml:space="preserve">$1.2M</t>
    </r>
    <r>
      <rPr>
        <sz val="11"/>
        <color theme="1"/>
        <rFont val="Noto Sans CJK SC"/>
        <family val="2"/>
      </rPr>
      <t xml:space="preserve">、散熱約 </t>
    </r>
    <r>
      <rPr>
        <sz val="11"/>
        <color theme="1"/>
        <rFont val="Calibri"/>
        <family val="2"/>
        <charset val="1"/>
      </rPr>
      <t xml:space="preserve">$0.15M</t>
    </r>
    <r>
      <rPr>
        <sz val="11"/>
        <color theme="1"/>
        <rFont val="Noto Sans CJK SC"/>
        <family val="2"/>
      </rPr>
      <t xml:space="preserve">、電力約 </t>
    </r>
    <r>
      <rPr>
        <sz val="11"/>
        <color theme="1"/>
        <rFont val="Calibri"/>
        <family val="2"/>
        <charset val="1"/>
      </rPr>
      <t xml:space="preserve">$0.15M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總資本支出約 </t>
    </r>
    <r>
      <rPr>
        <sz val="11"/>
        <color theme="1"/>
        <rFont val="Calibri"/>
        <family val="2"/>
        <charset val="1"/>
      </rPr>
      <t xml:space="preserve">$47bn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機櫃約 </t>
    </r>
    <r>
      <rPr>
        <sz val="11"/>
        <color theme="1"/>
        <rFont val="Calibri"/>
        <family val="2"/>
        <charset val="1"/>
      </rPr>
      <t xml:space="preserve">$32bn</t>
    </r>
    <r>
      <rPr>
        <sz val="11"/>
        <color theme="1"/>
        <rFont val="Noto Sans CJK SC"/>
        <family val="2"/>
      </rPr>
      <t xml:space="preserve">＋基礎建設約 </t>
    </r>
    <r>
      <rPr>
        <sz val="11"/>
        <color theme="1"/>
        <rFont val="Calibri"/>
        <family val="2"/>
        <charset val="1"/>
      </rPr>
      <t xml:space="preserve">$15bn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</si>
  <si>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含網路（與 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列口徑不同）</t>
    </r>
  </si>
  <si>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06-13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</si>
  <si>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wccftech https://wccftech.com/bernstein-warns-nvidias-vera-rubin-racks-will-hit-9-1-million-as-hbm4-prices-triple-to-53-per-gigabyte/amp/ </t>
    </r>
    <r>
      <rPr>
        <sz val="11"/>
        <color theme="1"/>
        <rFont val="Noto Sans CJK SC"/>
        <family val="2"/>
      </rPr>
      <t xml:space="preserve">與鉅亨網 </t>
    </r>
    <r>
      <rPr>
        <sz val="11"/>
        <color theme="1"/>
        <rFont val="Calibri"/>
        <family val="2"/>
        <charset val="1"/>
      </rPr>
      <t xml:space="preserve">https://news.cnyes.com/news/id/6498402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</si>
  <si>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（中立賣方研究）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</si>
  <si>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（兩頁同一底層來源）</t>
    </r>
  </si>
  <si>
    <r>
      <rPr>
        <sz val="11"/>
        <color theme="1"/>
        <rFont val="Noto Sans CJK SC"/>
        <family val="2"/>
      </rPr>
      <t xml:space="preserve">兩頁不互為獨立；對 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為獨立</t>
    </r>
  </si>
  <si>
    <t xml:space="preserve">P07</t>
  </si>
  <si>
    <r>
      <rPr>
        <sz val="11"/>
        <color theme="1"/>
        <rFont val="Calibri"/>
        <family val="2"/>
        <charset val="1"/>
      </rPr>
      <t xml:space="preserve">7.8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，已在 </t>
    </r>
    <r>
      <rPr>
        <sz val="11"/>
        <color theme="1"/>
        <rFont val="Calibri"/>
        <family val="2"/>
        <charset val="1"/>
      </rPr>
      <t xml:space="preserve">SRC_HW_015</t>
    </r>
    <r>
      <rPr>
        <sz val="11"/>
        <color theme="1"/>
        <rFont val="Noto Sans CJK SC"/>
        <family val="2"/>
      </rPr>
      <t xml:space="preserve">）</t>
    </r>
  </si>
  <si>
    <t xml:space="preserve">成本</t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</si>
  <si>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P03</t>
    </r>
  </si>
  <si>
    <t xml:space="preserve">—</t>
  </si>
  <si>
    <t xml:space="preserve">已登錄</t>
  </si>
  <si>
    <t xml:space="preserve">P08</t>
  </si>
  <si>
    <r>
      <rPr>
        <sz val="11"/>
        <color theme="1"/>
        <rFont val="Calibri"/>
        <family val="2"/>
        <charset val="1"/>
      </rPr>
      <t xml:space="preserve">VR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</si>
  <si>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the ASP of the Vera Rubin systems is expected to be roughly double that of GB300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</si>
  <si>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比值（系統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</si>
  <si>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2026-08-28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</si>
  <si>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新聞稿 </t>
    </r>
    <r>
      <rPr>
        <sz val="11"/>
        <color theme="1"/>
        <rFont val="Calibri"/>
        <family val="2"/>
        <charset val="1"/>
      </rPr>
      <t xml:space="preserve">https://www.trendforce.com/presscenter/news/20260828-13204.html</t>
    </r>
    <r>
      <rPr>
        <sz val="11"/>
        <color theme="1"/>
        <rFont val="Noto Sans CJK SC"/>
        <family val="2"/>
      </rPr>
      <t xml:space="preserve">（科技新報轉載 </t>
    </r>
    <r>
      <rPr>
        <sz val="11"/>
        <color theme="1"/>
        <rFont val="Calibri"/>
        <family val="2"/>
        <charset val="1"/>
      </rPr>
      <t xml:space="preserve">https://finance.technews.tw/2026/08/28/nvidia-nvl72-over-710000000000usd-2027/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</si>
  <si>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（市調機構，中立）；比值</t>
    </r>
  </si>
  <si>
    <t xml:space="preserve">P09</t>
  </si>
  <si>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（口徑不明）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</si>
  <si>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$40bn </t>
    </r>
    <r>
      <rPr>
        <sz val="11"/>
        <color theme="1"/>
        <rFont val="Noto Sans CJK SC"/>
        <family val="2"/>
      </rPr>
      <t xml:space="preserve">購買「</t>
    </r>
    <r>
      <rPr>
        <sz val="11"/>
        <color theme="1"/>
        <rFont val="Calibri"/>
        <family val="2"/>
        <charset val="1"/>
      </rPr>
      <t xml:space="preserve">around 400,000 of Nvidia's GB200s</t>
    </r>
    <r>
      <rPr>
        <sz val="11"/>
        <color theme="1"/>
        <rFont val="Noto Sans CJK SC"/>
        <family val="2"/>
      </rPr>
      <t xml:space="preserve">」→ </t>
    </r>
    <r>
      <rPr>
        <sz val="11"/>
        <color theme="1"/>
        <rFont val="Calibri"/>
        <family val="2"/>
        <charset val="1"/>
      </rPr>
      <t xml:space="preserve">$100K</t>
    </r>
    <r>
      <rPr>
        <sz val="11"/>
        <color theme="1"/>
        <rFont val="Noto Sans CJK SC"/>
        <family val="2"/>
      </rPr>
      <t xml:space="preserve">／顆或 </t>
    </r>
    <r>
      <rPr>
        <sz val="11"/>
        <color theme="1"/>
        <rFont val="Calibri"/>
        <family val="2"/>
        <charset val="1"/>
      </rPr>
      <t xml:space="preserve">$50K</t>
    </r>
    <r>
      <rPr>
        <sz val="11"/>
        <color theme="1"/>
        <rFont val="Noto Sans CJK SC"/>
        <family val="2"/>
      </rPr>
      <t xml:space="preserve">／顆（視「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」指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superchip</t>
    </r>
    <r>
      <rPr>
        <sz val="11"/>
        <color theme="1"/>
        <rFont val="Noto Sans CJK SC"/>
        <family val="2"/>
      </rPr>
      <t xml:space="preserve">）</t>
    </r>
  </si>
  <si>
    <t xml:space="preserve">晶片採購（範圍未明）</t>
  </si>
  <si>
    <t xml:space="preserve">2025-05</t>
  </si>
  <si>
    <r>
      <rPr>
        <sz val="11"/>
        <color theme="1"/>
        <rFont val="Calibri"/>
        <family val="2"/>
        <charset val="1"/>
      </rPr>
      <t xml:space="preserve">FT </t>
    </r>
    <r>
      <rPr>
        <sz val="11"/>
        <color theme="1"/>
        <rFont val="Noto Sans CJK SC"/>
        <family val="2"/>
      </rPr>
      <t xml:space="preserve">報導，經 </t>
    </r>
    <r>
      <rPr>
        <sz val="11"/>
        <color theme="1"/>
        <rFont val="Calibri"/>
        <family val="2"/>
        <charset val="1"/>
      </rPr>
      <t xml:space="preserve">DCD https://www.datacenterdynamics.com/en/news/oracle-to-spend-40bn-on-nvidia-chips-for-openai-texas-data-center/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</si>
  <si>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（匿名消息）</t>
    </r>
  </si>
  <si>
    <t xml:space="preserve">口徑不明，不採用</t>
  </si>
  <si>
    <r>
      <rPr>
        <sz val="11"/>
        <color theme="1"/>
        <rFont val="Noto Sans CJK SC"/>
        <family val="2"/>
      </rPr>
      <t xml:space="preserve">找不到：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Wistron </t>
    </r>
    <r>
      <rPr>
        <sz val="11"/>
        <color theme="1"/>
        <rFont val="Noto Sans CJK SC"/>
        <family val="2"/>
      </rPr>
      <t xml:space="preserve">的每櫃售價（外資出貨報告只列櫃數：經濟日報 </t>
    </r>
    <r>
      <rPr>
        <sz val="11"/>
        <color theme="1"/>
        <rFont val="Calibri"/>
        <family val="2"/>
        <charset val="1"/>
      </rPr>
      <t xml:space="preserve">2026-09-10 https://money.udn.com/money/amp/story/5607/9745501 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8–8.5 </t>
    </r>
    <r>
      <rPr>
        <sz val="11"/>
        <color theme="1"/>
        <rFont val="Noto Sans CJK SC"/>
        <family val="2"/>
      </rPr>
      <t xml:space="preserve">萬櫃，未列單價）；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設備資本支出（</t>
    </r>
    <r>
      <rPr>
        <sz val="11"/>
        <color theme="1"/>
        <rFont val="Calibri"/>
        <family val="2"/>
        <charset val="1"/>
      </rPr>
      <t xml:space="preserve">Nebius Q1 2026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https://www.fool.com/earnings/call-transcripts/2026/05/13/nebius-nbis-q1-2026-earnings-transcript/ </t>
    </r>
    <r>
      <rPr>
        <sz val="11"/>
        <color theme="1"/>
        <rFont val="Noto Sans CJK SC"/>
        <family val="2"/>
      </rPr>
      <t xml:space="preserve">只有總額 </t>
    </r>
    <r>
      <rPr>
        <sz val="11"/>
        <color theme="1"/>
        <rFont val="Calibri"/>
        <family val="2"/>
        <charset val="1"/>
      </rPr>
      <t xml:space="preserve">$20–25bn</t>
    </r>
    <r>
      <rPr>
        <sz val="11"/>
        <color theme="1"/>
        <rFont val="Noto Sans CJK SC"/>
        <family val="2"/>
      </rPr>
      <t xml:space="preserve">、合約電力 </t>
    </r>
    <r>
      <rPr>
        <sz val="11"/>
        <color theme="1"/>
        <rFont val="Calibri"/>
        <family val="2"/>
        <charset val="1"/>
      </rPr>
      <t xml:space="preserve">3.5 GW</t>
    </r>
    <r>
      <rPr>
        <sz val="11"/>
        <color theme="1"/>
        <rFont val="Noto Sans CJK SC"/>
        <family val="2"/>
      </rPr>
      <t xml:space="preserve">，未提每 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GB200 rack-only 3.1</t>
    </r>
    <r>
      <rPr>
        <sz val="11"/>
        <color theme="1"/>
        <rFont val="Noto Sans CJK SC"/>
        <family val="2"/>
      </rPr>
      <t xml:space="preserve">／含網路與儲存 </t>
    </r>
    <r>
      <rPr>
        <sz val="11"/>
        <color theme="1"/>
        <rFont val="Calibri"/>
        <family val="2"/>
        <charset val="1"/>
      </rPr>
      <t xml:space="preserve">3.9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gpuperhour </t>
    </r>
    <r>
      <rPr>
        <sz val="11"/>
        <color theme="1"/>
        <rFont val="Noto Sans CJK SC"/>
        <family val="2"/>
      </rPr>
      <t xml:space="preserve">轉述）不單獨引用。</t>
    </r>
  </si>
  <si>
    <r>
      <rPr>
        <b val="true"/>
        <sz val="12"/>
        <rFont val="Cambria"/>
        <family val="0"/>
        <charset val="1"/>
      </rPr>
      <t xml:space="preserve">1.2 GB200 → GB300 </t>
    </r>
    <r>
      <rPr>
        <b val="true"/>
        <sz val="12"/>
        <rFont val="Noto Sans CJK SC"/>
        <family val="2"/>
      </rPr>
      <t xml:space="preserve">跳幅</t>
    </r>
  </si>
  <si>
    <t xml:space="preserve">比較</t>
  </si>
  <si>
    <t xml:space="preserve">GB200</t>
  </si>
  <si>
    <t xml:space="preserve">跳幅</t>
  </si>
  <si>
    <t xml:space="preserve">讀法</t>
  </si>
  <si>
    <t xml:space="preserve">模型基準（不同日期、不同來源）</t>
  </si>
  <si>
    <r>
      <rPr>
        <sz val="11"/>
        <color theme="1"/>
        <rFont val="Calibri"/>
        <family val="2"/>
        <charset val="1"/>
      </rPr>
      <t xml:space="preserve">3.1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媒體）</t>
    </r>
  </si>
  <si>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採購單）</t>
    </r>
  </si>
  <si>
    <t xml:space="preserve">+61%</t>
  </si>
  <si>
    <t xml:space="preserve">日期差約兩年、口徑不同</t>
  </si>
  <si>
    <r>
      <rPr>
        <sz val="11"/>
        <color theme="1"/>
        <rFont val="Calibri"/>
        <family val="2"/>
        <charset val="1"/>
      </rPr>
      <t xml:space="preserve">Wolfe </t>
    </r>
    <r>
      <rPr>
        <sz val="11"/>
        <color theme="1"/>
        <rFont val="Noto Sans CJK SC"/>
        <family val="2"/>
      </rPr>
      <t xml:space="preserve">同一則（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</t>
    </r>
  </si>
  <si>
    <t xml:space="preserve">+43%</t>
  </si>
  <si>
    <t xml:space="preserve">同來源同日期</t>
  </si>
  <si>
    <t xml:space="preserve">規格差</t>
  </si>
  <si>
    <r>
      <rPr>
        <sz val="11"/>
        <color theme="1"/>
        <rFont val="Calibri"/>
        <family val="2"/>
        <charset val="1"/>
      </rPr>
      <t xml:space="preserve">HBM 186 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FP4 10 PF</t>
    </r>
  </si>
  <si>
    <r>
      <rPr>
        <sz val="11"/>
        <color theme="1"/>
        <rFont val="Calibri"/>
        <family val="2"/>
        <charset val="1"/>
      </rPr>
      <t xml:space="preserve">HBM 288 GB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FP4 15 PF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</si>
  <si>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幾乎相同（</t>
    </r>
    <r>
      <rPr>
        <sz val="11"/>
        <color theme="1"/>
        <rFont val="Calibri"/>
        <family val="2"/>
        <charset val="1"/>
      </rPr>
      <t xml:space="preserve">132 → 136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</si>
  <si>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結論：</t>
    </r>
    <r>
      <rPr>
        <sz val="11"/>
        <color theme="1"/>
        <rFont val="Calibri"/>
        <family val="2"/>
        <charset val="1"/>
      </rPr>
      <t xml:space="preserve">+40–45% </t>
    </r>
    <r>
      <rPr>
        <sz val="11"/>
        <color theme="1"/>
        <rFont val="Noto Sans CJK SC"/>
        <family val="2"/>
      </rPr>
      <t xml:space="preserve">有同來源支持；</t>
    </r>
    <r>
      <rPr>
        <sz val="11"/>
        <color theme="1"/>
        <rFont val="Calibri"/>
        <family val="2"/>
        <charset val="1"/>
      </rPr>
      <t xml:space="preserve">+61% </t>
    </r>
    <r>
      <rPr>
        <sz val="11"/>
        <color theme="1"/>
        <rFont val="Noto Sans CJK SC"/>
        <family val="2"/>
      </rPr>
      <t xml:space="preserve">的其餘部分來自日期與口徑。</t>
    </r>
  </si>
  <si>
    <r>
      <rPr>
        <b val="true"/>
        <sz val="12"/>
        <rFont val="Cambria"/>
        <family val="0"/>
        <charset val="1"/>
      </rPr>
      <t xml:space="preserve">1.3 </t>
    </r>
    <r>
      <rPr>
        <b val="true"/>
        <sz val="12"/>
        <rFont val="Noto Sans CJK SC"/>
        <family val="2"/>
      </rPr>
      <t xml:space="preserve">建議值</t>
    </r>
  </si>
  <si>
    <t xml:space="preserve">低</t>
  </si>
  <si>
    <t xml:space="preserve">基準</t>
  </si>
  <si>
    <t xml:space="preserve">高</t>
  </si>
  <si>
    <t xml:space="preserve">理由</t>
  </si>
  <si>
    <t xml:space="preserve">不變</t>
  </si>
  <si>
    <r>
      <rPr>
        <sz val="11"/>
        <color theme="1"/>
        <rFont val="Noto Sans CJK SC"/>
        <family val="2"/>
      </rPr>
      <t xml:space="preserve">本輪無新證據（</t>
    </r>
    <r>
      <rPr>
        <sz val="11"/>
        <color theme="1"/>
        <rFont val="Calibri"/>
        <family val="2"/>
        <charset val="1"/>
      </rPr>
      <t xml:space="preserve">Wolfe 3.0 </t>
    </r>
    <r>
      <rPr>
        <sz val="11"/>
        <color theme="1"/>
        <rFont val="Noto Sans CJK SC"/>
        <family val="2"/>
      </rPr>
      <t xml:space="preserve">在區間內）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</si>
  <si>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</si>
  <si>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MS BOM </t>
    </r>
    <r>
      <rPr>
        <sz val="11"/>
        <color theme="1"/>
        <rFont val="Noto Sans CJK SC"/>
        <family val="2"/>
      </rPr>
      <t xml:space="preserve">推算（零毛利）；基準＝</t>
    </r>
    <r>
      <rPr>
        <sz val="11"/>
        <color theme="1"/>
        <rFont val="Calibri"/>
        <family val="2"/>
        <charset val="1"/>
      </rPr>
      <t xml:space="preserve">BOM×(1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7.5%)</t>
    </r>
    <r>
      <rPr>
        <sz val="11"/>
        <color theme="1"/>
        <rFont val="Noto Sans CJK SC"/>
        <family val="2"/>
      </rPr>
      <t xml:space="preserve">，同 </t>
    </r>
    <r>
      <rPr>
        <sz val="11"/>
        <color theme="1"/>
        <rFont val="Calibri"/>
        <family val="2"/>
        <charset val="1"/>
      </rPr>
      <t xml:space="preserve">VR200 F12 </t>
    </r>
    <r>
      <rPr>
        <sz val="11"/>
        <color theme="1"/>
        <rFont val="Noto Sans CJK SC"/>
        <family val="2"/>
      </rPr>
      <t xml:space="preserve">算法，與 </t>
    </r>
    <r>
      <rPr>
        <sz val="11"/>
        <color theme="1"/>
        <rFont val="Calibri"/>
        <family val="2"/>
        <charset val="1"/>
      </rPr>
      <t xml:space="preserve">Wolfe 4.3 </t>
    </r>
    <r>
      <rPr>
        <sz val="11"/>
        <color theme="1"/>
        <rFont val="Noto Sans CJK SC"/>
        <family val="2"/>
      </rPr>
      <t xml:space="preserve">相同；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IT MW 29.0 </t>
    </r>
    <r>
      <rPr>
        <sz val="11"/>
        <color theme="1"/>
        <rFont val="Noto Sans CJK SC"/>
        <family val="2"/>
      </rPr>
      <t xml:space="preserve">對改後 </t>
    </r>
    <r>
      <rPr>
        <sz val="11"/>
        <color theme="1"/>
        <rFont val="Calibri"/>
        <family val="2"/>
        <charset val="1"/>
      </rPr>
      <t xml:space="preserve">IF_CapexIT 32.2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為含網路，</t>
    </r>
    <r>
      <rPr>
        <sz val="11"/>
        <color theme="1"/>
        <rFont val="Calibri"/>
        <family val="2"/>
        <charset val="1"/>
      </rPr>
      <t xml:space="preserve">rack-only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3.9</t>
    </r>
    <r>
      <rPr>
        <sz val="11"/>
        <color theme="1"/>
        <rFont val="Noto Sans CJK SC"/>
        <family val="2"/>
      </rPr>
      <t xml:space="preserve">）；高＝採購單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。媒體 </t>
    </r>
    <r>
      <rPr>
        <sz val="11"/>
        <color theme="1"/>
        <rFont val="Calibri"/>
        <family val="2"/>
        <charset val="1"/>
      </rPr>
      <t xml:space="preserve">6.0–6.5 </t>
    </r>
    <r>
      <rPr>
        <sz val="11"/>
        <color theme="1"/>
        <rFont val="Noto Sans CJK SC"/>
        <family val="2"/>
      </rPr>
      <t xml:space="preserve">保留為 </t>
    </r>
    <r>
      <rPr>
        <sz val="11"/>
        <color theme="1"/>
        <rFont val="Calibri"/>
        <family val="2"/>
        <charset val="1"/>
      </rPr>
      <t xml:space="preserve">Alt</t>
    </r>
    <r>
      <rPr>
        <sz val="11"/>
        <color theme="1"/>
        <rFont val="Noto Sans CJK SC"/>
        <family val="2"/>
      </rPr>
      <t xml:space="preserve">（底層不明）</t>
    </r>
  </si>
  <si>
    <r>
      <rPr>
        <sz val="11"/>
        <color theme="1"/>
        <rFont val="Calibri"/>
        <family val="2"/>
        <charset val="1"/>
      </rPr>
      <t xml:space="preserve">Bernstein 9.1 </t>
    </r>
    <r>
      <rPr>
        <sz val="11"/>
        <color theme="1"/>
        <rFont val="Noto Sans CJK SC"/>
        <family val="2"/>
      </rPr>
      <t xml:space="preserve">原文轉載已讀（等級 </t>
    </r>
    <r>
      <rPr>
        <sz val="11"/>
        <color theme="1"/>
        <rFont val="Calibri"/>
        <family val="2"/>
        <charset val="1"/>
      </rPr>
      <t xml:space="preserve">3→2 </t>
    </r>
    <r>
      <rPr>
        <sz val="11"/>
        <color theme="1"/>
        <rFont val="Noto Sans CJK SC"/>
        <family val="2"/>
      </rPr>
      <t xml:space="preserve">候選）；含網路的口徑差列 </t>
    </r>
    <r>
      <rPr>
        <sz val="11"/>
        <color theme="1"/>
        <rFont val="Calibri"/>
        <family val="2"/>
        <charset val="1"/>
      </rPr>
      <t xml:space="preserve">J4</t>
    </r>
    <r>
      <rPr>
        <sz val="11"/>
        <color theme="1"/>
        <rFont val="Noto Sans CJK SC"/>
        <family val="2"/>
      </rPr>
      <t xml:space="preserve">。比值檢查：</t>
    </r>
    <r>
      <rPr>
        <sz val="11"/>
        <color theme="1"/>
        <rFont val="Calibri"/>
        <family val="2"/>
        <charset val="1"/>
      </rPr>
      <t xml:space="preserve">8.4 ÷ 4.3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1.95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「約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倍」）</t>
    </r>
  </si>
  <si>
    <r>
      <rPr>
        <b val="true"/>
        <sz val="12"/>
        <rFont val="Cambria"/>
        <family val="0"/>
        <charset val="1"/>
      </rPr>
      <t xml:space="preserve">2. </t>
    </r>
    <r>
      <rPr>
        <b val="true"/>
        <sz val="12"/>
        <rFont val="Noto Sans CJK SC"/>
        <family val="2"/>
      </rPr>
      <t xml:space="preserve">公司揭露的每 </t>
    </r>
    <r>
      <rPr>
        <b val="true"/>
        <sz val="12"/>
        <rFont val="Cambria"/>
        <family val="0"/>
        <charset val="1"/>
      </rPr>
      <t xml:space="preserve">MW</t>
    </r>
    <r>
      <rPr>
        <b val="true"/>
        <sz val="12"/>
        <rFont val="Noto Sans CJK SC"/>
        <family val="2"/>
      </rPr>
      <t xml:space="preserve">／每 </t>
    </r>
    <r>
      <rPr>
        <b val="true"/>
        <sz val="12"/>
        <rFont val="Cambria"/>
        <family val="0"/>
        <charset val="1"/>
      </rPr>
      <t xml:space="preserve">GPU IT </t>
    </r>
    <r>
      <rPr>
        <b val="true"/>
        <sz val="12"/>
        <rFont val="Noto Sans CJK SC"/>
        <family val="2"/>
      </rPr>
      <t xml:space="preserve">資本支出（交叉驗證，只作 </t>
    </r>
    <r>
      <rPr>
        <b val="true"/>
        <sz val="12"/>
        <rFont val="Cambria"/>
        <family val="0"/>
        <charset val="1"/>
      </rPr>
      <t xml:space="preserve">Analogy</t>
    </r>
    <r>
      <rPr>
        <b val="true"/>
        <sz val="12"/>
        <rFont val="Noto Sans CJK SC"/>
        <family val="2"/>
      </rPr>
      <t xml:space="preserve">／</t>
    </r>
    <r>
      <rPr>
        <b val="true"/>
        <sz val="12"/>
        <rFont val="Cambria"/>
        <family val="0"/>
        <charset val="1"/>
      </rPr>
      <t xml:space="preserve">Derived</t>
    </r>
    <r>
      <rPr>
        <b val="true"/>
        <sz val="12"/>
        <rFont val="Noto Sans CJK SC"/>
        <family val="2"/>
      </rPr>
      <t xml:space="preserve">）</t>
    </r>
  </si>
  <si>
    <t xml:space="preserve">公司</t>
  </si>
  <si>
    <t xml:space="preserve">口徑</t>
  </si>
  <si>
    <t xml:space="preserve">來源</t>
  </si>
  <si>
    <r>
      <rPr>
        <b val="true"/>
        <sz val="11"/>
        <rFont val="Noto Sans CJK SC"/>
        <family val="2"/>
      </rPr>
      <t xml:space="preserve">對模型（</t>
    </r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基準 </t>
    </r>
    <r>
      <rPr>
        <b val="true"/>
        <sz val="11"/>
        <rFont val="Cambria"/>
        <family val="0"/>
        <charset val="1"/>
      </rPr>
      <t xml:space="preserve">37.4</t>
    </r>
    <r>
      <rPr>
        <b val="true"/>
        <sz val="11"/>
        <rFont val="Noto Sans CJK SC"/>
        <family val="2"/>
      </rPr>
      <t xml:space="preserve">；改 </t>
    </r>
    <r>
      <rPr>
        <b val="true"/>
        <sz val="11"/>
        <rFont val="Cambria"/>
        <family val="0"/>
        <charset val="1"/>
      </rPr>
      <t xml:space="preserve">4.3 </t>
    </r>
    <r>
      <rPr>
        <b val="true"/>
        <sz val="11"/>
        <rFont val="Noto Sans CJK SC"/>
        <family val="2"/>
      </rPr>
      <t xml:space="preserve">後 </t>
    </r>
    <r>
      <rPr>
        <b val="true"/>
        <sz val="11"/>
        <rFont val="Cambria"/>
        <family val="0"/>
        <charset val="1"/>
      </rPr>
      <t xml:space="preserve">32.2</t>
    </r>
    <r>
      <rPr>
        <b val="true"/>
        <sz val="11"/>
        <rFont val="Noto Sans CJK SC"/>
        <family val="2"/>
      </rPr>
      <t xml:space="preserve">）</t>
    </r>
  </si>
  <si>
    <t xml:space="preserve">IREN</t>
  </si>
  <si>
    <r>
      <rPr>
        <sz val="11"/>
        <color theme="1"/>
        <rFont val="Calibri"/>
        <family val="2"/>
        <charset val="1"/>
      </rPr>
      <t xml:space="preserve">$29.0M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MW</t>
    </r>
  </si>
  <si>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；含伺服器、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、線材、軟體授權、部署服務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</si>
  <si>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</si>
  <si>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−22%</t>
    </r>
    <r>
      <rPr>
        <sz val="11"/>
        <color theme="1"/>
        <rFont val="Noto Sans CJK SC"/>
        <family val="2"/>
      </rPr>
      <t xml:space="preserve">；改後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（若每架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高於 </t>
    </r>
    <r>
      <rPr>
        <sz val="11"/>
        <color theme="1"/>
        <rFont val="Calibri"/>
        <family val="2"/>
        <charset val="1"/>
      </rPr>
      <t xml:space="preserve">136</t>
    </r>
    <r>
      <rPr>
        <sz val="11"/>
        <color theme="1"/>
        <rFont val="Noto Sans CJK SC"/>
        <family val="2"/>
      </rPr>
      <t xml:space="preserve">，差距再縮）</t>
    </r>
  </si>
  <si>
    <t xml:space="preserve">CoreWeave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</si>
  <si>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16.139bn ÷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650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24.8</t>
    </r>
    <r>
      <rPr>
        <sz val="11"/>
        <color theme="1"/>
        <rFont val="Noto Sans CJK SC"/>
        <family val="2"/>
      </rPr>
      <t xml:space="preserve">；技術設備毛額增加 </t>
    </r>
    <r>
      <rPr>
        <sz val="11"/>
        <color theme="1"/>
        <rFont val="Calibri"/>
        <family val="2"/>
        <charset val="1"/>
      </rPr>
      <t xml:space="preserve">12.92bn ÷ 650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19.9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</si>
  <si>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GB200 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</si>
  <si>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／設施口徑找不到）；現金資本支出含預建與在建工程</t>
    </r>
  </si>
  <si>
    <r>
      <rPr>
        <sz val="11"/>
        <color theme="1"/>
        <rFont val="Calibri"/>
        <family val="2"/>
        <charset val="1"/>
      </rPr>
      <t xml:space="preserve">CRWV 10-Q 2026-06-30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 https://www.sec.gov/Archives/edgar/data/0001769628/000176962826000366/crwv-20260630.htm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CoreWeave W5 </t>
    </r>
    <r>
      <rPr>
        <sz val="11"/>
        <color theme="1"/>
        <rFont val="Noto Sans CJK SC"/>
        <family val="2"/>
      </rPr>
      <t xml:space="preserve">報告已讀，本輪 </t>
    </r>
    <r>
      <rPr>
        <sz val="11"/>
        <color theme="1"/>
        <rFont val="Calibri"/>
        <family val="2"/>
        <charset val="1"/>
      </rPr>
      <t xml:space="preserve">CC </t>
    </r>
    <r>
      <rPr>
        <sz val="11"/>
        <color theme="1"/>
        <rFont val="Noto Sans CJK SC"/>
        <family val="2"/>
      </rPr>
      <t xml:space="preserve">未重讀）</t>
    </r>
  </si>
  <si>
    <t xml:space="preserve">Derived</t>
  </si>
  <si>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34.8 → 30.6</t>
    </r>
    <r>
      <rPr>
        <sz val="11"/>
        <color theme="1"/>
        <rFont val="Noto Sans CJK SC"/>
        <family val="2"/>
      </rPr>
      <t xml:space="preserve">；實際仍低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（技術設備口徑低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19.9 </t>
    </r>
    <r>
      <rPr>
        <sz val="11"/>
        <color theme="1"/>
        <rFont val="Noto Sans CJK SC"/>
        <family val="2"/>
      </rPr>
      <t xml:space="preserve">若為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口徑，等於每架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$2.7M</t>
    </r>
    <r>
      <rPr>
        <sz val="11"/>
        <color theme="1"/>
        <rFont val="Noto Sans CJK SC"/>
        <family val="2"/>
      </rPr>
      <t xml:space="preserve">，低於所有價格證據 → 口徑問題可能性較大</t>
    </r>
  </si>
  <si>
    <t xml:space="preserve">Nebius</t>
  </si>
  <si>
    <r>
      <rPr>
        <sz val="11"/>
        <color theme="1"/>
        <rFont val="Noto Sans CJK SC"/>
        <family val="2"/>
      </rPr>
      <t xml:space="preserve">找不到每 </t>
    </r>
    <r>
      <rPr>
        <sz val="11"/>
        <color theme="1"/>
        <rFont val="Calibri"/>
        <family val="2"/>
        <charset val="1"/>
      </rPr>
      <t xml:space="preserve">MW</t>
    </r>
  </si>
  <si>
    <t xml:space="preserve">只有年度總額</t>
  </si>
  <si>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1.1 </t>
    </r>
    <r>
      <rPr>
        <sz val="11"/>
        <color theme="1"/>
        <rFont val="Noto Sans CJK SC"/>
        <family val="2"/>
      </rPr>
      <t xml:space="preserve">找不到</t>
    </r>
  </si>
  <si>
    <t xml:space="preserve">Applied Digital</t>
  </si>
  <si>
    <r>
      <rPr>
        <sz val="11"/>
        <color theme="1"/>
        <rFont val="Noto Sans CJK SC"/>
        <family val="2"/>
      </rPr>
      <t xml:space="preserve">不適用：房東（廠房），不持有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；其每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成本屬廠房，不與 </t>
    </r>
    <r>
      <rPr>
        <sz val="11"/>
        <color theme="1"/>
        <rFont val="Calibri"/>
        <family val="2"/>
        <charset val="1"/>
      </rPr>
      <t xml:space="preserve">`IF_CapexIT` </t>
    </r>
    <r>
      <rPr>
        <sz val="11"/>
        <color theme="1"/>
        <rFont val="Noto Sans CJK SC"/>
        <family val="2"/>
      </rPr>
      <t xml:space="preserve">比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</si>
  <si>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（賣方，</t>
    </r>
    <r>
      <rPr>
        <sz val="11"/>
        <color theme="1"/>
        <rFont val="Calibri"/>
        <family val="2"/>
        <charset val="1"/>
      </rPr>
      <t xml:space="preserve">1 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</si>
  <si>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機櫃約 </t>
    </r>
    <r>
      <rPr>
        <sz val="11"/>
        <color theme="1"/>
        <rFont val="Calibri"/>
        <family val="2"/>
        <charset val="1"/>
      </rPr>
      <t xml:space="preserve">$32bn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＋基礎建設約 </t>
    </r>
    <r>
      <rPr>
        <sz val="11"/>
        <color theme="1"/>
        <rFont val="Calibri"/>
        <family val="2"/>
        <charset val="1"/>
      </rPr>
      <t xml:space="preserve">$15bn</t>
    </r>
  </si>
  <si>
    <t xml:space="preserve">VR</t>
  </si>
  <si>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口徑（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／設施）未明</t>
    </r>
  </si>
  <si>
    <r>
      <rPr>
        <sz val="11"/>
        <color theme="1"/>
        <rFont val="Noto Sans CJK SC"/>
        <family val="2"/>
      </rPr>
      <t xml:space="preserve">若為 </t>
    </r>
    <r>
      <rPr>
        <sz val="11"/>
        <color theme="1"/>
        <rFont val="Calibri"/>
        <family val="2"/>
        <charset val="1"/>
      </rPr>
      <t xml:space="preserve">IT GW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對模型 </t>
    </r>
    <r>
      <rPr>
        <sz val="11"/>
        <color theme="1"/>
        <rFont val="Calibri"/>
        <family val="2"/>
        <charset val="1"/>
      </rPr>
      <t xml:space="preserve">VR200 37.6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）；若為設施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PUE 1.2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38.4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</si>
  <si>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2"/>
        <rFont val="Cambria"/>
        <family val="0"/>
        <charset val="1"/>
      </rPr>
      <t xml:space="preserve">3. IT </t>
    </r>
    <r>
      <rPr>
        <b val="true"/>
        <sz val="12"/>
        <rFont val="Noto Sans CJK SC"/>
        <family val="2"/>
      </rPr>
      <t xml:space="preserve">維護率</t>
    </r>
  </si>
  <si>
    <r>
      <rPr>
        <b val="true"/>
        <sz val="12"/>
        <rFont val="Cambria"/>
        <family val="0"/>
        <charset val="1"/>
      </rPr>
      <t xml:space="preserve">3.1 </t>
    </r>
    <r>
      <rPr>
        <b val="true"/>
        <sz val="12"/>
        <rFont val="Noto Sans CJK SC"/>
        <family val="2"/>
      </rPr>
      <t xml:space="preserve">證據表</t>
    </r>
  </si>
  <si>
    <t xml:space="preserve">日期</t>
  </si>
  <si>
    <t xml:space="preserve">P10</t>
  </si>
  <si>
    <r>
      <rPr>
        <sz val="11"/>
        <color theme="1"/>
        <rFont val="Calibri"/>
        <family val="2"/>
        <charset val="1"/>
      </rPr>
      <t xml:space="preserve">HPE GB300 NVL72 </t>
    </r>
    <r>
      <rPr>
        <sz val="11"/>
        <color theme="1"/>
        <rFont val="Noto Sans CJK SC"/>
        <family val="2"/>
      </rPr>
      <t xml:space="preserve">標準保固</t>
    </r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</si>
  <si>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3-Year Parts, 3-Year Labor, and 3-Year Onsite support</t>
    </r>
    <r>
      <rPr>
        <sz val="11"/>
        <color theme="1"/>
        <rFont val="Noto Sans CJK SC"/>
        <family val="2"/>
      </rPr>
      <t xml:space="preserve">」</t>
    </r>
  </si>
  <si>
    <t xml:space="preserve">原廠標準保固（含在售價）</t>
  </si>
  <si>
    <r>
      <rPr>
        <sz val="11"/>
        <color theme="1"/>
        <rFont val="Calibri"/>
        <family val="2"/>
        <charset val="1"/>
      </rPr>
      <t xml:space="preserve">QuickSpecs V3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2026-09-08</t>
    </r>
  </si>
  <si>
    <t xml:space="preserve">https://www.hpe.com/us/en/collaterals/collateral.a50009244enw.html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</si>
  <si>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：賣方條款）</t>
    </r>
  </si>
  <si>
    <t xml:space="preserve">P11</t>
  </si>
  <si>
    <r>
      <rPr>
        <sz val="11"/>
        <color theme="1"/>
        <rFont val="Calibri"/>
        <family val="2"/>
        <charset val="1"/>
      </rPr>
      <t xml:space="preserve">Supermicro GPU </t>
    </r>
    <r>
      <rPr>
        <sz val="11"/>
        <color theme="1"/>
        <rFont val="Noto Sans CJK SC"/>
        <family val="2"/>
      </rPr>
      <t xml:space="preserve">系統標準保固</t>
    </r>
  </si>
  <si>
    <r>
      <rPr>
        <sz val="11"/>
        <color theme="1"/>
        <rFont val="Noto Sans CJK SC"/>
        <family val="2"/>
      </rPr>
      <t xml:space="preserve">人工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年、零件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年、預先換貨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</si>
  <si>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原廠通則（發票無特約時）</t>
  </si>
  <si>
    <r>
      <rPr>
        <sz val="11"/>
        <color theme="1"/>
        <rFont val="Noto Sans CJK SC"/>
        <family val="2"/>
      </rPr>
      <t xml:space="preserve">讀取日 </t>
    </r>
    <r>
      <rPr>
        <sz val="11"/>
        <color theme="1"/>
        <rFont val="Calibri"/>
        <family val="2"/>
        <charset val="1"/>
      </rPr>
      <t xml:space="preserve">2026-10-08</t>
    </r>
  </si>
  <si>
    <t xml:space="preserve">https://www.supermicro.com/en/support/warranty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</si>
  <si>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</si>
  <si>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P12</t>
  </si>
  <si>
    <t xml:space="preserve">Dell PowerEdge XE9680</t>
  </si>
  <si>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ProSupport and Next Business Day Onsite Service, 36 Month(s)</t>
    </r>
    <r>
      <rPr>
        <sz val="11"/>
        <color theme="1"/>
        <rFont val="Noto Sans CJK SC"/>
        <family val="2"/>
      </rPr>
      <t xml:space="preserve">」；掛牌 </t>
    </r>
    <r>
      <rPr>
        <sz val="11"/>
        <color theme="1"/>
        <rFont val="Calibri"/>
        <family val="2"/>
        <charset val="1"/>
      </rPr>
      <t xml:space="preserve">$349,999</t>
    </r>
  </si>
  <si>
    <t xml:space="preserve">經銷商頁面</t>
  </si>
  <si>
    <t xml:space="preserve">https://www.servermonkey.com/poweredge-xe9680-ss-1.html</t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</si>
  <si>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（經銷頁，非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</si>
  <si>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P13</t>
  </si>
  <si>
    <r>
      <rPr>
        <sz val="11"/>
        <color theme="1"/>
        <rFont val="Calibri"/>
        <family val="2"/>
        <charset val="1"/>
      </rPr>
      <t xml:space="preserve">NVIDIA DGX B200 </t>
    </r>
    <r>
      <rPr>
        <sz val="11"/>
        <color theme="1"/>
        <rFont val="Noto Sans CJK SC"/>
        <family val="2"/>
      </rPr>
      <t xml:space="preserve">原廠支援續約</t>
    </r>
  </si>
  <si>
    <r>
      <rPr>
        <sz val="11"/>
        <color theme="1"/>
        <rFont val="Noto Sans CJK SC"/>
        <family val="2"/>
      </rPr>
      <t xml:space="preserve">系統（含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Business Standard </t>
    </r>
    <r>
      <rPr>
        <sz val="11"/>
        <color theme="1"/>
        <rFont val="Noto Sans CJK SC"/>
        <family val="2"/>
      </rPr>
      <t xml:space="preserve">支援）</t>
    </r>
    <r>
      <rPr>
        <sz val="11"/>
        <color theme="1"/>
        <rFont val="Calibri"/>
        <family val="2"/>
        <charset val="1"/>
      </rPr>
      <t xml:space="preserve">£489,999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年續約 </t>
    </r>
    <r>
      <rPr>
        <sz val="11"/>
        <color theme="1"/>
        <rFont val="Calibri"/>
        <family val="2"/>
        <charset val="1"/>
      </rPr>
      <t xml:space="preserve">£18,599.99 → </t>
    </r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（兩者皆含 </t>
    </r>
    <r>
      <rPr>
        <sz val="11"/>
        <color theme="1"/>
        <rFont val="Calibri"/>
        <family val="2"/>
        <charset val="1"/>
      </rPr>
      <t xml:space="preserve">VAT</t>
    </r>
    <r>
      <rPr>
        <sz val="11"/>
        <color theme="1"/>
        <rFont val="Noto Sans CJK SC"/>
        <family val="2"/>
      </rPr>
      <t xml:space="preserve">，比值不受影響）</t>
    </r>
  </si>
  <si>
    <r>
      <rPr>
        <sz val="11"/>
        <color theme="1"/>
        <rFont val="Noto Sans CJK SC"/>
        <family val="2"/>
      </rPr>
      <t xml:space="preserve">英國經銷牌價；續約為授權（支援、韌體、軟體），頁面寫 </t>
    </r>
    <r>
      <rPr>
        <sz val="11"/>
        <color theme="1"/>
        <rFont val="Calibri"/>
        <family val="2"/>
        <charset val="1"/>
      </rPr>
      <t xml:space="preserve">No hardware is included</t>
    </r>
    <r>
      <rPr>
        <sz val="11"/>
        <color theme="1"/>
        <rFont val="Noto Sans CJK SC"/>
        <family val="2"/>
      </rPr>
      <t xml:space="preserve">（指不含實體出貨）</t>
    </r>
  </si>
  <si>
    <r>
      <rPr>
        <sz val="11"/>
        <color theme="1"/>
        <rFont val="Calibri"/>
        <family val="2"/>
        <charset val="1"/>
      </rPr>
      <t xml:space="preserve">https://www.scan.co.uk/products/dgx-b200-8x-180gb-full-with-business-std-support-3y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https://www.scan.co.uk/products/dgx-b200-8x-180gb-full-business-std-support-renew-1-year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</si>
  <si>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Derived</t>
    </r>
  </si>
  <si>
    <t xml:space="preserve">P14</t>
  </si>
  <si>
    <r>
      <rPr>
        <sz val="11"/>
        <color theme="1"/>
        <rFont val="Noto Sans CJK SC"/>
        <family val="2"/>
      </rPr>
      <t xml:space="preserve">企業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叢集 </t>
    </r>
    <r>
      <rPr>
        <sz val="11"/>
        <color theme="1"/>
        <rFont val="Calibri"/>
        <family val="2"/>
        <charset val="1"/>
      </rPr>
      <t xml:space="preserve">TCO</t>
    </r>
  </si>
  <si>
    <r>
      <rPr>
        <sz val="11"/>
        <color theme="1"/>
        <rFont val="Noto Sans CJK SC"/>
        <family val="2"/>
      </rPr>
      <t xml:space="preserve">模型每年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硬體價值；文中另稱原廠支援合約「</t>
    </r>
    <r>
      <rPr>
        <sz val="11"/>
        <color theme="1"/>
        <rFont val="Calibri"/>
        <family val="2"/>
        <charset val="1"/>
      </rPr>
      <t xml:space="preserve">typically cost 8-12%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</si>
  <si>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Calibri"/>
        <family val="2"/>
        <charset val="1"/>
      </rPr>
      <t xml:space="preserve">100 GPU </t>
    </r>
    <r>
      <rPr>
        <sz val="11"/>
        <color theme="1"/>
        <rFont val="Noto Sans CJK SC"/>
        <family val="2"/>
      </rPr>
      <t xml:space="preserve">企業規模</t>
    </r>
  </si>
  <si>
    <t xml:space="preserve">2026-04-28</t>
  </si>
  <si>
    <r>
      <rPr>
        <sz val="11"/>
        <color theme="1"/>
        <rFont val="Calibri"/>
        <family val="2"/>
        <charset val="1"/>
      </rPr>
      <t xml:space="preserve">Introl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Madison Kersh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https://introl.com/blog/gpu-infrastructure-tco-model-5-year-enterprise-ai-deployment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</si>
  <si>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（基礎設施服務商）；兩數自相矛盾</t>
    </r>
  </si>
  <si>
    <t xml:space="preserve">P15</t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</si>
  <si>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營運成本反推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</si>
  <si>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營運成本 </t>
    </r>
    <r>
      <rPr>
        <sz val="11"/>
        <color theme="1"/>
        <rFont val="Calibri"/>
        <family val="2"/>
        <charset val="1"/>
      </rPr>
      <t xml:space="preserve">1.357 $M/MW·</t>
    </r>
    <r>
      <rPr>
        <sz val="11"/>
        <color theme="1"/>
        <rFont val="Noto Sans CJK SC"/>
        <family val="2"/>
      </rPr>
      <t xml:space="preserve">年 − 研發 </t>
    </r>
    <r>
      <rPr>
        <sz val="11"/>
        <color theme="1"/>
        <rFont val="Calibri"/>
        <family val="2"/>
        <charset val="1"/>
      </rPr>
      <t xml:space="preserve">0.374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117×4÷1,250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0.983</t>
    </r>
    <r>
      <rPr>
        <sz val="11"/>
        <color theme="1"/>
        <rFont val="Noto Sans CJK SC"/>
        <family val="2"/>
      </rPr>
      <t xml:space="preserve">；扣模型電費 </t>
    </r>
    <r>
      <rPr>
        <sz val="11"/>
        <color theme="1"/>
        <rFont val="Calibri"/>
        <family val="2"/>
        <charset val="1"/>
      </rPr>
      <t xml:space="preserve">0.673</t>
    </r>
    <r>
      <rPr>
        <sz val="11"/>
        <color theme="1"/>
        <rFont val="Noto Sans CJK SC"/>
        <family val="2"/>
      </rPr>
      <t xml:space="preserve">、人員軟體 </t>
    </r>
    <r>
      <rPr>
        <sz val="11"/>
        <color theme="1"/>
        <rFont val="Calibri"/>
        <family val="2"/>
        <charset val="1"/>
      </rPr>
      <t xml:space="preserve">0.325</t>
    </r>
    <r>
      <rPr>
        <sz val="11"/>
        <color theme="1"/>
        <rFont val="Noto Sans CJK SC"/>
        <family val="2"/>
      </rPr>
      <t xml:space="preserve">、稅險 </t>
    </r>
    <r>
      <rPr>
        <sz val="11"/>
        <color theme="1"/>
        <rFont val="Calibri"/>
        <family val="2"/>
        <charset val="1"/>
      </rPr>
      <t xml:space="preserve">0.156 → </t>
    </r>
    <r>
      <rPr>
        <sz val="11"/>
        <color theme="1"/>
        <rFont val="Noto Sans CJK SC"/>
        <family val="2"/>
      </rPr>
      <t xml:space="preserve">維護 ≤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（若電費因爬坡只有模型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，維護約 </t>
    </r>
    <r>
      <rPr>
        <sz val="11"/>
        <color theme="1"/>
        <rFont val="Calibri"/>
        <family val="2"/>
        <charset val="1"/>
      </rPr>
      <t xml:space="preserve">0.25</t>
    </r>
    <r>
      <rPr>
        <sz val="11"/>
        <color theme="1"/>
        <rFont val="Noto Sans CJK SC"/>
        <family val="2"/>
      </rPr>
      <t xml:space="preserve">，約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 </t>
    </r>
    <r>
      <rPr>
        <sz val="11"/>
        <color theme="1"/>
        <rFont val="Calibri"/>
        <family val="2"/>
        <charset val="1"/>
      </rPr>
      <t xml:space="preserve">0.8%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</si>
  <si>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機隊多在保固期內（</t>
    </r>
    <r>
      <rPr>
        <sz val="11"/>
        <color theme="1"/>
        <rFont val="Calibri"/>
        <family val="2"/>
        <charset val="1"/>
      </rPr>
      <t xml:space="preserve">CRWV 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850 MW → 6/30 1,500 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</si>
  <si>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2026-06-30 </t>
    </r>
    <r>
      <rPr>
        <sz val="11"/>
        <color theme="1"/>
        <rFont val="Noto Sans CJK SC"/>
        <family val="2"/>
      </rPr>
      <t xml:space="preserve">季</t>
    </r>
  </si>
  <si>
    <r>
      <rPr>
        <sz val="11"/>
        <color theme="1"/>
        <rFont val="Calibri"/>
        <family val="2"/>
        <charset val="1"/>
      </rPr>
      <t xml:space="preserve">CRWV 10-Q</t>
    </r>
    <r>
      <rPr>
        <sz val="11"/>
        <color theme="1"/>
        <rFont val="Noto Sans CJK SC"/>
        <family val="2"/>
      </rPr>
      <t xml:space="preserve">（同上）；</t>
    </r>
    <r>
      <rPr>
        <sz val="11"/>
        <color theme="1"/>
        <rFont val="Calibri"/>
        <family val="2"/>
        <charset val="1"/>
      </rPr>
      <t xml:space="preserve">CoreWeave W5 </t>
    </r>
    <r>
      <rPr>
        <sz val="11"/>
        <color theme="1"/>
        <rFont val="Noto Sans CJK SC"/>
        <family val="2"/>
      </rPr>
      <t xml:space="preserve">報告 </t>
    </r>
    <r>
      <rPr>
        <sz val="11"/>
        <color theme="1"/>
        <rFont val="Calibri"/>
        <family val="2"/>
        <charset val="1"/>
      </rPr>
      <t xml:space="preserve">`coreweave/docs/reports/20261008_coreweave_v4.7_</t>
    </r>
    <r>
      <rPr>
        <sz val="11"/>
        <color theme="1"/>
        <rFont val="Noto Sans CJK SC"/>
        <family val="2"/>
      </rPr>
      <t xml:space="preserve">公司實況驗證</t>
    </r>
    <r>
      <rPr>
        <sz val="11"/>
        <color theme="1"/>
        <rFont val="Calibri"/>
        <family val="2"/>
        <charset val="1"/>
      </rPr>
      <t xml:space="preserve">.md`</t>
    </r>
  </si>
  <si>
    <r>
      <rPr>
        <sz val="11"/>
        <color theme="1"/>
        <rFont val="Noto Sans CJK SC"/>
        <family val="2"/>
      </rPr>
      <t xml:space="preserve">找不到：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的保固或維修合約條款與維修費用（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未拆列，</t>
    </r>
    <r>
      <rPr>
        <sz val="11"/>
        <color theme="1"/>
        <rFont val="Calibri"/>
        <family val="2"/>
        <charset val="1"/>
      </rPr>
      <t xml:space="preserve">CoreWeave W5 </t>
    </r>
    <r>
      <rPr>
        <sz val="11"/>
        <color theme="1"/>
        <rFont val="Noto Sans CJK SC"/>
        <family val="2"/>
      </rPr>
      <t xml:space="preserve">已確認「找不到，不代表不存在」）；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ODM </t>
    </r>
    <r>
      <rPr>
        <sz val="11"/>
        <color theme="1"/>
        <rFont val="Noto Sans CJK SC"/>
        <family val="2"/>
      </rPr>
      <t xml:space="preserve">直供的保固年限；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的故障率或 </t>
    </r>
    <r>
      <rPr>
        <sz val="11"/>
        <color theme="1"/>
        <rFont val="Calibri"/>
        <family val="2"/>
        <charset val="1"/>
      </rPr>
      <t xml:space="preserve">RMA </t>
    </r>
    <r>
      <rPr>
        <sz val="11"/>
        <color theme="1"/>
        <rFont val="Noto Sans CJK SC"/>
        <family val="2"/>
      </rPr>
      <t xml:space="preserve">成本（只有 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，不單獨引用）；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揭露的伺服器維修占資本比率。</t>
    </r>
  </si>
  <si>
    <r>
      <rPr>
        <b val="true"/>
        <sz val="12"/>
        <rFont val="Cambria"/>
        <family val="0"/>
        <charset val="1"/>
      </rPr>
      <t xml:space="preserve">3.2 </t>
    </r>
    <r>
      <rPr>
        <b val="true"/>
        <sz val="12"/>
        <rFont val="Noto Sans CJK SC"/>
        <family val="2"/>
      </rPr>
      <t xml:space="preserve">判讀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</si>
  <si>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三家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的標準保固都是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零件只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年）。保固費已含在售價（即已在 </t>
    </r>
    <r>
      <rPr>
        <sz val="11"/>
        <color theme="1"/>
        <rFont val="Calibri"/>
        <family val="2"/>
        <charset val="1"/>
      </rPr>
      <t xml:space="preserve">`IF_CapexIT`</t>
    </r>
    <r>
      <rPr>
        <sz val="11"/>
        <color theme="1"/>
        <rFont val="Noto Sans CJK SC"/>
        <family val="2"/>
      </rPr>
      <t xml:space="preserve">），所以第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年的現金維護只剩備品、物流、不在保固範圍的損壞與耗材。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</si>
  <si>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保固期滿後，原廠續約牌價約每年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DGX</t>
    </r>
    <r>
      <rPr>
        <sz val="11"/>
        <color theme="1"/>
        <rFont val="Noto Sans CJK SC"/>
        <family val="2"/>
      </rPr>
      <t xml:space="preserve">，零售牌價；大買家應更低）；企業 </t>
    </r>
    <r>
      <rPr>
        <sz val="11"/>
        <color theme="1"/>
        <rFont val="Calibri"/>
        <family val="2"/>
        <charset val="1"/>
      </rPr>
      <t xml:space="preserve">TCO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與「</t>
    </r>
    <r>
      <rPr>
        <sz val="11"/>
        <color theme="1"/>
        <rFont val="Calibri"/>
        <family val="2"/>
        <charset val="1"/>
      </rPr>
      <t xml:space="preserve">8–12%</t>
    </r>
    <r>
      <rPr>
        <sz val="11"/>
        <color theme="1"/>
        <rFont val="Noto Sans CJK SC"/>
        <family val="2"/>
      </rPr>
      <t xml:space="preserve">」是小規模企業口徑，作高情境上緣參考。</t>
    </r>
  </si>
  <si>
    <r>
      <rPr>
        <sz val="11"/>
        <color theme="1"/>
        <rFont val="Calibri"/>
        <family val="2"/>
        <charset val="1"/>
      </rPr>
      <t xml:space="preserve">- CoreWeave </t>
    </r>
    <r>
      <rPr>
        <sz val="11"/>
        <color theme="1"/>
        <rFont val="Noto Sans CJK SC"/>
        <family val="2"/>
      </rPr>
      <t xml:space="preserve">反推值接近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，與「機隊多在保固期」一致；但它同時含爬坡期用電偏低，不能單獨定值。</t>
    </r>
  </si>
  <si>
    <r>
      <rPr>
        <sz val="11"/>
        <color theme="1"/>
        <rFont val="Calibri"/>
        <family val="2"/>
        <charset val="1"/>
      </rPr>
      <t xml:space="preserve">- </t>
    </r>
    <r>
      <rPr>
        <sz val="11"/>
        <color theme="1"/>
        <rFont val="Noto Sans CJK SC"/>
        <family val="2"/>
      </rPr>
      <t xml:space="preserve">結論：現行「第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年起固定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」在保固期內高估、期滿後大致合理。</t>
    </r>
  </si>
  <si>
    <r>
      <rPr>
        <b val="true"/>
        <sz val="12"/>
        <rFont val="Cambria"/>
        <family val="0"/>
        <charset val="1"/>
      </rPr>
      <t xml:space="preserve">3.3 </t>
    </r>
    <r>
      <rPr>
        <b val="true"/>
        <sz val="12"/>
        <rFont val="Noto Sans CJK SC"/>
        <family val="2"/>
      </rPr>
      <t xml:space="preserve">建議值</t>
    </r>
  </si>
  <si>
    <t xml:space="preserve">方案</t>
  </si>
  <si>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1–3 </t>
    </r>
    <r>
      <rPr>
        <b val="true"/>
        <sz val="11"/>
        <rFont val="Noto Sans CJK SC"/>
        <family val="2"/>
      </rPr>
      <t xml:space="preserve">年</t>
    </r>
  </si>
  <si>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4–6 </t>
    </r>
    <r>
      <rPr>
        <b val="true"/>
        <sz val="11"/>
        <rFont val="Noto Sans CJK SC"/>
        <family val="2"/>
      </rPr>
      <t xml:space="preserve">年</t>
    </r>
  </si>
  <si>
    <r>
      <rPr>
        <b val="true"/>
        <sz val="11"/>
        <rFont val="Noto Sans CJK SC"/>
        <family val="2"/>
      </rPr>
      <t xml:space="preserve">單一等值費率（</t>
    </r>
    <r>
      <rPr>
        <b val="true"/>
        <sz val="11"/>
        <rFont val="Cambria"/>
        <family val="0"/>
        <charset val="1"/>
      </rPr>
      <t xml:space="preserve">WACC 10%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年年金加權）</t>
    </r>
  </si>
  <si>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機齡曲線（機制變更）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</si>
  <si>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0.25%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0.5%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1.0%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</si>
  <si>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／高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</si>
  <si>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年）、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年：</t>
    </r>
    <r>
      <rPr>
        <sz val="11"/>
        <color theme="1"/>
        <rFont val="Calibri"/>
        <family val="2"/>
        <charset val="1"/>
      </rPr>
      <t xml:space="preserve">DGX 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TCO 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</si>
  <si>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不改機制</t>
    </r>
  </si>
  <si>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1.0%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1.57%</t>
    </r>
    <r>
      <rPr>
        <sz val="11"/>
        <color theme="1"/>
        <rFont val="Noto Sans CJK SC"/>
        <family val="2"/>
      </rPr>
      <t xml:space="preserve">）／高 </t>
    </r>
    <r>
      <rPr>
        <sz val="11"/>
        <color theme="1"/>
        <rFont val="Calibri"/>
        <family val="2"/>
        <charset val="1"/>
      </rPr>
      <t xml:space="preserve">2.7%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</si>
  <si>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（由 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折算）</t>
    </r>
  </si>
  <si>
    <r>
      <rPr>
        <sz val="11"/>
        <color theme="1"/>
        <rFont val="Noto Sans CJK SC"/>
        <family val="2"/>
      </rPr>
      <t xml:space="preserve">等值費率算法：</t>
    </r>
    <r>
      <rPr>
        <sz val="11"/>
        <color theme="1"/>
        <rFont val="Calibri"/>
        <family val="2"/>
        <charset val="1"/>
      </rPr>
      <t xml:space="preserve">Σ(</t>
    </r>
    <r>
      <rPr>
        <sz val="11"/>
        <color theme="1"/>
        <rFont val="Noto Sans CJK SC"/>
        <family val="2"/>
      </rPr>
      <t xml:space="preserve">費率</t>
    </r>
    <r>
      <rPr>
        <sz val="11"/>
        <color theme="1"/>
        <rFont val="Calibri"/>
        <family val="2"/>
        <charset val="1"/>
      </rPr>
      <t xml:space="preserve">_t ×(1.1)^−t) ÷ Σ(1.1)^−t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1…6</t>
    </r>
    <r>
      <rPr>
        <sz val="11"/>
        <color theme="1"/>
        <rFont val="Noto Sans CJK SC"/>
        <family val="2"/>
      </rPr>
      <t xml:space="preserve">；簡單平均則為 </t>
    </r>
    <r>
      <rPr>
        <sz val="11"/>
        <color theme="1"/>
        <rFont val="Calibri"/>
        <family val="2"/>
        <charset val="1"/>
      </rPr>
      <t xml:space="preserve">1.75%</t>
    </r>
    <r>
      <rPr>
        <sz val="11"/>
        <color theme="1"/>
        <rFont val="Noto Sans CJK SC"/>
        <family val="2"/>
      </rPr>
      <t xml:space="preserve">（基準）。</t>
    </r>
  </si>
  <si>
    <r>
      <rPr>
        <b val="true"/>
        <sz val="12"/>
        <rFont val="Cambria"/>
        <family val="0"/>
        <charset val="1"/>
      </rPr>
      <t xml:space="preserve">4. </t>
    </r>
    <r>
      <rPr>
        <b val="true"/>
        <sz val="12"/>
        <rFont val="Noto Sans CJK SC"/>
        <family val="2"/>
      </rPr>
      <t xml:space="preserve">人員、軟體授權（</t>
    </r>
    <r>
      <rPr>
        <b val="true"/>
        <sz val="12"/>
        <rFont val="Cambria"/>
        <family val="0"/>
        <charset val="1"/>
      </rPr>
      <t xml:space="preserve">`IF_StaffSW` $325M/GW/</t>
    </r>
    <r>
      <rPr>
        <b val="true"/>
        <sz val="12"/>
        <rFont val="Noto Sans CJK SC"/>
        <family val="2"/>
      </rPr>
      <t xml:space="preserve">年＝人員 </t>
    </r>
    <r>
      <rPr>
        <b val="true"/>
        <sz val="12"/>
        <rFont val="Cambria"/>
        <family val="0"/>
        <charset val="1"/>
      </rPr>
      <t xml:space="preserve">75</t>
    </r>
    <r>
      <rPr>
        <b val="true"/>
        <sz val="12"/>
        <rFont val="Noto Sans CJK SC"/>
        <family val="2"/>
      </rPr>
      <t xml:space="preserve">＋軟體 </t>
    </r>
    <r>
      <rPr>
        <b val="true"/>
        <sz val="12"/>
        <rFont val="Cambria"/>
        <family val="0"/>
        <charset val="1"/>
      </rPr>
      <t xml:space="preserve">200</t>
    </r>
    <r>
      <rPr>
        <b val="true"/>
        <sz val="12"/>
        <rFont val="Noto Sans CJK SC"/>
        <family val="2"/>
      </rPr>
      <t xml:space="preserve">＋水與耗材 </t>
    </r>
    <r>
      <rPr>
        <b val="true"/>
        <sz val="12"/>
        <rFont val="Cambria"/>
        <family val="0"/>
        <charset val="1"/>
      </rPr>
      <t xml:space="preserve">50</t>
    </r>
    <r>
      <rPr>
        <b val="true"/>
        <sz val="12"/>
        <rFont val="Noto Sans CJK SC"/>
        <family val="2"/>
      </rPr>
      <t xml:space="preserve">）</t>
    </r>
  </si>
  <si>
    <t xml:space="preserve">判讀</t>
  </si>
  <si>
    <t xml:space="preserve">P16</t>
  </si>
  <si>
    <t xml:space="preserve">超大型資料中心常駐人員</t>
  </si>
  <si>
    <r>
      <rPr>
        <sz val="11"/>
        <color theme="1"/>
        <rFont val="Calibri"/>
        <family val="2"/>
        <charset val="1"/>
      </rPr>
      <t xml:space="preserve">0.2–0.3 </t>
    </r>
    <r>
      <rPr>
        <sz val="11"/>
        <color theme="1"/>
        <rFont val="Noto Sans CJK SC"/>
        <family val="2"/>
      </rPr>
      <t xml:space="preserve">人／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100 MW </t>
    </r>
    <r>
      <rPr>
        <sz val="11"/>
        <color theme="1"/>
        <rFont val="Noto Sans CJK SC"/>
        <family val="2"/>
      </rPr>
      <t xml:space="preserve">以上）；</t>
    </r>
    <r>
      <rPr>
        <sz val="11"/>
        <color theme="1"/>
        <rFont val="Calibri"/>
        <family val="2"/>
        <charset val="1"/>
      </rPr>
      <t xml:space="preserve">Google Kansas City 500 MW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人（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</si>
  <si>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iRecruit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，更新 </t>
    </r>
    <r>
      <rPr>
        <sz val="11"/>
        <color theme="1"/>
        <rFont val="Calibri"/>
        <family val="2"/>
        <charset val="1"/>
      </rPr>
      <t xml:space="preserve">09-11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https://www.irecruit.co/insights/data-center-staffing-ratios-people-per-mw-2026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poweredbywho.com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</si>
  <si>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（人力仲介）；二手、出處不全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</si>
  <si>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500 FTE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，在上緣（含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機隊技術員則合理）</t>
    </r>
  </si>
  <si>
    <t xml:space="preserve">P17</t>
  </si>
  <si>
    <r>
      <rPr>
        <sz val="11"/>
        <color theme="1"/>
        <rFont val="Calibri"/>
        <family val="2"/>
        <charset val="1"/>
      </rPr>
      <t xml:space="preserve">NVIDIA AI Enterprise </t>
    </r>
    <r>
      <rPr>
        <sz val="11"/>
        <color theme="1"/>
        <rFont val="Noto Sans CJK SC"/>
        <family val="2"/>
      </rPr>
      <t xml:space="preserve">牌價</t>
    </r>
  </si>
  <si>
    <r>
      <rPr>
        <sz val="11"/>
        <color theme="1"/>
        <rFont val="Calibri"/>
        <family val="2"/>
        <charset val="1"/>
      </rPr>
      <t xml:space="preserve">$4,500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／年（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$18,000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市集 </t>
    </r>
    <r>
      <rPr>
        <sz val="11"/>
        <color theme="1"/>
        <rFont val="Calibri"/>
        <family val="2"/>
        <charset val="1"/>
      </rPr>
      <t xml:space="preserve">$1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GPU·</t>
    </r>
    <r>
      <rPr>
        <sz val="11"/>
        <color theme="1"/>
        <rFont val="Noto Sans CJK SC"/>
        <family val="2"/>
      </rPr>
      <t xml:space="preserve">時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</si>
  <si>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授權指南 </t>
    </r>
    <r>
      <rPr>
        <sz val="11"/>
        <color theme="1"/>
        <rFont val="Calibri"/>
        <family val="2"/>
        <charset val="1"/>
      </rPr>
      <t xml:space="preserve">https://docs.nvidia.com/ai-enterprise/planning-resource/licensing-guide/latest/pricing.html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</si>
  <si>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：賣方牌價）</t>
    </r>
  </si>
  <si>
    <r>
      <rPr>
        <sz val="11"/>
        <color theme="1"/>
        <rFont val="Noto Sans CJK SC"/>
        <family val="2"/>
      </rPr>
      <t xml:space="preserve">模型軟體 </t>
    </r>
    <r>
      <rPr>
        <sz val="11"/>
        <color theme="1"/>
        <rFont val="Calibri"/>
        <family val="2"/>
        <charset val="1"/>
      </rPr>
      <t xml:space="preserve">$200M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 ÷ 48.7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GPU ≈ $410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GPU·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裸機是否付此授權找不到（多由租戶自備）→ 不採用</t>
    </r>
  </si>
  <si>
    <r>
      <rPr>
        <sz val="11"/>
        <color theme="1"/>
        <rFont val="Calibri"/>
        <family val="2"/>
        <charset val="1"/>
      </rPr>
      <t xml:space="preserve">CoreWeave </t>
    </r>
    <r>
      <rPr>
        <sz val="11"/>
        <color theme="1"/>
        <rFont val="Noto Sans CJK SC"/>
        <family val="2"/>
      </rPr>
      <t xml:space="preserve">研發與員工</t>
    </r>
  </si>
  <si>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研發 </t>
    </r>
    <r>
      <rPr>
        <sz val="11"/>
        <color theme="1"/>
        <rFont val="Calibri"/>
        <family val="2"/>
        <charset val="1"/>
      </rPr>
      <t xml:space="preserve">$117M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$0.37M/MW·</t>
    </r>
    <r>
      <rPr>
        <sz val="11"/>
        <color theme="1"/>
        <rFont val="Noto Sans CJK SC"/>
        <family val="2"/>
      </rPr>
      <t xml:space="preserve">年）；員工 </t>
    </r>
    <r>
      <rPr>
        <sz val="11"/>
        <color theme="1"/>
        <rFont val="Calibri"/>
        <family val="2"/>
        <charset val="1"/>
      </rPr>
      <t xml:space="preserve">2,189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年底）</t>
    </r>
  </si>
  <si>
    <r>
      <rPr>
        <sz val="11"/>
        <color theme="1"/>
        <rFont val="Calibri"/>
        <family val="2"/>
        <charset val="1"/>
      </rPr>
      <t xml:space="preserve">CRWV 10-Q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W5 </t>
    </r>
    <r>
      <rPr>
        <sz val="11"/>
        <color theme="1"/>
        <rFont val="Noto Sans CJK SC"/>
        <family val="2"/>
      </rPr>
      <t xml:space="preserve">已讀）</t>
    </r>
  </si>
  <si>
    <t xml:space="preserve">Verified</t>
  </si>
  <si>
    <r>
      <rPr>
        <sz val="11"/>
        <color theme="1"/>
        <rFont val="Noto Sans CJK SC"/>
        <family val="2"/>
      </rPr>
      <t xml:space="preserve">研發是平台公司成本，不在 </t>
    </r>
    <r>
      <rPr>
        <sz val="11"/>
        <color theme="1"/>
        <rFont val="Calibri"/>
        <family val="2"/>
        <charset val="1"/>
      </rPr>
      <t xml:space="preserve">`IF_StaffSW`</t>
    </r>
    <r>
      <rPr>
        <sz val="11"/>
        <color theme="1"/>
        <rFont val="Noto Sans CJK SC"/>
        <family val="2"/>
      </rPr>
      <t xml:space="preserve">；下游公司模型應另列</t>
    </r>
  </si>
  <si>
    <r>
      <rPr>
        <sz val="11"/>
        <color theme="1"/>
        <rFont val="Noto Sans CJK SC"/>
        <family val="2"/>
      </rPr>
      <t xml:space="preserve">結論：</t>
    </r>
    <r>
      <rPr>
        <sz val="11"/>
        <color theme="1"/>
        <rFont val="Calibri"/>
        <family val="2"/>
        <charset val="1"/>
      </rPr>
      <t xml:space="preserve">`IF_StaffSW` </t>
    </r>
    <r>
      <rPr>
        <sz val="11"/>
        <color theme="1"/>
        <rFont val="Noto Sans CJK SC"/>
        <family val="2"/>
      </rPr>
      <t xml:space="preserve">的範圍是站點營運（人員、軟體授權與連線、水與耗材），不含平台研發；數值不建議改，建議補標籤（</t>
    </r>
    <r>
      <rPr>
        <sz val="11"/>
        <color theme="1"/>
        <rFont val="Calibri"/>
        <family val="2"/>
        <charset val="1"/>
      </rPr>
      <t xml:space="preserve">J5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</si>
  <si>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2"/>
        <rFont val="Cambria"/>
        <family val="0"/>
        <charset val="1"/>
      </rPr>
      <t xml:space="preserve">5. </t>
    </r>
    <r>
      <rPr>
        <b val="true"/>
        <sz val="12"/>
        <rFont val="Noto Sans CJK SC"/>
        <family val="2"/>
      </rPr>
      <t xml:space="preserve">影響估算（基準欄，</t>
    </r>
    <r>
      <rPr>
        <b val="true"/>
        <sz val="12"/>
        <rFont val="Cambria"/>
        <family val="0"/>
        <charset val="1"/>
      </rPr>
      <t xml:space="preserve">$B/GW</t>
    </r>
    <r>
      <rPr>
        <b val="true"/>
        <sz val="12"/>
        <rFont val="Noto Sans CJK SC"/>
        <family val="2"/>
      </rPr>
      <t xml:space="preserve">；</t>
    </r>
    <r>
      <rPr>
        <b val="true"/>
        <sz val="12"/>
        <rFont val="Cambria"/>
        <family val="0"/>
        <charset val="1"/>
      </rPr>
      <t xml:space="preserve">GB300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DC_Cost J </t>
    </r>
    <r>
      <rPr>
        <b val="true"/>
        <sz val="12"/>
        <rFont val="Noto Sans CJK SC"/>
        <family val="2"/>
      </rPr>
      <t xml:space="preserve">欄，</t>
    </r>
    <r>
      <rPr>
        <b val="true"/>
        <sz val="12"/>
        <rFont val="Cambria"/>
        <family val="0"/>
        <charset val="1"/>
      </rPr>
      <t xml:space="preserve">VR200</t>
    </r>
    <r>
      <rPr>
        <b val="true"/>
        <sz val="12"/>
        <rFont val="Noto Sans CJK SC"/>
        <family val="2"/>
      </rPr>
      <t xml:space="preserve">＝</t>
    </r>
    <r>
      <rPr>
        <b val="true"/>
        <sz val="12"/>
        <rFont val="Cambria"/>
        <family val="0"/>
        <charset val="1"/>
      </rPr>
      <t xml:space="preserve">M </t>
    </r>
    <r>
      <rPr>
        <b val="true"/>
        <sz val="12"/>
        <rFont val="Noto Sans CJK SC"/>
        <family val="2"/>
      </rPr>
      <t xml:space="preserve">欄）</t>
    </r>
  </si>
  <si>
    <r>
      <rPr>
        <sz val="11"/>
        <color theme="1"/>
        <rFont val="Calibri"/>
        <family val="2"/>
        <charset val="1"/>
      </rPr>
      <t xml:space="preserve">LibreOffice </t>
    </r>
    <r>
      <rPr>
        <sz val="11"/>
        <color theme="1"/>
        <rFont val="Noto Sans CJK SC"/>
        <family val="2"/>
      </rPr>
      <t xml:space="preserve">試算副本（</t>
    </r>
    <r>
      <rPr>
        <sz val="11"/>
        <color theme="1"/>
        <rFont val="Calibri"/>
        <family val="2"/>
        <charset val="1"/>
      </rPr>
      <t xml:space="preserve">/tmp</t>
    </r>
    <r>
      <rPr>
        <sz val="11"/>
        <color theme="1"/>
        <rFont val="Noto Sans CJK SC"/>
        <family val="2"/>
      </rPr>
      <t xml:space="preserve">，未入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）與手算一致。</t>
    </r>
  </si>
  <si>
    <t xml:space="preserve">情境</t>
  </si>
  <si>
    <t xml:space="preserve">GB300 IF_CapexIT</t>
  </si>
  <si>
    <t xml:space="preserve">GB300 IF_MaintIT</t>
  </si>
  <si>
    <t xml:space="preserve">GB300 IF_HoldEcon</t>
  </si>
  <si>
    <t xml:space="preserve">VR200 IF_CapexIT</t>
  </si>
  <si>
    <t xml:space="preserve">VR200 IF_MaintIT</t>
  </si>
  <si>
    <t xml:space="preserve">VR200 IF_HoldEcon</t>
  </si>
  <si>
    <r>
      <rPr>
        <sz val="11"/>
        <color theme="1"/>
        <rFont val="Noto Sans CJK SC"/>
        <family val="2"/>
      </rPr>
      <t xml:space="preserve">現值 </t>
    </r>
    <r>
      <rPr>
        <sz val="11"/>
        <color theme="1"/>
        <rFont val="Calibri"/>
        <family val="2"/>
        <charset val="1"/>
      </rPr>
      <t xml:space="preserve">v5.29</t>
    </r>
  </si>
  <si>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4.3</t>
    </r>
  </si>
  <si>
    <r>
      <rPr>
        <sz val="11"/>
        <color theme="1"/>
        <rFont val="Calibri"/>
        <family val="2"/>
        <charset val="1"/>
      </rPr>
      <t xml:space="preserve">32.237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13.9%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</si>
  <si>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11.347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10.8%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</si>
  <si>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S1'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4.0</t>
    </r>
  </si>
  <si>
    <r>
      <rPr>
        <sz val="11"/>
        <color theme="1"/>
        <rFont val="Calibri"/>
        <family val="2"/>
        <charset val="1"/>
      </rPr>
      <t xml:space="preserve">10.756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</si>
  <si>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維護等值 </t>
    </r>
    <r>
      <rPr>
        <sz val="11"/>
        <color theme="1"/>
        <rFont val="Calibri"/>
        <family val="2"/>
        <charset val="1"/>
      </rPr>
      <t xml:space="preserve">1.57%</t>
    </r>
  </si>
  <si>
    <r>
      <rPr>
        <sz val="11"/>
        <color theme="1"/>
        <rFont val="Calibri"/>
        <family val="2"/>
        <charset val="1"/>
      </rPr>
      <t xml:space="preserve">0.588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47.6%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</si>
  <si>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12.189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</si>
  <si>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0.590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47.7%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</si>
  <si>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12.225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4.2%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</si>
  <si>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S2'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 </t>
    </r>
    <r>
      <rPr>
        <sz val="11"/>
        <color theme="1"/>
        <rFont val="Calibri"/>
        <family val="2"/>
        <charset val="1"/>
      </rPr>
      <t xml:space="preserve">2%</t>
    </r>
  </si>
  <si>
    <r>
      <rPr>
        <sz val="11"/>
        <color theme="1"/>
        <rFont val="Calibri"/>
        <family val="2"/>
        <charset val="1"/>
      </rPr>
      <t xml:space="preserve">12.350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</si>
  <si>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12.386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2.9%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</si>
  <si>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S2</t>
    </r>
    <r>
      <rPr>
        <sz val="11"/>
        <color theme="1"/>
        <rFont val="Noto Sans CJK SC"/>
        <family val="2"/>
      </rPr>
      <t xml:space="preserve">（建議組合）</t>
    </r>
  </si>
  <si>
    <r>
      <rPr>
        <sz val="11"/>
        <color theme="1"/>
        <rFont val="Calibri"/>
        <family val="2"/>
        <charset val="1"/>
      </rPr>
      <t xml:space="preserve">0.506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54.9%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</si>
  <si>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10.886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14.5%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</si>
  <si>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高情境若改 </t>
    </r>
    <r>
      <rPr>
        <sz val="11"/>
        <color theme="1"/>
        <rFont val="Calibri"/>
        <family val="2"/>
        <charset val="1"/>
      </rPr>
      <t xml:space="preserve">8.6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</si>
  <si>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維護率是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單一格，</t>
    </r>
    <r>
      <rPr>
        <sz val="11"/>
        <color theme="1"/>
        <rFont val="Calibri"/>
        <family val="2"/>
        <charset val="1"/>
      </rPr>
      <t xml:space="preserve">S2 </t>
    </r>
    <r>
      <rPr>
        <sz val="11"/>
        <color theme="1"/>
        <rFont val="Noto Sans CJK SC"/>
        <family val="2"/>
      </rPr>
      <t xml:space="preserve">同時影響 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欄。</t>
    </r>
    <r>
      <rPr>
        <sz val="11"/>
        <color theme="1"/>
        <rFont val="Calibri"/>
        <family val="2"/>
        <charset val="1"/>
      </rPr>
      <t xml:space="preserve">IF_HoldAcct</t>
    </r>
    <r>
      <rPr>
        <sz val="11"/>
        <color theme="1"/>
        <rFont val="Noto Sans CJK SC"/>
        <family val="2"/>
      </rPr>
      <t xml:space="preserve">（會計口徑）</t>
    </r>
    <r>
      <rPr>
        <sz val="11"/>
        <color theme="1"/>
        <rFont val="Calibri"/>
        <family val="2"/>
        <charset val="1"/>
      </rPr>
      <t xml:space="preserve">GB300 9.500 → 7.989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S3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</si>
  <si>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影響試算（活公式；藍字可改；公式同 </t>
    </r>
    <r>
      <rPr>
        <b val="true"/>
        <sz val="11"/>
        <rFont val="Cambria"/>
        <family val="0"/>
        <charset val="1"/>
      </rPr>
      <t xml:space="preserve">DC_Cost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19–55 </t>
    </r>
    <r>
      <rPr>
        <b val="true"/>
        <sz val="11"/>
        <rFont val="Noto Sans CJK SC"/>
        <family val="2"/>
      </rPr>
      <t xml:space="preserve">列，基準欄；</t>
    </r>
    <r>
      <rPr>
        <b val="true"/>
        <sz val="11"/>
        <rFont val="Cambria"/>
        <family val="0"/>
        <charset val="1"/>
      </rPr>
      <t xml:space="preserve">$B/GW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</si>
  <si>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現值</t>
    </r>
  </si>
  <si>
    <r>
      <rPr>
        <b val="true"/>
        <sz val="11"/>
        <rFont val="Cambria"/>
        <family val="0"/>
        <charset val="1"/>
      </rPr>
      <t xml:space="preserve">GB300 </t>
    </r>
    <r>
      <rPr>
        <b val="true"/>
        <sz val="11"/>
        <rFont val="Noto Sans CJK SC"/>
        <family val="2"/>
      </rPr>
      <t xml:space="preserve">建議（機架 </t>
    </r>
    <r>
      <rPr>
        <b val="true"/>
        <sz val="11"/>
        <rFont val="Cambria"/>
        <family val="0"/>
        <charset val="1"/>
      </rPr>
      <t xml:space="preserve">4.3</t>
    </r>
    <r>
      <rPr>
        <b val="true"/>
        <sz val="11"/>
        <rFont val="Noto Sans CJK SC"/>
        <family val="2"/>
      </rPr>
      <t xml:space="preserve">＋維護 </t>
    </r>
    <r>
      <rPr>
        <b val="true"/>
        <sz val="11"/>
        <rFont val="Cambria"/>
        <family val="0"/>
        <charset val="1"/>
      </rPr>
      <t xml:space="preserve">1.57%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</si>
  <si>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現值</t>
    </r>
  </si>
  <si>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建議（維護 </t>
    </r>
    <r>
      <rPr>
        <b val="true"/>
        <sz val="11"/>
        <rFont val="Cambria"/>
        <family val="0"/>
        <charset val="1"/>
      </rPr>
      <t xml:space="preserve">1.57%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</si>
  <si>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</si>
  <si>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t xml:space="preserve">機架數（架）</t>
  </si>
  <si>
    <r>
      <rPr>
        <sz val="11"/>
        <color theme="1"/>
        <rFont val="Calibri"/>
        <family val="2"/>
        <charset val="1"/>
      </rPr>
      <t xml:space="preserve">DC_Cost J12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M12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</si>
  <si>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數（顆）</t>
    </r>
  </si>
  <si>
    <r>
      <rPr>
        <sz val="11"/>
        <color theme="1"/>
        <rFont val="Calibri"/>
        <family val="2"/>
        <charset val="1"/>
      </rPr>
      <t xml:space="preserve">DC_Cost J14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M14</t>
    </r>
  </si>
  <si>
    <r>
      <rPr>
        <sz val="11"/>
        <color theme="1"/>
        <rFont val="Noto Sans CJK SC"/>
        <family val="2"/>
      </rPr>
      <t xml:space="preserve">機架單價（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</si>
  <si>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Spec_Rack E12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F12</t>
    </r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</si>
  <si>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</t>
    </r>
  </si>
  <si>
    <t xml:space="preserve">Inputs E13</t>
  </si>
  <si>
    <r>
      <rPr>
        <sz val="11"/>
        <color theme="1"/>
        <rFont val="Noto Sans CJK SC"/>
        <family val="2"/>
      </rPr>
      <t xml:space="preserve">儲存與管理（</t>
    </r>
    <r>
      <rPr>
        <sz val="11"/>
        <color theme="1"/>
        <rFont val="Calibri"/>
        <family val="2"/>
        <charset val="1"/>
      </rPr>
      <t xml:space="preserve">$/GPU</t>
    </r>
    <r>
      <rPr>
        <sz val="11"/>
        <color theme="1"/>
        <rFont val="Noto Sans CJK SC"/>
        <family val="2"/>
      </rPr>
      <t xml:space="preserve">）</t>
    </r>
  </si>
  <si>
    <t xml:space="preserve">Inputs E14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</si>
  <si>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維護率（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</si>
  <si>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Inputs E30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1.57%</t>
    </r>
    <r>
      <rPr>
        <sz val="11"/>
        <color theme="1"/>
        <rFont val="Noto Sans CJK SC"/>
        <family val="2"/>
      </rPr>
      <t xml:space="preserve">＝曲線 </t>
    </r>
    <r>
      <rPr>
        <sz val="11"/>
        <color theme="1"/>
        <rFont val="Calibri"/>
        <family val="2"/>
        <charset val="1"/>
      </rPr>
      <t xml:space="preserve">0.5%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3% </t>
    </r>
    <r>
      <rPr>
        <sz val="11"/>
        <color theme="1"/>
        <rFont val="Noto Sans CJK SC"/>
        <family val="2"/>
      </rPr>
      <t xml:space="preserve">的年金等值</t>
    </r>
  </si>
  <si>
    <t xml:space="preserve">WACC</t>
  </si>
  <si>
    <t xml:space="preserve">Inputs E28</t>
  </si>
  <si>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折舊年限（年）</t>
    </r>
  </si>
  <si>
    <t xml:space="preserve">Inputs E23</t>
  </si>
  <si>
    <r>
      <rPr>
        <sz val="11"/>
        <color theme="1"/>
        <rFont val="Noto Sans CJK SC"/>
        <family val="2"/>
      </rPr>
      <t xml:space="preserve">廠房資本（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</t>
    </r>
  </si>
  <si>
    <t xml:space="preserve">DC_Cost J32</t>
  </si>
  <si>
    <r>
      <rPr>
        <sz val="11"/>
        <color theme="1"/>
        <rFont val="Noto Sans CJK SC"/>
        <family val="2"/>
      </rPr>
      <t xml:space="preserve">廠房資本回收（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</t>
    </r>
  </si>
  <si>
    <t xml:space="preserve">DC_Cost J54</t>
  </si>
  <si>
    <r>
      <rPr>
        <sz val="11"/>
        <color theme="1"/>
        <rFont val="Noto Sans CJK SC"/>
        <family val="2"/>
      </rPr>
      <t xml:space="preserve">電費（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</t>
    </r>
  </si>
  <si>
    <t xml:space="preserve">DC_Cost J43</t>
  </si>
  <si>
    <r>
      <rPr>
        <sz val="11"/>
        <color theme="1"/>
        <rFont val="Noto Sans CJK SC"/>
        <family val="2"/>
      </rPr>
      <t xml:space="preserve">廠房維護（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</t>
    </r>
  </si>
  <si>
    <t xml:space="preserve">DC_Cost J45</t>
  </si>
  <si>
    <r>
      <rPr>
        <sz val="11"/>
        <color theme="1"/>
        <rFont val="Noto Sans CJK SC"/>
        <family val="2"/>
      </rPr>
      <t xml:space="preserve">人員、軟體、水與耗材（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）</t>
    </r>
  </si>
  <si>
    <t xml:space="preserve">DC_Cost J46</t>
  </si>
  <si>
    <t xml:space="preserve">財產稅與保險率</t>
  </si>
  <si>
    <t xml:space="preserve">Inputs E35</t>
  </si>
  <si>
    <r>
      <rPr>
        <b val="true"/>
        <sz val="11"/>
        <rFont val="Cambria"/>
        <family val="0"/>
        <charset val="1"/>
      </rPr>
      <t xml:space="preserve">IF_CapexIT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$B/GW</t>
    </r>
    <r>
      <rPr>
        <b val="true"/>
        <sz val="11"/>
        <rFont val="Noto Sans CJK SC"/>
        <family val="2"/>
      </rPr>
      <t xml:space="preserve">）</t>
    </r>
  </si>
  <si>
    <t xml:space="preserve">IF_MaintIT</t>
  </si>
  <si>
    <t xml:space="preserve">資本回收係數</t>
  </si>
  <si>
    <t xml:space="preserve">營運費用小計</t>
  </si>
  <si>
    <t xml:space="preserve">IF_HoldEcon</t>
  </si>
  <si>
    <t xml:space="preserve">IF_HoldAcct</t>
  </si>
  <si>
    <r>
      <rPr>
        <sz val="11"/>
        <color theme="1"/>
        <rFont val="Noto Sans CJK SC"/>
        <family val="2"/>
      </rPr>
      <t xml:space="preserve">核對：</t>
    </r>
    <r>
      <rPr>
        <sz val="11"/>
        <color theme="1"/>
        <rFont val="Calibri"/>
        <family val="2"/>
        <charset val="1"/>
      </rPr>
      <t xml:space="preserve">B18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B19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B22 </t>
    </r>
    <r>
      <rPr>
        <sz val="11"/>
        <color theme="1"/>
        <rFont val="Noto Sans CJK SC"/>
        <family val="2"/>
      </rPr>
      <t xml:space="preserve">應等於 </t>
    </r>
    <r>
      <rPr>
        <sz val="11"/>
        <color theme="1"/>
        <rFont val="Calibri"/>
        <family val="2"/>
        <charset val="1"/>
      </rPr>
      <t xml:space="preserve">v5.29 Interface J9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J224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J13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37.446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1.123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12.725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欄為建議組合（</t>
    </r>
    <r>
      <rPr>
        <sz val="11"/>
        <color theme="1"/>
        <rFont val="Calibri"/>
        <family val="2"/>
        <charset val="1"/>
      </rPr>
      <t xml:space="preserve">32.237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0.506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10.886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</si>
  <si>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2"/>
        <rFont val="Cambria"/>
        <family val="0"/>
        <charset val="1"/>
      </rPr>
      <t xml:space="preserve">6. DB_Evidence </t>
    </r>
    <r>
      <rPr>
        <b val="true"/>
        <sz val="12"/>
        <rFont val="Noto Sans CJK SC"/>
        <family val="2"/>
      </rPr>
      <t xml:space="preserve">登錄提案（</t>
    </r>
    <r>
      <rPr>
        <b val="true"/>
        <sz val="12"/>
        <rFont val="Cambria"/>
        <family val="0"/>
        <charset val="1"/>
      </rPr>
      <t xml:space="preserve">16 </t>
    </r>
    <r>
      <rPr>
        <b val="true"/>
        <sz val="12"/>
        <rFont val="Noto Sans CJK SC"/>
        <family val="2"/>
      </rPr>
      <t xml:space="preserve">筆；欄位依 </t>
    </r>
    <r>
      <rPr>
        <b val="true"/>
        <sz val="12"/>
        <rFont val="Cambria"/>
        <family val="0"/>
        <charset val="1"/>
      </rPr>
      <t xml:space="preserve">DB_Evidence </t>
    </r>
    <r>
      <rPr>
        <b val="true"/>
        <sz val="12"/>
        <rFont val="Noto Sans CJK SC"/>
        <family val="2"/>
      </rPr>
      <t xml:space="preserve">第 </t>
    </r>
    <r>
      <rPr>
        <b val="true"/>
        <sz val="12"/>
        <rFont val="Cambria"/>
        <family val="0"/>
        <charset val="1"/>
      </rPr>
      <t xml:space="preserve">4 </t>
    </r>
    <r>
      <rPr>
        <b val="true"/>
        <sz val="12"/>
        <rFont val="Noto Sans CJK SC"/>
        <family val="2"/>
      </rPr>
      <t xml:space="preserve">列；</t>
    </r>
    <r>
      <rPr>
        <b val="true"/>
        <sz val="12"/>
        <rFont val="Cambria"/>
        <family val="0"/>
        <charset val="1"/>
      </rPr>
      <t xml:space="preserve">ID </t>
    </r>
    <r>
      <rPr>
        <b val="true"/>
        <sz val="12"/>
        <rFont val="Noto Sans CJK SC"/>
        <family val="2"/>
      </rPr>
      <t xml:space="preserve">暫編，</t>
    </r>
    <r>
      <rPr>
        <b val="true"/>
        <sz val="12"/>
        <rFont val="Cambria"/>
        <family val="0"/>
        <charset val="1"/>
      </rPr>
      <t xml:space="preserve">B </t>
    </r>
    <r>
      <rPr>
        <b val="true"/>
        <sz val="12"/>
        <rFont val="Noto Sans CJK SC"/>
        <family val="2"/>
      </rPr>
      <t xml:space="preserve">段由 </t>
    </r>
    <r>
      <rPr>
        <b val="true"/>
        <sz val="12"/>
        <rFont val="Cambria"/>
        <family val="0"/>
        <charset val="1"/>
      </rPr>
      <t xml:space="preserve">CC </t>
    </r>
    <r>
      <rPr>
        <b val="true"/>
        <sz val="12"/>
        <rFont val="Noto Sans CJK SC"/>
        <family val="2"/>
      </rPr>
      <t xml:space="preserve">接續 </t>
    </r>
    <r>
      <rPr>
        <b val="true"/>
        <sz val="12"/>
        <rFont val="Cambria"/>
        <family val="0"/>
        <charset val="1"/>
      </rPr>
      <t xml:space="preserve">E262 </t>
    </r>
    <r>
      <rPr>
        <b val="true"/>
        <sz val="12"/>
        <rFont val="Noto Sans CJK SC"/>
        <family val="2"/>
      </rPr>
      <t xml:space="preserve">之後編號）</t>
    </r>
  </si>
  <si>
    <t xml:space="preserve">暫編</t>
  </si>
  <si>
    <t xml:space="preserve">主張（摘要）</t>
  </si>
  <si>
    <t xml:space="preserve">對應參數</t>
  </si>
  <si>
    <t xml:space="preserve">當時值</t>
  </si>
  <si>
    <t xml:space="preserve">新資訊值</t>
  </si>
  <si>
    <r>
      <rPr>
        <b val="true"/>
        <sz val="11"/>
        <rFont val="Noto Sans CJK SC"/>
        <family val="2"/>
      </rPr>
      <t xml:space="preserve">與現行 </t>
    </r>
    <r>
      <rPr>
        <b val="true"/>
        <sz val="11"/>
        <rFont val="Cambria"/>
        <family val="0"/>
        <charset val="1"/>
      </rPr>
      <t xml:space="preserve">SRC </t>
    </r>
    <r>
      <rPr>
        <b val="true"/>
        <sz val="11"/>
        <rFont val="Noto Sans CJK SC"/>
        <family val="2"/>
      </rPr>
      <t xml:space="preserve">比較</t>
    </r>
  </si>
  <si>
    <t xml:space="preserve">建議判定</t>
  </si>
  <si>
    <r>
      <rPr>
        <b val="true"/>
        <sz val="11"/>
        <rFont val="Noto Sans CJK SC"/>
        <family val="2"/>
      </rPr>
      <t xml:space="preserve">相關 </t>
    </r>
    <r>
      <rPr>
        <b val="true"/>
        <sz val="11"/>
        <rFont val="Cambria"/>
        <family val="0"/>
        <charset val="1"/>
      </rPr>
      <t xml:space="preserve">SRC_ID</t>
    </r>
  </si>
  <si>
    <r>
      <rPr>
        <b val="true"/>
        <sz val="11"/>
        <rFont val="Noto Sans CJK SC"/>
        <family val="2"/>
      </rPr>
      <t xml:space="preserve">受影響 </t>
    </r>
    <r>
      <rPr>
        <b val="true"/>
        <sz val="11"/>
        <rFont val="Cambria"/>
        <family val="0"/>
        <charset val="1"/>
      </rPr>
      <t xml:space="preserve">IF_</t>
    </r>
  </si>
  <si>
    <t xml:space="preserve">等級／立場</t>
  </si>
  <si>
    <t xml:space="preserve">N01</t>
  </si>
  <si>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採購單略低於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）、部署約 </t>
    </r>
    <r>
      <rPr>
        <sz val="11"/>
        <color theme="1"/>
        <rFont val="Calibri"/>
        <family val="2"/>
        <charset val="1"/>
      </rPr>
      <t xml:space="preserve">$5.7M</t>
    </r>
  </si>
  <si>
    <r>
      <rPr>
        <sz val="11"/>
        <color theme="1"/>
        <rFont val="Calibri"/>
        <family val="2"/>
        <charset val="1"/>
      </rPr>
      <t xml:space="preserve">Spec_Rack E13</t>
    </r>
    <r>
      <rPr>
        <sz val="11"/>
        <color theme="1"/>
        <rFont val="Noto Sans CJK SC"/>
        <family val="2"/>
      </rPr>
      <t xml:space="preserve">（高）、</t>
    </r>
    <r>
      <rPr>
        <sz val="11"/>
        <color theme="1"/>
        <rFont val="Calibri"/>
        <family val="2"/>
        <charset val="1"/>
      </rPr>
      <t xml:space="preserve">E12</t>
    </r>
  </si>
  <si>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（基準）</t>
    </r>
  </si>
  <si>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5.0</t>
    </r>
  </si>
  <si>
    <r>
      <rPr>
        <sz val="11"/>
        <color theme="1"/>
        <rFont val="Calibri"/>
        <family val="2"/>
        <charset val="1"/>
      </rPr>
      <t xml:space="preserve">SRC_HW_010 </t>
    </r>
    <r>
      <rPr>
        <sz val="11"/>
        <color theme="1"/>
        <rFont val="Noto Sans CJK SC"/>
        <family val="2"/>
      </rPr>
      <t xml:space="preserve">同值；原文本輪已讀</t>
    </r>
  </si>
  <si>
    <r>
      <rPr>
        <sz val="11"/>
        <color theme="1"/>
        <rFont val="Noto Sans CJK SC"/>
        <family val="2"/>
      </rPr>
      <t xml:space="preserve">採用（</t>
    </r>
    <r>
      <rPr>
        <sz val="11"/>
        <color theme="1"/>
        <rFont val="Calibri"/>
        <family val="2"/>
        <charset val="1"/>
      </rPr>
      <t xml:space="preserve">SRC_HW_010 </t>
    </r>
    <r>
      <rPr>
        <sz val="11"/>
        <color theme="1"/>
        <rFont val="Noto Sans CJK SC"/>
        <family val="2"/>
      </rPr>
      <t xml:space="preserve">補「原文已讀」；改作高情境依據）</t>
    </r>
  </si>
  <si>
    <t xml:space="preserve">SRC_HW_010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</si>
  <si>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</si>
  <si>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／利害關係方</t>
    </r>
  </si>
  <si>
    <t xml:space="preserve">N02</t>
  </si>
  <si>
    <r>
      <rPr>
        <sz val="11"/>
        <color theme="1"/>
        <rFont val="Calibri"/>
        <family val="2"/>
        <charset val="1"/>
      </rPr>
      <t xml:space="preserve">Wolfe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$5–6M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reported</t>
    </r>
    <r>
      <rPr>
        <sz val="11"/>
        <color theme="1"/>
        <rFont val="Noto Sans CJK SC"/>
        <family val="2"/>
      </rPr>
      <t xml:space="preserve">）</t>
    </r>
  </si>
  <si>
    <t xml:space="preserve">Spec_Rack E12</t>
  </si>
  <si>
    <r>
      <rPr>
        <sz val="11"/>
        <color theme="1"/>
        <rFont val="Noto Sans CJK SC"/>
        <family val="2"/>
      </rPr>
      <t xml:space="preserve">新紀錄；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同口徑 </t>
    </r>
    <r>
      <rPr>
        <sz val="11"/>
        <color theme="1"/>
        <rFont val="Calibri"/>
        <family val="2"/>
        <charset val="1"/>
      </rPr>
      <t xml:space="preserve">Alt</t>
    </r>
  </si>
  <si>
    <r>
      <rPr>
        <sz val="11"/>
        <color theme="1"/>
        <rFont val="Noto Sans CJK SC"/>
        <family val="2"/>
      </rPr>
      <t xml:space="preserve">部分採用（</t>
    </r>
    <r>
      <rPr>
        <sz val="11"/>
        <color theme="1"/>
        <rFont val="Calibri"/>
        <family val="2"/>
        <charset val="1"/>
      </rPr>
      <t xml:space="preserve">GB300 4.3 </t>
    </r>
    <r>
      <rPr>
        <sz val="11"/>
        <color theme="1"/>
        <rFont val="Noto Sans CJK SC"/>
        <family val="2"/>
      </rPr>
      <t xml:space="preserve">作基準佐證；</t>
    </r>
    <r>
      <rPr>
        <sz val="11"/>
        <color theme="1"/>
        <rFont val="Calibri"/>
        <family val="2"/>
        <charset val="1"/>
      </rPr>
      <t xml:space="preserve">Rubin 5–6 </t>
    </r>
    <r>
      <rPr>
        <sz val="11"/>
        <color theme="1"/>
        <rFont val="Noto Sans CJK SC"/>
        <family val="2"/>
      </rPr>
      <t xml:space="preserve">早於記憶體漲價，不採用）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</si>
  <si>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SRC_HW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Alt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</si>
  <si>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</si>
  <si>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N03</t>
  </si>
  <si>
    <r>
      <rPr>
        <sz val="11"/>
        <color theme="1"/>
        <rFont val="Calibri"/>
        <family val="2"/>
        <charset val="1"/>
      </rPr>
      <t xml:space="preserve">MS BOM </t>
    </r>
    <r>
      <rPr>
        <sz val="11"/>
        <color theme="1"/>
        <rFont val="Noto Sans CJK SC"/>
        <family val="2"/>
      </rPr>
      <t xml:space="preserve">表推算 </t>
    </r>
    <r>
      <rPr>
        <sz val="11"/>
        <color theme="1"/>
        <rFont val="Calibri"/>
        <family val="2"/>
        <charset val="1"/>
      </rPr>
      <t xml:space="preserve">GB300 ≈ $4.0M</t>
    </r>
  </si>
  <si>
    <r>
      <rPr>
        <sz val="11"/>
        <color theme="1"/>
        <rFont val="Calibri"/>
        <family val="2"/>
        <charset val="1"/>
      </rPr>
      <t xml:space="preserve">Spec_Rack E11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E12</t>
    </r>
  </si>
  <si>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（低）</t>
    </r>
  </si>
  <si>
    <r>
      <rPr>
        <sz val="11"/>
        <color theme="1"/>
        <rFont val="Calibri"/>
        <family val="2"/>
        <charset val="1"/>
      </rPr>
      <t xml:space="preserve">SRC_HW_052</t>
    </r>
    <r>
      <rPr>
        <sz val="11"/>
        <color theme="1"/>
        <rFont val="Noto Sans CJK SC"/>
        <family val="2"/>
      </rPr>
      <t xml:space="preserve">（等級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，「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$4M</t>
    </r>
    <r>
      <rPr>
        <sz val="11"/>
        <color theme="1"/>
        <rFont val="Noto Sans CJK SC"/>
        <family val="2"/>
      </rPr>
      <t xml:space="preserve">」）值相同，現可由已讀的 </t>
    </r>
    <r>
      <rPr>
        <sz val="11"/>
        <color theme="1"/>
        <rFont val="Calibri"/>
        <family val="2"/>
        <charset val="1"/>
      </rPr>
      <t xml:space="preserve">95% </t>
    </r>
    <r>
      <rPr>
        <sz val="11"/>
        <color theme="1"/>
        <rFont val="Noto Sans CJK SC"/>
        <family val="2"/>
      </rPr>
      <t xml:space="preserve">比值換算</t>
    </r>
  </si>
  <si>
    <r>
      <rPr>
        <sz val="11"/>
        <color theme="1"/>
        <rFont val="Noto Sans CJK SC"/>
        <family val="2"/>
      </rPr>
      <t xml:space="preserve">採用（</t>
    </r>
    <r>
      <rPr>
        <sz val="11"/>
        <color theme="1"/>
        <rFont val="Calibri"/>
        <family val="2"/>
        <charset val="1"/>
      </rPr>
      <t xml:space="preserve">SRC_HW_052 </t>
    </r>
    <r>
      <rPr>
        <sz val="11"/>
        <color theme="1"/>
        <rFont val="Noto Sans CJK SC"/>
        <family val="2"/>
      </rPr>
      <t xml:space="preserve">等級 </t>
    </r>
    <r>
      <rPr>
        <sz val="11"/>
        <color theme="1"/>
        <rFont val="Calibri"/>
        <family val="2"/>
        <charset val="1"/>
      </rPr>
      <t xml:space="preserve">3→2 </t>
    </r>
    <r>
      <rPr>
        <sz val="11"/>
        <color theme="1"/>
        <rFont val="Noto Sans CJK SC"/>
        <family val="2"/>
      </rPr>
      <t xml:space="preserve">候選，換算式寫入備註）</t>
    </r>
  </si>
  <si>
    <r>
      <rPr>
        <sz val="11"/>
        <color theme="1"/>
        <rFont val="Calibri"/>
        <family val="2"/>
        <charset val="1"/>
      </rPr>
      <t xml:space="preserve">SRC_HW_052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SRC_HW_015</t>
    </r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</si>
  <si>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／中立</t>
    </r>
  </si>
  <si>
    <t xml:space="preserve">N04</t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</si>
  <si>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$5.8bn GB300 </t>
    </r>
    <r>
      <rPr>
        <sz val="11"/>
        <color theme="1"/>
        <rFont val="Noto Sans CJK SC"/>
        <family val="2"/>
      </rPr>
      <t xml:space="preserve">設備（含 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、軟體、部署）對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→ $29.0M/MW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</si>
  <si>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</si>
  <si>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Checks </t>
    </r>
    <r>
      <rPr>
        <sz val="11"/>
        <color theme="1"/>
        <rFont val="Noto Sans CJK SC"/>
        <family val="2"/>
      </rPr>
      <t xml:space="preserve">新對照列（</t>
    </r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）</t>
    </r>
  </si>
  <si>
    <t xml:space="preserve">29.0 $M/MW</t>
  </si>
  <si>
    <r>
      <rPr>
        <sz val="11"/>
        <color theme="1"/>
        <rFont val="Noto Sans CJK SC"/>
        <family val="2"/>
      </rPr>
      <t xml:space="preserve">新紀錄（</t>
    </r>
    <r>
      <rPr>
        <sz val="11"/>
        <color theme="1"/>
        <rFont val="Calibri"/>
        <family val="2"/>
        <charset val="1"/>
      </rPr>
      <t xml:space="preserve">SRC_DC</t>
    </r>
    <r>
      <rPr>
        <sz val="11"/>
        <color theme="1"/>
        <rFont val="Noto Sans CJK SC"/>
        <family val="2"/>
      </rPr>
      <t xml:space="preserve">，公司揭露）</t>
    </r>
  </si>
  <si>
    <r>
      <rPr>
        <sz val="11"/>
        <color theme="1"/>
        <rFont val="Noto Sans CJK SC"/>
        <family val="2"/>
      </rPr>
      <t xml:space="preserve">採用（新 </t>
    </r>
    <r>
      <rPr>
        <sz val="11"/>
        <color theme="1"/>
        <rFont val="Calibri"/>
        <family val="2"/>
        <charset val="1"/>
      </rPr>
      <t xml:space="preserve">SRC_DC</t>
    </r>
    <r>
      <rPr>
        <sz val="11"/>
        <color theme="1"/>
        <rFont val="Noto Sans CJK SC"/>
        <family val="2"/>
      </rPr>
      <t xml:space="preserve">；作 </t>
    </r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外部對照，不直接進模型）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</si>
  <si>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SRC_DC</t>
    </r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</si>
  <si>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</si>
  <si>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／利害關係方（買方揭露）</t>
    </r>
  </si>
  <si>
    <t xml:space="preserve">N05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</si>
  <si>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VR200 $9.1M</t>
    </r>
    <r>
      <rPr>
        <sz val="11"/>
        <color theme="1"/>
        <rFont val="Noto Sans CJK SC"/>
        <family val="2"/>
      </rPr>
      <t xml:space="preserve">（含網路 </t>
    </r>
    <r>
      <rPr>
        <sz val="11"/>
        <color theme="1"/>
        <rFont val="Calibri"/>
        <family val="2"/>
        <charset val="1"/>
      </rPr>
      <t xml:space="preserve">$1.2M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 GW $47bn</t>
    </r>
  </si>
  <si>
    <t xml:space="preserve">Spec_Rack F13</t>
  </si>
  <si>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（含網路）</t>
    </r>
  </si>
  <si>
    <r>
      <rPr>
        <sz val="11"/>
        <color theme="1"/>
        <rFont val="Calibri"/>
        <family val="2"/>
        <charset val="1"/>
      </rPr>
      <t xml:space="preserve">SRC_HW_017 9.09</t>
    </r>
    <r>
      <rPr>
        <sz val="11"/>
        <color theme="1"/>
        <rFont val="Noto Sans CJK SC"/>
        <family val="2"/>
      </rPr>
      <t xml:space="preserve">（等級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）；本輪讀到兩頁轉載</t>
    </r>
  </si>
  <si>
    <r>
      <rPr>
        <sz val="11"/>
        <color theme="1"/>
        <rFont val="Noto Sans CJK SC"/>
        <family val="2"/>
      </rPr>
      <t xml:space="preserve">採用（等級 </t>
    </r>
    <r>
      <rPr>
        <sz val="11"/>
        <color theme="1"/>
        <rFont val="Calibri"/>
        <family val="2"/>
        <charset val="1"/>
      </rPr>
      <t xml:space="preserve">3→2</t>
    </r>
    <r>
      <rPr>
        <sz val="11"/>
        <color theme="1"/>
        <rFont val="Noto Sans CJK SC"/>
        <family val="2"/>
      </rPr>
      <t xml:space="preserve">；口徑欄註明含網路，見 </t>
    </r>
    <r>
      <rPr>
        <sz val="11"/>
        <color theme="1"/>
        <rFont val="Calibri"/>
        <family val="2"/>
        <charset val="1"/>
      </rPr>
      <t xml:space="preserve">J4</t>
    </r>
    <r>
      <rPr>
        <sz val="11"/>
        <color theme="1"/>
        <rFont val="Noto Sans CJK SC"/>
        <family val="2"/>
      </rPr>
      <t xml:space="preserve">）</t>
    </r>
  </si>
  <si>
    <t xml:space="preserve">SRC_HW_017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</si>
  <si>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高）</t>
    </r>
  </si>
  <si>
    <t xml:space="preserve">N06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</si>
  <si>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</si>
  <si>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（比值）</t>
    </r>
  </si>
  <si>
    <r>
      <rPr>
        <sz val="11"/>
        <color theme="1"/>
        <rFont val="Calibri"/>
        <family val="2"/>
        <charset val="1"/>
      </rPr>
      <t xml:space="preserve">Spec_Rack E12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F12 </t>
    </r>
    <r>
      <rPr>
        <sz val="11"/>
        <color theme="1"/>
        <rFont val="Noto Sans CJK SC"/>
        <family val="2"/>
      </rPr>
      <t xml:space="preserve">比值檢查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</si>
  <si>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</t>
    </r>
  </si>
  <si>
    <t xml:space="preserve">新紀錄（比值，不進數值）</t>
  </si>
  <si>
    <r>
      <rPr>
        <sz val="11"/>
        <color theme="1"/>
        <rFont val="Noto Sans CJK SC"/>
        <family val="2"/>
      </rPr>
      <t xml:space="preserve">部分採用（作 </t>
    </r>
    <r>
      <rPr>
        <sz val="11"/>
        <color theme="1"/>
        <rFont val="Calibri"/>
        <family val="2"/>
        <charset val="1"/>
      </rPr>
      <t xml:space="preserve">Checks </t>
    </r>
    <r>
      <rPr>
        <sz val="11"/>
        <color theme="1"/>
        <rFont val="Noto Sans CJK SC"/>
        <family val="2"/>
      </rPr>
      <t xml:space="preserve">比值對照）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</si>
  <si>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SRC_HW</t>
    </r>
    <r>
      <rPr>
        <sz val="11"/>
        <color theme="1"/>
        <rFont val="Noto Sans CJK SC"/>
        <family val="2"/>
      </rPr>
      <t xml:space="preserve">（比值）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</si>
  <si>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／中立</t>
    </r>
  </si>
  <si>
    <t xml:space="preserve">N07</t>
  </si>
  <si>
    <t xml:space="preserve">Tom's Hardware GB300 $6.0–6.5M</t>
  </si>
  <si>
    <t xml:space="preserve">Spec_Rack E13</t>
  </si>
  <si>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Noto Sans CJK SC"/>
        <family val="2"/>
      </rPr>
      <t xml:space="preserve">（高）</t>
    </r>
  </si>
  <si>
    <t xml:space="preserve">6.0–6.5</t>
  </si>
  <si>
    <r>
      <rPr>
        <sz val="11"/>
        <color theme="1"/>
        <rFont val="Calibri"/>
        <family val="2"/>
        <charset val="1"/>
      </rPr>
      <t xml:space="preserve">SRC_HW_007</t>
    </r>
    <r>
      <rPr>
        <sz val="11"/>
        <color theme="1"/>
        <rFont val="Noto Sans CJK SC"/>
        <family val="2"/>
      </rPr>
      <t xml:space="preserve">（等級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）；本輪未讀原文</t>
    </r>
  </si>
  <si>
    <r>
      <rPr>
        <sz val="11"/>
        <color theme="1"/>
        <rFont val="Noto Sans CJK SC"/>
        <family val="2"/>
      </rPr>
      <t xml:space="preserve">待查（若採 </t>
    </r>
    <r>
      <rPr>
        <sz val="11"/>
        <color theme="1"/>
        <rFont val="Calibri"/>
        <family val="2"/>
        <charset val="1"/>
      </rPr>
      <t xml:space="preserve">J1 (a)</t>
    </r>
    <r>
      <rPr>
        <sz val="11"/>
        <color theme="1"/>
        <rFont val="Noto Sans CJK SC"/>
        <family val="2"/>
      </rPr>
      <t xml:space="preserve">，改為 </t>
    </r>
    <r>
      <rPr>
        <sz val="11"/>
        <color theme="1"/>
        <rFont val="Calibri"/>
        <family val="2"/>
        <charset val="1"/>
      </rPr>
      <t xml:space="preserve">Alt</t>
    </r>
    <r>
      <rPr>
        <sz val="11"/>
        <color theme="1"/>
        <rFont val="Noto Sans CJK SC"/>
        <family val="2"/>
      </rPr>
      <t xml:space="preserve">、不再是高情境）</t>
    </r>
  </si>
  <si>
    <t xml:space="preserve">SRC_HW_007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</si>
  <si>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高）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</si>
  <si>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／利害關係方</t>
    </r>
  </si>
  <si>
    <t xml:space="preserve">N08</t>
  </si>
  <si>
    <r>
      <rPr>
        <sz val="11"/>
        <color theme="1"/>
        <rFont val="Calibri"/>
        <family val="2"/>
        <charset val="1"/>
      </rPr>
      <t xml:space="preserve">Oracle $40bn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GB200</t>
    </r>
  </si>
  <si>
    <r>
      <rPr>
        <sz val="11"/>
        <color theme="1"/>
        <rFont val="Calibri"/>
        <family val="2"/>
        <charset val="1"/>
      </rPr>
      <t xml:space="preserve">$50K–100K</t>
    </r>
    <r>
      <rPr>
        <sz val="11"/>
        <color theme="1"/>
        <rFont val="Noto Sans CJK SC"/>
        <family val="2"/>
      </rPr>
      <t xml:space="preserve">／顆</t>
    </r>
  </si>
  <si>
    <t xml:space="preserve">口徑不明</t>
  </si>
  <si>
    <r>
      <rPr>
        <sz val="11"/>
        <color theme="1"/>
        <rFont val="Noto Sans CJK SC"/>
        <family val="2"/>
      </rPr>
      <t xml:space="preserve">不採用（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superchip </t>
    </r>
    <r>
      <rPr>
        <sz val="11"/>
        <color theme="1"/>
        <rFont val="Noto Sans CJK SC"/>
        <family val="2"/>
      </rPr>
      <t xml:space="preserve">不明）</t>
    </r>
  </si>
  <si>
    <t xml:space="preserve">N09</t>
  </si>
  <si>
    <r>
      <rPr>
        <sz val="11"/>
        <color theme="1"/>
        <rFont val="Calibri"/>
        <family val="2"/>
        <charset val="1"/>
      </rPr>
      <t xml:space="preserve">CRWV 1H26 </t>
    </r>
    <r>
      <rPr>
        <sz val="11"/>
        <color theme="1"/>
        <rFont val="Noto Sans CJK SC"/>
        <family val="2"/>
      </rPr>
      <t xml:space="preserve">每新增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24.8</t>
    </r>
    <r>
      <rPr>
        <sz val="11"/>
        <color theme="1"/>
        <rFont val="Noto Sans CJK SC"/>
        <family val="2"/>
      </rPr>
      <t xml:space="preserve">、技術設備 </t>
    </r>
    <r>
      <rPr>
        <sz val="11"/>
        <color theme="1"/>
        <rFont val="Calibri"/>
        <family val="2"/>
        <charset val="1"/>
      </rPr>
      <t xml:space="preserve">19.9</t>
    </r>
  </si>
  <si>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</si>
  <si>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</si>
  <si>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CRWV </t>
    </r>
    <r>
      <rPr>
        <sz val="11"/>
        <color theme="1"/>
        <rFont val="Noto Sans CJK SC"/>
        <family val="2"/>
      </rPr>
      <t xml:space="preserve">組合）</t>
    </r>
  </si>
  <si>
    <r>
      <rPr>
        <sz val="11"/>
        <color theme="1"/>
        <rFont val="Calibri"/>
        <family val="2"/>
        <charset val="1"/>
      </rPr>
      <t xml:space="preserve">24.8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19.9</t>
    </r>
  </si>
  <si>
    <t xml:space="preserve">新紀錄</t>
  </si>
  <si>
    <r>
      <rPr>
        <sz val="11"/>
        <color theme="1"/>
        <rFont val="Noto Sans CJK SC"/>
        <family val="2"/>
      </rPr>
      <t xml:space="preserve">部分採用（登錄為已看過；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口徑未明，不作對照列）</t>
    </r>
  </si>
  <si>
    <t xml:space="preserve">IF_CapexIT</t>
  </si>
  <si>
    <t xml:space="preserve">N10</t>
  </si>
  <si>
    <r>
      <rPr>
        <sz val="11"/>
        <color theme="1"/>
        <rFont val="Calibri"/>
        <family val="2"/>
        <charset val="1"/>
      </rPr>
      <t xml:space="preserve">HPE GB300 NVL72 </t>
    </r>
    <r>
      <rPr>
        <sz val="11"/>
        <color theme="1"/>
        <rFont val="Noto Sans CJK SC"/>
        <family val="2"/>
      </rPr>
      <t xml:space="preserve">標準保固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年零件／人工／到場</t>
    </r>
  </si>
  <si>
    <r>
      <rPr>
        <sz val="11"/>
        <color theme="1"/>
        <rFont val="Calibri"/>
        <family val="2"/>
        <charset val="1"/>
      </rPr>
      <t xml:space="preserve">Inputs E30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維護）</t>
    </r>
  </si>
  <si>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年起）</t>
    </r>
  </si>
  <si>
    <r>
      <rPr>
        <sz val="11"/>
        <color theme="1"/>
        <rFont val="Noto Sans CJK SC"/>
        <family val="2"/>
      </rPr>
      <t xml:space="preserve">保固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</si>
  <si>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新紀錄（</t>
    </r>
    <r>
      <rPr>
        <sz val="11"/>
        <color theme="1"/>
        <rFont val="Calibri"/>
        <family val="2"/>
        <charset val="1"/>
      </rPr>
      <t xml:space="preserve">SRC_DC</t>
    </r>
    <r>
      <rPr>
        <sz val="11"/>
        <color theme="1"/>
        <rFont val="Noto Sans CJK SC"/>
        <family val="2"/>
      </rPr>
      <t xml:space="preserve">）</t>
    </r>
  </si>
  <si>
    <t xml:space="preserve">採用（保固年限依據）</t>
  </si>
  <si>
    <r>
      <rPr>
        <sz val="11"/>
        <color theme="1"/>
        <rFont val="Calibri"/>
        <family val="2"/>
        <charset val="1"/>
      </rPr>
      <t xml:space="preserve">IF_MaintIT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IF_HoldEcon</t>
    </r>
  </si>
  <si>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／利害關係方</t>
    </r>
  </si>
  <si>
    <t xml:space="preserve">N11</t>
  </si>
  <si>
    <r>
      <rPr>
        <sz val="11"/>
        <color theme="1"/>
        <rFont val="Calibri"/>
        <family val="2"/>
        <charset val="1"/>
      </rPr>
      <t xml:space="preserve">Supermicro GPU </t>
    </r>
    <r>
      <rPr>
        <sz val="11"/>
        <color theme="1"/>
        <rFont val="Noto Sans CJK SC"/>
        <family val="2"/>
      </rPr>
      <t xml:space="preserve">系統：人工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年、零件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</si>
  <si>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t xml:space="preserve">Inputs E30</t>
  </si>
  <si>
    <r>
      <rPr>
        <sz val="11"/>
        <color theme="1"/>
        <rFont val="Noto Sans CJK SC"/>
        <family val="2"/>
      </rPr>
      <t xml:space="preserve">人工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／零件 </t>
    </r>
    <r>
      <rPr>
        <sz val="11"/>
        <color theme="1"/>
        <rFont val="Calibri"/>
        <family val="2"/>
        <charset val="1"/>
      </rPr>
      <t xml:space="preserve">1</t>
    </r>
  </si>
  <si>
    <t xml:space="preserve">採用（高情境依據）</t>
  </si>
  <si>
    <t xml:space="preserve">N12</t>
  </si>
  <si>
    <r>
      <rPr>
        <sz val="11"/>
        <color theme="1"/>
        <rFont val="Calibri"/>
        <family val="2"/>
        <charset val="1"/>
      </rPr>
      <t xml:space="preserve">DGX B200 </t>
    </r>
    <r>
      <rPr>
        <sz val="11"/>
        <color theme="1"/>
        <rFont val="Noto Sans CJK SC"/>
        <family val="2"/>
      </rPr>
      <t xml:space="preserve">續約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≈ 系統價 </t>
    </r>
    <r>
      <rPr>
        <sz val="11"/>
        <color theme="1"/>
        <rFont val="Calibri"/>
        <family val="2"/>
        <charset val="1"/>
      </rPr>
      <t xml:space="preserve">3.8%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</si>
  <si>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</si>
  <si>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Inputs E30</t>
    </r>
    <r>
      <rPr>
        <sz val="11"/>
        <color theme="1"/>
        <rFont val="Noto Sans CJK SC"/>
        <family val="2"/>
      </rPr>
      <t xml:space="preserve">（期滿後段）</t>
    </r>
  </si>
  <si>
    <t xml:space="preserve">3%</t>
  </si>
  <si>
    <t xml:space="preserve">3.8%</t>
  </si>
  <si>
    <r>
      <rPr>
        <sz val="11"/>
        <color theme="1"/>
        <rFont val="Noto Sans CJK SC"/>
        <family val="2"/>
      </rPr>
      <t xml:space="preserve">採用（第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年基準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、上緣參考）</t>
    </r>
  </si>
  <si>
    <t xml:space="preserve">N13</t>
  </si>
  <si>
    <r>
      <rPr>
        <sz val="11"/>
        <color theme="1"/>
        <rFont val="Calibri"/>
        <family val="2"/>
        <charset val="1"/>
      </rPr>
      <t xml:space="preserve">Introl TCO</t>
    </r>
    <r>
      <rPr>
        <sz val="11"/>
        <color theme="1"/>
        <rFont val="Noto Sans CJK SC"/>
        <family val="2"/>
      </rPr>
      <t xml:space="preserve">：維護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／年；稱原廠合約 </t>
    </r>
    <r>
      <rPr>
        <sz val="11"/>
        <color theme="1"/>
        <rFont val="Calibri"/>
        <family val="2"/>
        <charset val="1"/>
      </rPr>
      <t xml:space="preserve">8–12%</t>
    </r>
  </si>
  <si>
    <t xml:space="preserve">Inputs F30</t>
  </si>
  <si>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（高）</t>
    </r>
  </si>
  <si>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8–12%</t>
    </r>
  </si>
  <si>
    <r>
      <rPr>
        <sz val="11"/>
        <color theme="1"/>
        <rFont val="Noto Sans CJK SC"/>
        <family val="2"/>
      </rPr>
      <t xml:space="preserve">部分採用（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作第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年高情境；</t>
    </r>
    <r>
      <rPr>
        <sz val="11"/>
        <color theme="1"/>
        <rFont val="Calibri"/>
        <family val="2"/>
        <charset val="1"/>
      </rPr>
      <t xml:space="preserve">8–12% </t>
    </r>
    <r>
      <rPr>
        <sz val="11"/>
        <color theme="1"/>
        <rFont val="Noto Sans CJK SC"/>
        <family val="2"/>
      </rPr>
      <t xml:space="preserve">不採用：企業小規模、與自身模型矛盾）</t>
    </r>
  </si>
  <si>
    <t xml:space="preserve">N14</t>
  </si>
  <si>
    <r>
      <rPr>
        <sz val="11"/>
        <color theme="1"/>
        <rFont val="Calibri"/>
        <family val="2"/>
        <charset val="1"/>
      </rPr>
      <t xml:space="preserve">CRWV Q2 </t>
    </r>
    <r>
      <rPr>
        <sz val="11"/>
        <color theme="1"/>
        <rFont val="Noto Sans CJK SC"/>
        <family val="2"/>
      </rPr>
      <t xml:space="preserve">反推維護 ≈ </t>
    </r>
    <r>
      <rPr>
        <sz val="11"/>
        <color theme="1"/>
        <rFont val="Calibri"/>
        <family val="2"/>
        <charset val="1"/>
      </rPr>
      <t xml:space="preserve">0–0.25 $M/MW·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</si>
  <si>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Inputs E30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年）</t>
    </r>
  </si>
  <si>
    <t xml:space="preserve">0–0.8%</t>
  </si>
  <si>
    <r>
      <rPr>
        <sz val="11"/>
        <color theme="1"/>
        <rFont val="Noto Sans CJK SC"/>
        <family val="2"/>
      </rPr>
      <t xml:space="preserve">採用（第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年低值依據；不單獨定值）</t>
    </r>
  </si>
  <si>
    <t xml:space="preserve">N15</t>
  </si>
  <si>
    <r>
      <rPr>
        <sz val="11"/>
        <color theme="1"/>
        <rFont val="Noto Sans CJK SC"/>
        <family val="2"/>
      </rPr>
      <t xml:space="preserve">常駐人員 </t>
    </r>
    <r>
      <rPr>
        <sz val="11"/>
        <color theme="1"/>
        <rFont val="Calibri"/>
        <family val="2"/>
        <charset val="1"/>
      </rPr>
      <t xml:space="preserve">0.2–0.5 </t>
    </r>
    <r>
      <rPr>
        <sz val="11"/>
        <color theme="1"/>
        <rFont val="Noto Sans CJK SC"/>
        <family val="2"/>
      </rPr>
      <t xml:space="preserve">人／</t>
    </r>
    <r>
      <rPr>
        <sz val="11"/>
        <color theme="1"/>
        <rFont val="Calibri"/>
        <family val="2"/>
        <charset val="1"/>
      </rPr>
      <t xml:space="preserve">MW</t>
    </r>
  </si>
  <si>
    <t xml:space="preserve">Inputs E32</t>
  </si>
  <si>
    <r>
      <rPr>
        <sz val="11"/>
        <color theme="1"/>
        <rFont val="Calibri"/>
        <family val="2"/>
        <charset val="1"/>
      </rPr>
      <t xml:space="preserve">500 FTE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</si>
  <si>
    <t xml:space="preserve">200–500</t>
  </si>
  <si>
    <t xml:space="preserve">不採用（二手、出處不全；僅確認模型在上緣）</t>
  </si>
  <si>
    <t xml:space="preserve">IF_StaffSW</t>
  </si>
  <si>
    <t xml:space="preserve">N16</t>
  </si>
  <si>
    <r>
      <rPr>
        <sz val="11"/>
        <color theme="1"/>
        <rFont val="Calibri"/>
        <family val="2"/>
        <charset val="1"/>
      </rPr>
      <t xml:space="preserve">NVIDIA AI Enterprise $4,500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／年</t>
    </r>
  </si>
  <si>
    <t xml:space="preserve">Inputs E33</t>
  </si>
  <si>
    <r>
      <rPr>
        <sz val="11"/>
        <color theme="1"/>
        <rFont val="Calibri"/>
        <family val="2"/>
        <charset val="1"/>
      </rPr>
      <t xml:space="preserve">$200M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$410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</si>
  <si>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$4,500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</si>
  <si>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待查（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是否付授權找不到）</t>
    </r>
  </si>
  <si>
    <r>
      <rPr>
        <sz val="11"/>
        <color theme="1"/>
        <rFont val="Noto Sans CJK SC"/>
        <family val="2"/>
      </rPr>
      <t xml:space="preserve">另：</t>
    </r>
    <r>
      <rPr>
        <sz val="11"/>
        <color theme="1"/>
        <rFont val="Calibri"/>
        <family val="2"/>
        <charset val="1"/>
      </rPr>
      <t xml:space="preserve">P12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經銷頁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ProSupport</t>
    </r>
    <r>
      <rPr>
        <sz val="11"/>
        <color theme="1"/>
        <rFont val="Noto Sans CJK SC"/>
        <family val="2"/>
      </rPr>
      <t xml:space="preserve">）併入 </t>
    </r>
    <r>
      <rPr>
        <sz val="11"/>
        <color theme="1"/>
        <rFont val="Calibri"/>
        <family val="2"/>
        <charset val="1"/>
      </rPr>
      <t xml:space="preserve">N10 </t>
    </r>
    <r>
      <rPr>
        <sz val="11"/>
        <color theme="1"/>
        <rFont val="Noto Sans CJK SC"/>
        <family val="2"/>
      </rPr>
      <t xml:space="preserve">備註，不另登錄。合計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筆：採用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N01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N11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N12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N14</t>
    </r>
    <r>
      <rPr>
        <sz val="11"/>
        <color theme="1"/>
        <rFont val="Noto Sans CJK SC"/>
        <family val="2"/>
      </rPr>
      <t xml:space="preserve">）、部分採用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N09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N13</t>
    </r>
    <r>
      <rPr>
        <sz val="11"/>
        <color theme="1"/>
        <rFont val="Noto Sans CJK SC"/>
        <family val="2"/>
      </rPr>
      <t xml:space="preserve">）、不採用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N15</t>
    </r>
    <r>
      <rPr>
        <sz val="11"/>
        <color theme="1"/>
        <rFont val="Noto Sans CJK SC"/>
        <family val="2"/>
      </rPr>
      <t xml:space="preserve">）、待查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N07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N16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</si>
  <si>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來源（</t>
    </r>
    <r>
      <rPr>
        <b val="true"/>
        <sz val="11"/>
        <rFont val="Cambria"/>
        <family val="0"/>
        <charset val="1"/>
      </rPr>
      <t xml:space="preserve">S </t>
    </r>
    <r>
      <rPr>
        <b val="true"/>
        <sz val="11"/>
        <rFont val="Noto Sans CJK SC"/>
        <family val="2"/>
      </rPr>
      <t xml:space="preserve">編號或出處）</t>
    </r>
  </si>
  <si>
    <t xml:space="preserve">對應參數（工作表與列）</t>
  </si>
  <si>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當時值</t>
    </r>
  </si>
  <si>
    <t xml:space="preserve">判定</t>
  </si>
  <si>
    <t xml:space="preserve">處理版本</t>
  </si>
  <si>
    <t xml:space="preserve">備註</t>
  </si>
  <si>
    <r>
      <rPr>
        <b val="true"/>
        <sz val="11"/>
        <rFont val="Noto Sans CJK SC"/>
        <family val="2"/>
      </rPr>
      <t xml:space="preserve">狀態（已處理／待判定／待 </t>
    </r>
    <r>
      <rPr>
        <b val="true"/>
        <sz val="11"/>
        <rFont val="Cambria"/>
        <family val="0"/>
        <charset val="1"/>
      </rPr>
      <t xml:space="preserve">Andy</t>
    </r>
    <r>
      <rPr>
        <b val="true"/>
        <sz val="11"/>
        <rFont val="Noto Sans CJK SC"/>
        <family val="2"/>
      </rPr>
      <t xml:space="preserve">）</t>
    </r>
  </si>
  <si>
    <t xml:space="preserve">取代者</t>
  </si>
  <si>
    <r>
      <rPr>
        <b val="true"/>
        <sz val="11"/>
        <rFont val="Noto Sans CJK SC"/>
        <family val="2"/>
      </rPr>
      <t xml:space="preserve">受影響 </t>
    </r>
    <r>
      <rPr>
        <b val="true"/>
        <sz val="11"/>
        <rFont val="Cambria"/>
        <family val="0"/>
        <charset val="1"/>
      </rPr>
      <t xml:space="preserve">IF_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L1_</t>
    </r>
  </si>
  <si>
    <t xml:space="preserve">來源等級</t>
  </si>
  <si>
    <t xml:space="preserve">立場</t>
  </si>
  <si>
    <r>
      <rPr>
        <sz val="11"/>
        <color theme="1"/>
        <rFont val="Calibri"/>
        <family val="2"/>
        <charset val="1"/>
      </rPr>
      <t xml:space="preserve">N01</t>
    </r>
    <r>
      <rPr>
        <sz val="11"/>
        <color theme="1"/>
        <rFont val="Noto Sans CJK SC"/>
        <family val="2"/>
      </rPr>
      <t xml:space="preserve">（暫編）</t>
    </r>
  </si>
  <si>
    <t xml:space="preserve">2026-10-08</t>
  </si>
  <si>
    <r>
      <rPr>
        <sz val="11"/>
        <color theme="1"/>
        <rFont val="Calibri"/>
        <family val="2"/>
        <charset val="1"/>
      </rPr>
      <t xml:space="preserve">Data Gravity </t>
    </r>
    <r>
      <rPr>
        <sz val="11"/>
        <color theme="1"/>
        <rFont val="Noto Sans CJK SC"/>
        <family val="2"/>
      </rPr>
      <t xml:space="preserve">原文：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採購單略低於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250 kW CDU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+$32K</t>
    </r>
    <r>
      <rPr>
        <sz val="11"/>
        <color theme="1"/>
        <rFont val="Noto Sans CJK SC"/>
        <family val="2"/>
      </rPr>
      <t xml:space="preserve">）；部署約 </t>
    </r>
    <r>
      <rPr>
        <sz val="11"/>
        <color theme="1"/>
        <rFont val="Calibri"/>
        <family val="2"/>
        <charset val="1"/>
      </rPr>
      <t xml:space="preserve">$5.7M</t>
    </r>
  </si>
  <si>
    <r>
      <rPr>
        <sz val="11"/>
        <color theme="1"/>
        <rFont val="Calibri"/>
        <family val="2"/>
        <charset val="1"/>
      </rPr>
      <t xml:space="preserve">https://www.datagravity.dev/p/how-much-does-an-nvidia-nvl72-cost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）；轉載 </t>
    </r>
    <r>
      <rPr>
        <sz val="11"/>
        <color theme="1"/>
        <rFont val="Calibri"/>
        <family val="2"/>
        <charset val="1"/>
      </rPr>
      <t xml:space="preserve">wing.vc</t>
    </r>
  </si>
  <si>
    <r>
      <rPr>
        <sz val="11"/>
        <color theme="1"/>
        <rFont val="Calibri"/>
        <family val="2"/>
        <charset val="1"/>
      </rPr>
      <t xml:space="preserve">Spec_Rack E12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</si>
  <si>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（基準）／</t>
    </r>
    <r>
      <rPr>
        <sz val="11"/>
        <color theme="1"/>
        <rFont val="Calibri"/>
        <family val="2"/>
        <charset val="1"/>
      </rPr>
      <t xml:space="preserve">6.5</t>
    </r>
    <r>
      <rPr>
        <sz val="11"/>
        <color theme="1"/>
        <rFont val="Noto Sans CJK SC"/>
        <family val="2"/>
      </rPr>
      <t xml:space="preserve">（高）</t>
    </r>
  </si>
  <si>
    <r>
      <rPr>
        <sz val="11"/>
        <color theme="1"/>
        <rFont val="Noto Sans CJK SC"/>
        <family val="2"/>
      </rPr>
      <t xml:space="preserve">提案：採用（</t>
    </r>
    <r>
      <rPr>
        <sz val="11"/>
        <color theme="1"/>
        <rFont val="Calibri"/>
        <family val="2"/>
        <charset val="1"/>
      </rPr>
      <t xml:space="preserve">SRC_HW_010 </t>
    </r>
    <r>
      <rPr>
        <sz val="11"/>
        <color theme="1"/>
        <rFont val="Noto Sans CJK SC"/>
        <family val="2"/>
      </rPr>
      <t xml:space="preserve">補原文已讀；作高情境依據）</t>
    </r>
  </si>
  <si>
    <r>
      <rPr>
        <sz val="11"/>
        <color theme="1"/>
        <rFont val="Calibri"/>
        <family val="2"/>
        <charset val="1"/>
      </rPr>
      <t xml:space="preserve">v5.31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段）</t>
    </r>
  </si>
  <si>
    <r>
      <rPr>
        <sz val="11"/>
        <color theme="1"/>
        <rFont val="Noto Sans CJK SC"/>
        <family val="2"/>
      </rPr>
      <t xml:space="preserve">讀取者：</t>
    </r>
    <r>
      <rPr>
        <sz val="11"/>
        <color theme="1"/>
        <rFont val="Calibri"/>
        <family val="2"/>
        <charset val="1"/>
      </rPr>
      <t xml:space="preserve">CC</t>
    </r>
    <r>
      <rPr>
        <sz val="11"/>
        <color theme="1"/>
        <rFont val="Noto Sans CJK SC"/>
        <family val="2"/>
      </rPr>
      <t xml:space="preserve">｜讀取日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WebFetch</t>
    </r>
    <r>
      <rPr>
        <sz val="11"/>
        <color theme="1"/>
        <rFont val="Noto Sans CJK SC"/>
        <family val="2"/>
      </rPr>
      <t xml:space="preserve">（小模型轉文字）｜工作單 </t>
    </r>
    <r>
      <rPr>
        <sz val="11"/>
        <color theme="1"/>
        <rFont val="Calibri"/>
        <family val="2"/>
        <charset val="1"/>
      </rPr>
      <t xml:space="preserve">v5.31 A </t>
    </r>
    <r>
      <rPr>
        <sz val="11"/>
        <color theme="1"/>
        <rFont val="Noto Sans CJK SC"/>
        <family val="2"/>
      </rPr>
      <t xml:space="preserve">段提案</t>
    </r>
  </si>
  <si>
    <t xml:space="preserve">待判定</t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</si>
  <si>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IF_MaintIT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IF_HoldEcon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</si>
  <si>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2</t>
  </si>
  <si>
    <t xml:space="preserve">利害關係方（未具名交易方）</t>
  </si>
  <si>
    <r>
      <rPr>
        <sz val="11"/>
        <color theme="1"/>
        <rFont val="Calibri"/>
        <family val="2"/>
        <charset val="1"/>
      </rPr>
      <t xml:space="preserve">N02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</si>
  <si>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Wolfe Research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$5–6M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reported prices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</si>
  <si>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https://ca.finance.yahoo.com/news/wolfe-lifts-nvidia-target-25-145211458.html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2026-01-30</t>
    </r>
    <r>
      <rPr>
        <sz val="11"/>
        <color theme="1"/>
        <rFont val="Noto Sans CJK SC"/>
        <family val="2"/>
      </rPr>
      <t xml:space="preserve">）</t>
    </r>
  </si>
  <si>
    <t xml:space="preserve">5.0</t>
  </si>
  <si>
    <t xml:space="preserve">4.3</t>
  </si>
  <si>
    <r>
      <rPr>
        <sz val="11"/>
        <color theme="1"/>
        <rFont val="Noto Sans CJK SC"/>
        <family val="2"/>
      </rPr>
      <t xml:space="preserve">提案：部分採用（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基準佐證；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早於記憶體漲價不採用）</t>
    </r>
  </si>
  <si>
    <r>
      <rPr>
        <sz val="11"/>
        <color theme="1"/>
        <rFont val="Calibri"/>
        <family val="2"/>
        <charset val="1"/>
      </rPr>
      <t xml:space="preserve">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</si>
  <si>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利害關係方（賣方研究，底層出處不明）</t>
  </si>
  <si>
    <r>
      <rPr>
        <sz val="11"/>
        <color theme="1"/>
        <rFont val="Calibri"/>
        <family val="2"/>
        <charset val="1"/>
      </rPr>
      <t xml:space="preserve">N03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</si>
  <si>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表：記憶體 </t>
    </r>
    <r>
      <rPr>
        <sz val="11"/>
        <color theme="1"/>
        <rFont val="Calibri"/>
        <family val="2"/>
        <charset val="1"/>
      </rPr>
      <t xml:space="preserve">$373,939 → $2,001,600</t>
    </r>
    <r>
      <rPr>
        <sz val="11"/>
        <color theme="1"/>
        <rFont val="Noto Sans CJK SC"/>
        <family val="2"/>
      </rPr>
      <t xml:space="preserve">，總成本差 </t>
    </r>
    <r>
      <rPr>
        <sz val="11"/>
        <color theme="1"/>
        <rFont val="Calibri"/>
        <family val="2"/>
        <charset val="1"/>
      </rPr>
      <t xml:space="preserve">95% → GB300 BOM ≈ 7.8÷1.95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$4.0M</t>
    </r>
  </si>
  <si>
    <r>
      <rPr>
        <sz val="11"/>
        <color theme="1"/>
        <rFont val="Calibri"/>
        <family val="2"/>
        <charset val="1"/>
      </rPr>
      <t xml:space="preserve">https://wccftech.com/nvidia-vera-rubin-rack-hit-with-memory-price-surge-pushing-hbm4-lpddr5x-bill-to-2m-of-7-8m-total/amp/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</si>
  <si>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Spec_Rack E11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E12</t>
    </r>
  </si>
  <si>
    <t xml:space="preserve">4.0</t>
  </si>
  <si>
    <r>
      <rPr>
        <sz val="11"/>
        <color theme="1"/>
        <rFont val="Noto Sans CJK SC"/>
        <family val="2"/>
      </rPr>
      <t xml:space="preserve">提案：採用（</t>
    </r>
    <r>
      <rPr>
        <sz val="11"/>
        <color theme="1"/>
        <rFont val="Calibri"/>
        <family val="2"/>
        <charset val="1"/>
      </rPr>
      <t xml:space="preserve">SRC_HW_052 </t>
    </r>
    <r>
      <rPr>
        <sz val="11"/>
        <color theme="1"/>
        <rFont val="Noto Sans CJK SC"/>
        <family val="2"/>
      </rPr>
      <t xml:space="preserve">等級 </t>
    </r>
    <r>
      <rPr>
        <sz val="11"/>
        <color theme="1"/>
        <rFont val="Calibri"/>
        <family val="2"/>
        <charset val="1"/>
      </rPr>
      <t xml:space="preserve">3→2 </t>
    </r>
    <r>
      <rPr>
        <sz val="11"/>
        <color theme="1"/>
        <rFont val="Noto Sans CJK SC"/>
        <family val="2"/>
      </rPr>
      <t xml:space="preserve">候選；換算式入備註；表為圖片）</t>
    </r>
  </si>
  <si>
    <r>
      <rPr>
        <sz val="11"/>
        <color theme="1"/>
        <rFont val="Calibri"/>
        <family val="2"/>
        <charset val="1"/>
      </rPr>
      <t xml:space="preserve">SRC_HW_052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SRC_HW_015</t>
    </r>
  </si>
  <si>
    <t xml:space="preserve">中立</t>
  </si>
  <si>
    <r>
      <rPr>
        <sz val="11"/>
        <color theme="1"/>
        <rFont val="Calibri"/>
        <family val="2"/>
        <charset val="1"/>
      </rPr>
      <t xml:space="preserve">N04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</si>
  <si>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IREN</t>
    </r>
    <r>
      <rPr>
        <sz val="11"/>
        <color theme="1"/>
        <rFont val="Noto Sans CJK SC"/>
        <family val="2"/>
      </rPr>
      <t xml:space="preserve">：向 </t>
    </r>
    <r>
      <rPr>
        <sz val="11"/>
        <color theme="1"/>
        <rFont val="Calibri"/>
        <family val="2"/>
        <charset val="1"/>
      </rPr>
      <t xml:space="preserve">Dell </t>
    </r>
    <r>
      <rPr>
        <sz val="11"/>
        <color theme="1"/>
        <rFont val="Noto Sans CJK SC"/>
        <family val="2"/>
      </rPr>
      <t xml:space="preserve">採購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與附屬設備約 </t>
    </r>
    <r>
      <rPr>
        <sz val="11"/>
        <color theme="1"/>
        <rFont val="Calibri"/>
        <family val="2"/>
        <charset val="1"/>
      </rPr>
      <t xml:space="preserve">$5.8bn</t>
    </r>
    <r>
      <rPr>
        <sz val="11"/>
        <color theme="1"/>
        <rFont val="Noto Sans CJK SC"/>
        <family val="2"/>
      </rPr>
      <t xml:space="preserve">（含部署、伺服器、</t>
    </r>
    <r>
      <rPr>
        <sz val="11"/>
        <color theme="1"/>
        <rFont val="Calibri"/>
        <family val="2"/>
        <charset val="1"/>
      </rPr>
      <t xml:space="preserve">InfiniBand</t>
    </r>
    <r>
      <rPr>
        <sz val="11"/>
        <color theme="1"/>
        <rFont val="Noto Sans CJK SC"/>
        <family val="2"/>
      </rPr>
      <t xml:space="preserve">、線材、軟體授權），</t>
    </r>
    <r>
      <rPr>
        <sz val="11"/>
        <color theme="1"/>
        <rFont val="Calibri"/>
        <family val="2"/>
        <charset val="1"/>
      </rPr>
      <t xml:space="preserve">Horizon 1–4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 → $29.0M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IT MW</t>
    </r>
  </si>
  <si>
    <r>
      <rPr>
        <sz val="11"/>
        <color theme="1"/>
        <rFont val="Calibri"/>
        <family val="2"/>
        <charset val="1"/>
      </rPr>
      <t xml:space="preserve">https://iren.gcs-web.com/news-releases/news-release-details/iren-secures-97bn-ai-cloud-contract-microsoft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</si>
  <si>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IF_CapexIT </t>
    </r>
    <r>
      <rPr>
        <sz val="11"/>
        <color theme="1"/>
        <rFont val="Noto Sans CJK SC"/>
        <family val="2"/>
      </rPr>
      <t xml:space="preserve">外部對照（</t>
    </r>
    <r>
      <rPr>
        <sz val="11"/>
        <color theme="1"/>
        <rFont val="Calibri"/>
        <family val="2"/>
        <charset val="1"/>
      </rPr>
      <t xml:space="preserve">L1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Checks </t>
    </r>
    <r>
      <rPr>
        <sz val="11"/>
        <color theme="1"/>
        <rFont val="Noto Sans CJK SC"/>
        <family val="2"/>
      </rPr>
      <t xml:space="preserve">新列）</t>
    </r>
  </si>
  <si>
    <r>
      <rPr>
        <sz val="11"/>
        <color theme="1"/>
        <rFont val="Noto Sans CJK SC"/>
        <family val="2"/>
      </rPr>
      <t xml:space="preserve">提案：採用（新 </t>
    </r>
    <r>
      <rPr>
        <sz val="11"/>
        <color theme="1"/>
        <rFont val="Calibri"/>
        <family val="2"/>
        <charset val="1"/>
      </rPr>
      <t xml:space="preserve">SRC_DC</t>
    </r>
    <r>
      <rPr>
        <sz val="11"/>
        <color theme="1"/>
        <rFont val="Noto Sans CJK SC"/>
        <family val="2"/>
      </rPr>
      <t xml:space="preserve">；只作對照）</t>
    </r>
  </si>
  <si>
    <t xml:space="preserve">1</t>
  </si>
  <si>
    <t xml:space="preserve">利害關係方（買方揭露）</t>
  </si>
  <si>
    <r>
      <rPr>
        <sz val="11"/>
        <color theme="1"/>
        <rFont val="Calibri"/>
        <family val="2"/>
        <charset val="1"/>
      </rPr>
      <t xml:space="preserve">N05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</si>
  <si>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平均約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與儲存 </t>
    </r>
    <r>
      <rPr>
        <sz val="11"/>
        <color theme="1"/>
        <rFont val="Calibri"/>
        <family val="2"/>
        <charset val="1"/>
      </rPr>
      <t xml:space="preserve">3.2</t>
    </r>
    <r>
      <rPr>
        <sz val="11"/>
        <color theme="1"/>
        <rFont val="Noto Sans CJK SC"/>
        <family val="2"/>
      </rPr>
      <t xml:space="preserve">、網路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、電力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$47bn</t>
    </r>
    <r>
      <rPr>
        <sz val="11"/>
        <color theme="1"/>
        <rFont val="Noto Sans CJK SC"/>
        <family val="2"/>
      </rPr>
      <t xml:space="preserve">（機櫃 </t>
    </r>
    <r>
      <rPr>
        <sz val="11"/>
        <color theme="1"/>
        <rFont val="Calibri"/>
        <family val="2"/>
        <charset val="1"/>
      </rPr>
      <t xml:space="preserve">32</t>
    </r>
    <r>
      <rPr>
        <sz val="11"/>
        <color theme="1"/>
        <rFont val="Noto Sans CJK SC"/>
        <family val="2"/>
      </rPr>
      <t xml:space="preserve">＋基礎建設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</si>
  <si>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https://wccftech.com/bernstein-warns-nvidias-vera-rubin-racks-will-hit-9-1-million-as-hbm4-prices-triple-to-53-per-gigabyte/amp/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https://news.cnyes.com/news/id/6498402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2026-06-13</t>
    </r>
    <r>
      <rPr>
        <sz val="11"/>
        <color theme="1"/>
        <rFont val="Noto Sans CJK SC"/>
        <family val="2"/>
      </rPr>
      <t xml:space="preserve">）</t>
    </r>
  </si>
  <si>
    <t xml:space="preserve">9.1</t>
  </si>
  <si>
    <r>
      <rPr>
        <sz val="11"/>
        <color theme="1"/>
        <rFont val="Noto Sans CJK SC"/>
        <family val="2"/>
      </rPr>
      <t xml:space="preserve">提案：採用（</t>
    </r>
    <r>
      <rPr>
        <sz val="11"/>
        <color theme="1"/>
        <rFont val="Calibri"/>
        <family val="2"/>
        <charset val="1"/>
      </rPr>
      <t xml:space="preserve">SRC_HW_017 </t>
    </r>
    <r>
      <rPr>
        <sz val="11"/>
        <color theme="1"/>
        <rFont val="Noto Sans CJK SC"/>
        <family val="2"/>
      </rPr>
      <t xml:space="preserve">等級 </t>
    </r>
    <r>
      <rPr>
        <sz val="11"/>
        <color theme="1"/>
        <rFont val="Calibri"/>
        <family val="2"/>
        <charset val="1"/>
      </rPr>
      <t xml:space="preserve">3→2</t>
    </r>
    <r>
      <rPr>
        <sz val="11"/>
        <color theme="1"/>
        <rFont val="Noto Sans CJK SC"/>
        <family val="2"/>
      </rPr>
      <t xml:space="preserve">；口徑註明含網路，見 </t>
    </r>
    <r>
      <rPr>
        <sz val="11"/>
        <color theme="1"/>
        <rFont val="Calibri"/>
        <family val="2"/>
        <charset val="1"/>
      </rPr>
      <t xml:space="preserve">J4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</si>
  <si>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N06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</si>
  <si>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</si>
  <si>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r>
      <rPr>
        <sz val="11"/>
        <color theme="1"/>
        <rFont val="Calibri"/>
        <family val="2"/>
        <charset val="1"/>
      </rPr>
      <t xml:space="preserve">https://www.trendforce.com/presscenter/news/20260828-13204.html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</si>
  <si>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Spec_Rack F12÷E12 </t>
    </r>
    <r>
      <rPr>
        <sz val="11"/>
        <color theme="1"/>
        <rFont val="Noto Sans CJK SC"/>
        <family val="2"/>
      </rPr>
      <t xml:space="preserve">比值檢查</t>
    </r>
  </si>
  <si>
    <t xml:space="preserve">1.68</t>
  </si>
  <si>
    <r>
      <rPr>
        <sz val="11"/>
        <color theme="1"/>
        <rFont val="Noto Sans CJK SC"/>
        <family val="2"/>
      </rPr>
      <t xml:space="preserve">提案：部分採用（</t>
    </r>
    <r>
      <rPr>
        <sz val="11"/>
        <color theme="1"/>
        <rFont val="Calibri"/>
        <family val="2"/>
        <charset val="1"/>
      </rPr>
      <t xml:space="preserve">Checks </t>
    </r>
    <r>
      <rPr>
        <sz val="11"/>
        <color theme="1"/>
        <rFont val="Noto Sans CJK SC"/>
        <family val="2"/>
      </rPr>
      <t xml:space="preserve">比值對照，不進數值）</t>
    </r>
  </si>
  <si>
    <r>
      <rPr>
        <sz val="11"/>
        <color theme="1"/>
        <rFont val="Noto Sans CJK SC"/>
        <family val="2"/>
      </rPr>
      <t xml:space="preserve">新 </t>
    </r>
    <r>
      <rPr>
        <sz val="11"/>
        <color theme="1"/>
        <rFont val="Calibri"/>
        <family val="2"/>
        <charset val="1"/>
      </rPr>
      <t xml:space="preserve">SRC_HW</t>
    </r>
  </si>
  <si>
    <t xml:space="preserve">中立（市調機構）</t>
  </si>
  <si>
    <r>
      <rPr>
        <sz val="11"/>
        <color theme="1"/>
        <rFont val="Calibri"/>
        <family val="2"/>
        <charset val="1"/>
      </rPr>
      <t xml:space="preserve">N07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</si>
  <si>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GB300 $6.0–6.5M</t>
    </r>
    <r>
      <rPr>
        <sz val="11"/>
        <color theme="1"/>
        <rFont val="Noto Sans CJK SC"/>
        <family val="2"/>
      </rPr>
      <t xml:space="preserve">（媒體）</t>
    </r>
  </si>
  <si>
    <r>
      <rPr>
        <sz val="11"/>
        <color theme="1"/>
        <rFont val="Calibri"/>
        <family val="2"/>
        <charset val="1"/>
      </rPr>
      <t xml:space="preserve">SRC_HW_007 </t>
    </r>
    <r>
      <rPr>
        <sz val="11"/>
        <color theme="1"/>
        <rFont val="Noto Sans CJK SC"/>
        <family val="2"/>
      </rPr>
      <t xml:space="preserve">既有出處；本輪未讀原文</t>
    </r>
  </si>
  <si>
    <t xml:space="preserve">6.5</t>
  </si>
  <si>
    <r>
      <rPr>
        <sz val="11"/>
        <color theme="1"/>
        <rFont val="Noto Sans CJK SC"/>
        <family val="2"/>
      </rPr>
      <t xml:space="preserve">提案：待查（若採 </t>
    </r>
    <r>
      <rPr>
        <sz val="11"/>
        <color theme="1"/>
        <rFont val="Calibri"/>
        <family val="2"/>
        <charset val="1"/>
      </rPr>
      <t xml:space="preserve">J1(a)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Alt</t>
    </r>
    <r>
      <rPr>
        <sz val="11"/>
        <color theme="1"/>
        <rFont val="Noto Sans CJK SC"/>
        <family val="2"/>
      </rPr>
      <t xml:space="preserve">）</t>
    </r>
  </si>
  <si>
    <t xml:space="preserve">3</t>
  </si>
  <si>
    <t xml:space="preserve">利害關係方</t>
  </si>
  <si>
    <r>
      <rPr>
        <sz val="11"/>
        <color theme="1"/>
        <rFont val="Calibri"/>
        <family val="2"/>
        <charset val="1"/>
      </rPr>
      <t xml:space="preserve">N08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</si>
  <si>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$40bn </t>
    </r>
    <r>
      <rPr>
        <sz val="11"/>
        <color theme="1"/>
        <rFont val="Noto Sans CJK SC"/>
        <family val="2"/>
      </rPr>
      <t xml:space="preserve">購買約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Abilene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</si>
  <si>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https://www.datacenterdynamics.com/en/news/oracle-to-spend-40bn-on-nvidia-chips-for-openai-texas-data-center/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2025-05-27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FT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</si>
  <si>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$50K–100K</t>
    </r>
    <r>
      <rPr>
        <sz val="11"/>
        <color theme="1"/>
        <rFont val="Noto Sans CJK SC"/>
        <family val="2"/>
      </rPr>
      <t xml:space="preserve">／顆（口徑不明）</t>
    </r>
  </si>
  <si>
    <r>
      <rPr>
        <sz val="11"/>
        <color theme="1"/>
        <rFont val="Noto Sans CJK SC"/>
        <family val="2"/>
      </rPr>
      <t xml:space="preserve">提案：不採用（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superchip </t>
    </r>
    <r>
      <rPr>
        <sz val="11"/>
        <color theme="1"/>
        <rFont val="Noto Sans CJK SC"/>
        <family val="2"/>
      </rPr>
      <t xml:space="preserve">不明）</t>
    </r>
  </si>
  <si>
    <t xml:space="preserve">利害關係方（匿名消息）</t>
  </si>
  <si>
    <r>
      <rPr>
        <sz val="11"/>
        <color theme="1"/>
        <rFont val="Calibri"/>
        <family val="2"/>
        <charset val="1"/>
      </rPr>
      <t xml:space="preserve">N09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</si>
  <si>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CoreWeave 1H26</t>
    </r>
    <r>
      <rPr>
        <sz val="11"/>
        <color theme="1"/>
        <rFont val="Noto Sans CJK SC"/>
        <family val="2"/>
      </rPr>
      <t xml:space="preserve">：資本支出 </t>
    </r>
    <r>
      <rPr>
        <sz val="11"/>
        <color theme="1"/>
        <rFont val="Calibri"/>
        <family val="2"/>
        <charset val="1"/>
      </rPr>
      <t xml:space="preserve">16.139bn ÷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650 MW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24.8</t>
    </r>
    <r>
      <rPr>
        <sz val="11"/>
        <color theme="1"/>
        <rFont val="Noto Sans CJK SC"/>
        <family val="2"/>
      </rPr>
      <t xml:space="preserve">；技術設備毛額增加 </t>
    </r>
    <r>
      <rPr>
        <sz val="11"/>
        <color theme="1"/>
        <rFont val="Calibri"/>
        <family val="2"/>
        <charset val="1"/>
      </rPr>
      <t xml:space="preserve">12.92bn ÷ 650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19.9</t>
    </r>
  </si>
  <si>
    <r>
      <rPr>
        <sz val="11"/>
        <color theme="1"/>
        <rFont val="Calibri"/>
        <family val="2"/>
        <charset val="1"/>
      </rPr>
      <t xml:space="preserve">CRWV 10-Q 2026-06-30 </t>
    </r>
    <r>
      <rPr>
        <sz val="11"/>
        <color theme="1"/>
        <rFont val="Noto Sans CJK SC"/>
        <family val="2"/>
      </rPr>
      <t xml:space="preserve">附註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W5 </t>
    </r>
    <r>
      <rPr>
        <sz val="11"/>
        <color theme="1"/>
        <rFont val="Noto Sans CJK SC"/>
        <family val="2"/>
      </rPr>
      <t xml:space="preserve">報告</t>
    </r>
  </si>
  <si>
    <r>
      <rPr>
        <sz val="11"/>
        <color theme="1"/>
        <rFont val="Noto Sans CJK SC"/>
        <family val="2"/>
      </rPr>
      <t xml:space="preserve">提案：部分採用（登錄為已看過；</t>
    </r>
    <r>
      <rPr>
        <sz val="11"/>
        <color theme="1"/>
        <rFont val="Calibri"/>
        <family val="2"/>
        <charset val="1"/>
      </rPr>
      <t xml:space="preserve">active power </t>
    </r>
    <r>
      <rPr>
        <sz val="11"/>
        <color theme="1"/>
        <rFont val="Noto Sans CJK SC"/>
        <family val="2"/>
      </rPr>
      <t xml:space="preserve">口徑未明，不作對照列）</t>
    </r>
  </si>
  <si>
    <r>
      <rPr>
        <sz val="11"/>
        <color theme="1"/>
        <rFont val="Calibri"/>
        <family val="2"/>
        <charset val="1"/>
      </rPr>
      <t xml:space="preserve">N10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</si>
  <si>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NVIDIA GB300 NVL72 by HPE QuickSpecs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V3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3-Year Parts, 3-Year Labor, 3-Year Onsite</t>
    </r>
    <r>
      <rPr>
        <sz val="11"/>
        <color theme="1"/>
        <rFont val="Noto Sans CJK SC"/>
        <family val="2"/>
      </rPr>
      <t xml:space="preserve">；另 </t>
    </r>
    <r>
      <rPr>
        <sz val="11"/>
        <color theme="1"/>
        <rFont val="Calibri"/>
        <family val="2"/>
        <charset val="1"/>
      </rPr>
      <t xml:space="preserve">Dell XE9680 </t>
    </r>
    <r>
      <rPr>
        <sz val="11"/>
        <color theme="1"/>
        <rFont val="Noto Sans CJK SC"/>
        <family val="2"/>
      </rPr>
      <t xml:space="preserve">經銷頁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ProSupport</t>
    </r>
    <r>
      <rPr>
        <sz val="11"/>
        <color theme="1"/>
        <rFont val="Noto Sans CJK SC"/>
        <family val="2"/>
      </rPr>
      <t xml:space="preserve">（併入）</t>
    </r>
  </si>
  <si>
    <r>
      <rPr>
        <sz val="11"/>
        <color theme="1"/>
        <rFont val="Calibri"/>
        <family val="2"/>
        <charset val="1"/>
      </rPr>
      <t xml:space="preserve">https://www.hpe.com/us/en/collaterals/collateral.a50009244enw.html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https://www.servermonkey.com/poweredge-xe9680-ss-1.html</t>
    </r>
  </si>
  <si>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年起固定）</t>
    </r>
  </si>
  <si>
    <t xml:space="preserve">提案：採用（保固年限依據）</t>
  </si>
  <si>
    <t xml:space="preserve">利害關係方（賣方條款）</t>
  </si>
  <si>
    <r>
      <rPr>
        <sz val="11"/>
        <color theme="1"/>
        <rFont val="Calibri"/>
        <family val="2"/>
        <charset val="1"/>
      </rPr>
      <t xml:space="preserve">N11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</si>
  <si>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Supermicro </t>
    </r>
    <r>
      <rPr>
        <sz val="11"/>
        <color theme="1"/>
        <rFont val="Noto Sans CJK SC"/>
        <family val="2"/>
      </rPr>
      <t xml:space="preserve">標準保固：</t>
    </r>
    <r>
      <rPr>
        <sz val="11"/>
        <color theme="1"/>
        <rFont val="Calibri"/>
        <family val="2"/>
        <charset val="1"/>
      </rPr>
      <t xml:space="preserve">GPU Systems </t>
    </r>
    <r>
      <rPr>
        <sz val="11"/>
        <color theme="1"/>
        <rFont val="Noto Sans CJK SC"/>
        <family val="2"/>
      </rPr>
      <t xml:space="preserve">人工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年、零件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年、預先換貨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</si>
  <si>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Calibri"/>
        <family val="2"/>
        <charset val="1"/>
      </rPr>
      <t xml:space="preserve">https://www.supermicro.com/en/support/warranty</t>
    </r>
    <r>
      <rPr>
        <sz val="11"/>
        <color theme="1"/>
        <rFont val="Noto Sans CJK SC"/>
        <family val="2"/>
      </rPr>
      <t xml:space="preserve">（讀取 </t>
    </r>
    <r>
      <rPr>
        <sz val="11"/>
        <color theme="1"/>
        <rFont val="Calibri"/>
        <family val="2"/>
        <charset val="1"/>
      </rPr>
      <t xml:space="preserve">2026-10-08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</si>
  <si>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提案：採用（第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年高情境依據）</t>
    </r>
  </si>
  <si>
    <r>
      <rPr>
        <sz val="11"/>
        <color theme="1"/>
        <rFont val="Calibri"/>
        <family val="2"/>
        <charset val="1"/>
      </rPr>
      <t xml:space="preserve">N12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</si>
  <si>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NVIDIA DGX B200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Scan UK</t>
    </r>
    <r>
      <rPr>
        <sz val="11"/>
        <color theme="1"/>
        <rFont val="Noto Sans CJK SC"/>
        <family val="2"/>
      </rPr>
      <t xml:space="preserve">）：系統含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年支援 </t>
    </r>
    <r>
      <rPr>
        <sz val="11"/>
        <color theme="1"/>
        <rFont val="Calibri"/>
        <family val="2"/>
        <charset val="1"/>
      </rPr>
      <t xml:space="preserve">£489,999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Business Standard </t>
    </r>
    <r>
      <rPr>
        <sz val="11"/>
        <color theme="1"/>
        <rFont val="Noto Sans CJK SC"/>
        <family val="2"/>
      </rPr>
      <t xml:space="preserve">續約 </t>
    </r>
    <r>
      <rPr>
        <sz val="11"/>
        <color theme="1"/>
        <rFont val="Calibri"/>
        <family val="2"/>
        <charset val="1"/>
      </rPr>
      <t xml:space="preserve">£18,599.99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</si>
  <si>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Inputs E30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</si>
  <si>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Noto Sans CJK SC"/>
        <family val="2"/>
      </rPr>
      <t xml:space="preserve">提案：採用（第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年基準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、上緣參考）</t>
    </r>
  </si>
  <si>
    <t xml:space="preserve">利害關係方（經銷牌價）</t>
  </si>
  <si>
    <r>
      <rPr>
        <sz val="11"/>
        <color theme="1"/>
        <rFont val="Calibri"/>
        <family val="2"/>
        <charset val="1"/>
      </rPr>
      <t xml:space="preserve">N13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</si>
  <si>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Introl 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TCO</t>
    </r>
    <r>
      <rPr>
        <sz val="11"/>
        <color theme="1"/>
        <rFont val="Noto Sans CJK SC"/>
        <family val="2"/>
      </rPr>
      <t xml:space="preserve">：維護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／年硬體價值；文稱原廠支援 </t>
    </r>
    <r>
      <rPr>
        <sz val="11"/>
        <color theme="1"/>
        <rFont val="Calibri"/>
        <family val="2"/>
        <charset val="1"/>
      </rPr>
      <t xml:space="preserve">8–12%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</si>
  <si>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https://introl.com/blog/gpu-infrastructure-tco-model-5-year-enterprise-ai-deployment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</t>
    </r>
  </si>
  <si>
    <t xml:space="preserve">4%</t>
  </si>
  <si>
    <r>
      <rPr>
        <sz val="11"/>
        <color theme="1"/>
        <rFont val="Noto Sans CJK SC"/>
        <family val="2"/>
      </rPr>
      <t xml:space="preserve">提案：部分採用（</t>
    </r>
    <r>
      <rPr>
        <sz val="11"/>
        <color theme="1"/>
        <rFont val="Calibri"/>
        <family val="2"/>
        <charset val="1"/>
      </rPr>
      <t xml:space="preserve">5% </t>
    </r>
    <r>
      <rPr>
        <sz val="11"/>
        <color theme="1"/>
        <rFont val="Noto Sans CJK SC"/>
        <family val="2"/>
      </rPr>
      <t xml:space="preserve">作第 </t>
    </r>
    <r>
      <rPr>
        <sz val="11"/>
        <color theme="1"/>
        <rFont val="Calibri"/>
        <family val="2"/>
        <charset val="1"/>
      </rPr>
      <t xml:space="preserve">4–6 </t>
    </r>
    <r>
      <rPr>
        <sz val="11"/>
        <color theme="1"/>
        <rFont val="Noto Sans CJK SC"/>
        <family val="2"/>
      </rPr>
      <t xml:space="preserve">年高情境；</t>
    </r>
    <r>
      <rPr>
        <sz val="11"/>
        <color theme="1"/>
        <rFont val="Calibri"/>
        <family val="2"/>
        <charset val="1"/>
      </rPr>
      <t xml:space="preserve">8–12% </t>
    </r>
    <r>
      <rPr>
        <sz val="11"/>
        <color theme="1"/>
        <rFont val="Noto Sans CJK SC"/>
        <family val="2"/>
      </rPr>
      <t xml:space="preserve">不採用）</t>
    </r>
  </si>
  <si>
    <t xml:space="preserve">利害關係方（服務商）</t>
  </si>
  <si>
    <r>
      <rPr>
        <sz val="11"/>
        <color theme="1"/>
        <rFont val="Calibri"/>
        <family val="2"/>
        <charset val="1"/>
      </rPr>
      <t xml:space="preserve">N14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</si>
  <si>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CoreWeave Q2 </t>
    </r>
    <r>
      <rPr>
        <sz val="11"/>
        <color theme="1"/>
        <rFont val="Noto Sans CJK SC"/>
        <family val="2"/>
      </rPr>
      <t xml:space="preserve">營運成本反推：扣研發、模型電費、人員軟體、稅險後維護 ≤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；電費若為模型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則約 </t>
    </r>
    <r>
      <rPr>
        <sz val="11"/>
        <color theme="1"/>
        <rFont val="Calibri"/>
        <family val="2"/>
        <charset val="1"/>
      </rPr>
      <t xml:space="preserve">0.25 $M/MW·</t>
    </r>
    <r>
      <rPr>
        <sz val="11"/>
        <color theme="1"/>
        <rFont val="Noto Sans CJK SC"/>
        <family val="2"/>
      </rPr>
      <t xml:space="preserve">年（≈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 </t>
    </r>
    <r>
      <rPr>
        <sz val="11"/>
        <color theme="1"/>
        <rFont val="Calibri"/>
        <family val="2"/>
        <charset val="1"/>
      </rPr>
      <t xml:space="preserve">0.8%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</si>
  <si>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CRWV 10-Q 2026-06-30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CoreWeave W5 </t>
    </r>
    <r>
      <rPr>
        <sz val="11"/>
        <color theme="1"/>
        <rFont val="Noto Sans CJK SC"/>
        <family val="2"/>
      </rPr>
      <t xml:space="preserve">報告</t>
    </r>
  </si>
  <si>
    <r>
      <rPr>
        <sz val="11"/>
        <color theme="1"/>
        <rFont val="Noto Sans CJK SC"/>
        <family val="2"/>
      </rPr>
      <t xml:space="preserve">提案：採用（第 </t>
    </r>
    <r>
      <rPr>
        <sz val="11"/>
        <color theme="1"/>
        <rFont val="Calibri"/>
        <family val="2"/>
        <charset val="1"/>
      </rPr>
      <t xml:space="preserve">1–3 </t>
    </r>
    <r>
      <rPr>
        <sz val="11"/>
        <color theme="1"/>
        <rFont val="Noto Sans CJK SC"/>
        <family val="2"/>
      </rPr>
      <t xml:space="preserve">年低值依據，不單獨定值）</t>
    </r>
  </si>
  <si>
    <r>
      <rPr>
        <sz val="11"/>
        <color theme="1"/>
        <rFont val="Calibri"/>
        <family val="2"/>
        <charset val="1"/>
      </rPr>
      <t xml:space="preserve">N15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</si>
  <si>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Noto Sans CJK SC"/>
        <family val="2"/>
      </rPr>
      <t xml:space="preserve">超大型資料中心常駐人員 </t>
    </r>
    <r>
      <rPr>
        <sz val="11"/>
        <color theme="1"/>
        <rFont val="Calibri"/>
        <family val="2"/>
        <charset val="1"/>
      </rPr>
      <t xml:space="preserve">0.2–0.3 </t>
    </r>
    <r>
      <rPr>
        <sz val="11"/>
        <color theme="1"/>
        <rFont val="Noto Sans CJK SC"/>
        <family val="2"/>
      </rPr>
      <t xml:space="preserve">人／</t>
    </r>
    <r>
      <rPr>
        <sz val="11"/>
        <color theme="1"/>
        <rFont val="Calibri"/>
        <family val="2"/>
        <charset val="1"/>
      </rPr>
      <t xml:space="preserve">MW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Google KC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MW</t>
    </r>
  </si>
  <si>
    <r>
      <rPr>
        <sz val="11"/>
        <color theme="1"/>
        <rFont val="Calibri"/>
        <family val="2"/>
        <charset val="1"/>
      </rPr>
      <t xml:space="preserve">https://www.irecruit.co/insights/data-center-staffing-ratios-people-per-mw-2026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</si>
  <si>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200–500 </t>
    </r>
    <r>
      <rPr>
        <sz val="11"/>
        <color theme="1"/>
        <rFont val="Noto Sans CJK SC"/>
        <family val="2"/>
      </rPr>
      <t xml:space="preserve">人／</t>
    </r>
    <r>
      <rPr>
        <sz val="11"/>
        <color theme="1"/>
        <rFont val="Calibri"/>
        <family val="2"/>
        <charset val="1"/>
      </rPr>
      <t xml:space="preserve">GW</t>
    </r>
  </si>
  <si>
    <t xml:space="preserve">提案：不採用（二手、出處不全；模型在上緣）</t>
  </si>
  <si>
    <t xml:space="preserve">利害關係方（人力仲介）</t>
  </si>
  <si>
    <r>
      <rPr>
        <sz val="11"/>
        <color theme="1"/>
        <rFont val="Calibri"/>
        <family val="2"/>
        <charset val="1"/>
      </rPr>
      <t xml:space="preserve">N16</t>
    </r>
    <r>
      <rPr>
        <sz val="11"/>
        <color theme="1"/>
        <rFont val="Noto Sans CJK SC"/>
        <family val="2"/>
      </rPr>
      <t xml:space="preserve">（暫編）</t>
    </r>
  </si>
  <si>
    <r>
      <rPr>
        <sz val="11"/>
        <color theme="1"/>
        <rFont val="Calibri"/>
        <family val="2"/>
        <charset val="1"/>
      </rPr>
      <t xml:space="preserve">NVIDIA AI Enterprise </t>
    </r>
    <r>
      <rPr>
        <sz val="11"/>
        <color theme="1"/>
        <rFont val="Noto Sans CJK SC"/>
        <family val="2"/>
      </rPr>
      <t xml:space="preserve">牌價 </t>
    </r>
    <r>
      <rPr>
        <sz val="11"/>
        <color theme="1"/>
        <rFont val="Calibri"/>
        <family val="2"/>
        <charset val="1"/>
      </rPr>
      <t xml:space="preserve">$4,500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／年；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$18,000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CSP $1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GPU·</t>
    </r>
    <r>
      <rPr>
        <sz val="11"/>
        <color theme="1"/>
        <rFont val="Noto Sans CJK SC"/>
        <family val="2"/>
      </rPr>
      <t xml:space="preserve">時</t>
    </r>
  </si>
  <si>
    <t xml:space="preserve">https://docs.nvidia.com/ai-enterprise/planning-resource/licensing-guide/latest/pricing.html</t>
  </si>
  <si>
    <r>
      <rPr>
        <sz val="11"/>
        <color theme="1"/>
        <rFont val="Calibri"/>
        <family val="2"/>
        <charset val="1"/>
      </rPr>
      <t xml:space="preserve">$200M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$410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</si>
  <si>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提案：待查（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是否付授權找不到）</t>
    </r>
  </si>
  <si>
    <t xml:space="preserve">利害關係方（賣方牌價）</t>
  </si>
  <si>
    <r>
      <rPr>
        <b val="true"/>
        <sz val="12"/>
        <rFont val="Cambria"/>
        <family val="0"/>
        <charset val="1"/>
      </rPr>
      <t xml:space="preserve">7. </t>
    </r>
    <r>
      <rPr>
        <b val="true"/>
        <sz val="12"/>
        <rFont val="Noto Sans CJK SC"/>
        <family val="2"/>
      </rPr>
      <t xml:space="preserve">找不到的資料（找不到 ≠ 不存在）</t>
    </r>
  </si>
  <si>
    <r>
      <rPr>
        <sz val="11"/>
        <color theme="1"/>
        <rFont val="Calibri"/>
        <family val="2"/>
        <charset val="1"/>
      </rPr>
      <t xml:space="preserve">1. GB300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每櫃售價公開報價（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皆未公布）。</t>
    </r>
  </si>
  <si>
    <r>
      <rPr>
        <sz val="11"/>
        <color theme="1"/>
        <rFont val="Calibri"/>
        <family val="2"/>
        <charset val="1"/>
      </rPr>
      <t xml:space="preserve">2. 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Nscale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Lambda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Crusoe </t>
    </r>
    <r>
      <rPr>
        <sz val="11"/>
        <color theme="1"/>
        <rFont val="Noto Sans CJK SC"/>
        <family val="2"/>
      </rPr>
      <t xml:space="preserve">的每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或每 </t>
    </r>
    <r>
      <rPr>
        <sz val="11"/>
        <color theme="1"/>
        <rFont val="Calibri"/>
        <family val="2"/>
        <charset val="1"/>
      </rPr>
      <t xml:space="preserve">MW </t>
    </r>
    <r>
      <rPr>
        <sz val="11"/>
        <color theme="1"/>
        <rFont val="Noto Sans CJK SC"/>
        <family val="2"/>
      </rPr>
      <t xml:space="preserve">設備資本支出。</t>
    </r>
  </si>
  <si>
    <r>
      <rPr>
        <sz val="11"/>
        <color theme="1"/>
        <rFont val="Calibri"/>
        <family val="2"/>
        <charset val="1"/>
      </rPr>
      <t xml:space="preserve">3. IREN </t>
    </r>
    <r>
      <rPr>
        <sz val="11"/>
        <color theme="1"/>
        <rFont val="Noto Sans CJK SC"/>
        <family val="2"/>
      </rPr>
      <t xml:space="preserve">微軟合約的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數量（新聞稿與 </t>
    </r>
    <r>
      <rPr>
        <sz val="11"/>
        <color theme="1"/>
        <rFont val="Calibri"/>
        <family val="2"/>
        <charset val="1"/>
      </rPr>
      <t xml:space="preserve">DCD </t>
    </r>
    <r>
      <rPr>
        <sz val="11"/>
        <color theme="1"/>
        <rFont val="Noto Sans CJK SC"/>
        <family val="2"/>
      </rPr>
      <t xml:space="preserve">皆寫未揭露），因此 </t>
    </r>
    <r>
      <rPr>
        <sz val="11"/>
        <color theme="1"/>
        <rFont val="Calibri"/>
        <family val="2"/>
        <charset val="1"/>
      </rPr>
      <t xml:space="preserve">$5.8bn </t>
    </r>
    <r>
      <rPr>
        <sz val="11"/>
        <color theme="1"/>
        <rFont val="Noto Sans CJK SC"/>
        <family val="2"/>
      </rPr>
      <t xml:space="preserve">對應的機架數只能以每架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推算。</t>
    </r>
  </si>
  <si>
    <r>
      <rPr>
        <sz val="11"/>
        <color theme="1"/>
        <rFont val="Calibri"/>
        <family val="2"/>
        <charset val="1"/>
      </rPr>
      <t xml:space="preserve">4. CoreWeave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active power</t>
    </r>
    <r>
      <rPr>
        <sz val="11"/>
        <color theme="1"/>
        <rFont val="Noto Sans CJK SC"/>
        <family val="2"/>
      </rPr>
      <t xml:space="preserve">」的 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／設施口徑；</t>
    </r>
    <r>
      <rPr>
        <sz val="11"/>
        <color theme="1"/>
        <rFont val="Calibri"/>
        <family val="2"/>
        <charset val="1"/>
      </rPr>
      <t xml:space="preserve">CoreWeave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Nebius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IREN </t>
    </r>
    <r>
      <rPr>
        <sz val="11"/>
        <color theme="1"/>
        <rFont val="Noto Sans CJK SC"/>
        <family val="2"/>
      </rPr>
      <t xml:space="preserve">的保固或維修合約條款與維修費用。</t>
    </r>
  </si>
  <si>
    <r>
      <rPr>
        <sz val="11"/>
        <color theme="1"/>
        <rFont val="Calibri"/>
        <family val="2"/>
        <charset val="1"/>
      </rPr>
      <t xml:space="preserve">5. ODM </t>
    </r>
    <r>
      <rPr>
        <sz val="11"/>
        <color theme="1"/>
        <rFont val="Noto Sans CJK SC"/>
        <family val="2"/>
      </rPr>
      <t xml:space="preserve">直供（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）的保固年限；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伺服器維修費用占資本比率；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的實際故障率與 </t>
    </r>
    <r>
      <rPr>
        <sz val="11"/>
        <color theme="1"/>
        <rFont val="Calibri"/>
        <family val="2"/>
        <charset val="1"/>
      </rPr>
      <t xml:space="preserve">RMA </t>
    </r>
    <r>
      <rPr>
        <sz val="11"/>
        <color theme="1"/>
        <rFont val="Noto Sans CJK SC"/>
        <family val="2"/>
      </rPr>
      <t xml:space="preserve">成本（只有 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，不單獨引用）。</t>
    </r>
  </si>
  <si>
    <r>
      <rPr>
        <sz val="11"/>
        <color theme="1"/>
        <rFont val="Calibri"/>
        <family val="2"/>
        <charset val="1"/>
      </rPr>
      <t xml:space="preserve">6. neocloud </t>
    </r>
    <r>
      <rPr>
        <sz val="11"/>
        <color theme="1"/>
        <rFont val="Noto Sans CJK SC"/>
        <family val="2"/>
      </rPr>
      <t xml:space="preserve">是否為裸機出租支付 </t>
    </r>
    <r>
      <rPr>
        <sz val="11"/>
        <color theme="1"/>
        <rFont val="Calibri"/>
        <family val="2"/>
        <charset val="1"/>
      </rPr>
      <t xml:space="preserve">NVIDIA AI Enterprise </t>
    </r>
    <r>
      <rPr>
        <sz val="11"/>
        <color theme="1"/>
        <rFont val="Noto Sans CJK SC"/>
        <family val="2"/>
      </rPr>
      <t xml:space="preserve">授權。</t>
    </r>
  </si>
  <si>
    <r>
      <rPr>
        <sz val="11"/>
        <color theme="1"/>
        <rFont val="Calibri"/>
        <family val="2"/>
        <charset val="1"/>
      </rPr>
      <t xml:space="preserve">7. Wolfe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reported prices</t>
    </r>
    <r>
      <rPr>
        <sz val="11"/>
        <color theme="1"/>
        <rFont val="Noto Sans CJK SC"/>
        <family val="2"/>
      </rPr>
      <t xml:space="preserve">」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的底層出處。</t>
    </r>
  </si>
  <si>
    <r>
      <rPr>
        <b val="true"/>
        <sz val="12"/>
        <rFont val="Cambria"/>
        <family val="0"/>
        <charset val="1"/>
      </rPr>
      <t xml:space="preserve">8. </t>
    </r>
    <r>
      <rPr>
        <b val="true"/>
        <sz val="12"/>
        <rFont val="Noto Sans CJK SC"/>
        <family val="2"/>
      </rPr>
      <t xml:space="preserve">讀取紀錄（關鍵數字兩次讀取）</t>
    </r>
  </si>
  <si>
    <t xml:space="preserve">數字</t>
  </si>
  <si>
    <t xml:space="preserve">第一次</t>
  </si>
  <si>
    <t xml:space="preserve">第二次</t>
  </si>
  <si>
    <r>
      <rPr>
        <sz val="11"/>
        <color theme="1"/>
        <rFont val="Calibri"/>
        <family val="2"/>
        <charset val="1"/>
      </rPr>
      <t xml:space="preserve">IREN $5.8bn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200 MW </t>
    </r>
    <r>
      <rPr>
        <sz val="11"/>
        <color theme="1"/>
        <rFont val="Noto Sans CJK SC"/>
        <family val="2"/>
      </rPr>
      <t xml:space="preserve">關鍵 </t>
    </r>
    <r>
      <rPr>
        <sz val="11"/>
        <color theme="1"/>
        <rFont val="Calibri"/>
        <family val="2"/>
        <charset val="1"/>
      </rPr>
      <t xml:space="preserve">IT</t>
    </r>
  </si>
  <si>
    <t xml:space="preserve">iren.gcs-web.com</t>
  </si>
  <si>
    <r>
      <rPr>
        <sz val="11"/>
        <color theme="1"/>
        <rFont val="Calibri"/>
        <family val="2"/>
        <charset val="1"/>
      </rPr>
      <t xml:space="preserve">irisenergy.gcs-web.com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DCD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iren.com </t>
    </r>
    <r>
      <rPr>
        <sz val="11"/>
        <color theme="1"/>
        <rFont val="Noto Sans CJK SC"/>
        <family val="2"/>
      </rPr>
      <t xml:space="preserve">部落格</t>
    </r>
  </si>
  <si>
    <r>
      <rPr>
        <sz val="11"/>
        <color theme="1"/>
        <rFont val="Calibri"/>
        <family val="2"/>
        <charset val="1"/>
      </rPr>
      <t xml:space="preserve">HPE 3 </t>
    </r>
    <r>
      <rPr>
        <sz val="11"/>
        <color theme="1"/>
        <rFont val="Noto Sans CJK SC"/>
        <family val="2"/>
      </rPr>
      <t xml:space="preserve">年零件／人工／到場</t>
    </r>
  </si>
  <si>
    <r>
      <rPr>
        <sz val="11"/>
        <color theme="1"/>
        <rFont val="Calibri"/>
        <family val="2"/>
        <charset val="1"/>
      </rPr>
      <t xml:space="preserve">QuickSpecs </t>
    </r>
    <r>
      <rPr>
        <sz val="11"/>
        <color theme="1"/>
        <rFont val="Noto Sans CJK SC"/>
        <family val="2"/>
      </rPr>
      <t xml:space="preserve">讀取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</si>
  <si>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QuickSpecs </t>
    </r>
    <r>
      <rPr>
        <sz val="11"/>
        <color theme="1"/>
        <rFont val="Noto Sans CJK SC"/>
        <family val="2"/>
      </rPr>
      <t xml:space="preserve">讀取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（確認標題「</t>
    </r>
    <r>
      <rPr>
        <sz val="11"/>
        <color theme="1"/>
        <rFont val="Calibri"/>
        <family val="2"/>
        <charset val="1"/>
      </rPr>
      <t xml:space="preserve">NVIDIA GB300 NVL72 by HPE QuickSpecs</t>
    </r>
    <r>
      <rPr>
        <sz val="11"/>
        <color theme="1"/>
        <rFont val="Noto Sans CJK SC"/>
        <family val="2"/>
      </rPr>
      <t xml:space="preserve">」）</t>
    </r>
  </si>
  <si>
    <t xml:space="preserve">Wolfe GB300 4.3</t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</si>
  <si>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讀取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</si>
  <si>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讀取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（逐句確認含「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」）</t>
    </r>
  </si>
  <si>
    <t xml:space="preserve">Bernstein 9.1</t>
  </si>
  <si>
    <t xml:space="preserve">wccftech</t>
  </si>
  <si>
    <t xml:space="preserve">鉅亨網（同一底層來源）</t>
  </si>
  <si>
    <t xml:space="preserve">Data Gravity 5.0</t>
  </si>
  <si>
    <r>
      <rPr>
        <sz val="11"/>
        <color theme="1"/>
        <rFont val="Calibri"/>
        <family val="2"/>
        <charset val="1"/>
      </rPr>
      <t xml:space="preserve">datagravity.dev </t>
    </r>
    <r>
      <rPr>
        <sz val="11"/>
        <color theme="1"/>
        <rFont val="Noto Sans CJK SC"/>
        <family val="2"/>
      </rPr>
      <t xml:space="preserve">原文</t>
    </r>
  </si>
  <si>
    <r>
      <rPr>
        <sz val="11"/>
        <color theme="1"/>
        <rFont val="Calibri"/>
        <family val="2"/>
        <charset val="1"/>
      </rPr>
      <t xml:space="preserve">wing.vc </t>
    </r>
    <r>
      <rPr>
        <sz val="11"/>
        <color theme="1"/>
        <rFont val="Noto Sans CJK SC"/>
        <family val="2"/>
      </rPr>
      <t xml:space="preserve">轉載</t>
    </r>
  </si>
  <si>
    <r>
      <rPr>
        <sz val="11"/>
        <color theme="1"/>
        <rFont val="Calibri"/>
        <family val="2"/>
        <charset val="1"/>
      </rPr>
      <t xml:space="preserve">Scan DGX </t>
    </r>
    <r>
      <rPr>
        <sz val="11"/>
        <color theme="1"/>
        <rFont val="Noto Sans CJK SC"/>
        <family val="2"/>
      </rPr>
      <t xml:space="preserve">續約 </t>
    </r>
    <r>
      <rPr>
        <sz val="11"/>
        <color theme="1"/>
        <rFont val="Calibri"/>
        <family val="2"/>
        <charset val="1"/>
      </rPr>
      <t xml:space="preserve">£18,599.99</t>
    </r>
  </si>
  <si>
    <r>
      <rPr>
        <sz val="11"/>
        <color theme="1"/>
        <rFont val="Noto Sans CJK SC"/>
        <family val="2"/>
      </rPr>
      <t xml:space="preserve">讀取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</si>
  <si>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讀取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</si>
  <si>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Supermicro GPU </t>
    </r>
    <r>
      <rPr>
        <sz val="11"/>
        <color theme="1"/>
        <rFont val="Noto Sans CJK SC"/>
        <family val="2"/>
      </rPr>
      <t xml:space="preserve">系統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</si>
  <si>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頁第一次因權限逾時未讀到，第二次讀到（</t>
    </r>
    <r>
      <rPr>
        <sz val="11"/>
        <color theme="1"/>
        <rFont val="Calibri"/>
        <family val="2"/>
        <charset val="1"/>
      </rPr>
      <t xml:space="preserve">R5 → </t>
    </r>
    <r>
      <rPr>
        <sz val="11"/>
        <color theme="1"/>
        <rFont val="Noto Sans CJK SC"/>
        <family val="2"/>
      </rPr>
      <t xml:space="preserve">已讀）。</t>
    </r>
  </si>
  <si>
    <t xml:space="preserve">下一步</t>
  </si>
  <si>
    <r>
      <rPr>
        <sz val="11"/>
        <color theme="1"/>
        <rFont val="Calibri"/>
        <family val="2"/>
        <charset val="1"/>
      </rPr>
      <t xml:space="preserve">- chat </t>
    </r>
    <r>
      <rPr>
        <sz val="11"/>
        <color theme="1"/>
        <rFont val="Noto Sans CJK SC"/>
        <family val="2"/>
      </rPr>
      <t xml:space="preserve">端判定 </t>
    </r>
    <r>
      <rPr>
        <sz val="11"/>
        <color theme="1"/>
        <rFont val="Calibri"/>
        <family val="2"/>
        <charset val="1"/>
      </rPr>
      <t xml:space="preserve">J1–J6 </t>
    </r>
    <r>
      <rPr>
        <sz val="11"/>
        <color theme="1"/>
        <rFont val="Noto Sans CJK SC"/>
        <family val="2"/>
      </rPr>
      <t xml:space="preserve">後，以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段工作單（寫入 </t>
    </r>
    <r>
      <rPr>
        <sz val="11"/>
        <color theme="1"/>
        <rFont val="Calibri"/>
        <family val="2"/>
        <charset val="1"/>
      </rPr>
      <t xml:space="preserve">Spec_Rack E11:E13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Inputs D30:F30 </t>
    </r>
    <r>
      <rPr>
        <sz val="11"/>
        <color theme="1"/>
        <rFont val="Noto Sans CJK SC"/>
        <family val="2"/>
      </rPr>
      <t xml:space="preserve">或新增機齡曲線、</t>
    </r>
    <r>
      <rPr>
        <sz val="11"/>
        <color theme="1"/>
        <rFont val="Calibri"/>
        <family val="2"/>
        <charset val="1"/>
      </rPr>
      <t xml:space="preserve">SRC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DB_Evidence 16 </t>
    </r>
    <r>
      <rPr>
        <sz val="11"/>
        <color theme="1"/>
        <rFont val="Noto Sans CJK SC"/>
        <family val="2"/>
      </rPr>
      <t xml:space="preserve">筆、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段開工前以 </t>
    </r>
    <r>
      <rPr>
        <sz val="11"/>
        <color theme="1"/>
        <rFont val="Calibri"/>
        <family val="2"/>
        <charset val="1"/>
      </rPr>
      <t xml:space="preserve">`git ls-remote --heads origin` </t>
    </r>
    <r>
      <rPr>
        <sz val="11"/>
        <color theme="1"/>
        <rFont val="Noto Sans CJK SC"/>
        <family val="2"/>
      </rPr>
      <t xml:space="preserve">確認 </t>
    </r>
    <r>
      <rPr>
        <sz val="11"/>
        <color theme="1"/>
        <rFont val="Calibri"/>
        <family val="2"/>
        <charset val="1"/>
      </rPr>
      <t xml:space="preserve">v5.31 </t>
    </r>
    <r>
      <rPr>
        <sz val="11"/>
        <color theme="1"/>
        <rFont val="Noto Sans CJK SC"/>
        <family val="2"/>
      </rPr>
      <t xml:space="preserve">版號未被占用。</t>
    </r>
  </si>
  <si>
    <r>
      <rPr>
        <b val="true"/>
        <sz val="12"/>
        <rFont val="Noto Sans CJK SC"/>
        <family val="2"/>
      </rPr>
      <t xml:space="preserve">需要 </t>
    </r>
    <r>
      <rPr>
        <b val="true"/>
        <sz val="12"/>
        <rFont val="Cambria"/>
        <family val="0"/>
        <charset val="1"/>
      </rPr>
      <t xml:space="preserve">Andy </t>
    </r>
    <r>
      <rPr>
        <b val="true"/>
        <sz val="12"/>
        <rFont val="Noto Sans CJK SC"/>
        <family val="2"/>
      </rPr>
      <t xml:space="preserve">做的事</t>
    </r>
  </si>
  <si>
    <r>
      <rPr>
        <sz val="11"/>
        <color theme="1"/>
        <rFont val="Calibri"/>
        <family val="2"/>
        <charset val="1"/>
      </rPr>
      <t xml:space="preserve">1. </t>
    </r>
    <r>
      <rPr>
        <sz val="11"/>
        <color theme="1"/>
        <rFont val="Noto Sans CJK SC"/>
        <family val="2"/>
      </rPr>
      <t xml:space="preserve">決定 </t>
    </r>
    <r>
      <rPr>
        <sz val="11"/>
        <color theme="1"/>
        <rFont val="Calibri"/>
        <family val="2"/>
        <charset val="1"/>
      </rPr>
      <t xml:space="preserve">J1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機架價格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或維持 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J2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維護改機齡曲線、改單一費率 </t>
    </r>
    <r>
      <rPr>
        <sz val="11"/>
        <color theme="1"/>
        <rFont val="Calibri"/>
        <family val="2"/>
        <charset val="1"/>
      </rPr>
      <t xml:space="preserve">1.6%</t>
    </r>
    <r>
      <rPr>
        <sz val="11"/>
        <color theme="1"/>
        <rFont val="Noto Sans CJK SC"/>
        <family val="2"/>
      </rPr>
      <t xml:space="preserve">，或維持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</si>
  <si>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2. </t>
    </r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J3–J6 </t>
    </r>
    <r>
      <rPr>
        <sz val="11"/>
        <color theme="1"/>
        <rFont val="Noto Sans CJK SC"/>
        <family val="2"/>
      </rPr>
      <t xml:space="preserve">可依建議（回覆「依建議」即可）。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</si>
</sst>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mbria"/>
      <family val="0"/>
      <charset val="1"/>
    </font>
    <font>
      <b val="true"/>
      <sz val="12"/>
      <name val="Noto Sans CJK SC"/>
      <family val="2"/>
    </font>
    <font>
      <sz val="11"/>
      <color theme="1"/>
      <name val="Noto Sans CJK SC"/>
      <family val="2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color rgb="FF0000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3" min="2" style="0" width="22"/>
  </cols>
  <sheetData>
    <row r="1" customFormat="false" ht="19.4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0" t="s">
        <v>1</v>
      </c>
    </row>
    <row r="3" customFormat="false" ht="17.15" hidden="false" customHeight="false" outlineLevel="0" collapsed="false">
      <c r="A3" s="0" t="s">
        <v>2</v>
      </c>
    </row>
    <row r="4" customFormat="false" ht="17.15" hidden="false" customHeight="false" outlineLevel="0" collapsed="false">
      <c r="A4" s="0" t="s">
        <v>3</v>
      </c>
    </row>
    <row r="5" customFormat="false" ht="17.15" hidden="false" customHeight="false" outlineLevel="0" collapsed="false">
      <c r="A5" s="0" t="s">
        <v>4</v>
      </c>
    </row>
    <row r="6" customFormat="false" ht="17.15" hidden="false" customHeight="false" outlineLevel="0" collapsed="false">
      <c r="A6" s="0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3" min="2" style="0" width="22"/>
  </cols>
  <sheetData>
    <row r="1" customFormat="false" ht="15" hidden="false" customHeight="false" outlineLevel="0" collapsed="false">
      <c r="A1" s="2" t="s">
        <v>6</v>
      </c>
    </row>
    <row r="2" customFormat="false" ht="17.15" hidden="false" customHeight="false" outlineLevel="0" collapsed="false">
      <c r="A2" s="0" t="s">
        <v>7</v>
      </c>
    </row>
    <row r="3" customFormat="false" ht="17.15" hidden="false" customHeight="false" outlineLevel="0" collapsed="false">
      <c r="A3" s="0" t="s">
        <v>8</v>
      </c>
    </row>
    <row r="4" customFormat="false" ht="17.15" hidden="false" customHeight="false" outlineLevel="0" collapsed="false">
      <c r="A4" s="0" t="s">
        <v>9</v>
      </c>
    </row>
    <row r="5" customFormat="false" ht="17.15" hidden="false" customHeight="false" outlineLevel="0" collapsed="false">
      <c r="A5" s="0" t="s">
        <v>10</v>
      </c>
    </row>
    <row r="6" customFormat="false" ht="17.15" hidden="false" customHeight="false" outlineLevel="0" collapsed="false">
      <c r="A6" s="0" t="s">
        <v>11</v>
      </c>
    </row>
    <row r="7" customFormat="false" ht="17.15" hidden="false" customHeight="false" outlineLevel="0" collapsed="false">
      <c r="A7" s="0" t="s">
        <v>12</v>
      </c>
    </row>
    <row r="8" customFormat="false" ht="17.15" hidden="false" customHeight="false" outlineLevel="0" collapsed="false">
      <c r="A8" s="0" t="s">
        <v>13</v>
      </c>
    </row>
    <row r="9" customFormat="false" ht="17.15" hidden="false" customHeight="false" outlineLevel="0" collapsed="false">
      <c r="A9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2" t="s">
        <v>15</v>
      </c>
    </row>
    <row r="2" customFormat="false" ht="48.5" hidden="false" customHeight="false" outlineLevel="0" collapsed="false">
      <c r="A2" s="3" t="s">
        <v>16</v>
      </c>
      <c r="B2" s="4" t="s">
        <v>17</v>
      </c>
      <c r="C2" s="4" t="s">
        <v>18</v>
      </c>
      <c r="D2" s="4" t="s">
        <v>19</v>
      </c>
      <c r="E2" s="4" t="s">
        <v>20</v>
      </c>
    </row>
    <row r="3" customFormat="false" ht="95.5" hidden="false" customHeight="false" outlineLevel="0" collapsed="false">
      <c r="A3" s="5" t="s">
        <v>21</v>
      </c>
      <c r="B3" s="5" t="s">
        <v>22</v>
      </c>
      <c r="C3" s="5" t="s">
        <v>23</v>
      </c>
      <c r="D3" s="5" t="s">
        <v>24</v>
      </c>
      <c r="E3" s="5" t="s">
        <v>25</v>
      </c>
    </row>
    <row r="4" customFormat="false" ht="95.5" hidden="false" customHeight="false" outlineLevel="0" collapsed="false">
      <c r="A4" s="5" t="s">
        <v>26</v>
      </c>
      <c r="B4" s="5" t="s">
        <v>27</v>
      </c>
      <c r="C4" s="5" t="s">
        <v>28</v>
      </c>
      <c r="D4" s="6" t="s">
        <v>29</v>
      </c>
      <c r="E4" s="5" t="s">
        <v>30</v>
      </c>
    </row>
    <row r="5" customFormat="false" ht="64.15" hidden="false" customHeight="false" outlineLevel="0" collapsed="false">
      <c r="A5" s="5" t="s">
        <v>31</v>
      </c>
      <c r="B5" s="6" t="s">
        <v>32</v>
      </c>
      <c r="C5" s="5" t="s">
        <v>33</v>
      </c>
      <c r="D5" s="6" t="s">
        <v>34</v>
      </c>
      <c r="E5" s="6" t="s">
        <v>35</v>
      </c>
    </row>
    <row r="6" customFormat="false" ht="95.5" hidden="false" customHeight="false" outlineLevel="0" collapsed="false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</row>
    <row r="7" customFormat="false" ht="48.5" hidden="false" customHeight="false" outlineLevel="0" collapsed="false">
      <c r="A7" s="5" t="s">
        <v>41</v>
      </c>
      <c r="B7" s="5" t="s">
        <v>42</v>
      </c>
      <c r="C7" s="6" t="s">
        <v>43</v>
      </c>
      <c r="D7" s="6" t="s">
        <v>44</v>
      </c>
      <c r="E7" s="5" t="n">
        <v>0</v>
      </c>
    </row>
    <row r="8" customFormat="false" ht="61.9" hidden="false" customHeight="false" outlineLevel="0" collapsed="false">
      <c r="A8" s="5" t="s">
        <v>45</v>
      </c>
      <c r="B8" s="6" t="s">
        <v>46</v>
      </c>
      <c r="C8" s="5" t="s">
        <v>47</v>
      </c>
      <c r="D8" s="6" t="s">
        <v>48</v>
      </c>
      <c r="E8" s="5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50</v>
      </c>
    </row>
    <row r="2" customFormat="false" ht="17.15" hidden="false" customHeight="false" outlineLevel="0" collapsed="false">
      <c r="A2" s="4" t="s">
        <v>51</v>
      </c>
      <c r="B2" s="4" t="s">
        <v>52</v>
      </c>
      <c r="C2" s="4" t="s">
        <v>53</v>
      </c>
    </row>
    <row r="3" customFormat="false" ht="48.5" hidden="false" customHeight="false" outlineLevel="0" collapsed="false">
      <c r="A3" s="5" t="s">
        <v>54</v>
      </c>
      <c r="B3" s="5" t="s">
        <v>55</v>
      </c>
      <c r="C3" s="5" t="s">
        <v>56</v>
      </c>
    </row>
    <row r="4" customFormat="false" ht="48.5" hidden="false" customHeight="false" outlineLevel="0" collapsed="false">
      <c r="A4" s="6" t="s">
        <v>57</v>
      </c>
      <c r="B4" s="6" t="s">
        <v>58</v>
      </c>
      <c r="C4" s="5" t="s">
        <v>59</v>
      </c>
    </row>
    <row r="5" customFormat="false" ht="48.5" hidden="false" customHeight="false" outlineLevel="0" collapsed="false">
      <c r="A5" s="6" t="s">
        <v>60</v>
      </c>
      <c r="B5" s="5" t="s">
        <v>61</v>
      </c>
      <c r="C5" s="5" t="s">
        <v>62</v>
      </c>
    </row>
    <row r="6" customFormat="false" ht="32.8" hidden="false" customHeight="false" outlineLevel="0" collapsed="false">
      <c r="A6" s="5" t="s">
        <v>63</v>
      </c>
      <c r="B6" s="5" t="s">
        <v>64</v>
      </c>
      <c r="C6" s="5" t="s">
        <v>65</v>
      </c>
    </row>
    <row r="7" customFormat="false" ht="32.8" hidden="false" customHeight="false" outlineLevel="0" collapsed="false">
      <c r="A7" s="6" t="s">
        <v>66</v>
      </c>
      <c r="B7" s="5" t="s">
        <v>67</v>
      </c>
      <c r="C7" s="5" t="s">
        <v>68</v>
      </c>
    </row>
    <row r="8" customFormat="false" ht="32.8" hidden="false" customHeight="false" outlineLevel="0" collapsed="false">
      <c r="A8" s="6" t="s">
        <v>69</v>
      </c>
      <c r="B8" s="5" t="s">
        <v>70</v>
      </c>
      <c r="C8" s="5" t="s">
        <v>71</v>
      </c>
    </row>
    <row r="9" customFormat="false" ht="61.9" hidden="false" customHeight="false" outlineLevel="0" collapsed="false">
      <c r="A9" s="5" t="s">
        <v>72</v>
      </c>
      <c r="B9" s="5" t="s">
        <v>73</v>
      </c>
      <c r="C9" s="5" t="s">
        <v>74</v>
      </c>
    </row>
    <row r="10" customFormat="false" ht="32.8" hidden="false" customHeight="false" outlineLevel="0" collapsed="false">
      <c r="A10" s="5" t="s">
        <v>75</v>
      </c>
      <c r="B10" s="5" t="s">
        <v>76</v>
      </c>
      <c r="C10" s="5" t="s">
        <v>77</v>
      </c>
    </row>
    <row r="12" customFormat="false" ht="17.15" hidden="false" customHeight="false" outlineLevel="0" collapsed="false">
      <c r="A12" s="7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79</v>
      </c>
    </row>
    <row r="2" customFormat="false" ht="19.4" hidden="false" customHeight="false" outlineLevel="0" collapsed="false">
      <c r="A2" s="1" t="s">
        <v>80</v>
      </c>
    </row>
    <row r="3" customFormat="false" ht="17.15" hidden="false" customHeight="false" outlineLevel="0" collapsed="false">
      <c r="A3" s="3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88</v>
      </c>
      <c r="I3" s="4" t="s">
        <v>89</v>
      </c>
    </row>
    <row r="4" customFormat="false" ht="176.1" hidden="false" customHeight="false" outlineLevel="0" collapsed="false">
      <c r="A4" s="5" t="s">
        <v>90</v>
      </c>
      <c r="B4" s="5" t="s">
        <v>91</v>
      </c>
      <c r="C4" s="6" t="s">
        <v>92</v>
      </c>
      <c r="D4" s="6" t="s">
        <v>93</v>
      </c>
      <c r="E4" s="5" t="s">
        <v>94</v>
      </c>
      <c r="F4" s="5" t="s">
        <v>95</v>
      </c>
      <c r="G4" s="5" t="s">
        <v>96</v>
      </c>
      <c r="H4" s="5" t="n">
        <v>2</v>
      </c>
      <c r="I4" s="6" t="s">
        <v>97</v>
      </c>
    </row>
    <row r="5" customFormat="false" ht="122.35" hidden="false" customHeight="false" outlineLevel="0" collapsed="false">
      <c r="A5" s="5" t="s">
        <v>98</v>
      </c>
      <c r="B5" s="5" t="s">
        <v>99</v>
      </c>
      <c r="C5" s="5" t="s">
        <v>100</v>
      </c>
      <c r="D5" s="6" t="s">
        <v>101</v>
      </c>
      <c r="E5" s="5" t="s">
        <v>102</v>
      </c>
      <c r="F5" s="5" t="s">
        <v>103</v>
      </c>
      <c r="G5" s="5" t="s">
        <v>104</v>
      </c>
      <c r="H5" s="5" t="n">
        <v>2</v>
      </c>
      <c r="I5" s="6" t="s">
        <v>105</v>
      </c>
    </row>
    <row r="6" customFormat="false" ht="207.45" hidden="false" customHeight="false" outlineLevel="0" collapsed="false">
      <c r="A6" s="5" t="s">
        <v>106</v>
      </c>
      <c r="B6" s="5" t="s">
        <v>107</v>
      </c>
      <c r="C6" s="5" t="s">
        <v>108</v>
      </c>
      <c r="D6" s="6" t="s">
        <v>109</v>
      </c>
      <c r="E6" s="5" t="s">
        <v>110</v>
      </c>
      <c r="F6" s="5" t="s">
        <v>111</v>
      </c>
      <c r="G6" s="5" t="s">
        <v>112</v>
      </c>
      <c r="H6" s="5" t="s">
        <v>113</v>
      </c>
      <c r="I6" s="6" t="s">
        <v>114</v>
      </c>
    </row>
    <row r="7" customFormat="false" ht="64.15" hidden="false" customHeight="false" outlineLevel="0" collapsed="false">
      <c r="A7" s="5" t="s">
        <v>115</v>
      </c>
      <c r="B7" s="5" t="s">
        <v>91</v>
      </c>
      <c r="C7" s="5" t="s">
        <v>116</v>
      </c>
      <c r="D7" s="6" t="s">
        <v>117</v>
      </c>
      <c r="E7" s="5" t="s">
        <v>118</v>
      </c>
      <c r="F7" s="5" t="s">
        <v>119</v>
      </c>
      <c r="G7" s="5" t="s">
        <v>120</v>
      </c>
      <c r="H7" s="5" t="s">
        <v>121</v>
      </c>
      <c r="I7" s="6" t="s">
        <v>122</v>
      </c>
    </row>
    <row r="8" customFormat="false" ht="245.5" hidden="false" customHeight="false" outlineLevel="0" collapsed="false">
      <c r="A8" s="5" t="s">
        <v>123</v>
      </c>
      <c r="B8" s="5" t="s">
        <v>124</v>
      </c>
      <c r="C8" s="5" t="s">
        <v>125</v>
      </c>
      <c r="D8" s="6" t="s">
        <v>126</v>
      </c>
      <c r="E8" s="5" t="s">
        <v>127</v>
      </c>
      <c r="F8" s="5" t="s">
        <v>128</v>
      </c>
      <c r="G8" s="5" t="s">
        <v>129</v>
      </c>
      <c r="H8" s="5" t="n">
        <v>1</v>
      </c>
      <c r="I8" s="6" t="s">
        <v>130</v>
      </c>
    </row>
    <row r="9" customFormat="false" ht="158.2" hidden="false" customHeight="false" outlineLevel="0" collapsed="false">
      <c r="A9" s="5" t="s">
        <v>131</v>
      </c>
      <c r="B9" s="5" t="s">
        <v>132</v>
      </c>
      <c r="C9" s="5" t="s">
        <v>133</v>
      </c>
      <c r="D9" s="6" t="s">
        <v>134</v>
      </c>
      <c r="E9" s="5" t="s">
        <v>135</v>
      </c>
      <c r="F9" s="5" t="s">
        <v>136</v>
      </c>
      <c r="G9" s="5" t="s">
        <v>137</v>
      </c>
      <c r="H9" s="5" t="s">
        <v>138</v>
      </c>
      <c r="I9" s="6" t="s">
        <v>139</v>
      </c>
    </row>
    <row r="10" customFormat="false" ht="32.8" hidden="false" customHeight="false" outlineLevel="0" collapsed="false">
      <c r="A10" s="5" t="s">
        <v>140</v>
      </c>
      <c r="B10" s="5" t="s">
        <v>132</v>
      </c>
      <c r="C10" s="5" t="s">
        <v>141</v>
      </c>
      <c r="D10" s="6" t="s">
        <v>142</v>
      </c>
      <c r="E10" s="5" t="s">
        <v>110</v>
      </c>
      <c r="F10" s="6" t="s">
        <v>143</v>
      </c>
      <c r="G10" s="5" t="s">
        <v>144</v>
      </c>
      <c r="H10" s="5" t="n">
        <v>2</v>
      </c>
      <c r="I10" s="6" t="s">
        <v>145</v>
      </c>
    </row>
    <row r="11" customFormat="false" ht="144.75" hidden="false" customHeight="false" outlineLevel="0" collapsed="false">
      <c r="A11" s="5" t="s">
        <v>146</v>
      </c>
      <c r="B11" s="5" t="s">
        <v>147</v>
      </c>
      <c r="C11" s="6" t="s">
        <v>148</v>
      </c>
      <c r="D11" s="6" t="s">
        <v>149</v>
      </c>
      <c r="E11" s="5" t="s">
        <v>150</v>
      </c>
      <c r="F11" s="5" t="s">
        <v>151</v>
      </c>
      <c r="G11" s="5" t="s">
        <v>152</v>
      </c>
      <c r="H11" s="5" t="n">
        <v>1</v>
      </c>
      <c r="I11" s="6" t="s">
        <v>114</v>
      </c>
    </row>
    <row r="12" customFormat="false" ht="97.75" hidden="false" customHeight="false" outlineLevel="0" collapsed="false">
      <c r="A12" s="5" t="s">
        <v>153</v>
      </c>
      <c r="B12" s="5" t="s">
        <v>154</v>
      </c>
      <c r="C12" s="5" t="s">
        <v>155</v>
      </c>
      <c r="D12" s="6" t="s">
        <v>156</v>
      </c>
      <c r="E12" s="5" t="s">
        <v>157</v>
      </c>
      <c r="F12" s="5" t="s">
        <v>158</v>
      </c>
      <c r="G12" s="5" t="s">
        <v>159</v>
      </c>
      <c r="H12" s="5" t="n">
        <v>2</v>
      </c>
      <c r="I12" s="6" t="s">
        <v>160</v>
      </c>
    </row>
    <row r="14" customFormat="false" ht="17.15" hidden="false" customHeight="false" outlineLevel="0" collapsed="false">
      <c r="A14" s="7" t="s">
        <v>161</v>
      </c>
    </row>
    <row r="15" customFormat="false" ht="19.4" hidden="false" customHeight="false" outlineLevel="0" collapsed="false">
      <c r="A15" s="1" t="s">
        <v>162</v>
      </c>
    </row>
    <row r="16" customFormat="false" ht="17.15" hidden="false" customHeight="false" outlineLevel="0" collapsed="false">
      <c r="A16" s="4" t="s">
        <v>163</v>
      </c>
      <c r="B16" s="3" t="s">
        <v>164</v>
      </c>
      <c r="C16" s="3" t="s">
        <v>91</v>
      </c>
      <c r="D16" s="4" t="s">
        <v>165</v>
      </c>
      <c r="E16" s="4" t="s">
        <v>166</v>
      </c>
    </row>
    <row r="17" customFormat="false" ht="32.8" hidden="false" customHeight="false" outlineLevel="0" collapsed="false">
      <c r="A17" s="6" t="s">
        <v>167</v>
      </c>
      <c r="B17" s="5" t="s">
        <v>168</v>
      </c>
      <c r="C17" s="5" t="s">
        <v>169</v>
      </c>
      <c r="D17" s="5" t="s">
        <v>170</v>
      </c>
      <c r="E17" s="6" t="s">
        <v>171</v>
      </c>
    </row>
    <row r="18" customFormat="false" ht="32.8" hidden="false" customHeight="false" outlineLevel="0" collapsed="false">
      <c r="A18" s="5" t="s">
        <v>172</v>
      </c>
      <c r="B18" s="5" t="n">
        <v>3</v>
      </c>
      <c r="C18" s="5" t="n">
        <v>4.3</v>
      </c>
      <c r="D18" s="5" t="s">
        <v>173</v>
      </c>
      <c r="E18" s="6" t="s">
        <v>174</v>
      </c>
    </row>
    <row r="19" customFormat="false" ht="32.8" hidden="false" customHeight="false" outlineLevel="0" collapsed="false">
      <c r="A19" s="6" t="s">
        <v>175</v>
      </c>
      <c r="B19" s="5" t="s">
        <v>176</v>
      </c>
      <c r="C19" s="5" t="s">
        <v>177</v>
      </c>
      <c r="D19" s="5" t="s">
        <v>144</v>
      </c>
      <c r="E19" s="6" t="s">
        <v>178</v>
      </c>
    </row>
    <row r="21" customFormat="false" ht="17.15" hidden="false" customHeight="false" outlineLevel="0" collapsed="false">
      <c r="A21" s="7" t="s">
        <v>179</v>
      </c>
    </row>
    <row r="22" customFormat="false" ht="19.4" hidden="false" customHeight="false" outlineLevel="0" collapsed="false">
      <c r="A22" s="1" t="s">
        <v>180</v>
      </c>
    </row>
    <row r="23" customFormat="false" ht="17.15" hidden="false" customHeight="false" outlineLevel="0" collapsed="false">
      <c r="A23" s="4" t="s">
        <v>82</v>
      </c>
      <c r="B23" s="4" t="s">
        <v>181</v>
      </c>
      <c r="C23" s="4" t="s">
        <v>182</v>
      </c>
      <c r="D23" s="4" t="s">
        <v>183</v>
      </c>
      <c r="E23" s="4" t="s">
        <v>87</v>
      </c>
      <c r="F23" s="4" t="s">
        <v>184</v>
      </c>
    </row>
    <row r="24" customFormat="false" ht="32.8" hidden="false" customHeight="false" outlineLevel="0" collapsed="false">
      <c r="A24" s="5" t="s">
        <v>164</v>
      </c>
      <c r="B24" s="5" t="n">
        <v>2.8</v>
      </c>
      <c r="C24" s="5" t="n">
        <v>3.1</v>
      </c>
      <c r="D24" s="5" t="n">
        <v>3.4</v>
      </c>
      <c r="E24" s="6" t="s">
        <v>185</v>
      </c>
      <c r="F24" s="6" t="s">
        <v>186</v>
      </c>
    </row>
    <row r="25" customFormat="false" ht="187.3" hidden="false" customHeight="false" outlineLevel="0" collapsed="false">
      <c r="A25" s="5" t="s">
        <v>91</v>
      </c>
      <c r="B25" s="5" t="n">
        <v>4</v>
      </c>
      <c r="C25" s="5" t="n">
        <v>4.3</v>
      </c>
      <c r="D25" s="5" t="n">
        <v>5</v>
      </c>
      <c r="E25" s="5" t="s">
        <v>187</v>
      </c>
      <c r="F25" s="6" t="s">
        <v>188</v>
      </c>
    </row>
    <row r="26" customFormat="false" ht="95.5" hidden="false" customHeight="false" outlineLevel="0" collapsed="false">
      <c r="A26" s="5" t="s">
        <v>132</v>
      </c>
      <c r="B26" s="5" t="n">
        <v>7.8</v>
      </c>
      <c r="C26" s="5" t="n">
        <v>8.4</v>
      </c>
      <c r="D26" s="5" t="n">
        <v>9.1</v>
      </c>
      <c r="E26" s="6" t="s">
        <v>185</v>
      </c>
      <c r="F26" s="5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190</v>
      </c>
    </row>
    <row r="2" customFormat="false" ht="32.8" hidden="false" customHeight="false" outlineLevel="0" collapsed="false">
      <c r="A2" s="4" t="s">
        <v>191</v>
      </c>
      <c r="B2" s="4" t="s">
        <v>83</v>
      </c>
      <c r="C2" s="4" t="s">
        <v>82</v>
      </c>
      <c r="D2" s="4" t="s">
        <v>192</v>
      </c>
      <c r="E2" s="4" t="s">
        <v>193</v>
      </c>
      <c r="F2" s="4" t="s">
        <v>87</v>
      </c>
      <c r="G2" s="4" t="s">
        <v>194</v>
      </c>
    </row>
    <row r="3" customFormat="false" ht="48.5" hidden="false" customHeight="false" outlineLevel="0" collapsed="false">
      <c r="A3" s="5" t="s">
        <v>195</v>
      </c>
      <c r="B3" s="5" t="s">
        <v>196</v>
      </c>
      <c r="C3" s="5" t="s">
        <v>91</v>
      </c>
      <c r="D3" s="6" t="s">
        <v>197</v>
      </c>
      <c r="E3" s="5" t="s">
        <v>123</v>
      </c>
      <c r="F3" s="5" t="s">
        <v>198</v>
      </c>
      <c r="G3" s="5" t="s">
        <v>199</v>
      </c>
    </row>
    <row r="4" customFormat="false" ht="131.3" hidden="false" customHeight="false" outlineLevel="0" collapsed="false">
      <c r="A4" s="5" t="s">
        <v>200</v>
      </c>
      <c r="B4" s="5" t="s">
        <v>201</v>
      </c>
      <c r="C4" s="5" t="s">
        <v>202</v>
      </c>
      <c r="D4" s="6" t="s">
        <v>203</v>
      </c>
      <c r="E4" s="5" t="s">
        <v>204</v>
      </c>
      <c r="F4" s="5" t="s">
        <v>205</v>
      </c>
      <c r="G4" s="6" t="s">
        <v>206</v>
      </c>
    </row>
    <row r="5" customFormat="false" ht="17.15" hidden="false" customHeight="false" outlineLevel="0" collapsed="false">
      <c r="A5" s="5" t="s">
        <v>207</v>
      </c>
      <c r="B5" s="6" t="s">
        <v>208</v>
      </c>
      <c r="C5" s="5" t="s">
        <v>144</v>
      </c>
      <c r="D5" s="6" t="s">
        <v>209</v>
      </c>
      <c r="E5" s="6" t="s">
        <v>210</v>
      </c>
      <c r="F5" s="5" t="s">
        <v>144</v>
      </c>
      <c r="G5" s="5" t="s">
        <v>144</v>
      </c>
    </row>
    <row r="6" customFormat="false" ht="64.15" hidden="false" customHeight="false" outlineLevel="0" collapsed="false">
      <c r="A6" s="5" t="s">
        <v>211</v>
      </c>
      <c r="B6" s="6" t="s">
        <v>212</v>
      </c>
      <c r="C6" s="5" t="s">
        <v>144</v>
      </c>
      <c r="D6" s="5" t="s">
        <v>144</v>
      </c>
      <c r="E6" s="5" t="s">
        <v>144</v>
      </c>
      <c r="F6" s="5" t="s">
        <v>144</v>
      </c>
      <c r="G6" s="5" t="s">
        <v>144</v>
      </c>
    </row>
    <row r="7" customFormat="false" ht="64.15" hidden="false" customHeight="false" outlineLevel="0" collapsed="false">
      <c r="A7" s="5" t="s">
        <v>213</v>
      </c>
      <c r="B7" s="5" t="s">
        <v>214</v>
      </c>
      <c r="C7" s="5" t="s">
        <v>215</v>
      </c>
      <c r="D7" s="5" t="s">
        <v>216</v>
      </c>
      <c r="E7" s="5" t="s">
        <v>131</v>
      </c>
      <c r="F7" s="5" t="s">
        <v>120</v>
      </c>
      <c r="G7" s="6" t="s">
        <v>217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218</v>
      </c>
    </row>
    <row r="2" customFormat="false" ht="19.4" hidden="false" customHeight="false" outlineLevel="0" collapsed="false">
      <c r="A2" s="1" t="s">
        <v>219</v>
      </c>
    </row>
    <row r="3" customFormat="false" ht="17.15" hidden="false" customHeight="false" outlineLevel="0" collapsed="false">
      <c r="A3" s="3" t="s">
        <v>81</v>
      </c>
      <c r="B3" s="4" t="s">
        <v>51</v>
      </c>
      <c r="C3" s="4" t="s">
        <v>83</v>
      </c>
      <c r="D3" s="4" t="s">
        <v>192</v>
      </c>
      <c r="E3" s="4" t="s">
        <v>220</v>
      </c>
      <c r="F3" s="4" t="s">
        <v>193</v>
      </c>
      <c r="G3" s="4" t="s">
        <v>87</v>
      </c>
      <c r="H3" s="4" t="s">
        <v>88</v>
      </c>
    </row>
    <row r="4" customFormat="false" ht="55.2" hidden="false" customHeight="false" outlineLevel="0" collapsed="false">
      <c r="A4" s="5" t="s">
        <v>221</v>
      </c>
      <c r="B4" s="5" t="s">
        <v>222</v>
      </c>
      <c r="C4" s="6" t="s">
        <v>223</v>
      </c>
      <c r="D4" s="6" t="s">
        <v>224</v>
      </c>
      <c r="E4" s="5" t="s">
        <v>225</v>
      </c>
      <c r="F4" s="5" t="s">
        <v>226</v>
      </c>
      <c r="G4" s="5" t="s">
        <v>227</v>
      </c>
      <c r="H4" s="5" t="n">
        <v>1</v>
      </c>
    </row>
    <row r="5" customFormat="false" ht="41.75" hidden="false" customHeight="false" outlineLevel="0" collapsed="false">
      <c r="A5" s="5" t="s">
        <v>228</v>
      </c>
      <c r="B5" s="5" t="s">
        <v>229</v>
      </c>
      <c r="C5" s="6" t="s">
        <v>230</v>
      </c>
      <c r="D5" s="6" t="s">
        <v>231</v>
      </c>
      <c r="E5" s="6" t="s">
        <v>232</v>
      </c>
      <c r="F5" s="5" t="s">
        <v>233</v>
      </c>
      <c r="G5" s="5" t="s">
        <v>234</v>
      </c>
      <c r="H5" s="5" t="n">
        <v>1</v>
      </c>
    </row>
    <row r="6" customFormat="false" ht="61.9" hidden="false" customHeight="false" outlineLevel="0" collapsed="false">
      <c r="A6" s="5" t="s">
        <v>235</v>
      </c>
      <c r="B6" s="5" t="s">
        <v>236</v>
      </c>
      <c r="C6" s="6" t="s">
        <v>237</v>
      </c>
      <c r="D6" s="6" t="s">
        <v>238</v>
      </c>
      <c r="E6" s="6" t="s">
        <v>232</v>
      </c>
      <c r="F6" s="5" t="s">
        <v>239</v>
      </c>
      <c r="G6" s="5" t="s">
        <v>240</v>
      </c>
      <c r="H6" s="5" t="n">
        <v>2</v>
      </c>
    </row>
    <row r="7" customFormat="false" ht="138.05" hidden="false" customHeight="false" outlineLevel="0" collapsed="false">
      <c r="A7" s="5" t="s">
        <v>241</v>
      </c>
      <c r="B7" s="5" t="s">
        <v>242</v>
      </c>
      <c r="C7" s="6" t="s">
        <v>243</v>
      </c>
      <c r="D7" s="6" t="s">
        <v>244</v>
      </c>
      <c r="E7" s="6" t="s">
        <v>232</v>
      </c>
      <c r="F7" s="5" t="s">
        <v>245</v>
      </c>
      <c r="G7" s="5" t="s">
        <v>246</v>
      </c>
      <c r="H7" s="5" t="n">
        <v>2</v>
      </c>
    </row>
    <row r="8" customFormat="false" ht="70.85" hidden="false" customHeight="false" outlineLevel="0" collapsed="false">
      <c r="A8" s="5" t="s">
        <v>247</v>
      </c>
      <c r="B8" s="6" t="s">
        <v>248</v>
      </c>
      <c r="C8" s="6" t="s">
        <v>249</v>
      </c>
      <c r="D8" s="5" t="s">
        <v>250</v>
      </c>
      <c r="E8" s="5" t="s">
        <v>251</v>
      </c>
      <c r="F8" s="5" t="s">
        <v>252</v>
      </c>
      <c r="G8" s="5" t="s">
        <v>253</v>
      </c>
      <c r="H8" s="5" t="n">
        <v>2</v>
      </c>
    </row>
    <row r="9" customFormat="false" ht="142.5" hidden="false" customHeight="false" outlineLevel="0" collapsed="false">
      <c r="A9" s="5" t="s">
        <v>254</v>
      </c>
      <c r="B9" s="5" t="s">
        <v>255</v>
      </c>
      <c r="C9" s="5" t="s">
        <v>256</v>
      </c>
      <c r="D9" s="6" t="s">
        <v>257</v>
      </c>
      <c r="E9" s="5" t="s">
        <v>258</v>
      </c>
      <c r="F9" s="5" t="s">
        <v>259</v>
      </c>
      <c r="G9" s="5" t="s">
        <v>205</v>
      </c>
      <c r="H9" s="5" t="n">
        <v>2</v>
      </c>
    </row>
    <row r="11" customFormat="false" ht="17.15" hidden="false" customHeight="false" outlineLevel="0" collapsed="false">
      <c r="A11" s="7" t="s">
        <v>260</v>
      </c>
    </row>
    <row r="12" customFormat="false" ht="19.4" hidden="false" customHeight="false" outlineLevel="0" collapsed="false">
      <c r="A12" s="1" t="s">
        <v>261</v>
      </c>
    </row>
    <row r="13" customFormat="false" ht="17.15" hidden="false" customHeight="false" outlineLevel="0" collapsed="false">
      <c r="A13" s="0" t="s">
        <v>262</v>
      </c>
    </row>
    <row r="14" customFormat="false" ht="17.15" hidden="false" customHeight="false" outlineLevel="0" collapsed="false">
      <c r="A14" s="0" t="s">
        <v>263</v>
      </c>
    </row>
    <row r="15" customFormat="false" ht="17.15" hidden="false" customHeight="false" outlineLevel="0" collapsed="false">
      <c r="A15" s="0" t="s">
        <v>264</v>
      </c>
    </row>
    <row r="16" customFormat="false" ht="17.15" hidden="false" customHeight="false" outlineLevel="0" collapsed="false">
      <c r="A16" s="0" t="s">
        <v>265</v>
      </c>
    </row>
    <row r="17" customFormat="false" ht="19.4" hidden="false" customHeight="false" outlineLevel="0" collapsed="false">
      <c r="A17" s="1" t="s">
        <v>266</v>
      </c>
    </row>
    <row r="18" customFormat="false" ht="32.8" hidden="false" customHeight="false" outlineLevel="0" collapsed="false">
      <c r="A18" s="4" t="s">
        <v>267</v>
      </c>
      <c r="B18" s="4" t="s">
        <v>268</v>
      </c>
      <c r="C18" s="4" t="s">
        <v>269</v>
      </c>
      <c r="D18" s="4" t="s">
        <v>270</v>
      </c>
      <c r="E18" s="4" t="s">
        <v>87</v>
      </c>
    </row>
    <row r="19" customFormat="false" ht="48.5" hidden="false" customHeight="false" outlineLevel="0" collapsed="false">
      <c r="A19" s="5" t="s">
        <v>271</v>
      </c>
      <c r="B19" s="6" t="s">
        <v>272</v>
      </c>
      <c r="C19" s="6" t="s">
        <v>273</v>
      </c>
      <c r="D19" s="5" t="s">
        <v>144</v>
      </c>
      <c r="E19" s="5" t="s">
        <v>274</v>
      </c>
    </row>
    <row r="20" customFormat="false" ht="46.25" hidden="false" customHeight="false" outlineLevel="0" collapsed="false">
      <c r="A20" s="5" t="s">
        <v>275</v>
      </c>
      <c r="B20" s="5" t="s">
        <v>144</v>
      </c>
      <c r="C20" s="5" t="s">
        <v>144</v>
      </c>
      <c r="D20" s="6" t="s">
        <v>276</v>
      </c>
      <c r="E20" s="5" t="s">
        <v>277</v>
      </c>
    </row>
    <row r="22" customFormat="false" ht="17.15" hidden="false" customHeight="false" outlineLevel="0" collapsed="false">
      <c r="A22" s="7" t="s">
        <v>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279</v>
      </c>
    </row>
    <row r="2" customFormat="false" ht="17.15" hidden="false" customHeight="false" outlineLevel="0" collapsed="false">
      <c r="A2" s="3" t="s">
        <v>81</v>
      </c>
      <c r="B2" s="4" t="s">
        <v>51</v>
      </c>
      <c r="C2" s="4" t="s">
        <v>83</v>
      </c>
      <c r="D2" s="4" t="s">
        <v>193</v>
      </c>
      <c r="E2" s="4" t="s">
        <v>87</v>
      </c>
      <c r="F2" s="4" t="s">
        <v>280</v>
      </c>
    </row>
    <row r="3" customFormat="false" ht="106.7" hidden="false" customHeight="false" outlineLevel="0" collapsed="false">
      <c r="A3" s="5" t="s">
        <v>281</v>
      </c>
      <c r="B3" s="6" t="s">
        <v>282</v>
      </c>
      <c r="C3" s="5" t="s">
        <v>283</v>
      </c>
      <c r="D3" s="5" t="s">
        <v>284</v>
      </c>
      <c r="E3" s="5" t="s">
        <v>285</v>
      </c>
      <c r="F3" s="6" t="s">
        <v>286</v>
      </c>
    </row>
    <row r="4" customFormat="false" ht="95.5" hidden="false" customHeight="false" outlineLevel="0" collapsed="false">
      <c r="A4" s="5" t="s">
        <v>287</v>
      </c>
      <c r="B4" s="5" t="s">
        <v>288</v>
      </c>
      <c r="C4" s="5" t="s">
        <v>289</v>
      </c>
      <c r="D4" s="5" t="s">
        <v>290</v>
      </c>
      <c r="E4" s="5" t="s">
        <v>291</v>
      </c>
      <c r="F4" s="6" t="s">
        <v>292</v>
      </c>
    </row>
    <row r="5" customFormat="false" ht="48.5" hidden="false" customHeight="false" outlineLevel="0" collapsed="false">
      <c r="A5" s="5" t="s">
        <v>144</v>
      </c>
      <c r="B5" s="5" t="s">
        <v>293</v>
      </c>
      <c r="C5" s="5" t="s">
        <v>294</v>
      </c>
      <c r="D5" s="5" t="s">
        <v>295</v>
      </c>
      <c r="E5" s="5" t="s">
        <v>296</v>
      </c>
      <c r="F5" s="6" t="s">
        <v>297</v>
      </c>
    </row>
    <row r="7" customFormat="false" ht="17.15" hidden="false" customHeight="false" outlineLevel="0" collapsed="false">
      <c r="A7" s="7" t="s">
        <v>298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299</v>
      </c>
    </row>
    <row r="2" customFormat="false" ht="17.15" hidden="false" customHeight="false" outlineLevel="0" collapsed="false">
      <c r="A2" s="0" t="s">
        <v>300</v>
      </c>
    </row>
    <row r="3" customFormat="false" ht="17.15" hidden="false" customHeight="false" outlineLevel="0" collapsed="false">
      <c r="A3" s="4" t="s">
        <v>301</v>
      </c>
      <c r="B3" s="3" t="s">
        <v>302</v>
      </c>
      <c r="C3" s="3" t="s">
        <v>303</v>
      </c>
      <c r="D3" s="3" t="s">
        <v>304</v>
      </c>
      <c r="E3" s="3" t="s">
        <v>305</v>
      </c>
      <c r="F3" s="3" t="s">
        <v>306</v>
      </c>
      <c r="G3" s="3" t="s">
        <v>307</v>
      </c>
    </row>
    <row r="4" customFormat="false" ht="17.15" hidden="false" customHeight="false" outlineLevel="0" collapsed="false">
      <c r="A4" s="6" t="s">
        <v>308</v>
      </c>
      <c r="B4" s="5" t="n">
        <v>37.446</v>
      </c>
      <c r="C4" s="5" t="n">
        <v>1.123</v>
      </c>
      <c r="D4" s="5" t="n">
        <v>12.725</v>
      </c>
      <c r="E4" s="5" t="n">
        <v>37.586</v>
      </c>
      <c r="F4" s="5" t="n">
        <v>1.128</v>
      </c>
      <c r="G4" s="5" t="n">
        <v>12.762</v>
      </c>
    </row>
    <row r="5" customFormat="false" ht="17.15" hidden="false" customHeight="false" outlineLevel="0" collapsed="false">
      <c r="A5" s="5" t="s">
        <v>309</v>
      </c>
      <c r="B5" s="5" t="s">
        <v>310</v>
      </c>
      <c r="C5" s="5" t="n">
        <v>0.967</v>
      </c>
      <c r="D5" s="5" t="s">
        <v>311</v>
      </c>
      <c r="E5" s="6" t="s">
        <v>185</v>
      </c>
      <c r="F5" s="6" t="s">
        <v>185</v>
      </c>
      <c r="G5" s="6" t="s">
        <v>185</v>
      </c>
    </row>
    <row r="6" customFormat="false" ht="17.15" hidden="false" customHeight="false" outlineLevel="0" collapsed="false">
      <c r="A6" s="5" t="s">
        <v>312</v>
      </c>
      <c r="B6" s="5" t="n">
        <v>30.005</v>
      </c>
      <c r="C6" s="5" t="n">
        <v>0.9</v>
      </c>
      <c r="D6" s="5" t="s">
        <v>313</v>
      </c>
      <c r="E6" s="6" t="s">
        <v>185</v>
      </c>
      <c r="F6" s="6" t="s">
        <v>185</v>
      </c>
      <c r="G6" s="6" t="s">
        <v>185</v>
      </c>
    </row>
    <row r="7" customFormat="false" ht="17.15" hidden="false" customHeight="false" outlineLevel="0" collapsed="false">
      <c r="A7" s="5" t="s">
        <v>314</v>
      </c>
      <c r="B7" s="6" t="s">
        <v>185</v>
      </c>
      <c r="C7" s="5" t="s">
        <v>315</v>
      </c>
      <c r="D7" s="5" t="s">
        <v>316</v>
      </c>
      <c r="E7" s="6" t="s">
        <v>185</v>
      </c>
      <c r="F7" s="5" t="s">
        <v>317</v>
      </c>
      <c r="G7" s="5" t="s">
        <v>318</v>
      </c>
    </row>
    <row r="8" customFormat="false" ht="17.15" hidden="false" customHeight="false" outlineLevel="0" collapsed="false">
      <c r="A8" s="5" t="s">
        <v>319</v>
      </c>
      <c r="B8" s="6" t="s">
        <v>185</v>
      </c>
      <c r="C8" s="5" t="n">
        <v>0.749</v>
      </c>
      <c r="D8" s="5" t="s">
        <v>320</v>
      </c>
      <c r="E8" s="6" t="s">
        <v>185</v>
      </c>
      <c r="F8" s="5" t="n">
        <v>0.752</v>
      </c>
      <c r="G8" s="5" t="s">
        <v>321</v>
      </c>
    </row>
    <row r="9" customFormat="false" ht="32.8" hidden="false" customHeight="false" outlineLevel="0" collapsed="false">
      <c r="A9" s="5" t="s">
        <v>322</v>
      </c>
      <c r="B9" s="5" t="n">
        <v>32.237</v>
      </c>
      <c r="C9" s="5" t="s">
        <v>323</v>
      </c>
      <c r="D9" s="5" t="s">
        <v>324</v>
      </c>
      <c r="E9" s="5" t="n">
        <v>37.586</v>
      </c>
      <c r="F9" s="5" t="n">
        <v>0.59</v>
      </c>
      <c r="G9" s="5" t="s">
        <v>318</v>
      </c>
    </row>
    <row r="10" customFormat="false" ht="32.8" hidden="false" customHeight="false" outlineLevel="0" collapsed="false">
      <c r="A10" s="6" t="s">
        <v>325</v>
      </c>
      <c r="B10" s="5" t="s">
        <v>144</v>
      </c>
      <c r="C10" s="5" t="s">
        <v>144</v>
      </c>
      <c r="D10" s="5" t="s">
        <v>144</v>
      </c>
      <c r="E10" s="5" t="n">
        <v>38.478</v>
      </c>
      <c r="F10" s="5" t="n">
        <v>1.154</v>
      </c>
      <c r="G10" s="5" t="n">
        <v>12.998</v>
      </c>
    </row>
    <row r="12" customFormat="false" ht="17.15" hidden="false" customHeight="false" outlineLevel="0" collapsed="false">
      <c r="A12" s="7" t="s">
        <v>326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46"/>
  </cols>
  <sheetData>
    <row r="1" customFormat="false" ht="17.15" hidden="false" customHeight="false" outlineLevel="0" collapsed="false">
      <c r="A1" s="8" t="s">
        <v>327</v>
      </c>
    </row>
    <row r="3" customFormat="false" ht="17.15" hidden="false" customHeight="false" outlineLevel="0" collapsed="false">
      <c r="A3" s="9" t="s">
        <v>51</v>
      </c>
      <c r="B3" s="10" t="s">
        <v>328</v>
      </c>
      <c r="C3" s="10" t="s">
        <v>329</v>
      </c>
      <c r="D3" s="10" t="s">
        <v>330</v>
      </c>
      <c r="E3" s="10" t="s">
        <v>331</v>
      </c>
      <c r="F3" s="9" t="s">
        <v>332</v>
      </c>
    </row>
    <row r="4" customFormat="false" ht="17.15" hidden="false" customHeight="false" outlineLevel="0" collapsed="false">
      <c r="A4" s="7" t="s">
        <v>333</v>
      </c>
      <c r="B4" s="11" t="n">
        <v>6764</v>
      </c>
      <c r="C4" s="11" t="n">
        <v>6764</v>
      </c>
      <c r="D4" s="11" t="n">
        <v>4052</v>
      </c>
      <c r="E4" s="11" t="n">
        <v>4052</v>
      </c>
      <c r="F4" s="12" t="s">
        <v>334</v>
      </c>
    </row>
    <row r="5" customFormat="false" ht="17.15" hidden="false" customHeight="false" outlineLevel="0" collapsed="false">
      <c r="A5" s="0" t="s">
        <v>335</v>
      </c>
      <c r="B5" s="11" t="n">
        <v>487008</v>
      </c>
      <c r="C5" s="11" t="n">
        <v>487008</v>
      </c>
      <c r="D5" s="11" t="n">
        <v>291744</v>
      </c>
      <c r="E5" s="11" t="n">
        <v>291744</v>
      </c>
      <c r="F5" s="12" t="s">
        <v>336</v>
      </c>
    </row>
    <row r="6" customFormat="false" ht="17.15" hidden="false" customHeight="false" outlineLevel="0" collapsed="false">
      <c r="A6" s="7" t="s">
        <v>337</v>
      </c>
      <c r="B6" s="11" t="n">
        <v>5</v>
      </c>
      <c r="C6" s="11" t="n">
        <v>4.3</v>
      </c>
      <c r="D6" s="11" t="n">
        <v>8.4</v>
      </c>
      <c r="E6" s="11" t="n">
        <v>8.4</v>
      </c>
      <c r="F6" s="12" t="s">
        <v>338</v>
      </c>
    </row>
    <row r="7" customFormat="false" ht="17.15" hidden="false" customHeight="false" outlineLevel="0" collapsed="false">
      <c r="A7" s="0" t="s">
        <v>339</v>
      </c>
      <c r="B7" s="11" t="n">
        <v>0.1</v>
      </c>
      <c r="C7" s="11" t="n">
        <v>0.1</v>
      </c>
      <c r="D7" s="11" t="n">
        <v>0.1</v>
      </c>
      <c r="E7" s="11" t="n">
        <v>0.1</v>
      </c>
      <c r="F7" s="12" t="s">
        <v>340</v>
      </c>
    </row>
    <row r="8" customFormat="false" ht="17.15" hidden="false" customHeight="false" outlineLevel="0" collapsed="false">
      <c r="A8" s="7" t="s">
        <v>341</v>
      </c>
      <c r="B8" s="11" t="n">
        <v>500</v>
      </c>
      <c r="C8" s="11" t="n">
        <v>500</v>
      </c>
      <c r="D8" s="11" t="n">
        <v>500</v>
      </c>
      <c r="E8" s="11" t="n">
        <v>500</v>
      </c>
      <c r="F8" s="12" t="s">
        <v>342</v>
      </c>
    </row>
    <row r="9" customFormat="false" ht="17.15" hidden="false" customHeight="false" outlineLevel="0" collapsed="false">
      <c r="A9" s="0" t="s">
        <v>343</v>
      </c>
      <c r="B9" s="11" t="n">
        <v>0.03</v>
      </c>
      <c r="C9" s="11" t="n">
        <v>0.0157</v>
      </c>
      <c r="D9" s="11" t="n">
        <v>0.03</v>
      </c>
      <c r="E9" s="11" t="n">
        <v>0.0157</v>
      </c>
      <c r="F9" s="12" t="s">
        <v>344</v>
      </c>
    </row>
    <row r="10" customFormat="false" ht="15" hidden="false" customHeight="false" outlineLevel="0" collapsed="false">
      <c r="A10" s="0" t="s">
        <v>345</v>
      </c>
      <c r="B10" s="11" t="n">
        <v>0.1</v>
      </c>
      <c r="C10" s="11" t="n">
        <v>0.1</v>
      </c>
      <c r="D10" s="11" t="n">
        <v>0.1</v>
      </c>
      <c r="E10" s="11" t="n">
        <v>0.1</v>
      </c>
      <c r="F10" s="12" t="s">
        <v>346</v>
      </c>
    </row>
    <row r="11" customFormat="false" ht="17.15" hidden="false" customHeight="false" outlineLevel="0" collapsed="false">
      <c r="A11" s="0" t="s">
        <v>347</v>
      </c>
      <c r="B11" s="11" t="n">
        <v>6</v>
      </c>
      <c r="C11" s="11" t="n">
        <v>6</v>
      </c>
      <c r="D11" s="11" t="n">
        <v>6</v>
      </c>
      <c r="E11" s="11" t="n">
        <v>6</v>
      </c>
      <c r="F11" s="12" t="s">
        <v>348</v>
      </c>
    </row>
    <row r="12" customFormat="false" ht="17.15" hidden="false" customHeight="false" outlineLevel="0" collapsed="false">
      <c r="A12" s="7" t="s">
        <v>349</v>
      </c>
      <c r="B12" s="11" t="n">
        <v>12.67</v>
      </c>
      <c r="C12" s="11" t="n">
        <v>12.67</v>
      </c>
      <c r="D12" s="11" t="n">
        <v>12.67</v>
      </c>
      <c r="E12" s="11" t="n">
        <v>12.67</v>
      </c>
      <c r="F12" s="12" t="s">
        <v>350</v>
      </c>
    </row>
    <row r="13" customFormat="false" ht="17.15" hidden="false" customHeight="false" outlineLevel="0" collapsed="false">
      <c r="A13" s="7" t="s">
        <v>351</v>
      </c>
      <c r="B13" s="11" t="n">
        <v>1.50187163616098</v>
      </c>
      <c r="C13" s="11" t="n">
        <v>1.50187163616098</v>
      </c>
      <c r="D13" s="11" t="n">
        <v>1.50187163616098</v>
      </c>
      <c r="E13" s="11" t="n">
        <v>1.50187163616098</v>
      </c>
      <c r="F13" s="12" t="s">
        <v>352</v>
      </c>
    </row>
    <row r="14" customFormat="false" ht="17.15" hidden="false" customHeight="false" outlineLevel="0" collapsed="false">
      <c r="A14" s="7" t="s">
        <v>353</v>
      </c>
      <c r="B14" s="11" t="n">
        <v>0.672768</v>
      </c>
      <c r="C14" s="11" t="n">
        <v>0.672768</v>
      </c>
      <c r="D14" s="11" t="n">
        <v>0.672768</v>
      </c>
      <c r="E14" s="11" t="n">
        <v>0.672768</v>
      </c>
      <c r="F14" s="12" t="s">
        <v>354</v>
      </c>
    </row>
    <row r="15" customFormat="false" ht="17.15" hidden="false" customHeight="false" outlineLevel="0" collapsed="false">
      <c r="A15" s="7" t="s">
        <v>355</v>
      </c>
      <c r="B15" s="11" t="n">
        <v>0.2534</v>
      </c>
      <c r="C15" s="11" t="n">
        <v>0.2534</v>
      </c>
      <c r="D15" s="11" t="n">
        <v>0.2534</v>
      </c>
      <c r="E15" s="11" t="n">
        <v>0.2534</v>
      </c>
      <c r="F15" s="12" t="s">
        <v>356</v>
      </c>
    </row>
    <row r="16" customFormat="false" ht="17.15" hidden="false" customHeight="false" outlineLevel="0" collapsed="false">
      <c r="A16" s="7" t="s">
        <v>357</v>
      </c>
      <c r="B16" s="11" t="n">
        <v>0.325</v>
      </c>
      <c r="C16" s="11" t="n">
        <v>0.325</v>
      </c>
      <c r="D16" s="11" t="n">
        <v>0.325</v>
      </c>
      <c r="E16" s="11" t="n">
        <v>0.325</v>
      </c>
      <c r="F16" s="12" t="s">
        <v>358</v>
      </c>
    </row>
    <row r="17" customFormat="false" ht="15" hidden="false" customHeight="false" outlineLevel="0" collapsed="false">
      <c r="A17" s="7" t="s">
        <v>359</v>
      </c>
      <c r="B17" s="11" t="n">
        <v>0.005</v>
      </c>
      <c r="C17" s="11" t="n">
        <v>0.005</v>
      </c>
      <c r="D17" s="11" t="n">
        <v>0.005</v>
      </c>
      <c r="E17" s="11" t="n">
        <v>0.005</v>
      </c>
      <c r="F17" s="12" t="s">
        <v>360</v>
      </c>
    </row>
    <row r="18" customFormat="false" ht="17.15" hidden="false" customHeight="false" outlineLevel="0" collapsed="false">
      <c r="A18" s="13" t="s">
        <v>361</v>
      </c>
      <c r="B18" s="12" t="n">
        <f aca="false">B4*B6*(1+B7)/1000+B5*B8/1000000000</f>
        <v>37.445504</v>
      </c>
      <c r="C18" s="12" t="n">
        <f aca="false">C4*C6*(1+C7)/1000+C5*C8/1000000000</f>
        <v>32.237224</v>
      </c>
      <c r="D18" s="12" t="n">
        <f aca="false">D4*D6*(1+D7)/1000+D5*D8/1000000000</f>
        <v>37.586352</v>
      </c>
      <c r="E18" s="12" t="n">
        <f aca="false">E4*E6*(1+E7)/1000+E5*E8/1000000000</f>
        <v>37.586352</v>
      </c>
    </row>
    <row r="19" customFormat="false" ht="15" hidden="false" customHeight="false" outlineLevel="0" collapsed="false">
      <c r="A19" s="13" t="s">
        <v>362</v>
      </c>
      <c r="B19" s="12" t="n">
        <f aca="false">B18*B9</f>
        <v>1.12336512</v>
      </c>
      <c r="C19" s="12" t="n">
        <f aca="false">C18*C9</f>
        <v>0.5061244168</v>
      </c>
      <c r="D19" s="12" t="n">
        <f aca="false">D18*D9</f>
        <v>1.12759056</v>
      </c>
      <c r="E19" s="12" t="n">
        <f aca="false">E18*E9</f>
        <v>0.5901057264</v>
      </c>
    </row>
    <row r="20" customFormat="false" ht="15" hidden="false" customHeight="false" outlineLevel="0" collapsed="false">
      <c r="A20" s="8" t="s">
        <v>363</v>
      </c>
      <c r="B20" s="12" t="n">
        <f aca="false">B10/(1-(1+B10)^(-B11))</f>
        <v>0.229607380362667</v>
      </c>
      <c r="C20" s="12" t="n">
        <f aca="false">C10/(1-(1+C10)^(-C11))</f>
        <v>0.229607380362667</v>
      </c>
      <c r="D20" s="12" t="n">
        <f aca="false">D10/(1-(1+D10)^(-D11))</f>
        <v>0.229607380362667</v>
      </c>
      <c r="E20" s="12" t="n">
        <f aca="false">E10/(1-(1+E10)^(-E11))</f>
        <v>0.229607380362667</v>
      </c>
    </row>
    <row r="21" customFormat="false" ht="15" hidden="false" customHeight="false" outlineLevel="0" collapsed="false">
      <c r="A21" s="8" t="s">
        <v>364</v>
      </c>
      <c r="B21" s="12" t="n">
        <f aca="false">B14+B19+B15+B16+B17*(B18+B12)</f>
        <v>2.62511064</v>
      </c>
      <c r="C21" s="12" t="n">
        <f aca="false">C14+C19+C15+C16+C17*(C18+C12)</f>
        <v>1.9818285368</v>
      </c>
      <c r="D21" s="12" t="n">
        <f aca="false">D14+D19+D15+D16+D17*(D18+D12)</f>
        <v>2.63004032</v>
      </c>
      <c r="E21" s="12" t="n">
        <f aca="false">E14+E19+E15+E16+E17*(E18+E12)</f>
        <v>2.0925554864</v>
      </c>
    </row>
    <row r="22" customFormat="false" ht="15" hidden="false" customHeight="false" outlineLevel="0" collapsed="false">
      <c r="A22" s="13" t="s">
        <v>365</v>
      </c>
      <c r="B22" s="12" t="n">
        <f aca="false">B18*B20+B13+B21</f>
        <v>12.7247463559608</v>
      </c>
      <c r="C22" s="12" t="n">
        <f aca="false">C18*C20+C13+C21</f>
        <v>10.8856047257655</v>
      </c>
      <c r="D22" s="12" t="n">
        <f aca="false">D18*D20+D13+D21</f>
        <v>12.7620157762701</v>
      </c>
      <c r="E22" s="12" t="n">
        <f aca="false">E18*E20+E13+E21</f>
        <v>12.2245309426701</v>
      </c>
    </row>
    <row r="23" customFormat="false" ht="15" hidden="false" customHeight="false" outlineLevel="0" collapsed="false">
      <c r="A23" s="13" t="s">
        <v>366</v>
      </c>
      <c r="B23" s="12" t="n">
        <f aca="false">B18/B11+0.634416666666667+B21</f>
        <v>9.50044464</v>
      </c>
      <c r="C23" s="12" t="n">
        <f aca="false">C18/C11+0.634416666666667+C21</f>
        <v>7.98911587013333</v>
      </c>
      <c r="D23" s="12" t="n">
        <f aca="false">D18/D11+0.634416666666667+D21</f>
        <v>9.52884898666667</v>
      </c>
      <c r="E23" s="12" t="n">
        <f aca="false">E18/E11+0.634416666666667+E21</f>
        <v>8.99136415306667</v>
      </c>
    </row>
    <row r="25" customFormat="false" ht="17.15" hidden="false" customHeight="false" outlineLevel="0" collapsed="false">
      <c r="A25" s="7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368</v>
      </c>
    </row>
    <row r="2" customFormat="false" ht="17.15" hidden="false" customHeight="false" outlineLevel="0" collapsed="false">
      <c r="A2" s="4" t="s">
        <v>369</v>
      </c>
      <c r="B2" s="4" t="s">
        <v>370</v>
      </c>
      <c r="C2" s="4" t="s">
        <v>193</v>
      </c>
      <c r="D2" s="4" t="s">
        <v>87</v>
      </c>
      <c r="E2" s="4" t="s">
        <v>371</v>
      </c>
      <c r="F2" s="4" t="s">
        <v>372</v>
      </c>
      <c r="G2" s="4" t="s">
        <v>373</v>
      </c>
      <c r="H2" s="4" t="s">
        <v>374</v>
      </c>
      <c r="I2" s="4" t="s">
        <v>375</v>
      </c>
      <c r="J2" s="4" t="s">
        <v>376</v>
      </c>
      <c r="K2" s="4" t="s">
        <v>377</v>
      </c>
      <c r="L2" s="4" t="s">
        <v>378</v>
      </c>
    </row>
    <row r="3" customFormat="false" ht="64.15" hidden="false" customHeight="false" outlineLevel="0" collapsed="false">
      <c r="A3" s="5" t="s">
        <v>379</v>
      </c>
      <c r="B3" s="5" t="s">
        <v>380</v>
      </c>
      <c r="C3" s="5" t="s">
        <v>90</v>
      </c>
      <c r="D3" s="5" t="s">
        <v>120</v>
      </c>
      <c r="E3" s="5" t="s">
        <v>381</v>
      </c>
      <c r="F3" s="5" t="s">
        <v>382</v>
      </c>
      <c r="G3" s="6" t="s">
        <v>383</v>
      </c>
      <c r="H3" s="5" t="s">
        <v>384</v>
      </c>
      <c r="I3" s="6" t="s">
        <v>385</v>
      </c>
      <c r="J3" s="5" t="s">
        <v>386</v>
      </c>
      <c r="K3" s="5" t="s">
        <v>387</v>
      </c>
      <c r="L3" s="5" t="s">
        <v>388</v>
      </c>
    </row>
    <row r="4" customFormat="false" ht="64.15" hidden="false" customHeight="false" outlineLevel="0" collapsed="false">
      <c r="A4" s="5" t="s">
        <v>389</v>
      </c>
      <c r="B4" s="5" t="s">
        <v>390</v>
      </c>
      <c r="C4" s="5" t="s">
        <v>98</v>
      </c>
      <c r="D4" s="5" t="s">
        <v>120</v>
      </c>
      <c r="E4" s="5" t="s">
        <v>391</v>
      </c>
      <c r="F4" s="5" t="n">
        <v>5</v>
      </c>
      <c r="G4" s="5" t="n">
        <v>4.3</v>
      </c>
      <c r="H4" s="6" t="s">
        <v>392</v>
      </c>
      <c r="I4" s="6" t="s">
        <v>393</v>
      </c>
      <c r="J4" s="6" t="s">
        <v>394</v>
      </c>
      <c r="K4" s="6" t="s">
        <v>395</v>
      </c>
      <c r="L4" s="5" t="s">
        <v>388</v>
      </c>
    </row>
    <row r="5" customFormat="false" ht="64.15" hidden="false" customHeight="false" outlineLevel="0" collapsed="false">
      <c r="A5" s="5" t="s">
        <v>396</v>
      </c>
      <c r="B5" s="5" t="s">
        <v>397</v>
      </c>
      <c r="C5" s="5" t="s">
        <v>106</v>
      </c>
      <c r="D5" s="5" t="s">
        <v>205</v>
      </c>
      <c r="E5" s="5" t="s">
        <v>398</v>
      </c>
      <c r="F5" s="5" t="s">
        <v>399</v>
      </c>
      <c r="G5" s="5" t="n">
        <v>4</v>
      </c>
      <c r="H5" s="5" t="s">
        <v>400</v>
      </c>
      <c r="I5" s="6" t="s">
        <v>401</v>
      </c>
      <c r="J5" s="5" t="s">
        <v>402</v>
      </c>
      <c r="K5" s="6" t="s">
        <v>395</v>
      </c>
      <c r="L5" s="5" t="s">
        <v>403</v>
      </c>
    </row>
    <row r="6" customFormat="false" ht="64.15" hidden="false" customHeight="false" outlineLevel="0" collapsed="false">
      <c r="A6" s="5" t="s">
        <v>404</v>
      </c>
      <c r="B6" s="5" t="s">
        <v>405</v>
      </c>
      <c r="C6" s="5" t="s">
        <v>123</v>
      </c>
      <c r="D6" s="5" t="s">
        <v>406</v>
      </c>
      <c r="E6" s="5" t="s">
        <v>407</v>
      </c>
      <c r="F6" s="5" t="s">
        <v>144</v>
      </c>
      <c r="G6" s="5" t="s">
        <v>408</v>
      </c>
      <c r="H6" s="6" t="s">
        <v>409</v>
      </c>
      <c r="I6" s="6" t="s">
        <v>410</v>
      </c>
      <c r="J6" s="6" t="s">
        <v>411</v>
      </c>
      <c r="K6" s="5" t="s">
        <v>412</v>
      </c>
      <c r="L6" s="5" t="s">
        <v>413</v>
      </c>
    </row>
    <row r="7" customFormat="false" ht="48.5" hidden="false" customHeight="false" outlineLevel="0" collapsed="false">
      <c r="A7" s="5" t="s">
        <v>414</v>
      </c>
      <c r="B7" s="5" t="s">
        <v>415</v>
      </c>
      <c r="C7" s="5" t="s">
        <v>131</v>
      </c>
      <c r="D7" s="5" t="s">
        <v>120</v>
      </c>
      <c r="E7" s="5" t="s">
        <v>416</v>
      </c>
      <c r="F7" s="5" t="n">
        <v>9.1</v>
      </c>
      <c r="G7" s="5" t="s">
        <v>417</v>
      </c>
      <c r="H7" s="5" t="s">
        <v>418</v>
      </c>
      <c r="I7" s="6" t="s">
        <v>419</v>
      </c>
      <c r="J7" s="5" t="s">
        <v>420</v>
      </c>
      <c r="K7" s="5" t="s">
        <v>421</v>
      </c>
      <c r="L7" s="5" t="s">
        <v>403</v>
      </c>
    </row>
    <row r="8" customFormat="false" ht="32.8" hidden="false" customHeight="false" outlineLevel="0" collapsed="false">
      <c r="A8" s="5" t="s">
        <v>422</v>
      </c>
      <c r="B8" s="5" t="s">
        <v>423</v>
      </c>
      <c r="C8" s="5" t="s">
        <v>146</v>
      </c>
      <c r="D8" s="5" t="s">
        <v>424</v>
      </c>
      <c r="E8" s="5" t="s">
        <v>425</v>
      </c>
      <c r="F8" s="5" t="n">
        <v>1.68</v>
      </c>
      <c r="G8" s="6" t="s">
        <v>426</v>
      </c>
      <c r="H8" s="6" t="s">
        <v>427</v>
      </c>
      <c r="I8" s="6" t="s">
        <v>428</v>
      </c>
      <c r="J8" s="6" t="s">
        <v>429</v>
      </c>
      <c r="K8" s="5" t="s">
        <v>144</v>
      </c>
      <c r="L8" s="5" t="s">
        <v>430</v>
      </c>
    </row>
    <row r="9" customFormat="false" ht="48.5" hidden="false" customHeight="false" outlineLevel="0" collapsed="false">
      <c r="A9" s="5" t="s">
        <v>431</v>
      </c>
      <c r="B9" s="5" t="s">
        <v>432</v>
      </c>
      <c r="C9" s="5" t="s">
        <v>115</v>
      </c>
      <c r="D9" s="5" t="s">
        <v>120</v>
      </c>
      <c r="E9" s="5" t="s">
        <v>433</v>
      </c>
      <c r="F9" s="5" t="s">
        <v>434</v>
      </c>
      <c r="G9" s="5" t="s">
        <v>435</v>
      </c>
      <c r="H9" s="5" t="s">
        <v>436</v>
      </c>
      <c r="I9" s="6" t="s">
        <v>437</v>
      </c>
      <c r="J9" s="5" t="s">
        <v>438</v>
      </c>
      <c r="K9" s="5" t="s">
        <v>439</v>
      </c>
      <c r="L9" s="5" t="s">
        <v>440</v>
      </c>
    </row>
    <row r="10" customFormat="false" ht="32.8" hidden="false" customHeight="false" outlineLevel="0" collapsed="false">
      <c r="A10" s="5" t="s">
        <v>441</v>
      </c>
      <c r="B10" s="5" t="s">
        <v>442</v>
      </c>
      <c r="C10" s="5" t="s">
        <v>153</v>
      </c>
      <c r="D10" s="5" t="s">
        <v>120</v>
      </c>
      <c r="E10" s="5" t="s">
        <v>144</v>
      </c>
      <c r="F10" s="5" t="s">
        <v>144</v>
      </c>
      <c r="G10" s="5" t="s">
        <v>443</v>
      </c>
      <c r="H10" s="6" t="s">
        <v>444</v>
      </c>
      <c r="I10" s="6" t="s">
        <v>445</v>
      </c>
      <c r="J10" s="5" t="s">
        <v>144</v>
      </c>
      <c r="K10" s="5" t="s">
        <v>144</v>
      </c>
      <c r="L10" s="5" t="s">
        <v>388</v>
      </c>
    </row>
    <row r="11" customFormat="false" ht="48.5" hidden="false" customHeight="false" outlineLevel="0" collapsed="false">
      <c r="A11" s="5" t="s">
        <v>446</v>
      </c>
      <c r="B11" s="5" t="s">
        <v>447</v>
      </c>
      <c r="C11" s="6" t="s">
        <v>448</v>
      </c>
      <c r="D11" s="5" t="s">
        <v>205</v>
      </c>
      <c r="E11" s="5" t="s">
        <v>449</v>
      </c>
      <c r="F11" s="5" t="s">
        <v>450</v>
      </c>
      <c r="G11" s="5" t="s">
        <v>451</v>
      </c>
      <c r="H11" s="6" t="s">
        <v>452</v>
      </c>
      <c r="I11" s="6" t="s">
        <v>453</v>
      </c>
      <c r="J11" s="5" t="s">
        <v>144</v>
      </c>
      <c r="K11" s="5" t="s">
        <v>454</v>
      </c>
      <c r="L11" s="5" t="s">
        <v>388</v>
      </c>
    </row>
    <row r="12" customFormat="false" ht="48.5" hidden="false" customHeight="false" outlineLevel="0" collapsed="false">
      <c r="A12" s="5" t="s">
        <v>455</v>
      </c>
      <c r="B12" s="5" t="s">
        <v>456</v>
      </c>
      <c r="C12" s="5" t="s">
        <v>221</v>
      </c>
      <c r="D12" s="5" t="s">
        <v>296</v>
      </c>
      <c r="E12" s="5" t="s">
        <v>457</v>
      </c>
      <c r="F12" s="5" t="s">
        <v>458</v>
      </c>
      <c r="G12" s="6" t="s">
        <v>459</v>
      </c>
      <c r="H12" s="6" t="s">
        <v>460</v>
      </c>
      <c r="I12" s="6" t="s">
        <v>461</v>
      </c>
      <c r="J12" s="6" t="s">
        <v>411</v>
      </c>
      <c r="K12" s="5" t="s">
        <v>462</v>
      </c>
      <c r="L12" s="5" t="s">
        <v>463</v>
      </c>
    </row>
    <row r="13" customFormat="false" ht="32.8" hidden="false" customHeight="false" outlineLevel="0" collapsed="false">
      <c r="A13" s="5" t="s">
        <v>464</v>
      </c>
      <c r="B13" s="5" t="s">
        <v>465</v>
      </c>
      <c r="C13" s="5" t="s">
        <v>228</v>
      </c>
      <c r="D13" s="5" t="s">
        <v>296</v>
      </c>
      <c r="E13" s="5" t="s">
        <v>466</v>
      </c>
      <c r="F13" s="6" t="s">
        <v>395</v>
      </c>
      <c r="G13" s="6" t="s">
        <v>467</v>
      </c>
      <c r="H13" s="6" t="s">
        <v>460</v>
      </c>
      <c r="I13" s="6" t="s">
        <v>468</v>
      </c>
      <c r="J13" s="6" t="s">
        <v>411</v>
      </c>
      <c r="K13" s="6" t="s">
        <v>395</v>
      </c>
      <c r="L13" s="5" t="s">
        <v>463</v>
      </c>
    </row>
    <row r="14" customFormat="false" ht="32.8" hidden="false" customHeight="false" outlineLevel="0" collapsed="false">
      <c r="A14" s="5" t="s">
        <v>469</v>
      </c>
      <c r="B14" s="5" t="s">
        <v>470</v>
      </c>
      <c r="C14" s="5" t="s">
        <v>241</v>
      </c>
      <c r="D14" s="5" t="s">
        <v>471</v>
      </c>
      <c r="E14" s="5" t="s">
        <v>472</v>
      </c>
      <c r="F14" s="5" t="s">
        <v>473</v>
      </c>
      <c r="G14" s="5" t="s">
        <v>474</v>
      </c>
      <c r="H14" s="6" t="s">
        <v>452</v>
      </c>
      <c r="I14" s="6" t="s">
        <v>475</v>
      </c>
      <c r="J14" s="6" t="s">
        <v>411</v>
      </c>
      <c r="K14" s="6" t="s">
        <v>395</v>
      </c>
      <c r="L14" s="5" t="s">
        <v>388</v>
      </c>
    </row>
    <row r="15" customFormat="false" ht="64.15" hidden="false" customHeight="false" outlineLevel="0" collapsed="false">
      <c r="A15" s="5" t="s">
        <v>476</v>
      </c>
      <c r="B15" s="5" t="s">
        <v>477</v>
      </c>
      <c r="C15" s="5" t="s">
        <v>247</v>
      </c>
      <c r="D15" s="5" t="s">
        <v>120</v>
      </c>
      <c r="E15" s="5" t="s">
        <v>478</v>
      </c>
      <c r="F15" s="5" t="s">
        <v>479</v>
      </c>
      <c r="G15" s="5" t="s">
        <v>480</v>
      </c>
      <c r="H15" s="6" t="s">
        <v>452</v>
      </c>
      <c r="I15" s="6" t="s">
        <v>481</v>
      </c>
      <c r="J15" s="5" t="s">
        <v>144</v>
      </c>
      <c r="K15" s="6" t="s">
        <v>395</v>
      </c>
      <c r="L15" s="5" t="s">
        <v>388</v>
      </c>
    </row>
    <row r="16" customFormat="false" ht="32.8" hidden="false" customHeight="false" outlineLevel="0" collapsed="false">
      <c r="A16" s="5" t="s">
        <v>482</v>
      </c>
      <c r="B16" s="5" t="s">
        <v>483</v>
      </c>
      <c r="C16" s="5" t="s">
        <v>254</v>
      </c>
      <c r="D16" s="5" t="s">
        <v>205</v>
      </c>
      <c r="E16" s="5" t="s">
        <v>484</v>
      </c>
      <c r="F16" s="5" t="s">
        <v>473</v>
      </c>
      <c r="G16" s="5" t="s">
        <v>485</v>
      </c>
      <c r="H16" s="6" t="s">
        <v>452</v>
      </c>
      <c r="I16" s="6" t="s">
        <v>486</v>
      </c>
      <c r="J16" s="5" t="s">
        <v>144</v>
      </c>
      <c r="K16" s="6" t="s">
        <v>395</v>
      </c>
      <c r="L16" s="5" t="s">
        <v>388</v>
      </c>
    </row>
    <row r="17" customFormat="false" ht="48.5" hidden="false" customHeight="false" outlineLevel="0" collapsed="false">
      <c r="A17" s="5" t="s">
        <v>487</v>
      </c>
      <c r="B17" s="6" t="s">
        <v>488</v>
      </c>
      <c r="C17" s="5" t="s">
        <v>281</v>
      </c>
      <c r="D17" s="5" t="s">
        <v>120</v>
      </c>
      <c r="E17" s="5" t="s">
        <v>489</v>
      </c>
      <c r="F17" s="5" t="s">
        <v>490</v>
      </c>
      <c r="G17" s="5" t="s">
        <v>491</v>
      </c>
      <c r="H17" s="6" t="s">
        <v>452</v>
      </c>
      <c r="I17" s="6" t="s">
        <v>492</v>
      </c>
      <c r="J17" s="5" t="s">
        <v>144</v>
      </c>
      <c r="K17" s="5" t="s">
        <v>493</v>
      </c>
      <c r="L17" s="5" t="s">
        <v>440</v>
      </c>
    </row>
    <row r="18" customFormat="false" ht="32.8" hidden="false" customHeight="false" outlineLevel="0" collapsed="false">
      <c r="A18" s="5" t="s">
        <v>494</v>
      </c>
      <c r="B18" s="5" t="s">
        <v>495</v>
      </c>
      <c r="C18" s="5" t="s">
        <v>287</v>
      </c>
      <c r="D18" s="5" t="s">
        <v>296</v>
      </c>
      <c r="E18" s="5" t="s">
        <v>496</v>
      </c>
      <c r="F18" s="5" t="s">
        <v>497</v>
      </c>
      <c r="G18" s="5" t="s">
        <v>498</v>
      </c>
      <c r="H18" s="6" t="s">
        <v>452</v>
      </c>
      <c r="I18" s="6" t="s">
        <v>499</v>
      </c>
      <c r="J18" s="5" t="s">
        <v>144</v>
      </c>
      <c r="K18" s="5" t="s">
        <v>493</v>
      </c>
      <c r="L18" s="5" t="s">
        <v>463</v>
      </c>
    </row>
    <row r="20" customFormat="false" ht="17.15" hidden="false" customHeight="false" outlineLevel="0" collapsed="false">
      <c r="A20" s="7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50"/>
    <col collapsed="false" customWidth="true" hidden="false" outlineLevel="0" max="4" min="4" style="0" width="45"/>
    <col collapsed="false" customWidth="true" hidden="false" outlineLevel="0" max="17" min="5" style="0" width="24"/>
  </cols>
  <sheetData>
    <row r="1" customFormat="false" ht="17.15" hidden="false" customHeight="false" outlineLevel="0" collapsed="false">
      <c r="A1" s="10" t="s">
        <v>81</v>
      </c>
      <c r="B1" s="9" t="s">
        <v>220</v>
      </c>
      <c r="C1" s="9" t="s">
        <v>370</v>
      </c>
      <c r="D1" s="9" t="s">
        <v>501</v>
      </c>
      <c r="E1" s="9" t="s">
        <v>87</v>
      </c>
      <c r="F1" s="9" t="s">
        <v>502</v>
      </c>
      <c r="G1" s="10" t="s">
        <v>503</v>
      </c>
      <c r="H1" s="9" t="s">
        <v>373</v>
      </c>
      <c r="I1" s="9" t="s">
        <v>504</v>
      </c>
      <c r="J1" s="9" t="s">
        <v>505</v>
      </c>
      <c r="K1" s="9" t="s">
        <v>506</v>
      </c>
      <c r="L1" s="9" t="s">
        <v>507</v>
      </c>
      <c r="M1" s="9" t="s">
        <v>376</v>
      </c>
      <c r="N1" s="9" t="s">
        <v>508</v>
      </c>
      <c r="O1" s="9" t="s">
        <v>509</v>
      </c>
      <c r="P1" s="9" t="s">
        <v>510</v>
      </c>
      <c r="Q1" s="9" t="s">
        <v>511</v>
      </c>
    </row>
    <row r="2" customFormat="false" ht="64.15" hidden="false" customHeight="false" outlineLevel="0" collapsed="false">
      <c r="A2" s="5" t="s">
        <v>512</v>
      </c>
      <c r="B2" s="5" t="s">
        <v>513</v>
      </c>
      <c r="C2" s="5" t="s">
        <v>514</v>
      </c>
      <c r="D2" s="5" t="s">
        <v>515</v>
      </c>
      <c r="E2" s="5" t="s">
        <v>120</v>
      </c>
      <c r="F2" s="5" t="s">
        <v>516</v>
      </c>
      <c r="G2" s="5" t="s">
        <v>517</v>
      </c>
      <c r="H2" s="6" t="s">
        <v>383</v>
      </c>
      <c r="I2" s="6" t="s">
        <v>518</v>
      </c>
      <c r="J2" s="5" t="s">
        <v>519</v>
      </c>
      <c r="K2" s="6" t="s">
        <v>520</v>
      </c>
      <c r="L2" s="6" t="s">
        <v>521</v>
      </c>
      <c r="M2" s="5" t="s">
        <v>386</v>
      </c>
      <c r="N2" s="5" t="s">
        <v>144</v>
      </c>
      <c r="O2" s="5" t="s">
        <v>522</v>
      </c>
      <c r="P2" s="5" t="s">
        <v>523</v>
      </c>
      <c r="Q2" s="6" t="s">
        <v>524</v>
      </c>
    </row>
    <row r="3" customFormat="false" ht="64.15" hidden="false" customHeight="false" outlineLevel="0" collapsed="false">
      <c r="A3" s="5" t="s">
        <v>525</v>
      </c>
      <c r="B3" s="5" t="s">
        <v>513</v>
      </c>
      <c r="C3" s="5" t="s">
        <v>526</v>
      </c>
      <c r="D3" s="5" t="s">
        <v>527</v>
      </c>
      <c r="E3" s="5" t="s">
        <v>120</v>
      </c>
      <c r="F3" s="5" t="s">
        <v>391</v>
      </c>
      <c r="G3" s="5" t="s">
        <v>528</v>
      </c>
      <c r="H3" s="5" t="s">
        <v>529</v>
      </c>
      <c r="I3" s="6" t="s">
        <v>530</v>
      </c>
      <c r="J3" s="5" t="s">
        <v>519</v>
      </c>
      <c r="K3" s="6" t="s">
        <v>520</v>
      </c>
      <c r="L3" s="6" t="s">
        <v>521</v>
      </c>
      <c r="M3" s="6" t="s">
        <v>394</v>
      </c>
      <c r="N3" s="5" t="s">
        <v>144</v>
      </c>
      <c r="O3" s="5" t="s">
        <v>531</v>
      </c>
      <c r="P3" s="5" t="s">
        <v>523</v>
      </c>
      <c r="Q3" s="6" t="s">
        <v>532</v>
      </c>
    </row>
    <row r="4" customFormat="false" ht="64.15" hidden="false" customHeight="false" outlineLevel="0" collapsed="false">
      <c r="A4" s="5" t="s">
        <v>533</v>
      </c>
      <c r="B4" s="5" t="s">
        <v>513</v>
      </c>
      <c r="C4" s="5" t="s">
        <v>534</v>
      </c>
      <c r="D4" s="5" t="s">
        <v>535</v>
      </c>
      <c r="E4" s="5" t="s">
        <v>205</v>
      </c>
      <c r="F4" s="5" t="s">
        <v>536</v>
      </c>
      <c r="G4" s="5" t="s">
        <v>399</v>
      </c>
      <c r="H4" s="5" t="s">
        <v>537</v>
      </c>
      <c r="I4" s="6" t="s">
        <v>538</v>
      </c>
      <c r="J4" s="5" t="s">
        <v>519</v>
      </c>
      <c r="K4" s="6" t="s">
        <v>520</v>
      </c>
      <c r="L4" s="6" t="s">
        <v>521</v>
      </c>
      <c r="M4" s="5" t="s">
        <v>539</v>
      </c>
      <c r="N4" s="5" t="s">
        <v>144</v>
      </c>
      <c r="O4" s="5" t="s">
        <v>531</v>
      </c>
      <c r="P4" s="5" t="s">
        <v>523</v>
      </c>
      <c r="Q4" s="6" t="s">
        <v>540</v>
      </c>
    </row>
    <row r="5" customFormat="false" ht="64.15" hidden="false" customHeight="false" outlineLevel="0" collapsed="false">
      <c r="A5" s="5" t="s">
        <v>541</v>
      </c>
      <c r="B5" s="5" t="s">
        <v>513</v>
      </c>
      <c r="C5" s="5" t="s">
        <v>542</v>
      </c>
      <c r="D5" s="5" t="s">
        <v>543</v>
      </c>
      <c r="E5" s="5" t="s">
        <v>406</v>
      </c>
      <c r="F5" s="5" t="s">
        <v>544</v>
      </c>
      <c r="G5" s="5" t="s">
        <v>144</v>
      </c>
      <c r="H5" s="5" t="s">
        <v>408</v>
      </c>
      <c r="I5" s="6" t="s">
        <v>545</v>
      </c>
      <c r="J5" s="5" t="s">
        <v>519</v>
      </c>
      <c r="K5" s="6" t="s">
        <v>520</v>
      </c>
      <c r="L5" s="6" t="s">
        <v>521</v>
      </c>
      <c r="M5" s="6" t="s">
        <v>411</v>
      </c>
      <c r="N5" s="5" t="s">
        <v>144</v>
      </c>
      <c r="O5" s="5" t="s">
        <v>412</v>
      </c>
      <c r="P5" s="5" t="s">
        <v>546</v>
      </c>
      <c r="Q5" s="6" t="s">
        <v>547</v>
      </c>
    </row>
    <row r="6" customFormat="false" ht="75.35" hidden="false" customHeight="false" outlineLevel="0" collapsed="false">
      <c r="A6" s="5" t="s">
        <v>548</v>
      </c>
      <c r="B6" s="5" t="s">
        <v>513</v>
      </c>
      <c r="C6" s="5" t="s">
        <v>549</v>
      </c>
      <c r="D6" s="5" t="s">
        <v>550</v>
      </c>
      <c r="E6" s="5" t="s">
        <v>120</v>
      </c>
      <c r="F6" s="5" t="s">
        <v>416</v>
      </c>
      <c r="G6" s="5" t="s">
        <v>551</v>
      </c>
      <c r="H6" s="5" t="s">
        <v>417</v>
      </c>
      <c r="I6" s="6" t="s">
        <v>552</v>
      </c>
      <c r="J6" s="5" t="s">
        <v>519</v>
      </c>
      <c r="K6" s="6" t="s">
        <v>520</v>
      </c>
      <c r="L6" s="6" t="s">
        <v>521</v>
      </c>
      <c r="M6" s="5" t="s">
        <v>420</v>
      </c>
      <c r="N6" s="5" t="s">
        <v>144</v>
      </c>
      <c r="O6" s="5" t="s">
        <v>421</v>
      </c>
      <c r="P6" s="5" t="s">
        <v>523</v>
      </c>
      <c r="Q6" s="6" t="s">
        <v>540</v>
      </c>
    </row>
    <row r="7" customFormat="false" ht="64.15" hidden="false" customHeight="false" outlineLevel="0" collapsed="false">
      <c r="A7" s="5" t="s">
        <v>553</v>
      </c>
      <c r="B7" s="5" t="s">
        <v>513</v>
      </c>
      <c r="C7" s="5" t="s">
        <v>554</v>
      </c>
      <c r="D7" s="5" t="s">
        <v>555</v>
      </c>
      <c r="E7" s="5" t="s">
        <v>424</v>
      </c>
      <c r="F7" s="5" t="s">
        <v>556</v>
      </c>
      <c r="G7" s="5" t="s">
        <v>557</v>
      </c>
      <c r="H7" s="6" t="s">
        <v>426</v>
      </c>
      <c r="I7" s="6" t="s">
        <v>558</v>
      </c>
      <c r="J7" s="5" t="s">
        <v>519</v>
      </c>
      <c r="K7" s="6" t="s">
        <v>520</v>
      </c>
      <c r="L7" s="6" t="s">
        <v>521</v>
      </c>
      <c r="M7" s="6" t="s">
        <v>559</v>
      </c>
      <c r="N7" s="5" t="s">
        <v>144</v>
      </c>
      <c r="O7" s="5" t="s">
        <v>144</v>
      </c>
      <c r="P7" s="5" t="s">
        <v>546</v>
      </c>
      <c r="Q7" s="6" t="s">
        <v>560</v>
      </c>
    </row>
    <row r="8" customFormat="false" ht="64.15" hidden="false" customHeight="false" outlineLevel="0" collapsed="false">
      <c r="A8" s="5" t="s">
        <v>561</v>
      </c>
      <c r="B8" s="5" t="s">
        <v>513</v>
      </c>
      <c r="C8" s="5" t="s">
        <v>562</v>
      </c>
      <c r="D8" s="5" t="s">
        <v>563</v>
      </c>
      <c r="E8" s="5" t="s">
        <v>120</v>
      </c>
      <c r="F8" s="5" t="s">
        <v>433</v>
      </c>
      <c r="G8" s="5" t="s">
        <v>564</v>
      </c>
      <c r="H8" s="5" t="s">
        <v>435</v>
      </c>
      <c r="I8" s="6" t="s">
        <v>565</v>
      </c>
      <c r="J8" s="5" t="s">
        <v>519</v>
      </c>
      <c r="K8" s="6" t="s">
        <v>520</v>
      </c>
      <c r="L8" s="6" t="s">
        <v>521</v>
      </c>
      <c r="M8" s="5" t="s">
        <v>438</v>
      </c>
      <c r="N8" s="5" t="s">
        <v>144</v>
      </c>
      <c r="O8" s="5" t="s">
        <v>439</v>
      </c>
      <c r="P8" s="5" t="s">
        <v>566</v>
      </c>
      <c r="Q8" s="6" t="s">
        <v>567</v>
      </c>
    </row>
    <row r="9" customFormat="false" ht="64.15" hidden="false" customHeight="false" outlineLevel="0" collapsed="false">
      <c r="A9" s="5" t="s">
        <v>568</v>
      </c>
      <c r="B9" s="5" t="s">
        <v>513</v>
      </c>
      <c r="C9" s="5" t="s">
        <v>569</v>
      </c>
      <c r="D9" s="5" t="s">
        <v>570</v>
      </c>
      <c r="E9" s="5" t="s">
        <v>120</v>
      </c>
      <c r="F9" s="5" t="s">
        <v>144</v>
      </c>
      <c r="G9" s="5" t="s">
        <v>144</v>
      </c>
      <c r="H9" s="5" t="s">
        <v>571</v>
      </c>
      <c r="I9" s="6" t="s">
        <v>572</v>
      </c>
      <c r="J9" s="5" t="s">
        <v>519</v>
      </c>
      <c r="K9" s="6" t="s">
        <v>520</v>
      </c>
      <c r="L9" s="6" t="s">
        <v>521</v>
      </c>
      <c r="M9" s="5" t="s">
        <v>144</v>
      </c>
      <c r="N9" s="5" t="s">
        <v>144</v>
      </c>
      <c r="O9" s="5" t="s">
        <v>144</v>
      </c>
      <c r="P9" s="5" t="s">
        <v>523</v>
      </c>
      <c r="Q9" s="6" t="s">
        <v>573</v>
      </c>
    </row>
    <row r="10" customFormat="false" ht="64.15" hidden="false" customHeight="false" outlineLevel="0" collapsed="false">
      <c r="A10" s="5" t="s">
        <v>574</v>
      </c>
      <c r="B10" s="5" t="s">
        <v>513</v>
      </c>
      <c r="C10" s="5" t="s">
        <v>575</v>
      </c>
      <c r="D10" s="5" t="s">
        <v>576</v>
      </c>
      <c r="E10" s="5" t="s">
        <v>205</v>
      </c>
      <c r="F10" s="5" t="s">
        <v>449</v>
      </c>
      <c r="G10" s="5" t="s">
        <v>450</v>
      </c>
      <c r="H10" s="5" t="s">
        <v>451</v>
      </c>
      <c r="I10" s="6" t="s">
        <v>577</v>
      </c>
      <c r="J10" s="5" t="s">
        <v>519</v>
      </c>
      <c r="K10" s="6" t="s">
        <v>520</v>
      </c>
      <c r="L10" s="6" t="s">
        <v>521</v>
      </c>
      <c r="M10" s="5" t="s">
        <v>144</v>
      </c>
      <c r="N10" s="5" t="s">
        <v>144</v>
      </c>
      <c r="O10" s="5" t="s">
        <v>454</v>
      </c>
      <c r="P10" s="5" t="s">
        <v>523</v>
      </c>
      <c r="Q10" s="6" t="s">
        <v>567</v>
      </c>
    </row>
    <row r="11" customFormat="false" ht="64.15" hidden="false" customHeight="false" outlineLevel="0" collapsed="false">
      <c r="A11" s="5" t="s">
        <v>578</v>
      </c>
      <c r="B11" s="5" t="s">
        <v>513</v>
      </c>
      <c r="C11" s="5" t="s">
        <v>579</v>
      </c>
      <c r="D11" s="5" t="s">
        <v>580</v>
      </c>
      <c r="E11" s="5" t="s">
        <v>296</v>
      </c>
      <c r="F11" s="5" t="s">
        <v>457</v>
      </c>
      <c r="G11" s="5" t="s">
        <v>581</v>
      </c>
      <c r="H11" s="6" t="s">
        <v>459</v>
      </c>
      <c r="I11" s="6" t="s">
        <v>582</v>
      </c>
      <c r="J11" s="5" t="s">
        <v>519</v>
      </c>
      <c r="K11" s="6" t="s">
        <v>520</v>
      </c>
      <c r="L11" s="6" t="s">
        <v>521</v>
      </c>
      <c r="M11" s="6" t="s">
        <v>411</v>
      </c>
      <c r="N11" s="5" t="s">
        <v>144</v>
      </c>
      <c r="O11" s="5" t="s">
        <v>462</v>
      </c>
      <c r="P11" s="5" t="s">
        <v>546</v>
      </c>
      <c r="Q11" s="6" t="s">
        <v>583</v>
      </c>
    </row>
    <row r="12" customFormat="false" ht="64.15" hidden="false" customHeight="false" outlineLevel="0" collapsed="false">
      <c r="A12" s="5" t="s">
        <v>584</v>
      </c>
      <c r="B12" s="5" t="s">
        <v>513</v>
      </c>
      <c r="C12" s="5" t="s">
        <v>585</v>
      </c>
      <c r="D12" s="5" t="s">
        <v>586</v>
      </c>
      <c r="E12" s="5" t="s">
        <v>296</v>
      </c>
      <c r="F12" s="5" t="s">
        <v>466</v>
      </c>
      <c r="G12" s="6" t="s">
        <v>395</v>
      </c>
      <c r="H12" s="6" t="s">
        <v>467</v>
      </c>
      <c r="I12" s="6" t="s">
        <v>587</v>
      </c>
      <c r="J12" s="5" t="s">
        <v>519</v>
      </c>
      <c r="K12" s="6" t="s">
        <v>520</v>
      </c>
      <c r="L12" s="6" t="s">
        <v>521</v>
      </c>
      <c r="M12" s="6" t="s">
        <v>411</v>
      </c>
      <c r="N12" s="5" t="s">
        <v>144</v>
      </c>
      <c r="O12" s="5" t="s">
        <v>462</v>
      </c>
      <c r="P12" s="5" t="s">
        <v>546</v>
      </c>
      <c r="Q12" s="6" t="s">
        <v>567</v>
      </c>
    </row>
    <row r="13" customFormat="false" ht="64.15" hidden="false" customHeight="false" outlineLevel="0" collapsed="false">
      <c r="A13" s="5" t="s">
        <v>588</v>
      </c>
      <c r="B13" s="5" t="s">
        <v>513</v>
      </c>
      <c r="C13" s="5" t="s">
        <v>589</v>
      </c>
      <c r="D13" s="5" t="s">
        <v>245</v>
      </c>
      <c r="E13" s="5" t="s">
        <v>471</v>
      </c>
      <c r="F13" s="5" t="s">
        <v>590</v>
      </c>
      <c r="G13" s="5" t="s">
        <v>473</v>
      </c>
      <c r="H13" s="5" t="s">
        <v>474</v>
      </c>
      <c r="I13" s="6" t="s">
        <v>591</v>
      </c>
      <c r="J13" s="5" t="s">
        <v>519</v>
      </c>
      <c r="K13" s="6" t="s">
        <v>520</v>
      </c>
      <c r="L13" s="6" t="s">
        <v>521</v>
      </c>
      <c r="M13" s="6" t="s">
        <v>411</v>
      </c>
      <c r="N13" s="5" t="s">
        <v>144</v>
      </c>
      <c r="O13" s="5" t="s">
        <v>462</v>
      </c>
      <c r="P13" s="5" t="s">
        <v>523</v>
      </c>
      <c r="Q13" s="6" t="s">
        <v>592</v>
      </c>
    </row>
    <row r="14" customFormat="false" ht="64.15" hidden="false" customHeight="false" outlineLevel="0" collapsed="false">
      <c r="A14" s="5" t="s">
        <v>593</v>
      </c>
      <c r="B14" s="5" t="s">
        <v>513</v>
      </c>
      <c r="C14" s="5" t="s">
        <v>594</v>
      </c>
      <c r="D14" s="5" t="s">
        <v>595</v>
      </c>
      <c r="E14" s="5" t="s">
        <v>120</v>
      </c>
      <c r="F14" s="5" t="s">
        <v>478</v>
      </c>
      <c r="G14" s="5" t="s">
        <v>596</v>
      </c>
      <c r="H14" s="5" t="s">
        <v>480</v>
      </c>
      <c r="I14" s="6" t="s">
        <v>597</v>
      </c>
      <c r="J14" s="5" t="s">
        <v>519</v>
      </c>
      <c r="K14" s="6" t="s">
        <v>520</v>
      </c>
      <c r="L14" s="6" t="s">
        <v>521</v>
      </c>
      <c r="M14" s="5" t="s">
        <v>144</v>
      </c>
      <c r="N14" s="5" t="s">
        <v>144</v>
      </c>
      <c r="O14" s="5" t="s">
        <v>362</v>
      </c>
      <c r="P14" s="5" t="s">
        <v>523</v>
      </c>
      <c r="Q14" s="6" t="s">
        <v>598</v>
      </c>
    </row>
    <row r="15" customFormat="false" ht="64.15" hidden="false" customHeight="false" outlineLevel="0" collapsed="false">
      <c r="A15" s="5" t="s">
        <v>599</v>
      </c>
      <c r="B15" s="5" t="s">
        <v>513</v>
      </c>
      <c r="C15" s="5" t="s">
        <v>600</v>
      </c>
      <c r="D15" s="5" t="s">
        <v>601</v>
      </c>
      <c r="E15" s="5" t="s">
        <v>205</v>
      </c>
      <c r="F15" s="5" t="s">
        <v>484</v>
      </c>
      <c r="G15" s="5" t="s">
        <v>473</v>
      </c>
      <c r="H15" s="5" t="s">
        <v>485</v>
      </c>
      <c r="I15" s="6" t="s">
        <v>602</v>
      </c>
      <c r="J15" s="5" t="s">
        <v>519</v>
      </c>
      <c r="K15" s="6" t="s">
        <v>520</v>
      </c>
      <c r="L15" s="6" t="s">
        <v>521</v>
      </c>
      <c r="M15" s="5" t="s">
        <v>144</v>
      </c>
      <c r="N15" s="5" t="s">
        <v>144</v>
      </c>
      <c r="O15" s="5" t="s">
        <v>362</v>
      </c>
      <c r="P15" s="5" t="s">
        <v>523</v>
      </c>
      <c r="Q15" s="6" t="s">
        <v>567</v>
      </c>
    </row>
    <row r="16" customFormat="false" ht="64.15" hidden="false" customHeight="false" outlineLevel="0" collapsed="false">
      <c r="A16" s="5" t="s">
        <v>603</v>
      </c>
      <c r="B16" s="5" t="s">
        <v>513</v>
      </c>
      <c r="C16" s="6" t="s">
        <v>604</v>
      </c>
      <c r="D16" s="5" t="s">
        <v>605</v>
      </c>
      <c r="E16" s="5" t="s">
        <v>120</v>
      </c>
      <c r="F16" s="5" t="s">
        <v>489</v>
      </c>
      <c r="G16" s="5" t="s">
        <v>490</v>
      </c>
      <c r="H16" s="5" t="s">
        <v>606</v>
      </c>
      <c r="I16" s="6" t="s">
        <v>607</v>
      </c>
      <c r="J16" s="5" t="s">
        <v>519</v>
      </c>
      <c r="K16" s="6" t="s">
        <v>520</v>
      </c>
      <c r="L16" s="6" t="s">
        <v>521</v>
      </c>
      <c r="M16" s="5" t="s">
        <v>144</v>
      </c>
      <c r="N16" s="5" t="s">
        <v>144</v>
      </c>
      <c r="O16" s="5" t="s">
        <v>493</v>
      </c>
      <c r="P16" s="5" t="s">
        <v>566</v>
      </c>
      <c r="Q16" s="6" t="s">
        <v>608</v>
      </c>
    </row>
    <row r="17" customFormat="false" ht="64.15" hidden="false" customHeight="false" outlineLevel="0" collapsed="false">
      <c r="A17" s="5" t="s">
        <v>609</v>
      </c>
      <c r="B17" s="5" t="s">
        <v>513</v>
      </c>
      <c r="C17" s="5" t="s">
        <v>610</v>
      </c>
      <c r="D17" s="5" t="s">
        <v>611</v>
      </c>
      <c r="E17" s="5" t="s">
        <v>296</v>
      </c>
      <c r="F17" s="5" t="s">
        <v>496</v>
      </c>
      <c r="G17" s="5" t="s">
        <v>612</v>
      </c>
      <c r="H17" s="5" t="s">
        <v>498</v>
      </c>
      <c r="I17" s="6" t="s">
        <v>613</v>
      </c>
      <c r="J17" s="5" t="s">
        <v>519</v>
      </c>
      <c r="K17" s="6" t="s">
        <v>520</v>
      </c>
      <c r="L17" s="6" t="s">
        <v>521</v>
      </c>
      <c r="M17" s="5" t="s">
        <v>144</v>
      </c>
      <c r="N17" s="5" t="s">
        <v>144</v>
      </c>
      <c r="O17" s="5" t="s">
        <v>493</v>
      </c>
      <c r="P17" s="5" t="s">
        <v>546</v>
      </c>
      <c r="Q17" s="6" t="s">
        <v>614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3" min="2" style="0" width="22"/>
  </cols>
  <sheetData>
    <row r="1" customFormat="false" ht="19.4" hidden="false" customHeight="false" outlineLevel="0" collapsed="false">
      <c r="A1" s="1" t="s">
        <v>615</v>
      </c>
    </row>
    <row r="2" customFormat="false" ht="17.15" hidden="false" customHeight="false" outlineLevel="0" collapsed="false">
      <c r="A2" s="0" t="s">
        <v>616</v>
      </c>
    </row>
    <row r="3" customFormat="false" ht="17.15" hidden="false" customHeight="false" outlineLevel="0" collapsed="false">
      <c r="A3" s="0" t="s">
        <v>617</v>
      </c>
    </row>
    <row r="4" customFormat="false" ht="17.15" hidden="false" customHeight="false" outlineLevel="0" collapsed="false">
      <c r="A4" s="0" t="s">
        <v>618</v>
      </c>
    </row>
    <row r="5" customFormat="false" ht="17.15" hidden="false" customHeight="false" outlineLevel="0" collapsed="false">
      <c r="A5" s="0" t="s">
        <v>619</v>
      </c>
    </row>
    <row r="6" customFormat="false" ht="17.15" hidden="false" customHeight="false" outlineLevel="0" collapsed="false">
      <c r="A6" s="0" t="s">
        <v>620</v>
      </c>
    </row>
    <row r="7" customFormat="false" ht="17.15" hidden="false" customHeight="false" outlineLevel="0" collapsed="false">
      <c r="A7" s="0" t="s">
        <v>621</v>
      </c>
    </row>
    <row r="8" customFormat="false" ht="17.15" hidden="false" customHeight="false" outlineLevel="0" collapsed="false">
      <c r="A8" s="0" t="s">
        <v>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0" width="22"/>
  </cols>
  <sheetData>
    <row r="1" customFormat="false" ht="19.4" hidden="false" customHeight="false" outlineLevel="0" collapsed="false">
      <c r="A1" s="1" t="s">
        <v>623</v>
      </c>
    </row>
    <row r="2" customFormat="false" ht="17.15" hidden="false" customHeight="false" outlineLevel="0" collapsed="false">
      <c r="A2" s="4" t="s">
        <v>624</v>
      </c>
      <c r="B2" s="4" t="s">
        <v>625</v>
      </c>
      <c r="C2" s="4" t="s">
        <v>626</v>
      </c>
    </row>
    <row r="3" customFormat="false" ht="46.25" hidden="false" customHeight="false" outlineLevel="0" collapsed="false">
      <c r="A3" s="5" t="s">
        <v>627</v>
      </c>
      <c r="B3" s="5" t="s">
        <v>628</v>
      </c>
      <c r="C3" s="5" t="s">
        <v>629</v>
      </c>
    </row>
    <row r="4" customFormat="false" ht="61.9" hidden="false" customHeight="false" outlineLevel="0" collapsed="false">
      <c r="A4" s="5" t="s">
        <v>630</v>
      </c>
      <c r="B4" s="5" t="s">
        <v>631</v>
      </c>
      <c r="C4" s="5" t="s">
        <v>632</v>
      </c>
    </row>
    <row r="5" customFormat="false" ht="32.8" hidden="false" customHeight="false" outlineLevel="0" collapsed="false">
      <c r="A5" s="5" t="s">
        <v>633</v>
      </c>
      <c r="B5" s="5" t="s">
        <v>634</v>
      </c>
      <c r="C5" s="5" t="s">
        <v>635</v>
      </c>
    </row>
    <row r="6" customFormat="false" ht="32.8" hidden="false" customHeight="false" outlineLevel="0" collapsed="false">
      <c r="A6" s="5" t="s">
        <v>636</v>
      </c>
      <c r="B6" s="5" t="s">
        <v>637</v>
      </c>
      <c r="C6" s="6" t="s">
        <v>638</v>
      </c>
    </row>
    <row r="7" customFormat="false" ht="17.15" hidden="false" customHeight="false" outlineLevel="0" collapsed="false">
      <c r="A7" s="5" t="s">
        <v>639</v>
      </c>
      <c r="B7" s="5" t="s">
        <v>640</v>
      </c>
      <c r="C7" s="5" t="s">
        <v>641</v>
      </c>
    </row>
    <row r="8" customFormat="false" ht="30.55" hidden="false" customHeight="false" outlineLevel="0" collapsed="false">
      <c r="A8" s="5" t="s">
        <v>642</v>
      </c>
      <c r="B8" s="6" t="s">
        <v>643</v>
      </c>
      <c r="C8" s="6" t="s">
        <v>644</v>
      </c>
    </row>
    <row r="9" customFormat="false" ht="32.8" hidden="false" customHeight="false" outlineLevel="0" collapsed="false">
      <c r="A9" s="5" t="s">
        <v>645</v>
      </c>
      <c r="B9" s="6" t="s">
        <v>643</v>
      </c>
      <c r="C9" s="6" t="s">
        <v>644</v>
      </c>
    </row>
    <row r="11" customFormat="false" ht="17.15" hidden="false" customHeight="false" outlineLevel="0" collapsed="false">
      <c r="A11" s="0" t="s">
        <v>646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3" min="2" style="0" width="22"/>
  </cols>
  <sheetData>
    <row r="1" customFormat="false" ht="15" hidden="false" customHeight="false" outlineLevel="0" collapsed="false">
      <c r="A1" s="2" t="s">
        <v>647</v>
      </c>
    </row>
    <row r="2" customFormat="false" ht="17.15" hidden="false" customHeight="false" outlineLevel="0" collapsed="false">
      <c r="A2" s="0" t="s">
        <v>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13" min="2" style="0" width="22"/>
  </cols>
  <sheetData>
    <row r="1" customFormat="false" ht="19.4" hidden="false" customHeight="false" outlineLevel="0" collapsed="false">
      <c r="A1" s="2" t="s">
        <v>649</v>
      </c>
    </row>
    <row r="2" customFormat="false" ht="17.15" hidden="false" customHeight="false" outlineLevel="0" collapsed="false">
      <c r="A2" s="0" t="s">
        <v>650</v>
      </c>
    </row>
    <row r="3" customFormat="false" ht="17.15" hidden="false" customHeight="false" outlineLevel="0" collapsed="false">
      <c r="A3" s="0" t="s">
        <v>651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2026-10-08T14:19:36Z</dcterms:created>
  <dc:creator>openpyxl</dc:creator>
  <dc:description/>
  <dc:language>en-US</dc:language>
  <cp:lastModifiedBy/>
  <dcterms:modified xsi:type="dcterms:W3CDTF">2026-10-08T14:19:37Z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