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錨點" sheetId="1" state="visible" r:id="rId3"/>
    <sheet name="輸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<sst xmlns="http://schemas.openxmlformats.org/spreadsheetml/2006/main" count="106" uniqueCount="85">
  <si>
    <r>
      <rPr>
        <sz val="11"/>
        <color theme="1"/>
        <rFont val="Calibri"/>
        <family val="2"/>
        <charset val="1"/>
      </rPr>
      <t xml:space="preserve">CoreWeave 2026 Q2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active 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持有成本（出租方價格錨點）；以及由折舊推回的耐用年限</t>
    </r>
  </si>
  <si>
    <r>
      <rPr>
        <sz val="11"/>
        <color theme="1"/>
        <rFont val="Calibri"/>
        <family val="2"/>
        <charset val="1"/>
      </rPr>
      <t xml:space="preserve">A. 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GW</t>
    </r>
  </si>
  <si>
    <t xml:space="preserve">值</t>
  </si>
  <si>
    <t xml:space="preserve">說明</t>
  </si>
  <si>
    <r>
      <rPr>
        <sz val="11"/>
        <color theme="1"/>
        <rFont val="Calibri"/>
        <family val="2"/>
        <charset val="1"/>
      </rPr>
      <t xml:space="preserve">3/31 active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6/30 − Q2 </t>
    </r>
    <r>
      <rPr>
        <sz val="11"/>
        <color theme="1"/>
        <rFont val="Noto Sans CJK SC"/>
        <family val="2"/>
      </rPr>
      <t xml:space="preserve">新增）</t>
    </r>
  </si>
  <si>
    <t xml:space="preserve">GW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</si>
  <si>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平均（線性）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</si>
  <si>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；新增平均分布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</si>
  <si>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月集中）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</si>
  <si>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月新增平均在季內 </t>
    </r>
    <r>
      <rPr>
        <sz val="11"/>
        <color theme="1"/>
        <rFont val="Calibri"/>
        <family val="2"/>
        <charset val="1"/>
      </rPr>
      <t xml:space="preserve">2/3 </t>
    </r>
    <r>
      <rPr>
        <sz val="11"/>
        <color theme="1"/>
        <rFont val="Noto Sans CJK SC"/>
        <family val="2"/>
      </rPr>
      <t xml:space="preserve">季、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月新增 </t>
    </r>
    <r>
      <rPr>
        <sz val="11"/>
        <color theme="1"/>
        <rFont val="Calibri"/>
        <family val="2"/>
        <charset val="1"/>
      </rPr>
      <t xml:space="preserve">1/6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</si>
  <si>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B.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active 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年）</t>
    </r>
  </si>
  <si>
    <t xml:space="preserve">線性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</si>
  <si>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月集中</t>
    </r>
  </si>
  <si>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</t>
    </r>
  </si>
  <si>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視為設施電力（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＝設施 </t>
    </r>
    <r>
      <rPr>
        <sz val="11"/>
        <color theme="1"/>
        <rFont val="Calibri"/>
        <family val="2"/>
        <charset val="1"/>
      </rPr>
      <t xml:space="preserve">÷ PUE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PUE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</si>
  <si>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視為設施電力（</t>
    </r>
    <r>
      <rPr>
        <sz val="11"/>
        <color theme="1"/>
        <rFont val="Calibri"/>
        <family val="2"/>
        <charset val="1"/>
      </rPr>
      <t xml:space="preserve">PUE 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</si>
  <si>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7 </t>
    </r>
    <r>
      <rPr>
        <sz val="11"/>
        <color theme="1"/>
        <rFont val="Noto Sans CJK SC"/>
        <family val="2"/>
      </rPr>
      <t xml:space="preserve">月漲價（若漲價前即為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</si>
  <si>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C. ÷ TK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</si>
  <si>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GB200</t>
  </si>
  <si>
    <t xml:space="preserve">GB300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</si>
  <si>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、線性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</si>
  <si>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月集中</t>
    </r>
  </si>
  <si>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PUE 1.2</t>
    </r>
    <r>
      <rPr>
        <sz val="11"/>
        <color theme="1"/>
        <rFont val="Noto Sans CJK SC"/>
        <family val="2"/>
      </rPr>
      <t xml:space="preserve">、線性</t>
    </r>
  </si>
  <si>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PUE 1.3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月集中</t>
    </r>
  </si>
  <si>
    <r>
      <rPr>
        <sz val="11"/>
        <color theme="1"/>
        <rFont val="Calibri"/>
        <family val="2"/>
        <charset val="1"/>
      </rPr>
      <t xml:space="preserve">IT × </t>
    </r>
    <r>
      <rPr>
        <sz val="11"/>
        <color theme="1"/>
        <rFont val="Noto Sans CJK SC"/>
        <family val="2"/>
      </rPr>
      <t xml:space="preserve">漲價、線性</t>
    </r>
  </si>
  <si>
    <r>
      <rPr>
        <sz val="11"/>
        <color theme="1"/>
        <rFont val="Calibri"/>
        <family val="2"/>
        <charset val="1"/>
      </rPr>
      <t xml:space="preserve">IT × </t>
    </r>
    <r>
      <rPr>
        <sz val="11"/>
        <color theme="1"/>
        <rFont val="Noto Sans CJK SC"/>
        <family val="2"/>
      </rPr>
      <t xml:space="preserve">漲價、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月集中</t>
    </r>
  </si>
  <si>
    <t xml:space="preserve">最小（不含漲價列）</t>
  </si>
  <si>
    <t xml:space="preserve">最大（不含漲價列）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</si>
  <si>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× 7 </t>
    </r>
    <r>
      <rPr>
        <sz val="11"/>
        <color theme="1"/>
        <rFont val="Noto Sans CJK SC"/>
        <family val="2"/>
      </rPr>
      <t xml:space="preserve">月漲價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（全部口徑）：最小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</si>
  <si>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× 7 </t>
    </r>
    <r>
      <rPr>
        <sz val="11"/>
        <color theme="1"/>
        <rFont val="Noto Sans CJK SC"/>
        <family val="2"/>
      </rPr>
      <t xml:space="preserve">月漲價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（全部口徑）：最大</t>
    </r>
  </si>
  <si>
    <r>
      <rPr>
        <sz val="11"/>
        <color theme="1"/>
        <rFont val="Calibri"/>
        <family val="2"/>
        <charset val="1"/>
      </rPr>
      <t xml:space="preserve">D. </t>
    </r>
    <r>
      <rPr>
        <sz val="11"/>
        <color theme="1"/>
        <rFont val="Noto Sans CJK SC"/>
        <family val="2"/>
      </rPr>
      <t xml:space="preserve">由折舊推回耐用年限</t>
    </r>
  </si>
  <si>
    <r>
      <rPr>
        <sz val="11"/>
        <color theme="1"/>
        <rFont val="Calibri"/>
        <family val="2"/>
        <charset val="1"/>
      </rPr>
      <t xml:space="preserve">H1 </t>
    </r>
    <r>
      <rPr>
        <sz val="11"/>
        <color theme="1"/>
        <rFont val="Noto Sans CJK SC"/>
        <family val="2"/>
      </rPr>
      <t xml:space="preserve">平均折舊資產毛額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</si>
  <si>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；簡單平均（資產集中在後段時偏高 → 年限偏長）</t>
    </r>
  </si>
  <si>
    <t xml:space="preserve">隱含平均耐用年限（簡單平均）</t>
  </si>
  <si>
    <r>
      <rPr>
        <sz val="11"/>
        <color theme="1"/>
        <rFont val="Noto Sans CJK SC"/>
        <family val="2"/>
      </rPr>
      <t xml:space="preserve">年；資產基礎混有資料中心設備、軟體、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年期基礎設施</t>
    </r>
  </si>
  <si>
    <r>
      <rPr>
        <sz val="11"/>
        <color theme="1"/>
        <rFont val="Noto Sans CJK SC"/>
        <family val="2"/>
      </rPr>
      <t xml:space="preserve">界線：期末基礎 </t>
    </r>
    <r>
      <rPr>
        <sz val="11"/>
        <color theme="1"/>
        <rFont val="Calibri"/>
        <family val="2"/>
        <charset val="1"/>
      </rPr>
      <t xml:space="preserve">÷ Q2 </t>
    </r>
    <r>
      <rPr>
        <sz val="11"/>
        <color theme="1"/>
        <rFont val="Noto Sans CJK SC"/>
        <family val="2"/>
      </rPr>
      <t xml:space="preserve">年化折舊</t>
    </r>
  </si>
  <si>
    <t xml:space="preserve">年；上界</t>
  </si>
  <si>
    <r>
      <rPr>
        <sz val="11"/>
        <color theme="1"/>
        <rFont val="Noto Sans CJK SC"/>
        <family val="2"/>
      </rPr>
      <t xml:space="preserve">界線：期初基礎 </t>
    </r>
    <r>
      <rPr>
        <sz val="11"/>
        <color theme="1"/>
        <rFont val="Calibri"/>
        <family val="2"/>
        <charset val="1"/>
      </rPr>
      <t xml:space="preserve">÷ H1 </t>
    </r>
    <r>
      <rPr>
        <sz val="11"/>
        <color theme="1"/>
        <rFont val="Noto Sans CJK SC"/>
        <family val="2"/>
      </rPr>
      <t xml:space="preserve">年化折舊</t>
    </r>
  </si>
  <si>
    <t xml:space="preserve">年；下界</t>
  </si>
  <si>
    <t xml:space="preserve">項目</t>
  </si>
  <si>
    <t xml:space="preserve">單位</t>
  </si>
  <si>
    <t xml:space="preserve">標記</t>
  </si>
  <si>
    <t xml:space="preserve">來源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</si>
  <si>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</si>
  <si>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</si>
  <si>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</si>
  <si>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 10-Q 2026-06-30</t>
    </r>
    <r>
      <rPr>
        <sz val="11"/>
        <color theme="1"/>
        <rFont val="Noto Sans CJK SC"/>
        <family val="2"/>
      </rPr>
      <t xml:space="preserve">，損益表</t>
    </r>
  </si>
  <si>
    <r>
      <rPr>
        <sz val="11"/>
        <color theme="1"/>
        <rFont val="Calibri"/>
        <family val="2"/>
        <charset val="1"/>
      </rPr>
      <t xml:space="preserve">H1 2026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</si>
  <si>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</si>
  <si>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同上</t>
  </si>
  <si>
    <t xml:space="preserve">6/30 active power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</si>
  <si>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新聞稿；口徑未定義）</t>
    </r>
  </si>
  <si>
    <r>
      <rPr>
        <sz val="11"/>
        <color theme="1"/>
        <rFont val="Calibri"/>
        <family val="2"/>
        <charset val="1"/>
      </rPr>
      <t xml:space="preserve">8-K 2026-08-11</t>
    </r>
    <r>
      <rPr>
        <sz val="11"/>
        <color theme="1"/>
        <rFont val="Noto Sans CJK SC"/>
        <family val="2"/>
      </rPr>
      <t xml:space="preserve">「約 </t>
    </r>
    <r>
      <rPr>
        <sz val="11"/>
        <color theme="1"/>
        <rFont val="Calibri"/>
        <family val="2"/>
        <charset val="1"/>
      </rPr>
      <t xml:space="preserve">1.5 GW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全文無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</si>
  <si>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active power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</si>
  <si>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</si>
  <si>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8-K 2026-08-11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Expanded active power by nearly 500 MWs to reach 1.5 GW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</si>
  <si>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月新增</t>
    </r>
  </si>
  <si>
    <t xml:space="preserve">報導（二手）</t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</si>
  <si>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</si>
  <si>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AL_HoldGen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</si>
  <si>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</t>
    </r>
  </si>
  <si>
    <t xml:space="preserve">Derived</t>
  </si>
  <si>
    <t xml:space="preserve">TK v21.2 Alloc!D39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</si>
  <si>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AL_HoldGen</t>
    </r>
    <r>
      <rPr>
        <sz val="11"/>
        <color theme="1"/>
        <rFont val="Noto Sans CJK SC"/>
        <family val="2"/>
      </rPr>
      <t xml:space="preserve">）</t>
    </r>
  </si>
  <si>
    <t xml:space="preserve">TK v21.2 Alloc!E39</t>
  </si>
  <si>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低（若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為設施電力）</t>
    </r>
  </si>
  <si>
    <t xml:space="preserve">x</t>
  </si>
  <si>
    <t xml:space="preserve">Assumed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</si>
  <si>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1.2–1.4</t>
    </r>
  </si>
  <si>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</si>
  <si>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設施係數區間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</si>
  <si>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全 </t>
    </r>
    <r>
      <rPr>
        <sz val="11"/>
        <color theme="1"/>
        <rFont val="Calibri"/>
        <family val="2"/>
        <charset val="1"/>
      </rPr>
      <t xml:space="preserve">SKU </t>
    </r>
    <r>
      <rPr>
        <sz val="11"/>
        <color theme="1"/>
        <rFont val="Noto Sans CJK SC"/>
        <family val="2"/>
      </rPr>
      <t xml:space="preserve">漲價</t>
    </r>
  </si>
  <si>
    <t xml:space="preserve">報導（法說摘要，二手）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</si>
  <si>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G10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全 </t>
    </r>
    <r>
      <rPr>
        <sz val="11"/>
        <color theme="1"/>
        <rFont val="Calibri"/>
        <family val="2"/>
        <charset val="1"/>
      </rPr>
      <t xml:space="preserve">SKU </t>
    </r>
    <r>
      <rPr>
        <sz val="11"/>
        <color theme="1"/>
        <rFont val="Noto Sans CJK SC"/>
        <family val="2"/>
      </rPr>
      <t xml:space="preserve">約漲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營收為漲價前</t>
    </r>
  </si>
  <si>
    <r>
      <rPr>
        <sz val="11"/>
        <color theme="1"/>
        <rFont val="Noto Sans CJK SC"/>
        <family val="2"/>
      </rPr>
      <t xml:space="preserve">技術設備等折舊資產毛額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毛額 − 在建）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</si>
  <si>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33,941 − 9,376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</si>
  <si>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</si>
  <si>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52,622 − 11,918</t>
    </r>
  </si>
  <si>
    <r>
      <rPr>
        <sz val="11"/>
        <color theme="1"/>
        <rFont val="Calibri"/>
        <family val="2"/>
        <charset val="1"/>
      </rPr>
      <t xml:space="preserve">H1 2026 PP&amp;E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</si>
  <si>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$2.5 billion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</si>
  <si>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Q2 2026 PP&amp;E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</si>
  <si>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$1.4 billion</t>
    </r>
    <r>
      <rPr>
        <sz val="11"/>
        <color theme="1"/>
        <rFont val="Noto Sans CJK SC"/>
        <family val="2"/>
      </rPr>
      <t xml:space="preserve">」（四捨五入）</t>
    </r>
  </si>
  <si>
    <r>
      <rPr>
        <sz val="11"/>
        <color theme="1"/>
        <rFont val="Calibri"/>
        <family val="2"/>
        <charset val="1"/>
      </rPr>
      <t xml:space="preserve">TK IT </t>
    </r>
    <r>
      <rPr>
        <sz val="11"/>
        <color theme="1"/>
        <rFont val="Noto Sans CJK SC"/>
        <family val="2"/>
      </rPr>
      <t xml:space="preserve">折舊年限（</t>
    </r>
    <r>
      <rPr>
        <sz val="11"/>
        <color theme="1"/>
        <rFont val="Calibri"/>
        <family val="2"/>
        <charset val="1"/>
      </rPr>
      <t xml:space="preserve">IF_DeprLifeIT </t>
    </r>
    <r>
      <rPr>
        <sz val="11"/>
        <color theme="1"/>
        <rFont val="Noto Sans CJK SC"/>
        <family val="2"/>
      </rPr>
      <t xml:space="preserve">基準）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</si>
  <si>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</si>
  <si>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TK v21.2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 </t>
    </r>
    <r>
      <rPr>
        <sz val="11"/>
        <color theme="1"/>
        <rFont val="Noto Sans CJK SC"/>
        <family val="2"/>
      </rPr>
      <t xml:space="preserve">列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</si>
</sst>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</cols>
  <sheetData>
    <row r="1" customFormat="false" ht="17.15" hidden="false" customHeight="false" outlineLevel="0" collapsed="false">
      <c r="A1" s="0" t="s">
        <v>0</v>
      </c>
    </row>
    <row r="3" customFormat="false" ht="17.15" hidden="false" customHeight="false" outlineLevel="0" collapsed="false">
      <c r="A3" s="0" t="s">
        <v>1</v>
      </c>
      <c r="B3" s="1" t="s">
        <v>2</v>
      </c>
      <c r="C3" s="1" t="s">
        <v>3</v>
      </c>
    </row>
    <row r="4" customFormat="false" ht="17.15" hidden="false" customHeight="false" outlineLevel="0" collapsed="false">
      <c r="A4" s="0" t="s">
        <v>4</v>
      </c>
      <c r="B4" s="2" t="n">
        <f aca="false">輸入!$B$4-輸入!$B$5</f>
        <v>1</v>
      </c>
      <c r="C4" s="3" t="s">
        <v>5</v>
      </c>
    </row>
    <row r="5" customFormat="false" ht="17.15" hidden="false" customHeight="false" outlineLevel="0" collapsed="false">
      <c r="A5" s="0" t="s">
        <v>6</v>
      </c>
      <c r="B5" s="2" t="n">
        <f aca="false">(B4+輸入!$B$4)/2</f>
        <v>1.25</v>
      </c>
      <c r="C5" s="3" t="s">
        <v>7</v>
      </c>
    </row>
    <row r="6" customFormat="false" ht="17.15" hidden="false" customHeight="false" outlineLevel="0" collapsed="false">
      <c r="A6" s="0" t="s">
        <v>8</v>
      </c>
      <c r="B6" s="2" t="n">
        <f aca="false">B4+(輸入!$B$5-輸入!$B$6)*(2/3)+輸入!$B$6*(1/6)</f>
        <v>1.18333333333333</v>
      </c>
      <c r="C6" s="3" t="s">
        <v>9</v>
      </c>
    </row>
    <row r="8" customFormat="false" ht="17.15" hidden="false" customHeight="false" outlineLevel="0" collapsed="false">
      <c r="A8" s="0" t="s">
        <v>10</v>
      </c>
      <c r="B8" s="1" t="s">
        <v>11</v>
      </c>
      <c r="C8" s="0" t="s">
        <v>12</v>
      </c>
    </row>
    <row r="9" customFormat="false" ht="17.15" hidden="false" customHeight="false" outlineLevel="0" collapsed="false">
      <c r="A9" s="0" t="s">
        <v>13</v>
      </c>
      <c r="B9" s="2" t="n">
        <f aca="false">輸入!$B$2*4/B5</f>
        <v>8.24</v>
      </c>
      <c r="C9" s="2" t="n">
        <f aca="false">輸入!$B$2*4/B6</f>
        <v>8.70422535211268</v>
      </c>
    </row>
    <row r="10" customFormat="false" ht="17.15" hidden="false" customHeight="false" outlineLevel="0" collapsed="false">
      <c r="A10" s="0" t="s">
        <v>14</v>
      </c>
      <c r="B10" s="2" t="n">
        <f aca="false">B9*輸入!$B$9</f>
        <v>9.888</v>
      </c>
      <c r="C10" s="2" t="n">
        <f aca="false">C9*輸入!$B$9</f>
        <v>10.4450704225352</v>
      </c>
    </row>
    <row r="11" customFormat="false" ht="17.15" hidden="false" customHeight="false" outlineLevel="0" collapsed="false">
      <c r="A11" s="0" t="s">
        <v>15</v>
      </c>
      <c r="B11" s="2" t="n">
        <f aca="false">B9*輸入!$B$10</f>
        <v>10.712</v>
      </c>
      <c r="C11" s="2" t="n">
        <f aca="false">C9*輸入!$B$10</f>
        <v>11.3154929577465</v>
      </c>
    </row>
    <row r="12" customFormat="false" ht="17.15" hidden="false" customHeight="false" outlineLevel="0" collapsed="false">
      <c r="A12" s="0" t="s">
        <v>16</v>
      </c>
      <c r="B12" s="2" t="n">
        <f aca="false">B9*輸入!$B$11</f>
        <v>10.3</v>
      </c>
      <c r="C12" s="2" t="n">
        <f aca="false">C9*輸入!$B$11</f>
        <v>10.8802816901408</v>
      </c>
    </row>
    <row r="14" customFormat="false" ht="17.15" hidden="false" customHeight="false" outlineLevel="0" collapsed="false">
      <c r="A14" s="0" t="s">
        <v>17</v>
      </c>
      <c r="B14" s="0" t="s">
        <v>18</v>
      </c>
      <c r="C14" s="0" t="s">
        <v>19</v>
      </c>
    </row>
    <row r="15" customFormat="false" ht="17.15" hidden="false" customHeight="false" outlineLevel="0" collapsed="false">
      <c r="A15" s="0" t="s">
        <v>20</v>
      </c>
      <c r="B15" s="2" t="n">
        <f aca="false">B9/輸入!$B$7</f>
        <v>0.933376242032096</v>
      </c>
      <c r="C15" s="2" t="n">
        <f aca="false">B9/輸入!$B$8</f>
        <v>0.756906936400146</v>
      </c>
    </row>
    <row r="16" customFormat="false" ht="17.15" hidden="false" customHeight="false" outlineLevel="0" collapsed="false">
      <c r="A16" s="0" t="s">
        <v>21</v>
      </c>
      <c r="B16" s="2" t="n">
        <f aca="false">C9/輸入!$B$7</f>
        <v>0.985960819047989</v>
      </c>
      <c r="C16" s="2" t="n">
        <f aca="false">C9/輸入!$B$8</f>
        <v>0.79954958070438</v>
      </c>
    </row>
    <row r="17" customFormat="false" ht="17.15" hidden="false" customHeight="false" outlineLevel="0" collapsed="false">
      <c r="A17" s="1" t="s">
        <v>22</v>
      </c>
      <c r="B17" s="2" t="n">
        <f aca="false">B10/輸入!$B$7</f>
        <v>1.12005149043852</v>
      </c>
      <c r="C17" s="2" t="n">
        <f aca="false">B10/輸入!$B$8</f>
        <v>0.908288323680175</v>
      </c>
    </row>
    <row r="18" customFormat="false" ht="17.15" hidden="false" customHeight="false" outlineLevel="0" collapsed="false">
      <c r="A18" s="1" t="s">
        <v>23</v>
      </c>
      <c r="B18" s="2" t="n">
        <f aca="false">C11/輸入!$B$7</f>
        <v>1.28174906476239</v>
      </c>
      <c r="C18" s="2" t="n">
        <f aca="false">C11/輸入!$B$8</f>
        <v>1.03941445491569</v>
      </c>
    </row>
    <row r="19" customFormat="false" ht="17.15" hidden="false" customHeight="false" outlineLevel="0" collapsed="false">
      <c r="A19" s="0" t="s">
        <v>24</v>
      </c>
      <c r="B19" s="2" t="n">
        <f aca="false">B12/輸入!$B$7</f>
        <v>1.16672030254012</v>
      </c>
      <c r="C19" s="2" t="n">
        <f aca="false">B12/輸入!$B$8</f>
        <v>0.946133670500183</v>
      </c>
    </row>
    <row r="20" customFormat="false" ht="17.15" hidden="false" customHeight="false" outlineLevel="0" collapsed="false">
      <c r="A20" s="0" t="s">
        <v>25</v>
      </c>
      <c r="B20" s="2" t="n">
        <f aca="false">C12/輸入!$B$7</f>
        <v>1.23245102380999</v>
      </c>
      <c r="C20" s="2" t="n">
        <f aca="false">C12/輸入!$B$8</f>
        <v>0.999436975880475</v>
      </c>
    </row>
    <row r="21" customFormat="false" ht="15" hidden="false" customHeight="false" outlineLevel="0" collapsed="false">
      <c r="A21" s="1" t="s">
        <v>26</v>
      </c>
      <c r="B21" s="2" t="n">
        <f aca="false">MIN(B15:C18)</f>
        <v>0.756906936400146</v>
      </c>
    </row>
    <row r="22" customFormat="false" ht="15" hidden="false" customHeight="false" outlineLevel="0" collapsed="false">
      <c r="A22" s="1" t="s">
        <v>27</v>
      </c>
      <c r="B22" s="2" t="n">
        <f aca="false">MAX(B15:C18)</f>
        <v>1.28174906476239</v>
      </c>
    </row>
    <row r="23" customFormat="false" ht="17.15" hidden="false" customHeight="false" outlineLevel="0" collapsed="false">
      <c r="A23" s="1" t="s">
        <v>28</v>
      </c>
      <c r="B23" s="2" t="n">
        <f aca="false">B21*輸入!$B$11</f>
        <v>0.946133670500183</v>
      </c>
    </row>
    <row r="24" customFormat="false" ht="17.15" hidden="false" customHeight="false" outlineLevel="0" collapsed="false">
      <c r="A24" s="1" t="s">
        <v>29</v>
      </c>
      <c r="B24" s="2" t="n">
        <f aca="false">B22*輸入!$B$11</f>
        <v>1.60218633095298</v>
      </c>
    </row>
    <row r="26" customFormat="false" ht="17.15" hidden="false" customHeight="false" outlineLevel="0" collapsed="false">
      <c r="A26" s="0" t="s">
        <v>30</v>
      </c>
      <c r="B26" s="1" t="s">
        <v>2</v>
      </c>
      <c r="C26" s="1" t="s">
        <v>3</v>
      </c>
    </row>
    <row r="27" customFormat="false" ht="17.15" hidden="false" customHeight="false" outlineLevel="0" collapsed="false">
      <c r="A27" s="0" t="s">
        <v>31</v>
      </c>
      <c r="B27" s="2" t="n">
        <f aca="false">(輸入!$B$12+輸入!$B$13)/2</f>
        <v>32.6345</v>
      </c>
      <c r="C27" s="3" t="s">
        <v>32</v>
      </c>
    </row>
    <row r="28" customFormat="false" ht="17.15" hidden="false" customHeight="false" outlineLevel="0" collapsed="false">
      <c r="A28" s="1" t="s">
        <v>33</v>
      </c>
      <c r="B28" s="2" t="n">
        <f aca="false">B27/(輸入!$B$14*2)</f>
        <v>6.5269</v>
      </c>
      <c r="C28" s="1" t="s">
        <v>34</v>
      </c>
    </row>
    <row r="29" customFormat="false" ht="17.15" hidden="false" customHeight="false" outlineLevel="0" collapsed="false">
      <c r="A29" s="1" t="s">
        <v>35</v>
      </c>
      <c r="B29" s="2" t="n">
        <f aca="false">輸入!$B$13/(輸入!$B$15*4)</f>
        <v>7.26857142857143</v>
      </c>
      <c r="C29" s="1" t="s">
        <v>36</v>
      </c>
    </row>
    <row r="30" customFormat="false" ht="17.15" hidden="false" customHeight="false" outlineLevel="0" collapsed="false">
      <c r="A30" s="1" t="s">
        <v>37</v>
      </c>
      <c r="B30" s="2" t="n">
        <f aca="false">輸入!$B$12/(輸入!$B$14*2)</f>
        <v>4.913</v>
      </c>
      <c r="C30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4" t="s">
        <v>39</v>
      </c>
      <c r="B1" s="4" t="s">
        <v>2</v>
      </c>
      <c r="C1" s="4" t="s">
        <v>40</v>
      </c>
      <c r="D1" s="4" t="s">
        <v>41</v>
      </c>
      <c r="E1" s="4" t="s">
        <v>42</v>
      </c>
    </row>
    <row r="2" customFormat="false" ht="17.15" hidden="false" customHeight="false" outlineLevel="0" collapsed="false">
      <c r="A2" s="0" t="s">
        <v>43</v>
      </c>
      <c r="B2" s="5" t="n">
        <v>2.575</v>
      </c>
      <c r="C2" s="3" t="s">
        <v>44</v>
      </c>
      <c r="D2" s="3" t="s">
        <v>45</v>
      </c>
      <c r="E2" s="3" t="s">
        <v>46</v>
      </c>
    </row>
    <row r="3" customFormat="false" ht="17.15" hidden="false" customHeight="false" outlineLevel="0" collapsed="false">
      <c r="A3" s="0" t="s">
        <v>47</v>
      </c>
      <c r="B3" s="5" t="n">
        <v>4.653</v>
      </c>
      <c r="C3" s="3" t="s">
        <v>48</v>
      </c>
      <c r="D3" s="3" t="s">
        <v>45</v>
      </c>
      <c r="E3" s="1" t="s">
        <v>49</v>
      </c>
    </row>
    <row r="4" customFormat="false" ht="17.15" hidden="false" customHeight="false" outlineLevel="0" collapsed="false">
      <c r="A4" s="0" t="s">
        <v>50</v>
      </c>
      <c r="B4" s="5" t="n">
        <v>1.5</v>
      </c>
      <c r="C4" s="3" t="s">
        <v>5</v>
      </c>
      <c r="D4" s="3" t="s">
        <v>51</v>
      </c>
      <c r="E4" s="3" t="s">
        <v>52</v>
      </c>
    </row>
    <row r="5" customFormat="false" ht="17.15" hidden="false" customHeight="false" outlineLevel="0" collapsed="false">
      <c r="A5" s="0" t="s">
        <v>53</v>
      </c>
      <c r="B5" s="5" t="n">
        <v>0.5</v>
      </c>
      <c r="C5" s="3" t="s">
        <v>5</v>
      </c>
      <c r="D5" s="3" t="s">
        <v>54</v>
      </c>
      <c r="E5" s="3" t="s">
        <v>55</v>
      </c>
    </row>
    <row r="6" customFormat="false" ht="17.15" hidden="false" customHeight="false" outlineLevel="0" collapsed="false">
      <c r="A6" s="1" t="s">
        <v>56</v>
      </c>
      <c r="B6" s="5" t="n">
        <v>0.3</v>
      </c>
      <c r="C6" s="3" t="s">
        <v>5</v>
      </c>
      <c r="D6" s="1" t="s">
        <v>57</v>
      </c>
      <c r="E6" s="1" t="s">
        <v>58</v>
      </c>
    </row>
    <row r="7" customFormat="false" ht="17.15" hidden="false" customHeight="false" outlineLevel="0" collapsed="false">
      <c r="A7" s="0" t="s">
        <v>59</v>
      </c>
      <c r="B7" s="5" t="n">
        <v>8.82816556596761</v>
      </c>
      <c r="C7" s="3" t="s">
        <v>60</v>
      </c>
      <c r="D7" s="3" t="s">
        <v>61</v>
      </c>
      <c r="E7" s="3" t="s">
        <v>62</v>
      </c>
    </row>
    <row r="8" customFormat="false" ht="17.15" hidden="false" customHeight="false" outlineLevel="0" collapsed="false">
      <c r="A8" s="0" t="s">
        <v>63</v>
      </c>
      <c r="B8" s="5" t="n">
        <v>10.8864110021101</v>
      </c>
      <c r="C8" s="3" t="s">
        <v>60</v>
      </c>
      <c r="D8" s="3" t="s">
        <v>61</v>
      </c>
      <c r="E8" s="3" t="s">
        <v>64</v>
      </c>
    </row>
    <row r="9" customFormat="false" ht="17.15" hidden="false" customHeight="false" outlineLevel="0" collapsed="false">
      <c r="A9" s="0" t="s">
        <v>65</v>
      </c>
      <c r="B9" s="5" t="n">
        <v>1.2</v>
      </c>
      <c r="C9" s="3" t="s">
        <v>66</v>
      </c>
      <c r="D9" s="3" t="s">
        <v>67</v>
      </c>
      <c r="E9" s="1" t="s">
        <v>68</v>
      </c>
    </row>
    <row r="10" customFormat="false" ht="17.15" hidden="false" customHeight="false" outlineLevel="0" collapsed="false">
      <c r="A10" s="0" t="s">
        <v>69</v>
      </c>
      <c r="B10" s="5" t="n">
        <v>1.3</v>
      </c>
      <c r="C10" s="3" t="s">
        <v>66</v>
      </c>
      <c r="D10" s="3" t="s">
        <v>67</v>
      </c>
      <c r="E10" s="3" t="s">
        <v>70</v>
      </c>
    </row>
    <row r="11" customFormat="false" ht="17.15" hidden="false" customHeight="false" outlineLevel="0" collapsed="false">
      <c r="A11" s="0" t="s">
        <v>71</v>
      </c>
      <c r="B11" s="5" t="n">
        <v>1.25</v>
      </c>
      <c r="C11" s="3" t="s">
        <v>66</v>
      </c>
      <c r="D11" s="1" t="s">
        <v>72</v>
      </c>
      <c r="E11" s="3" t="s">
        <v>73</v>
      </c>
    </row>
    <row r="12" customFormat="false" ht="17.15" hidden="false" customHeight="false" outlineLevel="0" collapsed="false">
      <c r="A12" s="1" t="s">
        <v>74</v>
      </c>
      <c r="B12" s="5" t="n">
        <v>24.565</v>
      </c>
      <c r="C12" s="3" t="s">
        <v>48</v>
      </c>
      <c r="D12" s="3" t="s">
        <v>45</v>
      </c>
      <c r="E12" s="1" t="s">
        <v>75</v>
      </c>
    </row>
    <row r="13" customFormat="false" ht="17.15" hidden="false" customHeight="false" outlineLevel="0" collapsed="false">
      <c r="A13" s="1" t="s">
        <v>76</v>
      </c>
      <c r="B13" s="5" t="n">
        <v>40.704</v>
      </c>
      <c r="C13" s="3" t="s">
        <v>48</v>
      </c>
      <c r="D13" s="3" t="s">
        <v>45</v>
      </c>
      <c r="E13" s="1" t="s">
        <v>77</v>
      </c>
    </row>
    <row r="14" customFormat="false" ht="17.15" hidden="false" customHeight="false" outlineLevel="0" collapsed="false">
      <c r="A14" s="0" t="s">
        <v>78</v>
      </c>
      <c r="B14" s="5" t="n">
        <v>2.5</v>
      </c>
      <c r="C14" s="3" t="s">
        <v>48</v>
      </c>
      <c r="D14" s="3" t="s">
        <v>45</v>
      </c>
      <c r="E14" s="1" t="s">
        <v>79</v>
      </c>
    </row>
    <row r="15" customFormat="false" ht="17.15" hidden="false" customHeight="false" outlineLevel="0" collapsed="false">
      <c r="A15" s="0" t="s">
        <v>80</v>
      </c>
      <c r="B15" s="5" t="n">
        <v>1.4</v>
      </c>
      <c r="C15" s="3" t="s">
        <v>48</v>
      </c>
      <c r="D15" s="3" t="s">
        <v>45</v>
      </c>
      <c r="E15" s="1" t="s">
        <v>81</v>
      </c>
    </row>
    <row r="16" customFormat="false" ht="17.15" hidden="false" customHeight="false" outlineLevel="0" collapsed="false">
      <c r="A16" s="0" t="s">
        <v>82</v>
      </c>
      <c r="B16" s="5" t="n">
        <v>6</v>
      </c>
      <c r="C16" s="1" t="s">
        <v>83</v>
      </c>
      <c r="D16" s="3" t="s">
        <v>61</v>
      </c>
      <c r="E16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2026-10-24T08:01:00Z</dcterms:created>
  <dc:creator>openpyxl</dc:creator>
  <dc:description/>
  <dc:language>en-US</dc:language>
  <cp:lastModifiedBy/>
  <dcterms:modified xsi:type="dcterms:W3CDTF">2026-10-24T08:01:00Z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