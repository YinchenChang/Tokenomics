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" sheetId="1" state="visible" r:id="rId3"/>
    <sheet name="輸入" sheetId="2" state="visible" r:id="rId4"/>
    <sheet name="推導鏈" sheetId="3" state="visible" r:id="rId5"/>
    <sheet name="閉合條件" sheetId="4" state="visible" r:id="rId6"/>
    <sheet name="代數推導" sheetId="5" state="visible" r:id="rId7"/>
    <sheet name="敏感度" sheetId="6" state="visible" r:id="rId8"/>
    <sheet name="四項口徑差" sheetId="7" state="visible" r:id="rId9"/>
    <sheet name="價格時間錯配" sheetId="8" state="visible" r:id="rId10"/>
    <sheet name="證據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<sst xmlns="http://schemas.openxmlformats.org/spreadsheetml/2006/main" count="908" uniqueCount="653">
  <si>
    <r>
      <rPr>
        <b val="true"/>
        <sz val="14"/>
        <rFont val="Arial"/>
        <family val="0"/>
        <charset val="1"/>
      </rPr>
      <t xml:space="preserve">token </t>
    </r>
    <r>
      <rPr>
        <b val="true"/>
        <sz val="14"/>
        <rFont val="Noto Sans CJK SC"/>
        <family val="2"/>
      </rPr>
      <t xml:space="preserve">分母不閉合：研究用活頁簿（</t>
    </r>
    <r>
      <rPr>
        <b val="true"/>
        <sz val="14"/>
        <rFont val="Arial"/>
        <family val="0"/>
        <charset val="1"/>
      </rPr>
      <t xml:space="preserve">Tokenomics v5.35 </t>
    </r>
    <r>
      <rPr>
        <b val="true"/>
        <sz val="14"/>
        <rFont val="Noto Sans CJK SC"/>
        <family val="2"/>
      </rPr>
      <t xml:space="preserve">數值；</t>
    </r>
    <r>
      <rPr>
        <b val="true"/>
        <sz val="14"/>
        <rFont val="Arial"/>
        <family val="0"/>
        <charset val="1"/>
      </rPr>
      <t xml:space="preserve">v5.36 A </t>
    </r>
    <r>
      <rPr>
        <b val="true"/>
        <sz val="14"/>
        <rFont val="Noto Sans CJK SC"/>
        <family val="2"/>
      </rPr>
      <t xml:space="preserve">段查證）</t>
    </r>
  </si>
  <si>
    <t xml:space="preserve">要回答的問題</t>
  </si>
  <si>
    <r>
      <rPr>
        <sz val="10"/>
        <rFont val="Arial"/>
        <family val="0"/>
        <charset val="1"/>
      </rPr>
      <t xml:space="preserve">OpenAI 2025 </t>
    </r>
    <r>
      <rPr>
        <sz val="10"/>
        <rFont val="Noto Sans CJK SC"/>
        <family val="2"/>
      </rPr>
      <t xml:space="preserve">年的變現率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有兩個讀法：用使用量算付費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得 </t>
    </r>
    <r>
      <rPr>
        <sz val="10"/>
        <rFont val="Arial"/>
        <family val="0"/>
        <charset val="1"/>
      </rPr>
      <t xml:space="preserve">m_</t>
    </r>
    <r>
      <rPr>
        <sz val="10"/>
        <rFont val="Noto Sans CJK SC"/>
        <family val="2"/>
      </rPr>
      <t xml:space="preserve">整體 </t>
    </r>
    <r>
      <rPr>
        <sz val="10"/>
        <rFont val="Arial"/>
        <family val="0"/>
        <charset val="1"/>
      </rPr>
      <t xml:space="preserve">1.74</t>
    </r>
    <r>
      <rPr>
        <sz val="10"/>
        <rFont val="Noto Sans CJK SC"/>
        <family val="2"/>
      </rPr>
      <t xml:space="preserve">；用推論支出反推付費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得 </t>
    </r>
    <r>
      <rPr>
        <sz val="10"/>
        <rFont val="Arial"/>
        <family val="0"/>
        <charset val="1"/>
      </rPr>
      <t xml:space="preserve">m_fleet 0.81</t>
    </r>
    <r>
      <rPr>
        <sz val="10"/>
        <rFont val="Noto Sans CJK SC"/>
        <family val="2"/>
      </rPr>
      <t xml:space="preserve">。兩者差 </t>
    </r>
    <r>
      <rPr>
        <sz val="10"/>
        <rFont val="Arial"/>
        <family val="0"/>
        <charset val="1"/>
      </rPr>
      <t xml:space="preserve">2.15 </t>
    </r>
    <r>
      <rPr>
        <sz val="10"/>
        <rFont val="Noto Sans CJK SC"/>
        <family val="2"/>
      </rPr>
      <t xml:space="preserve">倍。差在哪裡？要怎樣才能一致（閉合）？對「</t>
    </r>
    <r>
      <rPr>
        <sz val="10"/>
        <rFont val="Arial"/>
        <family val="0"/>
        <charset val="1"/>
      </rPr>
      <t xml:space="preserve">1 GW </t>
    </r>
    <r>
      <rPr>
        <sz val="10"/>
        <rFont val="Noto Sans CJK SC"/>
        <family val="2"/>
      </rPr>
      <t xml:space="preserve">能不能回本」有什麼影響？</t>
    </r>
  </si>
  <si>
    <t xml:space="preserve">一句話結論</t>
  </si>
  <si>
    <r>
      <rPr>
        <sz val="10"/>
        <rFont val="Noto Sans CJK SC"/>
        <family val="2"/>
      </rPr>
      <t xml:space="preserve">差距全部來自「付費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數」的兩種算法；價格不影響差距。模型現值下，沒有任何一個輸入能單獨在證據範圍內把差距補平；最大的單一不確定項是推論支出取 </t>
    </r>
    <r>
      <rPr>
        <sz val="10"/>
        <rFont val="Arial"/>
        <family val="0"/>
        <charset val="1"/>
      </rPr>
      <t xml:space="preserve">126 </t>
    </r>
    <r>
      <rPr>
        <sz val="10"/>
        <rFont val="Noto Sans CJK SC"/>
        <family val="2"/>
      </rPr>
      <t xml:space="preserve">億還是 </t>
    </r>
    <r>
      <rPr>
        <sz val="10"/>
        <rFont val="Arial"/>
        <family val="0"/>
        <charset val="1"/>
      </rPr>
      <t xml:space="preserve">84 </t>
    </r>
    <r>
      <rPr>
        <sz val="10"/>
        <rFont val="Noto Sans CJK SC"/>
        <family val="2"/>
      </rPr>
      <t xml:space="preserve">億。回本判讀在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0.643 </t>
    </r>
    <r>
      <rPr>
        <sz val="10"/>
        <rFont val="Noto Sans CJK SC"/>
        <family val="2"/>
      </rPr>
      <t xml:space="preserve">下各情境都成立，在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低端 </t>
    </r>
    <r>
      <rPr>
        <sz val="10"/>
        <rFont val="Arial"/>
        <family val="0"/>
        <charset val="1"/>
      </rPr>
      <t xml:space="preserve">0.342 </t>
    </r>
    <r>
      <rPr>
        <sz val="10"/>
        <rFont val="Noto Sans CJK SC"/>
        <family val="2"/>
      </rPr>
      <t xml:space="preserve">下取決於機隊端的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。</t>
    </r>
  </si>
  <si>
    <t xml:space="preserve">建議閱讀順序</t>
  </si>
  <si>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推導鏈（看兩條路線各怎麼算）→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代數推導（為何差距是這個恆等式）→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閉合條件（每個輸入要改多少）→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敏感度（哪個輸入最重要）→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四項口徑差、價格時間錯配（兩個常見誤解）→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證據。</t>
    </r>
  </si>
  <si>
    <t xml:space="preserve">怎麼自己試</t>
  </si>
  <si>
    <r>
      <rPr>
        <sz val="10"/>
        <rFont val="Noto Sans CJK SC"/>
        <family val="2"/>
      </rPr>
      <t xml:space="preserve">改「輸入」頁 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欄（黃底）任何一格，所有頁面的 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欄（自訂）會跟著重算。</t>
    </r>
    <r>
      <rPr>
        <sz val="10"/>
        <rFont val="Arial"/>
        <family val="0"/>
        <charset val="1"/>
      </rPr>
      <t xml:space="preserve">D–G </t>
    </r>
    <r>
      <rPr>
        <sz val="10"/>
        <rFont val="Noto Sans CJK SC"/>
        <family val="2"/>
      </rPr>
      <t xml:space="preserve">欄是固定情境，建議不要改。</t>
    </r>
  </si>
  <si>
    <t xml:space="preserve">顏色</t>
  </si>
  <si>
    <t xml:space="preserve">藍字＝輸入數值；黑字＝公式；綠字＝引用其他頁；黃底＝可改的自訂輸入；淺綠底＝重點結果列。</t>
  </si>
  <si>
    <t xml:space="preserve">數字來源</t>
  </si>
  <si>
    <r>
      <rPr>
        <sz val="10"/>
        <rFont val="Noto Sans CJK SC"/>
        <family val="2"/>
      </rPr>
      <t xml:space="preserve">所有輸入取自 </t>
    </r>
    <r>
      <rPr>
        <sz val="10"/>
        <rFont val="Arial"/>
        <family val="0"/>
        <charset val="1"/>
      </rPr>
      <t xml:space="preserve">Tokenomics v5.35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model/CURRENT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20261014_Tokenomics_v5.35.xlsx</t>
    </r>
    <r>
      <rPr>
        <sz val="10"/>
        <rFont val="Noto Sans CJK SC"/>
        <family val="2"/>
      </rPr>
      <t xml:space="preserve">）的具名範圍或 </t>
    </r>
    <r>
      <rPr>
        <sz val="10"/>
        <rFont val="Arial"/>
        <family val="0"/>
        <charset val="1"/>
      </rPr>
      <t xml:space="preserve">SRC </t>
    </r>
    <r>
      <rPr>
        <sz val="10"/>
        <rFont val="Noto Sans CJK SC"/>
        <family val="2"/>
      </rPr>
      <t xml:space="preserve">列，以及 </t>
    </r>
    <r>
      <rPr>
        <sz val="10"/>
        <rFont val="Arial"/>
        <family val="0"/>
        <charset val="1"/>
      </rPr>
      <t xml:space="preserve">v5.36 A </t>
    </r>
    <r>
      <rPr>
        <sz val="10"/>
        <rFont val="Noto Sans CJK SC"/>
        <family val="2"/>
      </rPr>
      <t xml:space="preserve">段查證（</t>
    </r>
    <r>
      <rPr>
        <sz val="10"/>
        <rFont val="Arial"/>
        <family val="0"/>
        <charset val="1"/>
      </rPr>
      <t xml:space="preserve">PR #48</t>
    </r>
    <r>
      <rPr>
        <sz val="10"/>
        <rFont val="Noto Sans CJK SC"/>
        <family val="2"/>
      </rPr>
      <t xml:space="preserve">）。每個輸入的來源與標記在「輸入」頁 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欄。</t>
    </r>
  </si>
  <si>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的關係</t>
    </r>
  </si>
  <si>
    <r>
      <rPr>
        <sz val="10"/>
        <rFont val="Noto Sans CJK SC"/>
        <family val="2"/>
      </rPr>
      <t xml:space="preserve">本活頁簿是研究用副本，不是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的一部分；公式逐列對照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Alloc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Cap_In H </t>
    </r>
    <r>
      <rPr>
        <sz val="10"/>
        <rFont val="Noto Sans CJK SC"/>
        <family val="2"/>
      </rPr>
      <t xml:space="preserve">節（列號寫在推導鏈 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欄）。模型現值欄應與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一致：</t>
    </r>
    <r>
      <rPr>
        <sz val="10"/>
        <rFont val="Arial"/>
        <family val="0"/>
        <charset val="1"/>
      </rPr>
      <t xml:space="preserve">m_fleet 0.810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m_</t>
    </r>
    <r>
      <rPr>
        <sz val="10"/>
        <rFont val="Noto Sans CJK SC"/>
        <family val="2"/>
      </rPr>
      <t xml:space="preserve">整體 </t>
    </r>
    <r>
      <rPr>
        <sz val="10"/>
        <rFont val="Arial"/>
        <family val="0"/>
        <charset val="1"/>
      </rPr>
      <t xml:space="preserve">1.743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τ* 13,950</t>
    </r>
    <r>
      <rPr>
        <sz val="10"/>
        <rFont val="Noto Sans CJK SC"/>
        <family val="2"/>
      </rPr>
      <t xml:space="preserve">、閉合比 </t>
    </r>
    <r>
      <rPr>
        <sz val="10"/>
        <rFont val="Arial"/>
        <family val="0"/>
        <charset val="1"/>
      </rPr>
      <t xml:space="preserve">0.465</t>
    </r>
    <r>
      <rPr>
        <sz val="10"/>
        <rFont val="Noto Sans CJK SC"/>
        <family val="2"/>
      </rPr>
      <t xml:space="preserve">。</t>
    </r>
  </si>
  <si>
    <t xml:space="preserve">限制</t>
  </si>
  <si>
    <r>
      <rPr>
        <sz val="10"/>
        <rFont val="Arial"/>
        <family val="0"/>
        <charset val="1"/>
      </rPr>
      <t xml:space="preserve">(1) </t>
    </r>
    <r>
      <rPr>
        <sz val="10"/>
        <rFont val="Noto Sans CJK SC"/>
        <family val="2"/>
      </rPr>
      <t xml:space="preserve">計價倍數、</t>
    </r>
    <r>
      <rPr>
        <sz val="10"/>
        <rFont val="Arial"/>
        <family val="0"/>
        <charset val="1"/>
      </rPr>
      <t xml:space="preserve">84 </t>
    </r>
    <r>
      <rPr>
        <sz val="10"/>
        <rFont val="Noto Sans CJK SC"/>
        <family val="2"/>
      </rPr>
      <t xml:space="preserve">億、計算毛利 </t>
    </r>
    <r>
      <rPr>
        <sz val="10"/>
        <rFont val="Arial"/>
        <family val="0"/>
        <charset val="1"/>
      </rPr>
      <t xml:space="preserve">70% </t>
    </r>
    <r>
      <rPr>
        <sz val="10"/>
        <rFont val="Noto Sans CJK SC"/>
        <family val="2"/>
      </rPr>
      <t xml:space="preserve">的佐證多為二手報導，原文未讀到。</t>
    </r>
    <r>
      <rPr>
        <sz val="10"/>
        <rFont val="Arial"/>
        <family val="0"/>
        <charset val="1"/>
      </rPr>
      <t xml:space="preserve">(2) κ </t>
    </r>
    <r>
      <rPr>
        <sz val="10"/>
        <rFont val="Noto Sans CJK SC"/>
        <family val="2"/>
      </rPr>
      <t xml:space="preserve">的輸入全是類比。</t>
    </r>
    <r>
      <rPr>
        <sz val="10"/>
        <rFont val="Arial"/>
        <family val="0"/>
        <charset val="1"/>
      </rPr>
      <t xml:space="preserve">(3) </t>
    </r>
    <r>
      <rPr>
        <sz val="10"/>
        <rFont val="Noto Sans CJK SC"/>
        <family val="2"/>
      </rPr>
      <t xml:space="preserve">回本門檻用新建 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的成本與產出，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量的是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機隊，兩者時點不同。</t>
    </r>
    <r>
      <rPr>
        <sz val="10"/>
        <rFont val="Arial"/>
        <family val="0"/>
        <charset val="1"/>
      </rPr>
      <t xml:space="preserve">(4) </t>
    </r>
    <r>
      <rPr>
        <sz val="10"/>
        <rFont val="Noto Sans CJK SC"/>
        <family val="2"/>
      </rPr>
      <t xml:space="preserve">免費算力占比的第二個不閉合（</t>
    </r>
    <r>
      <rPr>
        <sz val="10"/>
        <rFont val="Arial"/>
        <family val="0"/>
        <charset val="1"/>
      </rPr>
      <t xml:space="preserve">21%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46%</t>
    </r>
    <r>
      <rPr>
        <sz val="10"/>
        <rFont val="Noto Sans CJK SC"/>
        <family val="2"/>
      </rPr>
      <t xml:space="preserve">）只列出未解。</t>
    </r>
  </si>
  <si>
    <r>
      <rPr>
        <b val="true"/>
        <sz val="10"/>
        <rFont val="Noto Sans CJK SC"/>
        <family val="2"/>
      </rPr>
      <t xml:space="preserve">待你決定（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段）</t>
    </r>
  </si>
  <si>
    <r>
      <rPr>
        <sz val="10"/>
        <rFont val="Noto Sans CJK SC"/>
        <family val="2"/>
      </rPr>
      <t xml:space="preserve">推論支出主值用 </t>
    </r>
    <r>
      <rPr>
        <sz val="10"/>
        <rFont val="Arial"/>
        <family val="0"/>
        <charset val="1"/>
      </rPr>
      <t xml:space="preserve">126 </t>
    </r>
    <r>
      <rPr>
        <sz val="10"/>
        <rFont val="Noto Sans CJK SC"/>
        <family val="2"/>
      </rPr>
      <t xml:space="preserve">億或 </t>
    </r>
    <r>
      <rPr>
        <sz val="10"/>
        <rFont val="Arial"/>
        <family val="0"/>
        <charset val="1"/>
      </rPr>
      <t xml:space="preserve">84 </t>
    </r>
    <r>
      <rPr>
        <sz val="10"/>
        <rFont val="Noto Sans CJK SC"/>
        <family val="2"/>
      </rPr>
      <t xml:space="preserve">億；計價倍數區間；每則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區間上緣；是否以 </t>
    </r>
    <r>
      <rPr>
        <sz val="10"/>
        <rFont val="Arial"/>
        <family val="0"/>
        <charset val="1"/>
      </rPr>
      <t xml:space="preserve">κ </t>
    </r>
    <r>
      <rPr>
        <sz val="10"/>
        <rFont val="Noto Sans CJK SC"/>
        <family val="2"/>
      </rPr>
      <t xml:space="preserve">取代 </t>
    </r>
    <r>
      <rPr>
        <sz val="10"/>
        <rFont val="Arial"/>
        <family val="0"/>
        <charset val="1"/>
      </rPr>
      <t xml:space="preserve">GapISL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L1 </t>
    </r>
    <r>
      <rPr>
        <sz val="10"/>
        <rFont val="Noto Sans CJK SC"/>
        <family val="2"/>
      </rPr>
      <t xml:space="preserve">是否加實收單價列；</t>
    </r>
    <r>
      <rPr>
        <sz val="10"/>
        <rFont val="Arial"/>
        <family val="0"/>
        <charset val="1"/>
      </rPr>
      <t xml:space="preserve">DB_Evidence </t>
    </r>
    <r>
      <rPr>
        <sz val="10"/>
        <rFont val="Noto Sans CJK SC"/>
        <family val="2"/>
      </rPr>
      <t xml:space="preserve">登錄。詳見 </t>
    </r>
    <r>
      <rPr>
        <sz val="10"/>
        <rFont val="Arial"/>
        <family val="0"/>
        <charset val="1"/>
      </rPr>
      <t xml:space="preserve">PR #48 </t>
    </r>
    <r>
      <rPr>
        <sz val="10"/>
        <rFont val="Noto Sans CJK SC"/>
        <family val="2"/>
      </rPr>
      <t xml:space="preserve">報告第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節。</t>
    </r>
  </si>
  <si>
    <t xml:space="preserve">頁面</t>
  </si>
  <si>
    <t xml:space="preserve">輸入</t>
  </si>
  <si>
    <t xml:space="preserve">全部數值輸入、四個固定情境＋一個自訂情境、區間、標記、來源</t>
  </si>
  <si>
    <t xml:space="preserve">推導鏈</t>
  </si>
  <si>
    <t xml:space="preserve">需求端 → 機隊端 → 閉合 → 回本，逐步公式</t>
  </si>
  <si>
    <t xml:space="preserve">閉合條件</t>
  </si>
  <si>
    <t xml:space="preserve">單獨改一個輸入所需的值，與是否落在證據範圍</t>
  </si>
  <si>
    <t xml:space="preserve">代數推導</t>
  </si>
  <si>
    <t xml:space="preserve">恆等式與閉合條件的推導文字</t>
  </si>
  <si>
    <t xml:space="preserve">敏感度</t>
  </si>
  <si>
    <r>
      <rPr>
        <sz val="10"/>
        <rFont val="Noto Sans CJK SC"/>
        <family val="2"/>
      </rPr>
      <t xml:space="preserve">一次動一個輸入的缺口、</t>
    </r>
    <r>
      <rPr>
        <sz val="10"/>
        <rFont val="Arial"/>
        <family val="0"/>
        <charset val="1"/>
      </rPr>
      <t xml:space="preserve">m_fleet</t>
    </r>
    <r>
      <rPr>
        <sz val="10"/>
        <rFont val="Noto Sans CJK SC"/>
        <family val="2"/>
      </rPr>
      <t xml:space="preserve">、實收單價與 </t>
    </r>
    <r>
      <rPr>
        <sz val="10"/>
        <rFont val="Arial"/>
        <family val="0"/>
        <charset val="1"/>
      </rPr>
      <t xml:space="preserve">ln </t>
    </r>
    <r>
      <rPr>
        <sz val="10"/>
        <rFont val="Noto Sans CJK SC"/>
        <family val="2"/>
      </rPr>
      <t xml:space="preserve">寬度</t>
    </r>
  </si>
  <si>
    <t xml:space="preserve">四項口徑差</t>
  </si>
  <si>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L1 </t>
    </r>
    <r>
      <rPr>
        <sz val="10"/>
        <rFont val="Noto Sans CJK SC"/>
        <family val="2"/>
      </rPr>
      <t xml:space="preserve">落差分解的重算與重複計入說明</t>
    </r>
  </si>
  <si>
    <t xml:space="preserve">價格時間錯配</t>
  </si>
  <si>
    <r>
      <rPr>
        <sz val="10"/>
        <rFont val="Arial"/>
        <family val="0"/>
        <charset val="1"/>
      </rPr>
      <t xml:space="preserve">ρ </t>
    </r>
    <r>
      <rPr>
        <sz val="10"/>
        <rFont val="Noto Sans CJK SC"/>
        <family val="2"/>
      </rPr>
      <t xml:space="preserve">的計算與對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、缺口的影響</t>
    </r>
  </si>
  <si>
    <t xml:space="preserve">證據</t>
  </si>
  <si>
    <r>
      <rPr>
        <sz val="10"/>
        <rFont val="Arial"/>
        <family val="0"/>
        <charset val="1"/>
      </rPr>
      <t xml:space="preserve">v5.36A </t>
    </r>
    <r>
      <rPr>
        <sz val="10"/>
        <rFont val="Noto Sans CJK SC"/>
        <family val="2"/>
      </rPr>
      <t xml:space="preserve">查證原始紀錄</t>
    </r>
  </si>
  <si>
    <r>
      <rPr>
        <b val="true"/>
        <sz val="14"/>
        <rFont val="Noto Sans CJK SC"/>
        <family val="2"/>
      </rPr>
      <t xml:space="preserve">輸入：本活頁簿唯一的數值來源（藍字＝輸入；</t>
    </r>
    <r>
      <rPr>
        <b val="true"/>
        <sz val="14"/>
        <rFont val="Arial"/>
        <family val="0"/>
        <charset val="1"/>
      </rPr>
      <t xml:space="preserve">H </t>
    </r>
    <r>
      <rPr>
        <b val="true"/>
        <sz val="14"/>
        <rFont val="Noto Sans CJK SC"/>
        <family val="2"/>
      </rPr>
      <t xml:space="preserve">欄黃底＝你可以改的自訂情境）</t>
    </r>
  </si>
  <si>
    <r>
      <rPr>
        <sz val="10"/>
        <rFont val="Arial"/>
        <family val="0"/>
        <charset val="1"/>
      </rPr>
      <t xml:space="preserve">D–G </t>
    </r>
    <r>
      <rPr>
        <sz val="10"/>
        <rFont val="Noto Sans CJK SC"/>
        <family val="2"/>
      </rPr>
      <t xml:space="preserve">欄是四個固定情境（只有少數輸入不同）；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欄預設等於模型現值，改它即可看全部頁面的 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欄如何變化。</t>
    </r>
    <r>
      <rPr>
        <sz val="10"/>
        <rFont val="Arial"/>
        <family val="0"/>
        <charset val="1"/>
      </rPr>
      <t xml:space="preserve">I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欄是證據或模型的合理區間，供「敏感度」頁使用。</t>
    </r>
  </si>
  <si>
    <t xml:space="preserve">代號</t>
  </si>
  <si>
    <t xml:space="preserve">項目</t>
  </si>
  <si>
    <t xml:space="preserve">單位</t>
  </si>
  <si>
    <r>
      <rPr>
        <b val="true"/>
        <sz val="10"/>
        <color rgb="FFFFFFFF"/>
        <rFont val="Noto Sans CJK SC"/>
        <family val="2"/>
      </rPr>
      <t xml:space="preserve">模型現值（</t>
    </r>
    <r>
      <rPr>
        <b val="true"/>
        <sz val="10"/>
        <color rgb="FFFFFFFF"/>
        <rFont val="Arial"/>
        <family val="0"/>
        <charset val="1"/>
      </rPr>
      <t xml:space="preserve">v5.35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</si>
  <si>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Arial"/>
        <family val="0"/>
        <charset val="1"/>
      </rPr>
      <t xml:space="preserve">A </t>
    </r>
    <r>
      <rPr>
        <b val="true"/>
        <sz val="10"/>
        <color rgb="FFFFFFFF"/>
        <rFont val="Noto Sans CJK SC"/>
        <family val="2"/>
      </rPr>
      <t xml:space="preserve">段證據：計價倍數 </t>
    </r>
    <r>
      <rPr>
        <b val="true"/>
        <sz val="10"/>
        <color rgb="FFFFFFFF"/>
        <rFont val="Arial"/>
        <family val="0"/>
        <charset val="1"/>
      </rPr>
      <t xml:space="preserve">1.5</t>
    </r>
  </si>
  <si>
    <r>
      <rPr>
        <b val="true"/>
        <sz val="10"/>
        <color rgb="FFFFFFFF"/>
        <rFont val="Arial"/>
        <family val="0"/>
        <charset val="1"/>
      </rPr>
      <t xml:space="preserve">A </t>
    </r>
    <r>
      <rPr>
        <b val="true"/>
        <sz val="10"/>
        <color rgb="FFFFFFFF"/>
        <rFont val="Noto Sans CJK SC"/>
        <family val="2"/>
      </rPr>
      <t xml:space="preserve">段證據＋推論支出 </t>
    </r>
    <r>
      <rPr>
        <b val="true"/>
        <sz val="10"/>
        <color rgb="FFFFFFFF"/>
        <rFont val="Arial"/>
        <family val="0"/>
        <charset val="1"/>
      </rPr>
      <t xml:space="preserve">84 </t>
    </r>
    <r>
      <rPr>
        <b val="true"/>
        <sz val="10"/>
        <color rgb="FFFFFFFF"/>
        <rFont val="Noto Sans CJK SC"/>
        <family val="2"/>
      </rPr>
      <t xml:space="preserve">億</t>
    </r>
  </si>
  <si>
    <r>
      <rPr>
        <b val="true"/>
        <sz val="10"/>
        <color rgb="FFFFFFFF"/>
        <rFont val="Noto Sans CJK SC"/>
        <family val="2"/>
      </rPr>
      <t xml:space="preserve">閉合例：支出 </t>
    </r>
    <r>
      <rPr>
        <b val="true"/>
        <sz val="10"/>
        <color rgb="FFFFFFFF"/>
        <rFont val="Arial"/>
        <family val="0"/>
        <charset val="1"/>
      </rPr>
      <t xml:space="preserve">84 </t>
    </r>
    <r>
      <rPr>
        <b val="true"/>
        <sz val="10"/>
        <color rgb="FFFFFFFF"/>
        <rFont val="Noto Sans CJK SC"/>
        <family val="2"/>
      </rPr>
      <t xml:space="preserve">億＋</t>
    </r>
    <r>
      <rPr>
        <b val="true"/>
        <sz val="10"/>
        <color rgb="FFFFFFFF"/>
        <rFont val="Arial"/>
        <family val="0"/>
        <charset val="1"/>
      </rPr>
      <t xml:space="preserve">κ 0.75</t>
    </r>
  </si>
  <si>
    <t xml:space="preserve">自訂（黃底輸入格可改）</t>
  </si>
  <si>
    <t xml:space="preserve">區間低</t>
  </si>
  <si>
    <t xml:space="preserve">區間高</t>
  </si>
  <si>
    <t xml:space="preserve">標記</t>
  </si>
  <si>
    <t xml:space="preserve">來源與說明</t>
  </si>
  <si>
    <r>
      <rPr>
        <b val="true"/>
        <sz val="11"/>
        <color rgb="FF1F3864"/>
        <rFont val="Arial"/>
        <family val="0"/>
        <charset val="1"/>
      </rPr>
      <t xml:space="preserve">A. </t>
    </r>
    <r>
      <rPr>
        <b val="true"/>
        <sz val="11"/>
        <color rgb="FF1F3864"/>
        <rFont val="Noto Sans CJK SC"/>
        <family val="2"/>
      </rPr>
      <t xml:space="preserve">營收與單價</t>
    </r>
  </si>
  <si>
    <t xml:space="preserve">R</t>
  </si>
  <si>
    <r>
      <rPr>
        <sz val="10"/>
        <rFont val="Arial"/>
        <family val="0"/>
        <charset val="1"/>
      </rPr>
      <t xml:space="preserve">OpenAI 2025 </t>
    </r>
    <r>
      <rPr>
        <sz val="10"/>
        <rFont val="Noto Sans CJK SC"/>
        <family val="2"/>
      </rPr>
      <t xml:space="preserve">營收（毛額）</t>
    </r>
  </si>
  <si>
    <t xml:space="preserve">$B</t>
  </si>
  <si>
    <t xml:space="preserve">Interested-party</t>
  </si>
  <si>
    <r>
      <rPr>
        <sz val="10"/>
        <rFont val="Arial"/>
        <family val="0"/>
        <charset val="1"/>
      </rPr>
      <t xml:space="preserve">SRC_DEM_007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外流財報；有吹高營收的誘因）</t>
    </r>
  </si>
  <si>
    <t xml:space="preserve">mixL</t>
  </si>
  <si>
    <r>
      <rPr>
        <sz val="10"/>
        <rFont val="Noto Sans CJK SC"/>
        <family val="2"/>
      </rPr>
      <t xml:space="preserve">付費層級組合：</t>
    </r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</rPr>
      <t xml:space="preserve">（低階）</t>
    </r>
  </si>
  <si>
    <t xml:space="preserve">%</t>
  </si>
  <si>
    <t xml:space="preserve">Assumed</t>
  </si>
  <si>
    <r>
      <rPr>
        <sz val="10"/>
        <rFont val="Arial"/>
        <family val="0"/>
        <charset val="1"/>
      </rPr>
      <t xml:space="preserve">B4_MixPaid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Tokenomics v5.35</t>
    </r>
    <r>
      <rPr>
        <sz val="10"/>
        <rFont val="Noto Sans CJK SC"/>
        <family val="2"/>
      </rPr>
      <t xml:space="preserve">）</t>
    </r>
  </si>
  <si>
    <t xml:space="preserve">mixS</t>
  </si>
  <si>
    <r>
      <rPr>
        <sz val="10"/>
        <rFont val="Noto Sans CJK SC"/>
        <family val="2"/>
      </rPr>
      <t xml:space="preserve">付費層級組合：</t>
    </r>
    <r>
      <rPr>
        <sz val="10"/>
        <rFont val="Arial"/>
        <family val="0"/>
        <charset val="1"/>
      </rPr>
      <t xml:space="preserve">Sol</t>
    </r>
    <r>
      <rPr>
        <sz val="10"/>
        <rFont val="Noto Sans CJK SC"/>
        <family val="2"/>
      </rPr>
      <t xml:space="preserve">（中階）</t>
    </r>
  </si>
  <si>
    <t xml:space="preserve">B4_MixPaid</t>
  </si>
  <si>
    <t xml:space="preserve">mixA</t>
  </si>
  <si>
    <r>
      <rPr>
        <sz val="10"/>
        <rFont val="Noto Sans CJK SC"/>
        <family val="2"/>
      </rPr>
      <t xml:space="preserve">付費層級組合：</t>
    </r>
    <r>
      <rPr>
        <sz val="10"/>
        <rFont val="Arial"/>
        <family val="0"/>
        <charset val="1"/>
      </rPr>
      <t xml:space="preserve">Astra</t>
    </r>
    <r>
      <rPr>
        <sz val="10"/>
        <rFont val="Noto Sans CJK SC"/>
        <family val="2"/>
      </rPr>
      <t xml:space="preserve">（高階）</t>
    </r>
  </si>
  <si>
    <t xml:space="preserve">pL</t>
  </si>
  <si>
    <r>
      <rPr>
        <sz val="10"/>
        <rFont val="Noto Sans CJK SC"/>
        <family val="2"/>
      </rPr>
      <t xml:space="preserve">參考請求有效單價：</t>
    </r>
    <r>
      <rPr>
        <sz val="10"/>
        <rFont val="Arial"/>
        <family val="0"/>
        <charset val="1"/>
      </rPr>
      <t xml:space="preserve">Luna</t>
    </r>
  </si>
  <si>
    <t xml:space="preserve">$/M</t>
  </si>
  <si>
    <t xml:space="preserve">Derived</t>
  </si>
  <si>
    <r>
      <rPr>
        <sz val="10"/>
        <rFont val="Arial"/>
        <family val="0"/>
        <charset val="1"/>
      </rPr>
      <t xml:space="preserve">IF_PriceRef_Luna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GPT-6 </t>
    </r>
    <r>
      <rPr>
        <sz val="10"/>
        <rFont val="Noto Sans CJK SC"/>
        <family val="2"/>
      </rPr>
      <t xml:space="preserve">牌價快照（</t>
    </r>
    <r>
      <rPr>
        <sz val="10"/>
        <rFont val="Arial"/>
        <family val="0"/>
        <charset val="1"/>
      </rPr>
      <t xml:space="preserve">16K </t>
    </r>
    <r>
      <rPr>
        <sz val="10"/>
        <rFont val="Noto Sans CJK SC"/>
        <family val="2"/>
      </rPr>
      <t xml:space="preserve">入／</t>
    </r>
    <r>
      <rPr>
        <sz val="10"/>
        <rFont val="Arial"/>
        <family val="0"/>
        <charset val="1"/>
      </rPr>
      <t xml:space="preserve">2K </t>
    </r>
    <r>
      <rPr>
        <sz val="10"/>
        <rFont val="Noto Sans CJK SC"/>
        <family val="2"/>
      </rPr>
      <t xml:space="preserve">出、快取命中 </t>
    </r>
    <r>
      <rPr>
        <sz val="10"/>
        <rFont val="Arial"/>
        <family val="0"/>
        <charset val="1"/>
      </rPr>
      <t xml:space="preserve">0.55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× (1 − </t>
    </r>
    <r>
      <rPr>
        <sz val="10"/>
        <rFont val="Noto Sans CJK SC"/>
        <family val="2"/>
      </rPr>
      <t xml:space="preserve">折讓 </t>
    </r>
    <r>
      <rPr>
        <sz val="10"/>
        <rFont val="Arial"/>
        <family val="0"/>
        <charset val="1"/>
      </rPr>
      <t xml:space="preserve">0.2)</t>
    </r>
  </si>
  <si>
    <t xml:space="preserve">pS</t>
  </si>
  <si>
    <r>
      <rPr>
        <sz val="10"/>
        <rFont val="Noto Sans CJK SC"/>
        <family val="2"/>
      </rPr>
      <t xml:space="preserve">參考請求有效單價：</t>
    </r>
    <r>
      <rPr>
        <sz val="10"/>
        <rFont val="Arial"/>
        <family val="0"/>
        <charset val="1"/>
      </rPr>
      <t xml:space="preserve">Sol</t>
    </r>
  </si>
  <si>
    <r>
      <rPr>
        <sz val="10"/>
        <rFont val="Arial"/>
        <family val="0"/>
        <charset val="1"/>
      </rPr>
      <t xml:space="preserve">IF_PriceRef_Sol</t>
    </r>
    <r>
      <rPr>
        <sz val="10"/>
        <rFont val="Noto Sans CJK SC"/>
        <family val="2"/>
      </rPr>
      <t xml:space="preserve">（同上）</t>
    </r>
  </si>
  <si>
    <t xml:space="preserve">pA</t>
  </si>
  <si>
    <r>
      <rPr>
        <sz val="10"/>
        <rFont val="Noto Sans CJK SC"/>
        <family val="2"/>
      </rPr>
      <t xml:space="preserve">參考請求有效單價：</t>
    </r>
    <r>
      <rPr>
        <sz val="10"/>
        <rFont val="Arial"/>
        <family val="0"/>
        <charset val="1"/>
      </rPr>
      <t xml:space="preserve">Astra</t>
    </r>
  </si>
  <si>
    <r>
      <rPr>
        <sz val="10"/>
        <rFont val="Arial"/>
        <family val="0"/>
        <charset val="1"/>
      </rPr>
      <t xml:space="preserve">IF_PriceRef_Astra</t>
    </r>
    <r>
      <rPr>
        <sz val="10"/>
        <rFont val="Noto Sans CJK SC"/>
        <family val="2"/>
      </rPr>
      <t xml:space="preserve">（同上）</t>
    </r>
  </si>
  <si>
    <r>
      <rPr>
        <b val="true"/>
        <sz val="11"/>
        <color rgb="FF1F3864"/>
        <rFont val="Arial"/>
        <family val="0"/>
        <charset val="1"/>
      </rPr>
      <t xml:space="preserve">B. </t>
    </r>
    <r>
      <rPr>
        <b val="true"/>
        <sz val="11"/>
        <color rgb="FF1F3864"/>
        <rFont val="Noto Sans CJK SC"/>
        <family val="2"/>
      </rPr>
      <t xml:space="preserve">需求端（</t>
    </r>
    <r>
      <rPr>
        <b val="true"/>
        <sz val="11"/>
        <color rgb="FF1F3864"/>
        <rFont val="Arial"/>
        <family val="0"/>
        <charset val="1"/>
      </rPr>
      <t xml:space="preserve">token </t>
    </r>
    <r>
      <rPr>
        <b val="true"/>
        <sz val="11"/>
        <color rgb="FF1F3864"/>
        <rFont val="Noto Sans CJK SC"/>
        <family val="2"/>
      </rPr>
      <t xml:space="preserve">從使用量算）</t>
    </r>
  </si>
  <si>
    <t xml:space="preserve">tpm</t>
  </si>
  <si>
    <r>
      <rPr>
        <sz val="10"/>
        <rFont val="Arial"/>
        <family val="0"/>
        <charset val="1"/>
      </rPr>
      <t xml:space="preserve">API token </t>
    </r>
    <r>
      <rPr>
        <sz val="10"/>
        <rFont val="Noto Sans CJK SC"/>
        <family val="2"/>
      </rPr>
      <t xml:space="preserve">量（</t>
    </r>
    <r>
      <rPr>
        <sz val="10"/>
        <rFont val="Arial"/>
        <family val="0"/>
        <charset val="1"/>
      </rPr>
      <t xml:space="preserve">2025-10 </t>
    </r>
    <r>
      <rPr>
        <sz val="10"/>
        <rFont val="Noto Sans CJK SC"/>
        <family val="2"/>
      </rPr>
      <t xml:space="preserve">時點）</t>
    </r>
  </si>
  <si>
    <r>
      <rPr>
        <sz val="10"/>
        <rFont val="Arial"/>
        <family val="0"/>
        <charset val="1"/>
      </rPr>
      <t xml:space="preserve">B tok/</t>
    </r>
    <r>
      <rPr>
        <sz val="10"/>
        <rFont val="Noto Sans CJK SC"/>
        <family val="2"/>
      </rPr>
      <t xml:space="preserve">分鐘</t>
    </r>
  </si>
  <si>
    <r>
      <rPr>
        <sz val="10"/>
        <rFont val="Arial"/>
        <family val="0"/>
        <charset val="1"/>
      </rPr>
      <t xml:space="preserve">SRC_DEM_010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OpenAI DevDay 2025</t>
    </r>
    <r>
      <rPr>
        <sz val="10"/>
        <rFont val="Noto Sans CJK SC"/>
        <family val="2"/>
      </rPr>
      <t xml:space="preserve">；有誇大用量的誘因）</t>
    </r>
  </si>
  <si>
    <t xml:space="preserve">apir</t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</si>
  <si>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全年平均 </t>
    </r>
    <r>
      <rPr>
        <sz val="10"/>
        <rFont val="Arial"/>
        <family val="0"/>
        <charset val="1"/>
      </rPr>
      <t xml:space="preserve">÷ 10 </t>
    </r>
    <r>
      <rPr>
        <sz val="10"/>
        <rFont val="Noto Sans CJK SC"/>
        <family val="2"/>
      </rPr>
      <t xml:space="preserve">月時點值</t>
    </r>
  </si>
  <si>
    <t xml:space="preserve">x</t>
  </si>
  <si>
    <r>
      <rPr>
        <sz val="10"/>
        <rFont val="Arial"/>
        <family val="0"/>
        <charset val="1"/>
      </rPr>
      <t xml:space="preserve">Alloc_In C14</t>
    </r>
    <r>
      <rPr>
        <sz val="10"/>
        <rFont val="Noto Sans CJK SC"/>
        <family val="2"/>
      </rPr>
      <t xml:space="preserve">；區間為本活頁簿設定（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段同向極端角點用 </t>
    </r>
    <r>
      <rPr>
        <sz val="10"/>
        <rFont val="Arial"/>
        <family val="0"/>
        <charset val="1"/>
      </rPr>
      <t xml:space="preserve">0.6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0.9</t>
    </r>
    <r>
      <rPr>
        <sz val="10"/>
        <rFont val="Noto Sans CJK SC"/>
        <family val="2"/>
      </rPr>
      <t xml:space="preserve">）</t>
    </r>
  </si>
  <si>
    <t xml:space="preserve">ppd</t>
  </si>
  <si>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每日訊息數</t>
    </r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</si>
  <si>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則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日</t>
    </r>
  </si>
  <si>
    <r>
      <rPr>
        <sz val="10"/>
        <rFont val="Arial"/>
        <family val="0"/>
        <charset val="1"/>
      </rPr>
      <t xml:space="preserve">SRC_DEM_012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OpenAI 2025-07</t>
    </r>
    <r>
      <rPr>
        <sz val="10"/>
        <rFont val="Noto Sans CJK SC"/>
        <family val="2"/>
      </rPr>
      <t xml:space="preserve">）；區間＝</t>
    </r>
    <r>
      <rPr>
        <sz val="10"/>
        <rFont val="Arial"/>
        <family val="0"/>
        <charset val="1"/>
      </rPr>
      <t xml:space="preserve">v5.33A </t>
    </r>
    <r>
      <rPr>
        <sz val="10"/>
        <rFont val="Noto Sans CJK SC"/>
        <family val="2"/>
      </rPr>
      <t xml:space="preserve">內插 </t>
    </r>
    <r>
      <rPr>
        <sz val="10"/>
        <rFont val="Arial"/>
        <family val="0"/>
        <charset val="1"/>
      </rPr>
      <t xml:space="preserve">2.2–2.7</t>
    </r>
  </si>
  <si>
    <t xml:space="preserve">tau</t>
  </si>
  <si>
    <r>
      <rPr>
        <sz val="10"/>
        <rFont val="Noto Sans CJK SC"/>
        <family val="2"/>
      </rPr>
      <t xml:space="preserve">每則訊息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數 </t>
    </r>
    <r>
      <rPr>
        <sz val="10"/>
        <rFont val="Arial"/>
        <family val="0"/>
        <charset val="1"/>
      </rPr>
      <t xml:space="preserve">τ</t>
    </r>
    <r>
      <rPr>
        <sz val="10"/>
        <rFont val="Noto Sans CJK SC"/>
        <family val="2"/>
      </rPr>
      <t xml:space="preserve">（輸入＋上下文＋推理＋輸出）</t>
    </r>
  </si>
  <si>
    <t xml:space="preserve">tok</t>
  </si>
  <si>
    <r>
      <rPr>
        <sz val="10"/>
        <rFont val="Arial"/>
        <family val="0"/>
        <charset val="1"/>
      </rPr>
      <t xml:space="preserve">Alloc_In C15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v5.33A </t>
    </r>
    <r>
      <rPr>
        <sz val="10"/>
        <rFont val="Noto Sans CJK SC"/>
        <family val="2"/>
      </rPr>
      <t xml:space="preserve">五組成法證據中心 </t>
    </r>
    <r>
      <rPr>
        <sz val="10"/>
        <rFont val="Arial"/>
        <family val="0"/>
        <charset val="1"/>
      </rPr>
      <t xml:space="preserve">4,300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1,650–11,300</t>
    </r>
    <r>
      <rPr>
        <sz val="10"/>
        <rFont val="Noto Sans CJK SC"/>
        <family val="2"/>
      </rPr>
      <t xml:space="preserve">），</t>
    </r>
    <r>
      <rPr>
        <sz val="10"/>
        <rFont val="Arial"/>
        <family val="0"/>
        <charset val="1"/>
      </rPr>
      <t xml:space="preserve">Analogy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未揭露</t>
    </r>
  </si>
  <si>
    <t xml:space="preserve">fs</t>
  </si>
  <si>
    <r>
      <rPr>
        <sz val="10"/>
        <rFont val="Arial"/>
        <family val="0"/>
        <charset val="1"/>
      </rPr>
      <t xml:space="preserve">ChatGPT token </t>
    </r>
    <r>
      <rPr>
        <sz val="10"/>
        <rFont val="Noto Sans CJK SC"/>
        <family val="2"/>
      </rPr>
      <t xml:space="preserve">中免費用戶占比</t>
    </r>
  </si>
  <si>
    <r>
      <rPr>
        <sz val="10"/>
        <rFont val="Arial"/>
        <family val="0"/>
        <charset val="1"/>
      </rPr>
      <t xml:space="preserve">Alloc_In C16</t>
    </r>
    <r>
      <rPr>
        <sz val="10"/>
        <rFont val="Noto Sans CJK SC"/>
        <family val="2"/>
      </rPr>
      <t xml:space="preserve">；付費占比無揭露（</t>
    </r>
    <r>
      <rPr>
        <sz val="10"/>
        <rFont val="Arial"/>
        <family val="0"/>
        <charset val="1"/>
      </rPr>
      <t xml:space="preserve">v5.33A 1.2</t>
    </r>
    <r>
      <rPr>
        <sz val="10"/>
        <rFont val="Noto Sans CJK SC"/>
        <family val="2"/>
      </rPr>
      <t xml:space="preserve">）</t>
    </r>
  </si>
  <si>
    <r>
      <rPr>
        <b val="true"/>
        <sz val="11"/>
        <color rgb="FF1F3864"/>
        <rFont val="Arial"/>
        <family val="0"/>
        <charset val="1"/>
      </rPr>
      <t xml:space="preserve">C. </t>
    </r>
    <r>
      <rPr>
        <b val="true"/>
        <sz val="11"/>
        <color rgb="FF1F3864"/>
        <rFont val="Noto Sans CJK SC"/>
        <family val="2"/>
      </rPr>
      <t xml:space="preserve">機隊產能與成本（每 </t>
    </r>
    <r>
      <rPr>
        <b val="true"/>
        <sz val="11"/>
        <color rgb="FF1F3864"/>
        <rFont val="Arial"/>
        <family val="0"/>
        <charset val="1"/>
      </rPr>
      <t xml:space="preserve">GW</t>
    </r>
    <r>
      <rPr>
        <b val="true"/>
        <sz val="11"/>
        <color rgb="FF1F3864"/>
        <rFont val="Noto Sans CJK SC"/>
        <family val="2"/>
      </rPr>
      <t xml:space="preserve">；</t>
    </r>
    <r>
      <rPr>
        <b val="true"/>
        <sz val="11"/>
        <color rgb="FF1F3864"/>
        <rFont val="Arial"/>
        <family val="0"/>
        <charset val="1"/>
      </rPr>
      <t xml:space="preserve">2025 </t>
    </r>
    <r>
      <rPr>
        <b val="true"/>
        <sz val="11"/>
        <color rgb="FF1F3864"/>
        <rFont val="Noto Sans CJK SC"/>
        <family val="2"/>
      </rPr>
      <t xml:space="preserve">服務機隊）</t>
    </r>
  </si>
  <si>
    <t xml:space="preserve">mixH</t>
  </si>
  <si>
    <r>
      <rPr>
        <sz val="10"/>
        <rFont val="Noto Sans CJK SC"/>
        <family val="2"/>
      </rPr>
      <t xml:space="preserve">服務世代組合：</t>
    </r>
    <r>
      <rPr>
        <sz val="10"/>
        <rFont val="Arial"/>
        <family val="0"/>
        <charset val="1"/>
      </rPr>
      <t xml:space="preserve">Hopper</t>
    </r>
  </si>
  <si>
    <t xml:space="preserve">Alloc_In C9</t>
  </si>
  <si>
    <t xml:space="preserve">mixG</t>
  </si>
  <si>
    <r>
      <rPr>
        <sz val="10"/>
        <rFont val="Noto Sans CJK SC"/>
        <family val="2"/>
      </rPr>
      <t xml:space="preserve">服務世代組合：</t>
    </r>
    <r>
      <rPr>
        <sz val="10"/>
        <rFont val="Arial"/>
        <family val="0"/>
        <charset val="1"/>
      </rPr>
      <t xml:space="preserve">GB200</t>
    </r>
  </si>
  <si>
    <r>
      <rPr>
        <sz val="10"/>
        <rFont val="Arial"/>
        <family val="0"/>
        <charset val="1"/>
      </rPr>
      <t xml:space="preserve">Alloc_In C10</t>
    </r>
    <r>
      <rPr>
        <sz val="10"/>
        <rFont val="Noto Sans CJK SC"/>
        <family val="2"/>
      </rPr>
      <t xml:space="preserve">（兩者合計須為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</si>
  <si>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t xml:space="preserve">cPH</t>
  </si>
  <si>
    <r>
      <rPr>
        <sz val="10"/>
        <rFont val="Noto Sans CJK SC"/>
        <family val="2"/>
      </rPr>
      <t xml:space="preserve">付費組合每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年產能 </t>
    </r>
    <r>
      <rPr>
        <sz val="10"/>
        <rFont val="Arial"/>
        <family val="0"/>
        <charset val="1"/>
      </rPr>
      <t xml:space="preserve">@100% </t>
    </r>
    <r>
      <rPr>
        <sz val="10"/>
        <rFont val="Noto Sans CJK SC"/>
        <family val="2"/>
      </rPr>
      <t xml:space="preserve">利用率：</t>
    </r>
    <r>
      <rPr>
        <sz val="10"/>
        <rFont val="Arial"/>
        <family val="0"/>
        <charset val="1"/>
      </rPr>
      <t xml:space="preserve">Hopper</t>
    </r>
  </si>
  <si>
    <r>
      <rPr>
        <sz val="10"/>
        <rFont val="Arial"/>
        <family val="0"/>
        <charset val="1"/>
      </rPr>
      <t xml:space="preserve">M tok/GW/</t>
    </r>
    <r>
      <rPr>
        <sz val="10"/>
        <rFont val="Noto Sans CJK SC"/>
        <family val="2"/>
      </rPr>
      <t xml:space="preserve">年</t>
    </r>
  </si>
  <si>
    <r>
      <rPr>
        <sz val="10"/>
        <rFont val="Arial"/>
        <family val="0"/>
        <charset val="1"/>
      </rPr>
      <t xml:space="preserve">Tokenomics Alloc!C22 ÷ IF_Util 0.6</t>
    </r>
    <r>
      <rPr>
        <sz val="10"/>
        <rFont val="Noto Sans CJK SC"/>
        <family val="2"/>
      </rPr>
      <t xml:space="preserve">（由 </t>
    </r>
    <r>
      <rPr>
        <sz val="10"/>
        <rFont val="Arial"/>
        <family val="0"/>
        <charset val="1"/>
      </rPr>
      <t xml:space="preserve">Perf </t>
    </r>
    <r>
      <rPr>
        <sz val="10"/>
        <rFont val="Noto Sans CJK SC"/>
        <family val="2"/>
      </rPr>
      <t xml:space="preserve">頁 </t>
    </r>
    <r>
      <rPr>
        <sz val="10"/>
        <rFont val="Arial"/>
        <family val="0"/>
        <charset val="1"/>
      </rPr>
      <t xml:space="preserve">roofline </t>
    </r>
    <r>
      <rPr>
        <sz val="10"/>
        <rFont val="Noto Sans CJK SC"/>
        <family val="2"/>
      </rPr>
      <t xml:space="preserve">推導）</t>
    </r>
  </si>
  <si>
    <t xml:space="preserve">cPG</t>
  </si>
  <si>
    <r>
      <rPr>
        <sz val="10"/>
        <rFont val="Noto Sans CJK SC"/>
        <family val="2"/>
      </rPr>
      <t xml:space="preserve">付費組合每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年產能 </t>
    </r>
    <r>
      <rPr>
        <sz val="10"/>
        <rFont val="Arial"/>
        <family val="0"/>
        <charset val="1"/>
      </rPr>
      <t xml:space="preserve">@100%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GB200</t>
    </r>
  </si>
  <si>
    <t xml:space="preserve">Alloc!D22 ÷ 0.6</t>
  </si>
  <si>
    <t xml:space="preserve">cFH</t>
  </si>
  <si>
    <r>
      <rPr>
        <sz val="10"/>
        <rFont val="Noto Sans CJK SC"/>
        <family val="2"/>
      </rPr>
      <t xml:space="preserve">免費組合每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年產能 </t>
    </r>
    <r>
      <rPr>
        <sz val="10"/>
        <rFont val="Arial"/>
        <family val="0"/>
        <charset val="1"/>
      </rPr>
      <t xml:space="preserve">@100%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Hopper</t>
    </r>
  </si>
  <si>
    <r>
      <rPr>
        <sz val="10"/>
        <rFont val="Arial"/>
        <family val="0"/>
        <charset val="1"/>
      </rPr>
      <t xml:space="preserve">Alloc!C23 ÷ 0.6</t>
    </r>
    <r>
      <rPr>
        <sz val="10"/>
        <rFont val="Noto Sans CJK SC"/>
        <family val="2"/>
      </rPr>
      <t xml:space="preserve">（免費組合 </t>
    </r>
    <r>
      <rPr>
        <sz val="10"/>
        <rFont val="Arial"/>
        <family val="0"/>
        <charset val="1"/>
      </rPr>
      <t xml:space="preserve">Luna 0.9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Sol 0.1</t>
    </r>
    <r>
      <rPr>
        <sz val="10"/>
        <rFont val="Noto Sans CJK SC"/>
        <family val="2"/>
      </rPr>
      <t xml:space="preserve">，較便宜所以產能高）</t>
    </r>
  </si>
  <si>
    <t xml:space="preserve">cFG</t>
  </si>
  <si>
    <r>
      <rPr>
        <sz val="10"/>
        <rFont val="Noto Sans CJK SC"/>
        <family val="2"/>
      </rPr>
      <t xml:space="preserve">免費組合每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年產能 </t>
    </r>
    <r>
      <rPr>
        <sz val="10"/>
        <rFont val="Arial"/>
        <family val="0"/>
        <charset val="1"/>
      </rPr>
      <t xml:space="preserve">@100%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GB200</t>
    </r>
  </si>
  <si>
    <t xml:space="preserve">Alloc!D23 ÷ 0.6</t>
  </si>
  <si>
    <t xml:space="preserve">hH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</si>
  <si>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年經濟持有成本：</t>
    </r>
    <r>
      <rPr>
        <sz val="10"/>
        <rFont val="Arial"/>
        <family val="0"/>
        <charset val="1"/>
      </rPr>
      <t xml:space="preserve">Hopper</t>
    </r>
  </si>
  <si>
    <r>
      <rPr>
        <sz val="10"/>
        <rFont val="Arial"/>
        <family val="0"/>
        <charset val="1"/>
      </rPr>
      <t xml:space="preserve">$B/GW/</t>
    </r>
    <r>
      <rPr>
        <sz val="10"/>
        <rFont val="Noto Sans CJK SC"/>
        <family val="2"/>
      </rPr>
      <t xml:space="preserve">年</t>
    </r>
  </si>
  <si>
    <r>
      <rPr>
        <sz val="10"/>
        <rFont val="Arial"/>
        <family val="0"/>
        <charset val="1"/>
      </rPr>
      <t xml:space="preserve">L1_HoldEconGW_Hopper</t>
    </r>
    <r>
      <rPr>
        <sz val="10"/>
        <rFont val="Noto Sans CJK SC"/>
        <family val="2"/>
      </rPr>
      <t xml:space="preserve">（資本回收 </t>
    </r>
    <r>
      <rPr>
        <sz val="10"/>
        <rFont val="Arial"/>
        <family val="0"/>
        <charset val="1"/>
      </rPr>
      <t xml:space="preserve">WACC 10%</t>
    </r>
    <r>
      <rPr>
        <sz val="10"/>
        <rFont val="Noto Sans CJK SC"/>
        <family val="2"/>
      </rPr>
      <t xml:space="preserve">＋營運費用）</t>
    </r>
  </si>
  <si>
    <t xml:space="preserve">hG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</si>
  <si>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年經濟持有成本：</t>
    </r>
    <r>
      <rPr>
        <sz val="10"/>
        <rFont val="Arial"/>
        <family val="0"/>
        <charset val="1"/>
      </rPr>
      <t xml:space="preserve">GB200</t>
    </r>
  </si>
  <si>
    <t xml:space="preserve">L1_HoldEconGW_GB200</t>
  </si>
  <si>
    <r>
      <rPr>
        <b val="true"/>
        <sz val="11"/>
        <color rgb="FF1F3864"/>
        <rFont val="Arial"/>
        <family val="0"/>
        <charset val="1"/>
      </rPr>
      <t xml:space="preserve">D. </t>
    </r>
    <r>
      <rPr>
        <b val="true"/>
        <sz val="11"/>
        <color rgb="FF1F3864"/>
        <rFont val="Noto Sans CJK SC"/>
        <family val="2"/>
      </rPr>
      <t xml:space="preserve">機隊端（</t>
    </r>
    <r>
      <rPr>
        <b val="true"/>
        <sz val="11"/>
        <color rgb="FF1F3864"/>
        <rFont val="Arial"/>
        <family val="0"/>
        <charset val="1"/>
      </rPr>
      <t xml:space="preserve">token </t>
    </r>
    <r>
      <rPr>
        <b val="true"/>
        <sz val="11"/>
        <color rgb="FF1F3864"/>
        <rFont val="Noto Sans CJK SC"/>
        <family val="2"/>
      </rPr>
      <t xml:space="preserve">從推論支出反推）</t>
    </r>
  </si>
  <si>
    <t xml:space="preserve">spend</t>
  </si>
  <si>
    <r>
      <rPr>
        <sz val="10"/>
        <rFont val="Arial"/>
        <family val="0"/>
        <charset val="1"/>
      </rPr>
      <t xml:space="preserve">OpenAI 2025 </t>
    </r>
    <r>
      <rPr>
        <sz val="10"/>
        <rFont val="Noto Sans CJK SC"/>
        <family val="2"/>
      </rPr>
      <t xml:space="preserve">推論支出</t>
    </r>
  </si>
  <si>
    <r>
      <rPr>
        <sz val="10"/>
        <rFont val="Arial"/>
        <family val="0"/>
        <charset val="1"/>
      </rPr>
      <t xml:space="preserve">12.6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SRC_DEM_018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外流 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帳單推估；</t>
    </r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稱不準確，可能含抵用金）；</t>
    </r>
    <r>
      <rPr>
        <sz val="10"/>
        <rFont val="Arial"/>
        <family val="0"/>
        <charset val="1"/>
      </rPr>
      <t xml:space="preserve">8.4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SRC_DEM_004</t>
    </r>
    <r>
      <rPr>
        <sz val="10"/>
        <rFont val="Noto Sans CJK SC"/>
        <family val="2"/>
      </rPr>
      <t xml:space="preserve">（與營收 </t>
    </r>
    <r>
      <rPr>
        <sz val="10"/>
        <rFont val="Arial"/>
        <family val="0"/>
        <charset val="1"/>
      </rPr>
      <t xml:space="preserve">13.07</t>
    </r>
    <r>
      <rPr>
        <sz val="10"/>
        <rFont val="Noto Sans CJK SC"/>
        <family val="2"/>
      </rPr>
      <t xml:space="preserve">、免費推論 </t>
    </r>
    <r>
      <rPr>
        <sz val="10"/>
        <rFont val="Arial"/>
        <family val="0"/>
        <charset val="1"/>
      </rPr>
      <t xml:space="preserve">3.9 </t>
    </r>
    <r>
      <rPr>
        <sz val="10"/>
        <rFont val="Noto Sans CJK SC"/>
        <family val="2"/>
      </rPr>
      <t xml:space="preserve">同一組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數字；與「計算毛利約 </t>
    </r>
    <r>
      <rPr>
        <sz val="10"/>
        <rFont val="Arial"/>
        <family val="0"/>
        <charset val="1"/>
      </rPr>
      <t xml:space="preserve">70%</t>
    </r>
    <r>
      <rPr>
        <sz val="10"/>
        <rFont val="Noto Sans CJK SC"/>
        <family val="2"/>
      </rPr>
      <t xml:space="preserve">」吻合）</t>
    </r>
  </si>
  <si>
    <t xml:space="preserve">SB</t>
  </si>
  <si>
    <r>
      <rPr>
        <sz val="10"/>
        <rFont val="Noto Sans CJK SC"/>
        <family val="2"/>
      </rPr>
      <t xml:space="preserve">計價倍數：推論支出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持有成本</t>
    </r>
  </si>
  <si>
    <r>
      <rPr>
        <sz val="10"/>
        <rFont val="Arial"/>
        <family val="0"/>
        <charset val="1"/>
      </rPr>
      <t xml:space="preserve">Alloc_In C23</t>
    </r>
    <r>
      <rPr>
        <sz val="10"/>
        <rFont val="Noto Sans CJK SC"/>
        <family val="2"/>
      </rPr>
      <t xml:space="preserve">（模型 </t>
    </r>
    <r>
      <rPr>
        <sz val="10"/>
        <rFont val="Arial"/>
        <family val="0"/>
        <charset val="1"/>
      </rPr>
      <t xml:space="preserve">2.0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1.5–3.0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段證據中心 </t>
    </r>
    <r>
      <rPr>
        <sz val="10"/>
        <rFont val="Arial"/>
        <family val="0"/>
        <charset val="1"/>
      </rPr>
      <t xml:space="preserve">1.5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1.2–2.0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出租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毛利約 </t>
    </r>
    <r>
      <rPr>
        <sz val="10"/>
        <rFont val="Arial"/>
        <family val="0"/>
        <charset val="1"/>
      </rPr>
      <t xml:space="preserve">14%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CoreWeave </t>
    </r>
    <r>
      <rPr>
        <sz val="10"/>
        <rFont val="Noto Sans CJK SC"/>
        <family val="2"/>
      </rPr>
      <t xml:space="preserve">營業利益率約 </t>
    </r>
    <r>
      <rPr>
        <sz val="10"/>
        <rFont val="Arial"/>
        <family val="0"/>
        <charset val="1"/>
      </rPr>
      <t xml:space="preserve">5%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H100 </t>
    </r>
    <r>
      <rPr>
        <sz val="10"/>
        <rFont val="Noto Sans CJK SC"/>
        <family val="2"/>
      </rPr>
      <t xml:space="preserve">市場價約持有成本 </t>
    </r>
    <r>
      <rPr>
        <sz val="10"/>
        <rFont val="Arial"/>
        <family val="0"/>
        <charset val="1"/>
      </rPr>
      <t xml:space="preserve">1.3–1.5 </t>
    </r>
    <r>
      <rPr>
        <sz val="10"/>
        <rFont val="Noto Sans CJK SC"/>
        <family val="2"/>
      </rPr>
      <t xml:space="preserve">倍（皆二手）</t>
    </r>
  </si>
  <si>
    <t xml:space="preserve">U</t>
  </si>
  <si>
    <r>
      <rPr>
        <sz val="10"/>
        <rFont val="Noto Sans CJK SC"/>
        <family val="2"/>
      </rPr>
      <t xml:space="preserve">模型基準利用率 </t>
    </r>
    <r>
      <rPr>
        <sz val="10"/>
        <rFont val="Arial"/>
        <family val="0"/>
        <charset val="1"/>
      </rPr>
      <t xml:space="preserve">IF_Util</t>
    </r>
  </si>
  <si>
    <r>
      <rPr>
        <sz val="10"/>
        <rFont val="Arial"/>
        <family val="0"/>
        <charset val="1"/>
      </rPr>
      <t xml:space="preserve">Serving!C17</t>
    </r>
    <r>
      <rPr>
        <sz val="10"/>
        <rFont val="Noto Sans CJK SC"/>
        <family val="2"/>
      </rPr>
      <t xml:space="preserve">；產能列已乘上它</t>
    </r>
  </si>
  <si>
    <t xml:space="preserve">Ua</t>
  </si>
  <si>
    <r>
      <rPr>
        <sz val="10"/>
        <rFont val="Noto Sans CJK SC"/>
        <family val="2"/>
      </rPr>
      <t xml:space="preserve">實際利用率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生產折減</t>
    </r>
  </si>
  <si>
    <r>
      <rPr>
        <sz val="10"/>
        <rFont val="Arial"/>
        <family val="0"/>
        <charset val="1"/>
      </rPr>
      <t xml:space="preserve">Alloc_In C24</t>
    </r>
    <r>
      <rPr>
        <sz val="10"/>
        <rFont val="Noto Sans CJK SC"/>
        <family val="2"/>
      </rPr>
      <t xml:space="preserve">（模型 </t>
    </r>
    <r>
      <rPr>
        <sz val="10"/>
        <rFont val="Arial"/>
        <family val="0"/>
        <charset val="1"/>
      </rPr>
      <t xml:space="preserve">0.30–0.40</t>
    </r>
    <r>
      <rPr>
        <sz val="10"/>
        <rFont val="Noto Sans CJK SC"/>
        <family val="2"/>
      </rPr>
      <t xml:space="preserve">）；無實測（</t>
    </r>
    <r>
      <rPr>
        <sz val="10"/>
        <rFont val="Arial"/>
        <family val="0"/>
        <charset val="1"/>
      </rPr>
      <t xml:space="preserve">A3 </t>
    </r>
    <r>
      <rPr>
        <sz val="10"/>
        <rFont val="Noto Sans CJK SC"/>
        <family val="2"/>
      </rPr>
      <t xml:space="preserve">已搜尋未找到）；高端 </t>
    </r>
    <r>
      <rPr>
        <sz val="10"/>
        <rFont val="Arial"/>
        <family val="0"/>
        <charset val="1"/>
      </rPr>
      <t xml:space="preserve">0.50 </t>
    </r>
    <r>
      <rPr>
        <sz val="10"/>
        <rFont val="Noto Sans CJK SC"/>
        <family val="2"/>
      </rPr>
      <t xml:space="preserve">為本活頁簿放寬</t>
    </r>
  </si>
  <si>
    <t xml:space="preserve">kap</t>
  </si>
  <si>
    <r>
      <rPr>
        <sz val="10"/>
        <rFont val="Noto Sans CJK SC"/>
        <family val="2"/>
      </rPr>
      <t xml:space="preserve">請求形狀修正 </t>
    </r>
    <r>
      <rPr>
        <sz val="10"/>
        <rFont val="Arial"/>
        <family val="0"/>
        <charset val="1"/>
      </rPr>
      <t xml:space="preserve">κ</t>
    </r>
    <r>
      <rPr>
        <sz val="10"/>
        <rFont val="Noto Sans CJK SC"/>
        <family val="2"/>
      </rPr>
      <t xml:space="preserve">（實際流量每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秒總 </t>
    </r>
    <r>
      <rPr>
        <sz val="10"/>
        <rFont val="Arial"/>
        <family val="0"/>
        <charset val="1"/>
      </rPr>
      <t xml:space="preserve">token ÷ </t>
    </r>
    <r>
      <rPr>
        <sz val="10"/>
        <rFont val="Noto Sans CJK SC"/>
        <family val="2"/>
      </rPr>
      <t xml:space="preserve">參考請求）</t>
    </r>
  </si>
  <si>
    <r>
      <rPr>
        <sz val="10"/>
        <rFont val="Arial"/>
        <family val="0"/>
        <charset val="1"/>
      </rPr>
      <t xml:space="preserve">v5.36A 3.2</t>
    </r>
    <r>
      <rPr>
        <sz val="10"/>
        <rFont val="Noto Sans CJK SC"/>
        <family val="2"/>
      </rPr>
      <t xml:space="preserve">：以 </t>
    </r>
    <r>
      <rPr>
        <sz val="10"/>
        <rFont val="Arial"/>
        <family val="0"/>
        <charset val="1"/>
      </rPr>
      <t xml:space="preserve">Sens_Perf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93–94 </t>
    </r>
    <r>
      <rPr>
        <sz val="10"/>
        <rFont val="Noto Sans CJK SC"/>
        <family val="2"/>
      </rPr>
      <t xml:space="preserve">列校準 </t>
    </r>
    <r>
      <rPr>
        <sz val="10"/>
        <rFont val="Arial"/>
        <family val="0"/>
        <charset val="1"/>
      </rPr>
      <t xml:space="preserve">prefill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decode </t>
    </r>
    <r>
      <rPr>
        <sz val="10"/>
        <rFont val="Noto Sans CJK SC"/>
        <family val="2"/>
      </rPr>
      <t xml:space="preserve">成本，代入實際輸入輸出比與快取；</t>
    </r>
    <r>
      <rPr>
        <sz val="10"/>
        <rFont val="Arial"/>
        <family val="0"/>
        <charset val="1"/>
      </rPr>
      <t xml:space="preserve">Analogy </t>
    </r>
    <r>
      <rPr>
        <sz val="10"/>
        <rFont val="Noto Sans CJK SC"/>
        <family val="2"/>
      </rPr>
      <t xml:space="preserve">輸入。模型現值未建此項（等於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</si>
  <si>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t xml:space="preserve">fsRep</t>
  </si>
  <si>
    <t xml:space="preserve">對照：免費推論支出占比（支出口徑）</t>
  </si>
  <si>
    <r>
      <rPr>
        <sz val="10"/>
        <rFont val="Arial"/>
        <family val="0"/>
        <charset val="1"/>
      </rPr>
      <t xml:space="preserve">IF_FreeShare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SRC_DEM_005 3.9 ÷ SRC_DEM_004 8.4</t>
    </r>
  </si>
  <si>
    <r>
      <rPr>
        <b val="true"/>
        <sz val="11"/>
        <color rgb="FF1F3864"/>
        <rFont val="Arial"/>
        <family val="0"/>
        <charset val="1"/>
      </rPr>
      <t xml:space="preserve">E. </t>
    </r>
    <r>
      <rPr>
        <b val="true"/>
        <sz val="11"/>
        <color rgb="FF1F3864"/>
        <rFont val="Noto Sans CJK SC"/>
        <family val="2"/>
      </rPr>
      <t xml:space="preserve">回本</t>
    </r>
  </si>
  <si>
    <t xml:space="preserve">Bk</t>
  </si>
  <si>
    <r>
      <rPr>
        <sz val="10"/>
        <rFont val="Noto Sans CJK SC"/>
        <family val="2"/>
      </rPr>
      <t xml:space="preserve">回本乘積（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）：持有成本 </t>
    </r>
    <r>
      <rPr>
        <sz val="10"/>
        <rFont val="Arial"/>
        <family val="0"/>
        <charset val="1"/>
      </rPr>
      <t xml:space="preserve">÷ 100% </t>
    </r>
    <r>
      <rPr>
        <sz val="10"/>
        <rFont val="Noto Sans CJK SC"/>
        <family val="2"/>
      </rPr>
      <t xml:space="preserve">利用率營收</t>
    </r>
  </si>
  <si>
    <r>
      <rPr>
        <sz val="10"/>
        <rFont val="Arial"/>
        <family val="0"/>
        <charset val="1"/>
      </rPr>
      <t xml:space="preserve">L1_FleetBreakeven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IF_HoldEcon 122.3 </t>
    </r>
    <r>
      <rPr>
        <sz val="10"/>
        <rFont val="Noto Sans CJK SC"/>
        <family val="2"/>
      </rPr>
      <t xml:space="preserve">億 </t>
    </r>
    <r>
      <rPr>
        <sz val="10"/>
        <rFont val="Arial"/>
        <family val="0"/>
        <charset val="1"/>
      </rPr>
      <t xml:space="preserve">÷ (IF_RevGWFleet 487 </t>
    </r>
    <r>
      <rPr>
        <sz val="10"/>
        <rFont val="Noto Sans CJK SC"/>
        <family val="2"/>
      </rPr>
      <t xml:space="preserve">億 </t>
    </r>
    <r>
      <rPr>
        <sz val="10"/>
        <rFont val="Arial"/>
        <family val="0"/>
        <charset val="1"/>
      </rPr>
      <t xml:space="preserve">÷ 0.6)</t>
    </r>
  </si>
  <si>
    <t xml:space="preserve">dl</t>
  </si>
  <si>
    <r>
      <rPr>
        <sz val="10"/>
        <rFont val="Noto Sans CJK SC"/>
        <family val="2"/>
      </rPr>
      <t xml:space="preserve">生產折減 </t>
    </r>
    <r>
      <rPr>
        <sz val="10"/>
        <rFont val="Arial"/>
        <family val="0"/>
        <charset val="1"/>
      </rPr>
      <t xml:space="preserve">δ</t>
    </r>
  </si>
  <si>
    <t xml:space="preserve">CTL_ProdDerate</t>
  </si>
  <si>
    <t xml:space="preserve">L</t>
  </si>
  <si>
    <r>
      <rPr>
        <sz val="10"/>
        <rFont val="Noto Sans CJK SC"/>
        <family val="2"/>
      </rPr>
      <t xml:space="preserve">壽命期價格係數 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（基準）</t>
    </r>
  </si>
  <si>
    <r>
      <rPr>
        <sz val="10"/>
        <rFont val="Arial"/>
        <family val="0"/>
        <charset val="1"/>
      </rPr>
      <t xml:space="preserve">L1_LTotal</t>
    </r>
    <r>
      <rPr>
        <sz val="10"/>
        <rFont val="Noto Sans CJK SC"/>
        <family val="2"/>
      </rPr>
      <t xml:space="preserve">（牌價每年 −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、前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年中階後降級、保留一半價值）</t>
    </r>
  </si>
  <si>
    <r>
      <rPr>
        <sz val="10"/>
        <rFont val="Noto Sans CJK SC"/>
        <family val="2"/>
      </rPr>
      <t xml:space="preserve">情境差異：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欄只把計價倍數改 </t>
    </r>
    <r>
      <rPr>
        <sz val="10"/>
        <rFont val="Arial"/>
        <family val="0"/>
        <charset val="1"/>
      </rPr>
      <t xml:space="preserve">1.5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欄再把推論支出改 </t>
    </r>
    <r>
      <rPr>
        <sz val="10"/>
        <rFont val="Arial"/>
        <family val="0"/>
        <charset val="1"/>
      </rPr>
      <t xml:space="preserve">84 </t>
    </r>
    <r>
      <rPr>
        <sz val="10"/>
        <rFont val="Noto Sans CJK SC"/>
        <family val="2"/>
      </rPr>
      <t xml:space="preserve">億；</t>
    </r>
    <r>
      <rPr>
        <sz val="10"/>
        <rFont val="Arial"/>
        <family val="0"/>
        <charset val="1"/>
      </rPr>
      <t xml:space="preserve">G </t>
    </r>
    <r>
      <rPr>
        <sz val="10"/>
        <rFont val="Noto Sans CJK SC"/>
        <family val="2"/>
      </rPr>
      <t xml:space="preserve">欄（閉合例）支出 </t>
    </r>
    <r>
      <rPr>
        <sz val="10"/>
        <rFont val="Arial"/>
        <family val="0"/>
        <charset val="1"/>
      </rPr>
      <t xml:space="preserve">84 </t>
    </r>
    <r>
      <rPr>
        <sz val="10"/>
        <rFont val="Noto Sans CJK SC"/>
        <family val="2"/>
      </rPr>
      <t xml:space="preserve">億、計價倍數維持 </t>
    </r>
    <r>
      <rPr>
        <sz val="10"/>
        <rFont val="Arial"/>
        <family val="0"/>
        <charset val="1"/>
      </rPr>
      <t xml:space="preserve">2.0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κ 0.75</t>
    </r>
    <r>
      <rPr>
        <sz val="10"/>
        <rFont val="Noto Sans CJK SC"/>
        <family val="2"/>
      </rPr>
      <t xml:space="preserve">。其他輸入四欄相同。</t>
    </r>
  </si>
  <si>
    <r>
      <rPr>
        <b val="true"/>
        <sz val="14"/>
        <rFont val="Noto Sans CJK SC"/>
        <family val="2"/>
      </rPr>
      <t xml:space="preserve">推導鏈：需求端與機隊端各算一次「付費 </t>
    </r>
    <r>
      <rPr>
        <b val="true"/>
        <sz val="14"/>
        <rFont val="Arial"/>
        <family val="0"/>
        <charset val="1"/>
      </rPr>
      <t xml:space="preserve">token</t>
    </r>
    <r>
      <rPr>
        <b val="true"/>
        <sz val="14"/>
        <rFont val="Noto Sans CJK SC"/>
        <family val="2"/>
      </rPr>
      <t xml:space="preserve">」，再看兩者為何對不上</t>
    </r>
  </si>
  <si>
    <r>
      <rPr>
        <sz val="10"/>
        <rFont val="Noto Sans CJK SC"/>
        <family val="2"/>
      </rPr>
      <t xml:space="preserve">每列一個步驟；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欄用文字寫出公式。綠字＝引用「輸入」頁，黑字＝本頁計算。五欄情境同一公式。</t>
    </r>
  </si>
  <si>
    <t xml:space="preserve">步驟</t>
  </si>
  <si>
    <t xml:space="preserve">公式（文字）</t>
  </si>
  <si>
    <r>
      <rPr>
        <b val="true"/>
        <sz val="11"/>
        <color rgb="FF1F3864"/>
        <rFont val="Arial"/>
        <family val="0"/>
        <charset val="1"/>
      </rPr>
      <t xml:space="preserve">A. </t>
    </r>
    <r>
      <rPr>
        <b val="true"/>
        <sz val="11"/>
        <color rgb="FF1F3864"/>
        <rFont val="Noto Sans CJK SC"/>
        <family val="2"/>
      </rPr>
      <t xml:space="preserve">單價</t>
    </r>
  </si>
  <si>
    <t xml:space="preserve">A1</t>
  </si>
  <si>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混合有效單價 </t>
    </r>
    <r>
      <rPr>
        <sz val="10"/>
        <rFont val="Arial"/>
        <family val="0"/>
        <charset val="1"/>
      </rPr>
      <t xml:space="preserve">P̄</t>
    </r>
  </si>
  <si>
    <r>
      <rPr>
        <sz val="10"/>
        <rFont val="Arial"/>
        <family val="0"/>
        <charset val="1"/>
      </rPr>
      <t xml:space="preserve">P̄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層級組合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該層級參考請求有效單價（</t>
    </r>
    <r>
      <rPr>
        <sz val="10"/>
        <rFont val="Arial"/>
        <family val="0"/>
        <charset val="1"/>
      </rPr>
      <t xml:space="preserve">Tokenomics Cap_In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90 </t>
    </r>
    <r>
      <rPr>
        <sz val="10"/>
        <rFont val="Noto Sans CJK SC"/>
        <family val="2"/>
      </rPr>
      <t xml:space="preserve">列）</t>
    </r>
  </si>
  <si>
    <r>
      <rPr>
        <b val="true"/>
        <sz val="11"/>
        <color rgb="FF1F3864"/>
        <rFont val="Arial"/>
        <family val="0"/>
        <charset val="1"/>
      </rPr>
      <t xml:space="preserve">B. </t>
    </r>
    <r>
      <rPr>
        <b val="true"/>
        <sz val="11"/>
        <color rgb="FF1F3864"/>
        <rFont val="Noto Sans CJK SC"/>
        <family val="2"/>
      </rPr>
      <t xml:space="preserve">需求端：付費 </t>
    </r>
    <r>
      <rPr>
        <b val="true"/>
        <sz val="11"/>
        <color rgb="FF1F3864"/>
        <rFont val="Arial"/>
        <family val="0"/>
        <charset val="1"/>
      </rPr>
      <t xml:space="preserve">token </t>
    </r>
    <r>
      <rPr>
        <b val="true"/>
        <sz val="11"/>
        <color rgb="FF1F3864"/>
        <rFont val="Noto Sans CJK SC"/>
        <family val="2"/>
      </rPr>
      <t xml:space="preserve">從使用量算</t>
    </r>
  </si>
  <si>
    <t xml:space="preserve">B1</t>
  </si>
  <si>
    <r>
      <rPr>
        <sz val="10"/>
        <rFont val="Arial"/>
        <family val="0"/>
        <charset val="1"/>
      </rPr>
      <t xml:space="preserve">API token</t>
    </r>
    <r>
      <rPr>
        <sz val="10"/>
        <rFont val="Noto Sans CJK SC"/>
        <family val="2"/>
      </rPr>
      <t xml:space="preserve">（全年）</t>
    </r>
  </si>
  <si>
    <r>
      <rPr>
        <sz val="10"/>
        <rFont val="Arial"/>
        <family val="0"/>
        <charset val="1"/>
      </rPr>
      <t xml:space="preserve">M tok/</t>
    </r>
    <r>
      <rPr>
        <sz val="10"/>
        <rFont val="Noto Sans CJK SC"/>
        <family val="2"/>
      </rPr>
      <t xml:space="preserve">年</t>
    </r>
  </si>
  <si>
    <r>
      <rPr>
        <sz val="10"/>
        <rFont val="Noto Sans CJK SC"/>
        <family val="2"/>
      </rPr>
      <t xml:space="preserve">每分鐘 </t>
    </r>
    <r>
      <rPr>
        <sz val="10"/>
        <rFont val="Arial"/>
        <family val="0"/>
        <charset val="1"/>
      </rPr>
      <t xml:space="preserve">token × 1e9 × 525,600 </t>
    </r>
    <r>
      <rPr>
        <sz val="10"/>
        <rFont val="Noto Sans CJK SC"/>
        <family val="2"/>
      </rPr>
      <t xml:space="preserve">分鐘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全年平均比例 </t>
    </r>
    <r>
      <rPr>
        <sz val="10"/>
        <rFont val="Arial"/>
        <family val="0"/>
        <charset val="1"/>
      </rPr>
      <t xml:space="preserve">÷ 1e6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Alloc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列）</t>
    </r>
  </si>
  <si>
    <t xml:space="preserve">B2</t>
  </si>
  <si>
    <r>
      <rPr>
        <sz val="10"/>
        <rFont val="Arial"/>
        <family val="0"/>
        <charset val="1"/>
      </rPr>
      <t xml:space="preserve">ChatGPT token</t>
    </r>
    <r>
      <rPr>
        <sz val="10"/>
        <rFont val="Noto Sans CJK SC"/>
        <family val="2"/>
      </rPr>
      <t xml:space="preserve">（全年）</t>
    </r>
  </si>
  <si>
    <r>
      <rPr>
        <sz val="10"/>
        <rFont val="Noto Sans CJK SC"/>
        <family val="2"/>
      </rPr>
      <t xml:space="preserve">每日訊息 </t>
    </r>
    <r>
      <rPr>
        <sz val="10"/>
        <rFont val="Arial"/>
        <family val="0"/>
        <charset val="1"/>
      </rPr>
      <t xml:space="preserve">× 1e9 × </t>
    </r>
    <r>
      <rPr>
        <sz val="10"/>
        <rFont val="Noto Sans CJK SC"/>
        <family val="2"/>
      </rPr>
      <t xml:space="preserve">每則 </t>
    </r>
    <r>
      <rPr>
        <sz val="10"/>
        <rFont val="Arial"/>
        <family val="0"/>
        <charset val="1"/>
      </rPr>
      <t xml:space="preserve">token τ × 365 ÷ 1e6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Alloc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列）</t>
    </r>
  </si>
  <si>
    <t xml:space="preserve">B3</t>
  </si>
  <si>
    <r>
      <rPr>
        <sz val="10"/>
        <rFont val="Noto Sans CJK SC"/>
        <family val="2"/>
      </rPr>
      <t xml:space="preserve">免費 </t>
    </r>
    <r>
      <rPr>
        <sz val="10"/>
        <rFont val="Arial"/>
        <family val="0"/>
        <charset val="1"/>
      </rPr>
      <t xml:space="preserve">token D_free</t>
    </r>
  </si>
  <si>
    <r>
      <rPr>
        <sz val="10"/>
        <rFont val="Arial"/>
        <family val="0"/>
        <charset val="1"/>
      </rPr>
      <t xml:space="preserve">B2 × </t>
    </r>
    <r>
      <rPr>
        <sz val="10"/>
        <rFont val="Noto Sans CJK SC"/>
        <family val="2"/>
      </rPr>
      <t xml:space="preserve">免費占比</t>
    </r>
  </si>
  <si>
    <t xml:space="preserve">B4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</si>
  <si>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token D_paid</t>
    </r>
    <r>
      <rPr>
        <b val="true"/>
        <sz val="10"/>
        <rFont val="Noto Sans CJK SC"/>
        <family val="2"/>
      </rPr>
      <t xml:space="preserve">（需求端）</t>
    </r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</si>
  <si>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ChatGPT 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免費占比）（</t>
    </r>
    <r>
      <rPr>
        <sz val="10"/>
        <rFont val="Arial"/>
        <family val="0"/>
        <charset val="1"/>
      </rPr>
      <t xml:space="preserve">Alloc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列）</t>
    </r>
  </si>
  <si>
    <t xml:space="preserve">B5</t>
  </si>
  <si>
    <r>
      <rPr>
        <sz val="10"/>
        <rFont val="Noto Sans CJK SC"/>
        <family val="2"/>
      </rPr>
      <t xml:space="preserve">免費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比 </t>
    </r>
    <r>
      <rPr>
        <sz val="10"/>
        <rFont val="Arial"/>
        <family val="0"/>
        <charset val="1"/>
      </rPr>
      <t xml:space="preserve">r</t>
    </r>
  </si>
  <si>
    <r>
      <rPr>
        <sz val="10"/>
        <rFont val="Arial"/>
        <family val="0"/>
        <charset val="1"/>
      </rPr>
      <t xml:space="preserve">B3 ÷ B4</t>
    </r>
    <r>
      <rPr>
        <sz val="10"/>
        <rFont val="Noto Sans CJK SC"/>
        <family val="2"/>
      </rPr>
      <t xml:space="preserve">；機隊端沿用同一個 </t>
    </r>
    <r>
      <rPr>
        <sz val="10"/>
        <rFont val="Arial"/>
        <family val="0"/>
        <charset val="1"/>
      </rPr>
      <t xml:space="preserve">r </t>
    </r>
    <r>
      <rPr>
        <sz val="10"/>
        <rFont val="Noto Sans CJK SC"/>
        <family val="2"/>
      </rPr>
      <t xml:space="preserve">分配免費與付費（</t>
    </r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112 </t>
    </r>
    <r>
      <rPr>
        <sz val="10"/>
        <rFont val="Noto Sans CJK SC"/>
        <family val="2"/>
      </rPr>
      <t xml:space="preserve">列）</t>
    </r>
  </si>
  <si>
    <t xml:space="preserve">B6</t>
  </si>
  <si>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整體（需求端）</t>
    </r>
  </si>
  <si>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（需求端付費 </t>
    </r>
    <r>
      <rPr>
        <sz val="10"/>
        <rFont val="Arial"/>
        <family val="0"/>
        <charset val="1"/>
      </rPr>
      <t xml:space="preserve">token × P̄</t>
    </r>
    <r>
      <rPr>
        <sz val="10"/>
        <rFont val="Noto Sans CJK SC"/>
        <family val="2"/>
      </rPr>
      <t xml:space="preserve">）→ </t>
    </r>
    <r>
      <rPr>
        <sz val="10"/>
        <rFont val="Arial"/>
        <family val="0"/>
        <charset val="1"/>
      </rPr>
      <t xml:space="preserve">L1_MImplied</t>
    </r>
  </si>
  <si>
    <t xml:space="preserve">B7</t>
  </si>
  <si>
    <t xml:space="preserve">實收單價（需求端）</t>
  </si>
  <si>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需求端付費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＝ </t>
    </r>
    <r>
      <rPr>
        <sz val="10"/>
        <rFont val="Arial"/>
        <family val="0"/>
        <charset val="1"/>
      </rPr>
      <t xml:space="preserve">m_</t>
    </r>
    <r>
      <rPr>
        <sz val="10"/>
        <rFont val="Noto Sans CJK SC"/>
        <family val="2"/>
      </rPr>
      <t xml:space="preserve">整體 </t>
    </r>
    <r>
      <rPr>
        <sz val="10"/>
        <rFont val="Arial"/>
        <family val="0"/>
        <charset val="1"/>
      </rPr>
      <t xml:space="preserve">× P̄</t>
    </r>
  </si>
  <si>
    <r>
      <rPr>
        <b val="true"/>
        <sz val="11"/>
        <color rgb="FF1F3864"/>
        <rFont val="Arial"/>
        <family val="0"/>
        <charset val="1"/>
      </rPr>
      <t xml:space="preserve">C. </t>
    </r>
    <r>
      <rPr>
        <b val="true"/>
        <sz val="11"/>
        <color rgb="FF1F3864"/>
        <rFont val="Noto Sans CJK SC"/>
        <family val="2"/>
      </rPr>
      <t xml:space="preserve">每 </t>
    </r>
    <r>
      <rPr>
        <b val="true"/>
        <sz val="11"/>
        <color rgb="FF1F3864"/>
        <rFont val="Arial"/>
        <family val="0"/>
        <charset val="1"/>
      </rPr>
      <t xml:space="preserve">GW </t>
    </r>
    <r>
      <rPr>
        <b val="true"/>
        <sz val="11"/>
        <color rgb="FF1F3864"/>
        <rFont val="Noto Sans CJK SC"/>
        <family val="2"/>
      </rPr>
      <t xml:space="preserve">產能與 </t>
    </r>
    <r>
      <rPr>
        <b val="true"/>
        <sz val="11"/>
        <color rgb="FF1F3864"/>
        <rFont val="Arial"/>
        <family val="0"/>
        <charset val="1"/>
      </rPr>
      <t xml:space="preserve">token </t>
    </r>
    <r>
      <rPr>
        <b val="true"/>
        <sz val="11"/>
        <color rgb="FF1F3864"/>
        <rFont val="Noto Sans CJK SC"/>
        <family val="2"/>
      </rPr>
      <t xml:space="preserve">路線服務 </t>
    </r>
    <r>
      <rPr>
        <b val="true"/>
        <sz val="11"/>
        <color rgb="FF1F3864"/>
        <rFont val="Arial"/>
        <family val="0"/>
        <charset val="1"/>
      </rPr>
      <t xml:space="preserve">GW</t>
    </r>
  </si>
  <si>
    <t xml:space="preserve">C1</t>
  </si>
  <si>
    <r>
      <rPr>
        <sz val="10"/>
        <rFont val="Noto Sans CJK SC"/>
        <family val="2"/>
      </rPr>
      <t xml:space="preserve">付費每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年產能（世代組合，含基準利用率）</t>
    </r>
  </si>
  <si>
    <r>
      <rPr>
        <sz val="10"/>
        <rFont val="Arial"/>
        <family val="0"/>
        <charset val="1"/>
      </rPr>
      <t xml:space="preserve">IF_Util × Σ </t>
    </r>
    <r>
      <rPr>
        <sz val="10"/>
        <rFont val="Noto Sans CJK SC"/>
        <family val="2"/>
      </rPr>
      <t xml:space="preserve">世代占比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世代產能</t>
    </r>
    <r>
      <rPr>
        <sz val="10"/>
        <rFont val="Arial"/>
        <family val="0"/>
        <charset val="1"/>
      </rPr>
      <t xml:space="preserve">@100%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Alloc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24 </t>
    </r>
    <r>
      <rPr>
        <sz val="10"/>
        <rFont val="Noto Sans CJK SC"/>
        <family val="2"/>
      </rPr>
      <t xml:space="preserve">列）</t>
    </r>
  </si>
  <si>
    <t xml:space="preserve">C2</t>
  </si>
  <si>
    <r>
      <rPr>
        <sz val="10"/>
        <rFont val="Noto Sans CJK SC"/>
        <family val="2"/>
      </rPr>
      <t xml:space="preserve">免費每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年產能（世代組合，含基準利用率）</t>
    </r>
  </si>
  <si>
    <r>
      <rPr>
        <sz val="10"/>
        <rFont val="Noto Sans CJK SC"/>
        <family val="2"/>
      </rPr>
      <t xml:space="preserve">同上，免費層級組合（</t>
    </r>
    <r>
      <rPr>
        <sz val="10"/>
        <rFont val="Arial"/>
        <family val="0"/>
        <charset val="1"/>
      </rPr>
      <t xml:space="preserve">Alloc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25 </t>
    </r>
    <r>
      <rPr>
        <sz val="10"/>
        <rFont val="Noto Sans CJK SC"/>
        <family val="2"/>
      </rPr>
      <t xml:space="preserve">列）</t>
    </r>
  </si>
  <si>
    <t xml:space="preserve">C3</t>
  </si>
  <si>
    <r>
      <rPr>
        <sz val="10"/>
        <rFont val="Noto Sans CJK SC"/>
        <family val="2"/>
      </rPr>
      <t xml:space="preserve">世代組合後每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</t>
    </r>
  </si>
  <si>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世代占比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持有成本（</t>
    </r>
    <r>
      <rPr>
        <sz val="10"/>
        <rFont val="Arial"/>
        <family val="0"/>
        <charset val="1"/>
      </rPr>
      <t xml:space="preserve">Alloc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61 </t>
    </r>
    <r>
      <rPr>
        <sz val="10"/>
        <rFont val="Noto Sans CJK SC"/>
        <family val="2"/>
      </rPr>
      <t xml:space="preserve">列分母）</t>
    </r>
  </si>
  <si>
    <t xml:space="preserve">C4</t>
  </si>
  <si>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路線服務 </t>
    </r>
    <r>
      <rPr>
        <sz val="10"/>
        <rFont val="Arial"/>
        <family val="0"/>
        <charset val="1"/>
      </rPr>
      <t xml:space="preserve">GW</t>
    </r>
    <r>
      <rPr>
        <sz val="10"/>
        <rFont val="Noto Sans CJK SC"/>
        <family val="2"/>
      </rPr>
      <t xml:space="preserve">（需求端需要多少 </t>
    </r>
    <r>
      <rPr>
        <sz val="10"/>
        <rFont val="Arial"/>
        <family val="0"/>
        <charset val="1"/>
      </rPr>
      <t xml:space="preserve">GW</t>
    </r>
    <r>
      <rPr>
        <sz val="10"/>
        <rFont val="Noto Sans CJK SC"/>
        <family val="2"/>
      </rPr>
      <t xml:space="preserve">）</t>
    </r>
  </si>
  <si>
    <t xml:space="preserve">GW</t>
  </si>
  <si>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D ÷ </t>
    </r>
    <r>
      <rPr>
        <sz val="10"/>
        <rFont val="Noto Sans CJK SC"/>
        <family val="2"/>
      </rPr>
      <t xml:space="preserve">付費產能 ＋ 免費 </t>
    </r>
    <r>
      <rPr>
        <sz val="10"/>
        <rFont val="Arial"/>
        <family val="0"/>
        <charset val="1"/>
      </rPr>
      <t xml:space="preserve">D ÷ </t>
    </r>
    <r>
      <rPr>
        <sz val="10"/>
        <rFont val="Noto Sans CJK SC"/>
        <family val="2"/>
      </rPr>
      <t xml:space="preserve">免費產能（</t>
    </r>
    <r>
      <rPr>
        <sz val="10"/>
        <rFont val="Arial"/>
        <family val="0"/>
        <charset val="1"/>
      </rPr>
      <t xml:space="preserve">Alloc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28 </t>
    </r>
    <r>
      <rPr>
        <sz val="10"/>
        <rFont val="Noto Sans CJK SC"/>
        <family val="2"/>
      </rPr>
      <t xml:space="preserve">列）</t>
    </r>
  </si>
  <si>
    <r>
      <rPr>
        <b val="true"/>
        <sz val="11"/>
        <color rgb="FF1F3864"/>
        <rFont val="Arial"/>
        <family val="0"/>
        <charset val="1"/>
      </rPr>
      <t xml:space="preserve">D. </t>
    </r>
    <r>
      <rPr>
        <b val="true"/>
        <sz val="11"/>
        <color rgb="FF1F3864"/>
        <rFont val="Noto Sans CJK SC"/>
        <family val="2"/>
      </rPr>
      <t xml:space="preserve">機隊端：付費 </t>
    </r>
    <r>
      <rPr>
        <b val="true"/>
        <sz val="11"/>
        <color rgb="FF1F3864"/>
        <rFont val="Arial"/>
        <family val="0"/>
        <charset val="1"/>
      </rPr>
      <t xml:space="preserve">token </t>
    </r>
    <r>
      <rPr>
        <b val="true"/>
        <sz val="11"/>
        <color rgb="FF1F3864"/>
        <rFont val="Noto Sans CJK SC"/>
        <family val="2"/>
      </rPr>
      <t xml:space="preserve">從推論支出反推</t>
    </r>
  </si>
  <si>
    <t xml:space="preserve">D1</t>
  </si>
  <si>
    <r>
      <rPr>
        <sz val="10"/>
        <rFont val="Noto Sans CJK SC"/>
        <family val="2"/>
      </rPr>
      <t xml:space="preserve">支出路線服務 </t>
    </r>
    <r>
      <rPr>
        <sz val="10"/>
        <rFont val="Arial"/>
        <family val="0"/>
        <charset val="1"/>
      </rPr>
      <t xml:space="preserve">GW</t>
    </r>
    <r>
      <rPr>
        <sz val="10"/>
        <rFont val="Noto Sans CJK SC"/>
        <family val="2"/>
      </rPr>
      <t xml:space="preserve">（帳面）</t>
    </r>
  </si>
  <si>
    <r>
      <rPr>
        <sz val="10"/>
        <rFont val="Noto Sans CJK SC"/>
        <family val="2"/>
      </rPr>
      <t xml:space="preserve">推論支出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持有成本（</t>
    </r>
    <r>
      <rPr>
        <sz val="10"/>
        <rFont val="Arial"/>
        <family val="0"/>
        <charset val="1"/>
      </rPr>
      <t xml:space="preserve">Alloc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61 </t>
    </r>
    <r>
      <rPr>
        <sz val="10"/>
        <rFont val="Noto Sans CJK SC"/>
        <family val="2"/>
      </rPr>
      <t xml:space="preserve">列）</t>
    </r>
  </si>
  <si>
    <t xml:space="preserve">D2</t>
  </si>
  <si>
    <r>
      <rPr>
        <sz val="10"/>
        <rFont val="Noto Sans CJK SC"/>
        <family val="2"/>
      </rPr>
      <t xml:space="preserve">扣除計價倍數後的 </t>
    </r>
    <r>
      <rPr>
        <sz val="10"/>
        <rFont val="Arial"/>
        <family val="0"/>
        <charset val="1"/>
      </rPr>
      <t xml:space="preserve">GW</t>
    </r>
  </si>
  <si>
    <r>
      <rPr>
        <sz val="10"/>
        <rFont val="Arial"/>
        <family val="0"/>
        <charset val="1"/>
      </rPr>
      <t xml:space="preserve">D1 ÷ </t>
    </r>
    <r>
      <rPr>
        <sz val="10"/>
        <rFont val="Noto Sans CJK SC"/>
        <family val="2"/>
      </rPr>
      <t xml:space="preserve">計價倍數（支出含雲端利潤與資本回收，不全是算力）</t>
    </r>
  </si>
  <si>
    <t xml:space="preserve">D3</t>
  </si>
  <si>
    <t xml:space="preserve">利用率修正</t>
  </si>
  <si>
    <r>
      <rPr>
        <sz val="10"/>
        <rFont val="Noto Sans CJK SC"/>
        <family val="2"/>
      </rPr>
      <t xml:space="preserve">實際利用率 </t>
    </r>
    <r>
      <rPr>
        <sz val="10"/>
        <rFont val="Arial"/>
        <family val="0"/>
        <charset val="1"/>
      </rPr>
      <t xml:space="preserve">÷ IF_Util</t>
    </r>
    <r>
      <rPr>
        <sz val="10"/>
        <rFont val="Noto Sans CJK SC"/>
        <family val="2"/>
      </rPr>
      <t xml:space="preserve">（產能列已含 </t>
    </r>
    <r>
      <rPr>
        <sz val="10"/>
        <rFont val="Arial"/>
        <family val="0"/>
        <charset val="1"/>
      </rPr>
      <t xml:space="preserve">IF_Util</t>
    </r>
    <r>
      <rPr>
        <sz val="10"/>
        <rFont val="Noto Sans CJK SC"/>
        <family val="2"/>
      </rPr>
      <t xml:space="preserve">，故換成實際值）</t>
    </r>
  </si>
  <si>
    <t xml:space="preserve">D4</t>
  </si>
  <si>
    <r>
      <rPr>
        <sz val="10"/>
        <rFont val="Noto Sans CJK SC"/>
        <family val="2"/>
      </rPr>
      <t xml:space="preserve">有效服務 </t>
    </r>
    <r>
      <rPr>
        <sz val="10"/>
        <rFont val="Arial"/>
        <family val="0"/>
        <charset val="1"/>
      </rPr>
      <t xml:space="preserve">GW</t>
    </r>
  </si>
  <si>
    <r>
      <rPr>
        <sz val="10"/>
        <rFont val="Arial"/>
        <family val="0"/>
        <charset val="1"/>
      </rPr>
      <t xml:space="preserve">D2 × D3 × κ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177 </t>
    </r>
    <r>
      <rPr>
        <sz val="10"/>
        <rFont val="Noto Sans CJK SC"/>
        <family val="2"/>
      </rPr>
      <t xml:space="preserve">列；</t>
    </r>
    <r>
      <rPr>
        <sz val="10"/>
        <rFont val="Arial"/>
        <family val="0"/>
        <charset val="1"/>
      </rPr>
      <t xml:space="preserve">κ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段新增）</t>
    </r>
  </si>
  <si>
    <t xml:space="preserve">D5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</si>
  <si>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token T_fleet</t>
    </r>
    <r>
      <rPr>
        <b val="true"/>
        <sz val="10"/>
        <rFont val="Noto Sans CJK SC"/>
        <family val="2"/>
      </rPr>
      <t xml:space="preserve">（機隊端）</t>
    </r>
  </si>
  <si>
    <r>
      <rPr>
        <sz val="10"/>
        <rFont val="Noto Sans CJK SC"/>
        <family val="2"/>
      </rPr>
      <t xml:space="preserve">有效 </t>
    </r>
    <r>
      <rPr>
        <sz val="10"/>
        <rFont val="Arial"/>
        <family val="0"/>
        <charset val="1"/>
      </rPr>
      <t xml:space="preserve">GW ÷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÷ </t>
    </r>
    <r>
      <rPr>
        <sz val="10"/>
        <rFont val="Noto Sans CJK SC"/>
        <family val="2"/>
      </rPr>
      <t xml:space="preserve">付費產能 ＋ </t>
    </r>
    <r>
      <rPr>
        <sz val="10"/>
        <rFont val="Arial"/>
        <family val="0"/>
        <charset val="1"/>
      </rPr>
      <t xml:space="preserve">r ÷ </t>
    </r>
    <r>
      <rPr>
        <sz val="10"/>
        <rFont val="Noto Sans CJK SC"/>
        <family val="2"/>
      </rPr>
      <t xml:space="preserve">免費產能）：每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個付費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連帶 </t>
    </r>
    <r>
      <rPr>
        <sz val="10"/>
        <rFont val="Arial"/>
        <family val="0"/>
        <charset val="1"/>
      </rPr>
      <t xml:space="preserve">r </t>
    </r>
    <r>
      <rPr>
        <sz val="10"/>
        <rFont val="Noto Sans CJK SC"/>
        <family val="2"/>
      </rPr>
      <t xml:space="preserve">個免費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一起占 </t>
    </r>
    <r>
      <rPr>
        <sz val="10"/>
        <rFont val="Arial"/>
        <family val="0"/>
        <charset val="1"/>
      </rPr>
      <t xml:space="preserve">GW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116 </t>
    </r>
    <r>
      <rPr>
        <sz val="10"/>
        <rFont val="Noto Sans CJK SC"/>
        <family val="2"/>
      </rPr>
      <t xml:space="preserve">列）</t>
    </r>
  </si>
  <si>
    <t xml:space="preserve">D6</t>
  </si>
  <si>
    <r>
      <rPr>
        <b val="true"/>
        <sz val="10"/>
        <rFont val="Arial"/>
        <family val="0"/>
        <charset val="1"/>
      </rPr>
      <t xml:space="preserve">m_fleet</t>
    </r>
    <r>
      <rPr>
        <b val="true"/>
        <sz val="10"/>
        <rFont val="Noto Sans CJK SC"/>
        <family val="2"/>
      </rPr>
      <t xml:space="preserve">（機隊端）</t>
    </r>
  </si>
  <si>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（機隊端付費 </t>
    </r>
    <r>
      <rPr>
        <sz val="10"/>
        <rFont val="Arial"/>
        <family val="0"/>
        <charset val="1"/>
      </rPr>
      <t xml:space="preserve">token × P̄</t>
    </r>
    <r>
      <rPr>
        <sz val="10"/>
        <rFont val="Noto Sans CJK SC"/>
        <family val="2"/>
      </rPr>
      <t xml:space="preserve">）→ </t>
    </r>
    <r>
      <rPr>
        <sz val="10"/>
        <rFont val="Arial"/>
        <family val="0"/>
        <charset val="1"/>
      </rPr>
      <t xml:space="preserve">L1_MFleet</t>
    </r>
  </si>
  <si>
    <t xml:space="preserve">D7</t>
  </si>
  <si>
    <t xml:space="preserve">實收單價（機隊端）</t>
  </si>
  <si>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機隊端付費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＝ </t>
    </r>
    <r>
      <rPr>
        <sz val="10"/>
        <rFont val="Arial"/>
        <family val="0"/>
        <charset val="1"/>
      </rPr>
      <t xml:space="preserve">m_fleet × P̄</t>
    </r>
  </si>
  <si>
    <r>
      <rPr>
        <b val="true"/>
        <sz val="11"/>
        <color rgb="FF1F3864"/>
        <rFont val="Arial"/>
        <family val="0"/>
        <charset val="1"/>
      </rPr>
      <t xml:space="preserve">E. </t>
    </r>
    <r>
      <rPr>
        <b val="true"/>
        <sz val="11"/>
        <color rgb="FF1F3864"/>
        <rFont val="Noto Sans CJK SC"/>
        <family val="2"/>
      </rPr>
      <t xml:space="preserve">閉合：兩端是否一致</t>
    </r>
  </si>
  <si>
    <t xml:space="preserve">E1</t>
  </si>
  <si>
    <r>
      <rPr>
        <b val="true"/>
        <sz val="10"/>
        <rFont val="Noto Sans CJK SC"/>
        <family val="2"/>
      </rPr>
      <t xml:space="preserve">閉合比：需求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機隊</t>
    </r>
  </si>
  <si>
    <r>
      <rPr>
        <sz val="10"/>
        <rFont val="Arial"/>
        <family val="0"/>
        <charset val="1"/>
      </rPr>
      <t xml:space="preserve">B4 ÷ D5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174 </t>
    </r>
    <r>
      <rPr>
        <sz val="10"/>
        <rFont val="Noto Sans CJK SC"/>
        <family val="2"/>
      </rPr>
      <t xml:space="preserve">列；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＝閉合；</t>
    </r>
    <r>
      <rPr>
        <sz val="10"/>
        <rFont val="Arial"/>
        <family val="0"/>
        <charset val="1"/>
      </rPr>
      <t xml:space="preserve">Checks M4 </t>
    </r>
    <r>
      <rPr>
        <sz val="10"/>
        <rFont val="Noto Sans CJK SC"/>
        <family val="2"/>
      </rPr>
      <t xml:space="preserve">在 </t>
    </r>
    <r>
      <rPr>
        <sz val="10"/>
        <rFont val="Arial"/>
        <family val="0"/>
        <charset val="1"/>
      </rPr>
      <t xml:space="preserve">&lt;0.5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&gt;2 </t>
    </r>
    <r>
      <rPr>
        <sz val="10"/>
        <rFont val="Noto Sans CJK SC"/>
        <family val="2"/>
      </rPr>
      <t xml:space="preserve">時警告）</t>
    </r>
  </si>
  <si>
    <t xml:space="preserve">E2</t>
  </si>
  <si>
    <r>
      <rPr>
        <b val="true"/>
        <sz val="10"/>
        <rFont val="Noto Sans CJK SC"/>
        <family val="2"/>
      </rPr>
      <t xml:space="preserve">缺口：機隊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需求（＝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 </t>
    </r>
    <r>
      <rPr>
        <b val="true"/>
        <sz val="10"/>
        <rFont val="Arial"/>
        <family val="0"/>
        <charset val="1"/>
      </rPr>
      <t xml:space="preserve">÷ m_fleet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</si>
  <si>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D5 ÷ B4</t>
    </r>
    <r>
      <rPr>
        <sz val="10"/>
        <rFont val="Noto Sans CJK SC"/>
        <family val="2"/>
      </rPr>
      <t xml:space="preserve">；同一營收、同一 </t>
    </r>
    <r>
      <rPr>
        <sz val="10"/>
        <rFont val="Arial"/>
        <family val="0"/>
        <charset val="1"/>
      </rPr>
      <t xml:space="preserve">P̄</t>
    </r>
    <r>
      <rPr>
        <sz val="10"/>
        <rFont val="Noto Sans CJK SC"/>
        <family val="2"/>
      </rPr>
      <t xml:space="preserve">，所以兩個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的比值只剩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比</t>
    </r>
  </si>
  <si>
    <t xml:space="preserve">E3</t>
  </si>
  <si>
    <r>
      <rPr>
        <sz val="10"/>
        <rFont val="Noto Sans CJK SC"/>
        <family val="2"/>
      </rPr>
      <t xml:space="preserve">服務端規模係數（</t>
    </r>
    <r>
      <rPr>
        <sz val="10"/>
        <rFont val="Arial"/>
        <family val="0"/>
        <charset val="1"/>
      </rPr>
      <t xml:space="preserve">ScaleServe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</si>
  <si>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D1 ÷ C4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L1_ScaleServe</t>
    </r>
    <r>
      <rPr>
        <sz val="10"/>
        <rFont val="Noto Sans CJK SC"/>
        <family val="2"/>
      </rPr>
      <t xml:space="preserve">）</t>
    </r>
  </si>
  <si>
    <t xml:space="preserve">E4</t>
  </si>
  <si>
    <r>
      <rPr>
        <sz val="10"/>
        <rFont val="Noto Sans CJK SC"/>
        <family val="2"/>
      </rPr>
      <t xml:space="preserve">恆等式驗算：</t>
    </r>
    <r>
      <rPr>
        <sz val="10"/>
        <rFont val="Arial"/>
        <family val="0"/>
        <charset val="1"/>
      </rPr>
      <t xml:space="preserve">ScaleServe ÷</t>
    </r>
    <r>
      <rPr>
        <sz val="10"/>
        <rFont val="Noto Sans CJK SC"/>
        <family val="2"/>
      </rPr>
      <t xml:space="preserve">（計價倍數 </t>
    </r>
    <r>
      <rPr>
        <sz val="10"/>
        <rFont val="Arial"/>
        <family val="0"/>
        <charset val="1"/>
      </rPr>
      <t xml:space="preserve">× IF_Util ÷</t>
    </r>
    <r>
      <rPr>
        <sz val="10"/>
        <rFont val="Noto Sans CJK SC"/>
        <family val="2"/>
      </rPr>
      <t xml:space="preserve">（實際利用率 </t>
    </r>
    <r>
      <rPr>
        <sz val="10"/>
        <rFont val="Arial"/>
        <family val="0"/>
        <charset val="1"/>
      </rPr>
      <t xml:space="preserve">× κ</t>
    </r>
    <r>
      <rPr>
        <sz val="10"/>
        <rFont val="Noto Sans CJK SC"/>
        <family val="2"/>
      </rPr>
      <t xml:space="preserve">））</t>
    </r>
  </si>
  <si>
    <r>
      <rPr>
        <sz val="10"/>
        <rFont val="Noto Sans CJK SC"/>
        <family val="2"/>
      </rPr>
      <t xml:space="preserve">應等於 </t>
    </r>
    <r>
      <rPr>
        <sz val="10"/>
        <rFont val="Arial"/>
        <family val="0"/>
        <charset val="1"/>
      </rPr>
      <t xml:space="preserve">E2</t>
    </r>
    <r>
      <rPr>
        <sz val="10"/>
        <rFont val="Noto Sans CJK SC"/>
        <family val="2"/>
      </rPr>
      <t xml:space="preserve">（見「代數推導」第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步）</t>
    </r>
  </si>
  <si>
    <t xml:space="preserve">E5</t>
  </si>
  <si>
    <t xml:space="preserve">驗算差</t>
  </si>
  <si>
    <r>
      <rPr>
        <sz val="10"/>
        <rFont val="Noto Sans CJK SC"/>
        <family val="2"/>
      </rPr>
      <t xml:space="preserve">應為 </t>
    </r>
    <r>
      <rPr>
        <sz val="10"/>
        <rFont val="Arial"/>
        <family val="0"/>
        <charset val="1"/>
      </rPr>
      <t xml:space="preserve">0</t>
    </r>
  </si>
  <si>
    <t xml:space="preserve">E6</t>
  </si>
  <si>
    <r>
      <rPr>
        <sz val="10"/>
        <rFont val="Noto Sans CJK SC"/>
        <family val="2"/>
      </rPr>
      <t xml:space="preserve">閉合所需 </t>
    </r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token T_chat*</t>
    </r>
  </si>
  <si>
    <r>
      <rPr>
        <sz val="10"/>
        <rFont val="Noto Sans CJK SC"/>
        <family val="2"/>
      </rPr>
      <t xml:space="preserve">令需求端用滿有效 </t>
    </r>
    <r>
      <rPr>
        <sz val="10"/>
        <rFont val="Arial"/>
        <family val="0"/>
        <charset val="1"/>
      </rPr>
      <t xml:space="preserve">GW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有效 </t>
    </r>
    <r>
      <rPr>
        <sz val="10"/>
        <rFont val="Arial"/>
        <family val="0"/>
        <charset val="1"/>
      </rPr>
      <t xml:space="preserve">GW − API ÷ </t>
    </r>
    <r>
      <rPr>
        <sz val="10"/>
        <rFont val="Noto Sans CJK SC"/>
        <family val="2"/>
      </rPr>
      <t xml:space="preserve">付費產能</t>
    </r>
    <r>
      <rPr>
        <sz val="10"/>
        <rFont val="Arial"/>
        <family val="0"/>
        <charset val="1"/>
      </rPr>
      <t xml:space="preserve">] ÷ [(1−</t>
    </r>
    <r>
      <rPr>
        <sz val="10"/>
        <rFont val="Noto Sans CJK SC"/>
        <family val="2"/>
      </rPr>
      <t xml:space="preserve">免費占比</t>
    </r>
    <r>
      <rPr>
        <sz val="10"/>
        <rFont val="Arial"/>
        <family val="0"/>
        <charset val="1"/>
      </rPr>
      <t xml:space="preserve">) ÷ </t>
    </r>
    <r>
      <rPr>
        <sz val="10"/>
        <rFont val="Noto Sans CJK SC"/>
        <family val="2"/>
      </rPr>
      <t xml:space="preserve">付費產能 ＋ 免費占比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免費產能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178 </t>
    </r>
    <r>
      <rPr>
        <sz val="10"/>
        <rFont val="Noto Sans CJK SC"/>
        <family val="2"/>
      </rPr>
      <t xml:space="preserve">列）</t>
    </r>
  </si>
  <si>
    <t xml:space="preserve">E7</t>
  </si>
  <si>
    <r>
      <rPr>
        <b val="true"/>
        <sz val="10"/>
        <rFont val="Noto Sans CJK SC"/>
        <family val="2"/>
      </rPr>
      <t xml:space="preserve">閉合所需每則 </t>
    </r>
    <r>
      <rPr>
        <b val="true"/>
        <sz val="10"/>
        <rFont val="Arial"/>
        <family val="0"/>
        <charset val="1"/>
      </rPr>
      <t xml:space="preserve">token τ*</t>
    </r>
  </si>
  <si>
    <r>
      <rPr>
        <sz val="10"/>
        <rFont val="Arial"/>
        <family val="0"/>
        <charset val="1"/>
      </rPr>
      <t xml:space="preserve">T_chat* ÷</t>
    </r>
    <r>
      <rPr>
        <sz val="10"/>
        <rFont val="Noto Sans CJK SC"/>
        <family val="2"/>
      </rPr>
      <t xml:space="preserve">（每日訊息 </t>
    </r>
    <r>
      <rPr>
        <sz val="10"/>
        <rFont val="Arial"/>
        <family val="0"/>
        <charset val="1"/>
      </rPr>
      <t xml:space="preserve">× 365</t>
    </r>
    <r>
      <rPr>
        <sz val="10"/>
        <rFont val="Noto Sans CJK SC"/>
        <family val="2"/>
      </rPr>
      <t xml:space="preserve">）→ </t>
    </r>
    <r>
      <rPr>
        <sz val="10"/>
        <rFont val="Arial"/>
        <family val="0"/>
        <charset val="1"/>
      </rPr>
      <t xml:space="preserve">L1_TokPerPromptClose</t>
    </r>
  </si>
  <si>
    <t xml:space="preserve">E8</t>
  </si>
  <si>
    <r>
      <rPr>
        <sz val="10"/>
        <rFont val="Arial"/>
        <family val="0"/>
        <charset val="1"/>
      </rPr>
      <t xml:space="preserve">τ* </t>
    </r>
    <r>
      <rPr>
        <sz val="10"/>
        <rFont val="Noto Sans CJK SC"/>
        <family val="2"/>
      </rPr>
      <t xml:space="preserve">是否在證據區間（</t>
    </r>
    <r>
      <rPr>
        <sz val="10"/>
        <rFont val="Arial"/>
        <family val="0"/>
        <charset val="1"/>
      </rPr>
      <t xml:space="preserve">1,650–11,300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</si>
  <si>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v5.33A </t>
    </r>
    <r>
      <rPr>
        <sz val="10"/>
        <rFont val="Noto Sans CJK SC"/>
        <family val="2"/>
      </rPr>
      <t xml:space="preserve">五組成法區間</t>
    </r>
  </si>
  <si>
    <t xml:space="preserve">E9</t>
  </si>
  <si>
    <t xml:space="preserve">閉合下的免費算力占比</t>
  </si>
  <si>
    <r>
      <rPr>
        <sz val="10"/>
        <rFont val="Noto Sans CJK SC"/>
        <family val="2"/>
      </rPr>
      <t xml:space="preserve">以 </t>
    </r>
    <r>
      <rPr>
        <sz val="10"/>
        <rFont val="Arial"/>
        <family val="0"/>
        <charset val="1"/>
      </rPr>
      <t xml:space="preserve">T_chat* </t>
    </r>
    <r>
      <rPr>
        <sz val="10"/>
        <rFont val="Noto Sans CJK SC"/>
        <family val="2"/>
      </rPr>
      <t xml:space="preserve">重算免費 </t>
    </r>
    <r>
      <rPr>
        <sz val="10"/>
        <rFont val="Arial"/>
        <family val="0"/>
        <charset val="1"/>
      </rPr>
      <t xml:space="preserve">GW ÷ </t>
    </r>
    <r>
      <rPr>
        <sz val="10"/>
        <rFont val="Noto Sans CJK SC"/>
        <family val="2"/>
      </rPr>
      <t xml:space="preserve">有效 </t>
    </r>
    <r>
      <rPr>
        <sz val="10"/>
        <rFont val="Arial"/>
        <family val="0"/>
        <charset val="1"/>
      </rPr>
      <t xml:space="preserve">GW</t>
    </r>
    <r>
      <rPr>
        <sz val="10"/>
        <rFont val="Noto Sans CJK SC"/>
        <family val="2"/>
      </rPr>
      <t xml:space="preserve">；對照支出口徑 </t>
    </r>
    <r>
      <rPr>
        <sz val="10"/>
        <rFont val="Arial"/>
        <family val="0"/>
        <charset val="1"/>
      </rPr>
      <t xml:space="preserve">0.46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181 </t>
    </r>
    <r>
      <rPr>
        <sz val="10"/>
        <rFont val="Noto Sans CJK SC"/>
        <family val="2"/>
      </rPr>
      <t xml:space="preserve">列）</t>
    </r>
  </si>
  <si>
    <t xml:space="preserve">E10</t>
  </si>
  <si>
    <r>
      <rPr>
        <sz val="10"/>
        <rFont val="Arial"/>
        <family val="0"/>
        <charset val="1"/>
      </rPr>
      <t xml:space="preserve">IF_FreeShare</t>
    </r>
    <r>
      <rPr>
        <sz val="10"/>
        <rFont val="Noto Sans CJK SC"/>
        <family val="2"/>
      </rPr>
      <t xml:space="preserve">；與 </t>
    </r>
    <r>
      <rPr>
        <sz val="10"/>
        <rFont val="Arial"/>
        <family val="0"/>
        <charset val="1"/>
      </rPr>
      <t xml:space="preserve">E9 </t>
    </r>
    <r>
      <rPr>
        <sz val="10"/>
        <rFont val="Noto Sans CJK SC"/>
        <family val="2"/>
      </rPr>
      <t xml:space="preserve">不一致是第二個不閉合（</t>
    </r>
    <r>
      <rPr>
        <sz val="10"/>
        <rFont val="Arial"/>
        <family val="0"/>
        <charset val="1"/>
      </rPr>
      <t xml:space="preserve">v5.34 </t>
    </r>
    <r>
      <rPr>
        <sz val="10"/>
        <rFont val="Noto Sans CJK SC"/>
        <family val="2"/>
      </rPr>
      <t xml:space="preserve">檢核 </t>
    </r>
    <r>
      <rPr>
        <sz val="10"/>
        <rFont val="Arial"/>
        <family val="0"/>
        <charset val="1"/>
      </rPr>
      <t xml:space="preserve">C6</t>
    </r>
    <r>
      <rPr>
        <sz val="10"/>
        <rFont val="Noto Sans CJK SC"/>
        <family val="2"/>
      </rPr>
      <t xml:space="preserve">）</t>
    </r>
  </si>
  <si>
    <r>
      <rPr>
        <b val="true"/>
        <sz val="11"/>
        <color rgb="FF1F3864"/>
        <rFont val="Arial"/>
        <family val="0"/>
        <charset val="1"/>
      </rPr>
      <t xml:space="preserve">F. </t>
    </r>
    <r>
      <rPr>
        <b val="true"/>
        <sz val="11"/>
        <color rgb="FF1F3864"/>
        <rFont val="Noto Sans CJK SC"/>
        <family val="2"/>
      </rPr>
      <t xml:space="preserve">回本（</t>
    </r>
    <r>
      <rPr>
        <b val="true"/>
        <sz val="11"/>
        <color rgb="FF1F3864"/>
        <rFont val="Arial"/>
        <family val="0"/>
        <charset val="1"/>
      </rPr>
      <t xml:space="preserve">L × m ≥ </t>
    </r>
    <r>
      <rPr>
        <b val="true"/>
        <sz val="11"/>
        <color rgb="FF1F3864"/>
        <rFont val="Noto Sans CJK SC"/>
        <family val="2"/>
      </rPr>
      <t xml:space="preserve">門檻；以實收單價表示）</t>
    </r>
  </si>
  <si>
    <t xml:space="preserve">F1</t>
  </si>
  <si>
    <r>
      <rPr>
        <sz val="10"/>
        <rFont val="Noto Sans CJK SC"/>
        <family val="2"/>
      </rPr>
      <t xml:space="preserve">回本門檻 </t>
    </r>
    <r>
      <rPr>
        <sz val="10"/>
        <rFont val="Arial"/>
        <family val="0"/>
        <charset val="1"/>
      </rPr>
      <t xml:space="preserve">L × m</t>
    </r>
    <r>
      <rPr>
        <sz val="10"/>
        <rFont val="Noto Sans CJK SC"/>
        <family val="2"/>
      </rPr>
      <t xml:space="preserve">（線性口徑）</t>
    </r>
  </si>
  <si>
    <r>
      <rPr>
        <sz val="10"/>
        <rFont val="Noto Sans CJK SC"/>
        <family val="2"/>
      </rPr>
      <t xml:space="preserve">回本乘積 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IF_Util × δ</t>
    </r>
    <r>
      <rPr>
        <sz val="10"/>
        <rFont val="Noto Sans CJK SC"/>
        <family val="2"/>
      </rPr>
      <t xml:space="preserve">）＝</t>
    </r>
    <r>
      <rPr>
        <sz val="10"/>
        <rFont val="Arial"/>
        <family val="0"/>
        <charset val="1"/>
      </rPr>
      <t xml:space="preserve">0.1505 ÷ 0.51</t>
    </r>
  </si>
  <si>
    <t xml:space="preserve">F2</t>
  </si>
  <si>
    <r>
      <rPr>
        <b val="true"/>
        <sz val="10"/>
        <rFont val="Noto Sans CJK SC"/>
        <family val="2"/>
      </rPr>
      <t xml:space="preserve">回本所需實收單價（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基準）</t>
    </r>
  </si>
  <si>
    <r>
      <rPr>
        <sz val="10"/>
        <rFont val="Noto Sans CJK SC"/>
        <family val="2"/>
      </rPr>
      <t xml:space="preserve">門檻 </t>
    </r>
    <r>
      <rPr>
        <sz val="10"/>
        <rFont val="Arial"/>
        <family val="0"/>
        <charset val="1"/>
      </rPr>
      <t xml:space="preserve">× P̄ ÷ L</t>
    </r>
  </si>
  <si>
    <t xml:space="preserve">F3</t>
  </si>
  <si>
    <r>
      <rPr>
        <sz val="10"/>
        <rFont val="Noto Sans CJK SC"/>
        <family val="2"/>
      </rPr>
      <t xml:space="preserve">回本所需實收單價（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低端）</t>
    </r>
  </si>
  <si>
    <r>
      <rPr>
        <sz val="10"/>
        <rFont val="Noto Sans CJK SC"/>
        <family val="2"/>
      </rPr>
      <t xml:space="preserve">門檻 </t>
    </r>
    <r>
      <rPr>
        <sz val="10"/>
        <rFont val="Arial"/>
        <family val="0"/>
        <charset val="1"/>
      </rPr>
      <t xml:space="preserve">× P̄ ÷ L </t>
    </r>
    <r>
      <rPr>
        <sz val="10"/>
        <rFont val="Noto Sans CJK SC"/>
        <family val="2"/>
      </rPr>
      <t xml:space="preserve">低端（輸入頁 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欄）</t>
    </r>
  </si>
  <si>
    <t xml:space="preserve">F4</t>
  </si>
  <si>
    <r>
      <rPr>
        <sz val="10"/>
        <rFont val="Noto Sans CJK SC"/>
        <family val="2"/>
      </rPr>
      <t xml:space="preserve">機隊端判讀（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基準）</t>
    </r>
  </si>
  <si>
    <t xml:space="preserve">D7 ≥ F2</t>
  </si>
  <si>
    <t xml:space="preserve">F5</t>
  </si>
  <si>
    <r>
      <rPr>
        <sz val="10"/>
        <rFont val="Noto Sans CJK SC"/>
        <family val="2"/>
      </rPr>
      <t xml:space="preserve">機隊端判讀（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低端）</t>
    </r>
  </si>
  <si>
    <t xml:space="preserve">D7 ≥ F3</t>
  </si>
  <si>
    <t xml:space="preserve">F6</t>
  </si>
  <si>
    <r>
      <rPr>
        <sz val="10"/>
        <rFont val="Noto Sans CJK SC"/>
        <family val="2"/>
      </rPr>
      <t xml:space="preserve">需求端判讀（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基準）</t>
    </r>
  </si>
  <si>
    <t xml:space="preserve">B7 ≥ F2</t>
  </si>
  <si>
    <t xml:space="preserve">F7</t>
  </si>
  <si>
    <r>
      <rPr>
        <sz val="10"/>
        <rFont val="Noto Sans CJK SC"/>
        <family val="2"/>
      </rPr>
      <t xml:space="preserve">需求端判讀（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低端）</t>
    </r>
  </si>
  <si>
    <t xml:space="preserve">B7 ≥ F3</t>
  </si>
  <si>
    <t xml:space="preserve">F8</t>
  </si>
  <si>
    <r>
      <rPr>
        <sz val="10"/>
        <rFont val="Noto Sans CJK SC"/>
        <family val="2"/>
      </rPr>
      <t xml:space="preserve">回本所需 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m_fleet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</si>
  <si>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門檻 </t>
    </r>
    <r>
      <rPr>
        <sz val="10"/>
        <rFont val="Arial"/>
        <family val="0"/>
        <charset val="1"/>
      </rPr>
      <t xml:space="preserve">÷ m_fleet</t>
    </r>
    <r>
      <rPr>
        <sz val="10"/>
        <rFont val="Noto Sans CJK SC"/>
        <family val="2"/>
      </rPr>
      <t xml:space="preserve">（對照 </t>
    </r>
    <r>
      <rPr>
        <sz val="10"/>
        <rFont val="Arial"/>
        <family val="0"/>
        <charset val="1"/>
      </rPr>
      <t xml:space="preserve">L1_LReqFleet 0.3645</t>
    </r>
    <r>
      <rPr>
        <sz val="10"/>
        <rFont val="Noto Sans CJK SC"/>
        <family val="2"/>
      </rPr>
      <t xml:space="preserve">）</t>
    </r>
  </si>
  <si>
    <t xml:space="preserve">F9</t>
  </si>
  <si>
    <t xml:space="preserve">L × m_fleet</t>
  </si>
  <si>
    <r>
      <rPr>
        <sz val="10"/>
        <rFont val="Noto Sans CJK SC"/>
        <family val="2"/>
      </rPr>
      <t xml:space="preserve">對照門檻 </t>
    </r>
    <r>
      <rPr>
        <sz val="10"/>
        <rFont val="Arial"/>
        <family val="0"/>
        <charset val="1"/>
      </rPr>
      <t xml:space="preserve">F1</t>
    </r>
  </si>
  <si>
    <r>
      <rPr>
        <b val="true"/>
        <sz val="14"/>
        <rFont val="Noto Sans CJK SC"/>
        <family val="2"/>
      </rPr>
      <t xml:space="preserve">閉合條件：其他輸入不動，單獨改一個輸入要改到多少才能閉合（缺口＝</t>
    </r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</si>
  <si>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因為缺口 ＝ 支出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實際利用率 </t>
    </r>
    <r>
      <rPr>
        <sz val="10"/>
        <rFont val="Arial"/>
        <family val="0"/>
        <charset val="1"/>
      </rPr>
      <t xml:space="preserve">× κ ÷</t>
    </r>
    <r>
      <rPr>
        <sz val="10"/>
        <rFont val="Noto Sans CJK SC"/>
        <family val="2"/>
      </rPr>
      <t xml:space="preserve">（計價倍數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常數）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需求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，前四項是乘除關係，單獨改一項所需的值可以直接解出；</t>
    </r>
    <r>
      <rPr>
        <sz val="10"/>
        <rFont val="Arial"/>
        <family val="0"/>
        <charset val="1"/>
      </rPr>
      <t xml:space="preserve">τ </t>
    </r>
    <r>
      <rPr>
        <sz val="10"/>
        <rFont val="Noto Sans CJK SC"/>
        <family val="2"/>
      </rPr>
      <t xml:space="preserve">另由 </t>
    </r>
    <r>
      <rPr>
        <sz val="10"/>
        <rFont val="Arial"/>
        <family val="0"/>
        <charset val="1"/>
      </rPr>
      <t xml:space="preserve">E7 </t>
    </r>
    <r>
      <rPr>
        <sz val="10"/>
        <rFont val="Noto Sans CJK SC"/>
        <family val="2"/>
      </rPr>
      <t xml:space="preserve">解。</t>
    </r>
  </si>
  <si>
    <t xml:space="preserve">#</t>
  </si>
  <si>
    <t xml:space="preserve">單獨調整的輸入</t>
  </si>
  <si>
    <t xml:space="preserve">解法與判讀</t>
  </si>
  <si>
    <t xml:space="preserve">推論支出 需降到</t>
  </si>
  <si>
    <r>
      <rPr>
        <sz val="10"/>
        <rFont val="Noto Sans CJK SC"/>
        <family val="2"/>
      </rPr>
      <t xml:space="preserve">支出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缺口；證據下限 </t>
    </r>
    <r>
      <rPr>
        <sz val="10"/>
        <rFont val="Arial"/>
        <family val="0"/>
        <charset val="1"/>
      </rPr>
      <t xml:space="preserve">8.4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SRC_DEM_004</t>
    </r>
    <r>
      <rPr>
        <sz val="10"/>
        <rFont val="Noto Sans CJK SC"/>
        <family val="2"/>
      </rPr>
      <t xml:space="preserve">）</t>
    </r>
  </si>
  <si>
    <t xml:space="preserve">計價倍數 需升到</t>
  </si>
  <si>
    <r>
      <rPr>
        <sz val="10"/>
        <rFont val="Noto Sans CJK SC"/>
        <family val="2"/>
      </rPr>
      <t xml:space="preserve">計價倍數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缺口；證據 </t>
    </r>
    <r>
      <rPr>
        <sz val="10"/>
        <rFont val="Arial"/>
        <family val="0"/>
        <charset val="1"/>
      </rPr>
      <t xml:space="preserve">1.2–2.0</t>
    </r>
    <r>
      <rPr>
        <sz val="10"/>
        <rFont val="Noto Sans CJK SC"/>
        <family val="2"/>
      </rPr>
      <t xml:space="preserve">，模型上限 </t>
    </r>
    <r>
      <rPr>
        <sz val="10"/>
        <rFont val="Arial"/>
        <family val="0"/>
        <charset val="1"/>
      </rPr>
      <t xml:space="preserve">3.0</t>
    </r>
  </si>
  <si>
    <r>
      <rPr>
        <sz val="10"/>
        <rFont val="Noto Sans CJK SC"/>
        <family val="2"/>
      </rPr>
      <t xml:space="preserve">實際利用率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折減 需降到</t>
    </r>
  </si>
  <si>
    <r>
      <rPr>
        <sz val="10"/>
        <rFont val="Noto Sans CJK SC"/>
        <family val="2"/>
      </rPr>
      <t xml:space="preserve">實際利用率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缺口；模型區間 </t>
    </r>
    <r>
      <rPr>
        <sz val="10"/>
        <rFont val="Arial"/>
        <family val="0"/>
        <charset val="1"/>
      </rPr>
      <t xml:space="preserve">0.30–0.40</t>
    </r>
  </si>
  <si>
    <r>
      <rPr>
        <sz val="10"/>
        <rFont val="Arial"/>
        <family val="0"/>
        <charset val="1"/>
      </rPr>
      <t xml:space="preserve">κ </t>
    </r>
    <r>
      <rPr>
        <sz val="10"/>
        <rFont val="Noto Sans CJK SC"/>
        <family val="2"/>
      </rPr>
      <t xml:space="preserve">需降到</t>
    </r>
  </si>
  <si>
    <r>
      <rPr>
        <sz val="10"/>
        <rFont val="Arial"/>
        <family val="0"/>
        <charset val="1"/>
      </rPr>
      <t xml:space="preserve">κ ÷ </t>
    </r>
    <r>
      <rPr>
        <sz val="10"/>
        <rFont val="Noto Sans CJK SC"/>
        <family val="2"/>
      </rPr>
      <t xml:space="preserve">缺口；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段區間 </t>
    </r>
    <r>
      <rPr>
        <sz val="10"/>
        <rFont val="Arial"/>
        <family val="0"/>
        <charset val="1"/>
      </rPr>
      <t xml:space="preserve">0.65–1.2</t>
    </r>
  </si>
  <si>
    <r>
      <rPr>
        <sz val="10"/>
        <rFont val="Noto Sans CJK SC"/>
        <family val="2"/>
      </rPr>
      <t xml:space="preserve">每則 </t>
    </r>
    <r>
      <rPr>
        <sz val="10"/>
        <rFont val="Arial"/>
        <family val="0"/>
        <charset val="1"/>
      </rPr>
      <t xml:space="preserve">token τ </t>
    </r>
    <r>
      <rPr>
        <sz val="10"/>
        <rFont val="Noto Sans CJK SC"/>
        <family val="2"/>
      </rPr>
      <t xml:space="preserve">需升到</t>
    </r>
  </si>
  <si>
    <r>
      <rPr>
        <sz val="10"/>
        <rFont val="Arial"/>
        <family val="0"/>
        <charset val="1"/>
      </rPr>
      <t xml:space="preserve">τ*</t>
    </r>
    <r>
      <rPr>
        <sz val="10"/>
        <rFont val="Noto Sans CJK SC"/>
        <family val="2"/>
      </rPr>
      <t xml:space="preserve">（推導鏈 </t>
    </r>
    <r>
      <rPr>
        <sz val="10"/>
        <rFont val="Arial"/>
        <family val="0"/>
        <charset val="1"/>
      </rPr>
      <t xml:space="preserve">E7</t>
    </r>
    <r>
      <rPr>
        <sz val="10"/>
        <rFont val="Noto Sans CJK SC"/>
        <family val="2"/>
      </rPr>
      <t xml:space="preserve">）；證據 </t>
    </r>
    <r>
      <rPr>
        <sz val="10"/>
        <rFont val="Arial"/>
        <family val="0"/>
        <charset val="1"/>
      </rPr>
      <t xml:space="preserve">1,650–11,300</t>
    </r>
  </si>
  <si>
    <t xml:space="preserve">判讀（模型現值欄）</t>
  </si>
  <si>
    <t xml:space="preserve">推論支出</t>
  </si>
  <si>
    <t xml:space="preserve">計價倍數</t>
  </si>
  <si>
    <t xml:space="preserve">實際利用率</t>
  </si>
  <si>
    <t xml:space="preserve">κ</t>
  </si>
  <si>
    <t xml:space="preserve">τ</t>
  </si>
  <si>
    <t xml:space="preserve">結論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</si>
  <si>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模型現值下，五個輸入沒有一個能「單獨」在證據範圍內閉合：支出要低於 </t>
    </r>
    <r>
      <rPr>
        <sz val="10"/>
        <rFont val="Arial"/>
        <family val="0"/>
        <charset val="1"/>
      </rPr>
      <t xml:space="preserve">84 </t>
    </r>
    <r>
      <rPr>
        <sz val="10"/>
        <rFont val="Noto Sans CJK SC"/>
        <family val="2"/>
      </rPr>
      <t xml:space="preserve">億、計價倍數要高於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、實際利用率要低於 </t>
    </r>
    <r>
      <rPr>
        <sz val="10"/>
        <rFont val="Arial"/>
        <family val="0"/>
        <charset val="1"/>
      </rPr>
      <t xml:space="preserve">0.30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κ </t>
    </r>
    <r>
      <rPr>
        <sz val="10"/>
        <rFont val="Noto Sans CJK SC"/>
        <family val="2"/>
      </rPr>
      <t xml:space="preserve">要低於 </t>
    </r>
    <r>
      <rPr>
        <sz val="10"/>
        <rFont val="Arial"/>
        <family val="0"/>
        <charset val="1"/>
      </rPr>
      <t xml:space="preserve">0.65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τ </t>
    </r>
    <r>
      <rPr>
        <sz val="10"/>
        <rFont val="Noto Sans CJK SC"/>
        <family val="2"/>
      </rPr>
      <t xml:space="preserve">要高於 </t>
    </r>
    <r>
      <rPr>
        <sz val="10"/>
        <rFont val="Arial"/>
        <family val="0"/>
        <charset val="1"/>
      </rPr>
      <t xml:space="preserve">11,300</t>
    </r>
    <r>
      <rPr>
        <sz val="10"/>
        <rFont val="Noto Sans CJK SC"/>
        <family val="2"/>
      </rPr>
      <t xml:space="preserve">，五者都在邊界之外（數值見上表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欄）。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</si>
  <si>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兩項以上同時移動才閉合，例如「推論支出 </t>
    </r>
    <r>
      <rPr>
        <sz val="10"/>
        <rFont val="Arial"/>
        <family val="0"/>
        <charset val="1"/>
      </rPr>
      <t xml:space="preserve">84 </t>
    </r>
    <r>
      <rPr>
        <sz val="10"/>
        <rFont val="Noto Sans CJK SC"/>
        <family val="2"/>
      </rPr>
      <t xml:space="preserve">億＋</t>
    </r>
    <r>
      <rPr>
        <sz val="10"/>
        <rFont val="Arial"/>
        <family val="0"/>
        <charset val="1"/>
      </rPr>
      <t xml:space="preserve">κ 0.75</t>
    </r>
    <r>
      <rPr>
        <sz val="10"/>
        <rFont val="Noto Sans CJK SC"/>
        <family val="2"/>
      </rPr>
      <t xml:space="preserve">」（</t>
    </r>
    <r>
      <rPr>
        <sz val="10"/>
        <rFont val="Arial"/>
        <family val="0"/>
        <charset val="1"/>
      </rPr>
      <t xml:space="preserve">G </t>
    </r>
    <r>
      <rPr>
        <sz val="10"/>
        <rFont val="Noto Sans CJK SC"/>
        <family val="2"/>
      </rPr>
      <t xml:space="preserve">欄）缺口約 </t>
    </r>
    <r>
      <rPr>
        <sz val="10"/>
        <rFont val="Arial"/>
        <family val="0"/>
        <charset val="1"/>
      </rPr>
      <t xml:space="preserve">1.08</t>
    </r>
    <r>
      <rPr>
        <sz val="10"/>
        <rFont val="Noto Sans CJK SC"/>
        <family val="2"/>
      </rPr>
      <t xml:space="preserve">，所需 </t>
    </r>
    <r>
      <rPr>
        <sz val="10"/>
        <rFont val="Arial"/>
        <family val="0"/>
        <charset val="1"/>
      </rPr>
      <t xml:space="preserve">τ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4,700</t>
    </r>
    <r>
      <rPr>
        <sz val="10"/>
        <rFont val="Noto Sans CJK SC"/>
        <family val="2"/>
      </rPr>
      <t xml:space="preserve">，與需求證據中心 </t>
    </r>
    <r>
      <rPr>
        <sz val="10"/>
        <rFont val="Arial"/>
        <family val="0"/>
        <charset val="1"/>
      </rPr>
      <t xml:space="preserve">4,300 </t>
    </r>
    <r>
      <rPr>
        <sz val="10"/>
        <rFont val="Noto Sans CJK SC"/>
        <family val="2"/>
      </rPr>
      <t xml:space="preserve">一致。</t>
    </r>
  </si>
  <si>
    <r>
      <rPr>
        <sz val="10"/>
        <rFont val="Arial"/>
        <family val="0"/>
        <charset val="1"/>
      </rPr>
      <t xml:space="preserve">3. A </t>
    </r>
    <r>
      <rPr>
        <sz val="10"/>
        <rFont val="Noto Sans CJK SC"/>
        <family val="2"/>
      </rPr>
      <t xml:space="preserve">段證據把計價倍數拉低到 </t>
    </r>
    <r>
      <rPr>
        <sz val="10"/>
        <rFont val="Arial"/>
        <family val="0"/>
        <charset val="1"/>
      </rPr>
      <t xml:space="preserve">1.5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欄），缺口反而變大到約 </t>
    </r>
    <r>
      <rPr>
        <sz val="10"/>
        <rFont val="Arial"/>
        <family val="0"/>
        <charset val="1"/>
      </rPr>
      <t xml:space="preserve">2.9</t>
    </r>
    <r>
      <rPr>
        <sz val="10"/>
        <rFont val="Noto Sans CJK SC"/>
        <family val="2"/>
      </rPr>
      <t xml:space="preserve">：這是「新證據讓問題更難閉合」的方向。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</si>
  <si>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缺口只影響「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該取哪個值」，不影響營收與實收單價的美元觀測；回本判讀見「推導鏈」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節與「回本」頁。</t>
    </r>
  </si>
  <si>
    <t xml:space="preserve">代數推導：缺口從哪裡來、為什麼價格不影響缺口</t>
  </si>
  <si>
    <t xml:space="preserve">符號</t>
  </si>
  <si>
    <r>
      <rPr>
        <sz val="10"/>
        <rFont val="Arial"/>
        <family val="0"/>
        <charset val="1"/>
      </rPr>
      <t xml:space="preserve">R</t>
    </r>
    <r>
      <rPr>
        <sz val="10"/>
        <rFont val="Noto Sans CJK SC"/>
        <family val="2"/>
      </rPr>
      <t xml:space="preserve">＝營收；</t>
    </r>
    <r>
      <rPr>
        <sz val="10"/>
        <rFont val="Arial"/>
        <family val="0"/>
        <charset val="1"/>
      </rPr>
      <t xml:space="preserve">P̄</t>
    </r>
    <r>
      <rPr>
        <sz val="10"/>
        <rFont val="Noto Sans CJK SC"/>
        <family val="2"/>
      </rPr>
      <t xml:space="preserve">＝混合有效單價；</t>
    </r>
    <r>
      <rPr>
        <sz val="10"/>
        <rFont val="Arial"/>
        <family val="0"/>
        <charset val="1"/>
      </rPr>
      <t xml:space="preserve">D_p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D_f</t>
    </r>
    <r>
      <rPr>
        <sz val="10"/>
        <rFont val="Noto Sans CJK SC"/>
        <family val="2"/>
      </rPr>
      <t xml:space="preserve">＝需求端付費、免費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r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D_f ÷ D_p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cap_P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cap_F</t>
    </r>
    <r>
      <rPr>
        <sz val="10"/>
        <rFont val="Noto Sans CJK SC"/>
        <family val="2"/>
      </rPr>
      <t xml:space="preserve">＝付費、免費每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年產能（含 </t>
    </r>
    <r>
      <rPr>
        <sz val="10"/>
        <rFont val="Arial"/>
        <family val="0"/>
        <charset val="1"/>
      </rPr>
      <t xml:space="preserve">IF_Util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S</t>
    </r>
    <r>
      <rPr>
        <sz val="10"/>
        <rFont val="Noto Sans CJK SC"/>
        <family val="2"/>
      </rPr>
      <t xml:space="preserve">＝推論支出；</t>
    </r>
    <r>
      <rPr>
        <sz val="10"/>
        <rFont val="Arial"/>
        <family val="0"/>
        <charset val="1"/>
      </rPr>
      <t xml:space="preserve">H</t>
    </r>
    <r>
      <rPr>
        <sz val="10"/>
        <rFont val="Noto Sans CJK SC"/>
        <family val="2"/>
      </rPr>
      <t xml:space="preserve">＝每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持有成本；</t>
    </r>
    <r>
      <rPr>
        <sz val="10"/>
        <rFont val="Arial"/>
        <family val="0"/>
        <charset val="1"/>
      </rPr>
      <t xml:space="preserve">SB</t>
    </r>
    <r>
      <rPr>
        <sz val="10"/>
        <rFont val="Noto Sans CJK SC"/>
        <family val="2"/>
      </rPr>
      <t xml:space="preserve">＝計價倍數；</t>
    </r>
    <r>
      <rPr>
        <sz val="10"/>
        <rFont val="Arial"/>
        <family val="0"/>
        <charset val="1"/>
      </rPr>
      <t xml:space="preserve">U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IF_Util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U_a</t>
    </r>
    <r>
      <rPr>
        <sz val="10"/>
        <rFont val="Noto Sans CJK SC"/>
        <family val="2"/>
      </rPr>
      <t xml:space="preserve">＝實際利用率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折減；</t>
    </r>
    <r>
      <rPr>
        <sz val="10"/>
        <rFont val="Arial"/>
        <family val="0"/>
        <charset val="1"/>
      </rPr>
      <t xml:space="preserve">κ</t>
    </r>
    <r>
      <rPr>
        <sz val="10"/>
        <rFont val="Noto Sans CJK SC"/>
        <family val="2"/>
      </rPr>
      <t xml:space="preserve">＝請求形狀修正。</t>
    </r>
  </si>
  <si>
    <t xml:space="preserve">1</t>
  </si>
  <si>
    <r>
      <rPr>
        <sz val="10"/>
        <rFont val="Noto Sans CJK SC"/>
        <family val="2"/>
      </rPr>
      <t xml:space="preserve">需求端需要的 </t>
    </r>
    <r>
      <rPr>
        <sz val="10"/>
        <rFont val="Arial"/>
        <family val="0"/>
        <charset val="1"/>
      </rPr>
      <t xml:space="preserve">GW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GW_token </t>
    </r>
    <r>
      <rPr>
        <sz val="10"/>
        <rFont val="Noto Sans CJK SC"/>
        <family val="2"/>
      </rPr>
      <t xml:space="preserve">＝ </t>
    </r>
    <r>
      <rPr>
        <sz val="10"/>
        <rFont val="Arial"/>
        <family val="0"/>
        <charset val="1"/>
      </rPr>
      <t xml:space="preserve">D_p ÷ cap_P </t>
    </r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D_f ÷ cap_F </t>
    </r>
    <r>
      <rPr>
        <sz val="10"/>
        <rFont val="Noto Sans CJK SC"/>
        <family val="2"/>
      </rPr>
      <t xml:space="preserve">＝ </t>
    </r>
    <r>
      <rPr>
        <sz val="10"/>
        <rFont val="Arial"/>
        <family val="0"/>
        <charset val="1"/>
      </rPr>
      <t xml:space="preserve">D_p 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÷ cap_P </t>
    </r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r ÷ cap_F</t>
    </r>
    <r>
      <rPr>
        <sz val="10"/>
        <rFont val="Noto Sans CJK SC"/>
        <family val="2"/>
      </rPr>
      <t xml:space="preserve">）。（推導鏈 </t>
    </r>
    <r>
      <rPr>
        <sz val="10"/>
        <rFont val="Arial"/>
        <family val="0"/>
        <charset val="1"/>
      </rPr>
      <t xml:space="preserve">C4</t>
    </r>
    <r>
      <rPr>
        <sz val="10"/>
        <rFont val="Noto Sans CJK SC"/>
        <family val="2"/>
      </rPr>
      <t xml:space="preserve">）</t>
    </r>
  </si>
  <si>
    <t xml:space="preserve">2</t>
  </si>
  <si>
    <r>
      <rPr>
        <sz val="10"/>
        <rFont val="Noto Sans CJK SC"/>
        <family val="2"/>
      </rPr>
      <t xml:space="preserve">機隊端有效 </t>
    </r>
    <r>
      <rPr>
        <sz val="10"/>
        <rFont val="Arial"/>
        <family val="0"/>
        <charset val="1"/>
      </rPr>
      <t xml:space="preserve">GW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GW_eff </t>
    </r>
    <r>
      <rPr>
        <sz val="10"/>
        <rFont val="Noto Sans CJK SC"/>
        <family val="2"/>
      </rPr>
      <t xml:space="preserve">＝（</t>
    </r>
    <r>
      <rPr>
        <sz val="10"/>
        <rFont val="Arial"/>
        <family val="0"/>
        <charset val="1"/>
      </rPr>
      <t xml:space="preserve">S ÷ H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÷ SB 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U_a ÷ U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× κ</t>
    </r>
    <r>
      <rPr>
        <sz val="10"/>
        <rFont val="Noto Sans CJK SC"/>
        <family val="2"/>
      </rPr>
      <t xml:space="preserve">。（推導鏈 </t>
    </r>
    <r>
      <rPr>
        <sz val="10"/>
        <rFont val="Arial"/>
        <family val="0"/>
        <charset val="1"/>
      </rPr>
      <t xml:space="preserve">D1–D4</t>
    </r>
    <r>
      <rPr>
        <sz val="10"/>
        <rFont val="Noto Sans CJK SC"/>
        <family val="2"/>
      </rPr>
      <t xml:space="preserve">）</t>
    </r>
  </si>
  <si>
    <t xml:space="preserve">3</t>
  </si>
  <si>
    <r>
      <rPr>
        <sz val="10"/>
        <rFont val="Noto Sans CJK SC"/>
        <family val="2"/>
      </rPr>
      <t xml:space="preserve">機隊端付費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T_fleet </t>
    </r>
    <r>
      <rPr>
        <sz val="10"/>
        <rFont val="Noto Sans CJK SC"/>
        <family val="2"/>
      </rPr>
      <t xml:space="preserve">＝ </t>
    </r>
    <r>
      <rPr>
        <sz val="10"/>
        <rFont val="Arial"/>
        <family val="0"/>
        <charset val="1"/>
      </rPr>
      <t xml:space="preserve">GW_eff ÷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÷ cap_P </t>
    </r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r ÷ cap_F</t>
    </r>
    <r>
      <rPr>
        <sz val="10"/>
        <rFont val="Noto Sans CJK SC"/>
        <family val="2"/>
      </rPr>
      <t xml:space="preserve">）。因為機隊端沿用需求端的 </t>
    </r>
    <r>
      <rPr>
        <sz val="10"/>
        <rFont val="Arial"/>
        <family val="0"/>
        <charset val="1"/>
      </rPr>
      <t xml:space="preserve">r</t>
    </r>
    <r>
      <rPr>
        <sz val="10"/>
        <rFont val="Noto Sans CJK SC"/>
        <family val="2"/>
      </rPr>
      <t xml:space="preserve">，分母與第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步相同。（推導鏈 </t>
    </r>
    <r>
      <rPr>
        <sz val="10"/>
        <rFont val="Arial"/>
        <family val="0"/>
        <charset val="1"/>
      </rPr>
      <t xml:space="preserve">D5</t>
    </r>
    <r>
      <rPr>
        <sz val="10"/>
        <rFont val="Noto Sans CJK SC"/>
        <family val="2"/>
      </rPr>
      <t xml:space="preserve">）</t>
    </r>
  </si>
  <si>
    <t xml:space="preserve">4</t>
  </si>
  <si>
    <r>
      <rPr>
        <sz val="10"/>
        <rFont val="Noto Sans CJK SC"/>
        <family val="2"/>
      </rPr>
      <t xml:space="preserve">缺口 ＝ </t>
    </r>
    <r>
      <rPr>
        <sz val="10"/>
        <rFont val="Arial"/>
        <family val="0"/>
        <charset val="1"/>
      </rPr>
      <t xml:space="preserve">T_fleet ÷ D_p </t>
    </r>
    <r>
      <rPr>
        <sz val="10"/>
        <rFont val="Noto Sans CJK SC"/>
        <family val="2"/>
      </rPr>
      <t xml:space="preserve">＝ </t>
    </r>
    <r>
      <rPr>
        <sz val="10"/>
        <rFont val="Arial"/>
        <family val="0"/>
        <charset val="1"/>
      </rPr>
      <t xml:space="preserve">GW_eff ÷ GW_token </t>
    </r>
    <r>
      <rPr>
        <sz val="10"/>
        <rFont val="Noto Sans CJK SC"/>
        <family val="2"/>
      </rPr>
      <t xml:space="preserve">＝［（</t>
    </r>
    <r>
      <rPr>
        <sz val="10"/>
        <rFont val="Arial"/>
        <family val="0"/>
        <charset val="1"/>
      </rPr>
      <t xml:space="preserve">S ÷ H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÷ GW_token</t>
    </r>
    <r>
      <rPr>
        <sz val="10"/>
        <rFont val="Noto Sans CJK SC"/>
        <family val="2"/>
      </rPr>
      <t xml:space="preserve">］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［</t>
    </r>
    <r>
      <rPr>
        <sz val="10"/>
        <rFont val="Arial"/>
        <family val="0"/>
        <charset val="1"/>
      </rPr>
      <t xml:space="preserve">SB × U ÷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U_a × κ</t>
    </r>
    <r>
      <rPr>
        <sz val="10"/>
        <rFont val="Noto Sans CJK SC"/>
        <family val="2"/>
      </rPr>
      <t xml:space="preserve">）］＝ </t>
    </r>
    <r>
      <rPr>
        <sz val="10"/>
        <rFont val="Arial"/>
        <family val="0"/>
        <charset val="1"/>
      </rPr>
      <t xml:space="preserve">ScaleServe ÷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SB × U ÷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U_a × κ</t>
    </r>
    <r>
      <rPr>
        <sz val="10"/>
        <rFont val="Noto Sans CJK SC"/>
        <family val="2"/>
      </rPr>
      <t xml:space="preserve">））。模型現值：</t>
    </r>
    <r>
      <rPr>
        <sz val="10"/>
        <rFont val="Arial"/>
        <family val="0"/>
        <charset val="1"/>
      </rPr>
      <t xml:space="preserve">7.378 ÷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2.0 × 0.6 ÷ 0.35</t>
    </r>
    <r>
      <rPr>
        <sz val="10"/>
        <rFont val="Noto Sans CJK SC"/>
        <family val="2"/>
      </rPr>
      <t xml:space="preserve">）＝ </t>
    </r>
    <r>
      <rPr>
        <sz val="10"/>
        <rFont val="Arial"/>
        <family val="0"/>
        <charset val="1"/>
      </rPr>
      <t xml:space="preserve">7.378 ÷ 3.429 </t>
    </r>
    <r>
      <rPr>
        <sz val="10"/>
        <rFont val="Noto Sans CJK SC"/>
        <family val="2"/>
      </rPr>
      <t xml:space="preserve">＝ </t>
    </r>
    <r>
      <rPr>
        <sz val="10"/>
        <rFont val="Arial"/>
        <family val="0"/>
        <charset val="1"/>
      </rPr>
      <t xml:space="preserve">2.152</t>
    </r>
    <r>
      <rPr>
        <sz val="10"/>
        <rFont val="Noto Sans CJK SC"/>
        <family val="2"/>
      </rPr>
      <t xml:space="preserve">。（推導鏈 </t>
    </r>
    <r>
      <rPr>
        <sz val="10"/>
        <rFont val="Arial"/>
        <family val="0"/>
        <charset val="1"/>
      </rPr>
      <t xml:space="preserve">E3–E5 </t>
    </r>
    <r>
      <rPr>
        <sz val="10"/>
        <rFont val="Noto Sans CJK SC"/>
        <family val="2"/>
      </rPr>
      <t xml:space="preserve">驗算）</t>
    </r>
  </si>
  <si>
    <t xml:space="preserve">5</t>
  </si>
  <si>
    <r>
      <rPr>
        <sz val="10"/>
        <rFont val="Noto Sans CJK SC"/>
        <family val="2"/>
      </rPr>
      <t xml:space="preserve">兩個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m_</t>
    </r>
    <r>
      <rPr>
        <sz val="10"/>
        <rFont val="Noto Sans CJK SC"/>
        <family val="2"/>
      </rPr>
      <t xml:space="preserve">整體 ＝ </t>
    </r>
    <r>
      <rPr>
        <sz val="10"/>
        <rFont val="Arial"/>
        <family val="0"/>
        <charset val="1"/>
      </rPr>
      <t xml:space="preserve">R ÷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D_p × P̄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m_fleet </t>
    </r>
    <r>
      <rPr>
        <sz val="10"/>
        <rFont val="Noto Sans CJK SC"/>
        <family val="2"/>
      </rPr>
      <t xml:space="preserve">＝ </t>
    </r>
    <r>
      <rPr>
        <sz val="10"/>
        <rFont val="Arial"/>
        <family val="0"/>
        <charset val="1"/>
      </rPr>
      <t xml:space="preserve">R ÷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T_fleet × P̄</t>
    </r>
    <r>
      <rPr>
        <sz val="10"/>
        <rFont val="Noto Sans CJK SC"/>
        <family val="2"/>
      </rPr>
      <t xml:space="preserve">）。相除得 </t>
    </r>
    <r>
      <rPr>
        <sz val="10"/>
        <rFont val="Arial"/>
        <family val="0"/>
        <charset val="1"/>
      </rPr>
      <t xml:space="preserve">m_</t>
    </r>
    <r>
      <rPr>
        <sz val="10"/>
        <rFont val="Noto Sans CJK SC"/>
        <family val="2"/>
      </rPr>
      <t xml:space="preserve">整體 </t>
    </r>
    <r>
      <rPr>
        <sz val="10"/>
        <rFont val="Arial"/>
        <family val="0"/>
        <charset val="1"/>
      </rPr>
      <t xml:space="preserve">÷ m_fleet </t>
    </r>
    <r>
      <rPr>
        <sz val="10"/>
        <rFont val="Noto Sans CJK SC"/>
        <family val="2"/>
      </rPr>
      <t xml:space="preserve">＝ </t>
    </r>
    <r>
      <rPr>
        <sz val="10"/>
        <rFont val="Arial"/>
        <family val="0"/>
        <charset val="1"/>
      </rPr>
      <t xml:space="preserve">T_fleet ÷ D_p </t>
    </r>
    <r>
      <rPr>
        <sz val="10"/>
        <rFont val="Noto Sans CJK SC"/>
        <family val="2"/>
      </rPr>
      <t xml:space="preserve">＝ 缺口。</t>
    </r>
    <r>
      <rPr>
        <sz val="10"/>
        <rFont val="Arial"/>
        <family val="0"/>
        <charset val="1"/>
      </rPr>
      <t xml:space="preserve">R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P̄ </t>
    </r>
    <r>
      <rPr>
        <sz val="10"/>
        <rFont val="Noto Sans CJK SC"/>
        <family val="2"/>
      </rPr>
      <t xml:space="preserve">都約掉，所以「價格時間錯配」（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實際單價 ≠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牌價快照）只會讓兩個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同比例變動，對缺口的貢獻為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。（見「價格時間錯配」頁）</t>
    </r>
  </si>
  <si>
    <t xml:space="preserve">6</t>
  </si>
  <si>
    <r>
      <rPr>
        <sz val="10"/>
        <rFont val="Noto Sans CJK SC"/>
        <family val="2"/>
      </rPr>
      <t xml:space="preserve">閉合條件：缺口＝</t>
    </r>
    <r>
      <rPr>
        <sz val="10"/>
        <rFont val="Arial"/>
        <family val="0"/>
        <charset val="1"/>
      </rPr>
      <t xml:space="preserve">1 ⇔ D_p </t>
    </r>
    <r>
      <rPr>
        <sz val="10"/>
        <rFont val="Noto Sans CJK SC"/>
        <family val="2"/>
      </rPr>
      <t xml:space="preserve">＝ </t>
    </r>
    <r>
      <rPr>
        <sz val="10"/>
        <rFont val="Arial"/>
        <family val="0"/>
        <charset val="1"/>
      </rPr>
      <t xml:space="preserve">T_fleet ⇔ S × U_a × κ ÷ SB </t>
    </r>
    <r>
      <rPr>
        <sz val="10"/>
        <rFont val="Noto Sans CJK SC"/>
        <family val="2"/>
      </rPr>
      <t xml:space="preserve">＝ </t>
    </r>
    <r>
      <rPr>
        <sz val="10"/>
        <rFont val="Arial"/>
        <family val="0"/>
        <charset val="1"/>
      </rPr>
      <t xml:space="preserve">H × U × GW_token</t>
    </r>
    <r>
      <rPr>
        <sz val="10"/>
        <rFont val="Noto Sans CJK SC"/>
        <family val="2"/>
      </rPr>
      <t xml:space="preserve">。左邊是機隊端的四個輸入，右邊由需求端決定。單獨改一項所需的值：</t>
    </r>
    <r>
      <rPr>
        <sz val="10"/>
        <rFont val="Arial"/>
        <family val="0"/>
        <charset val="1"/>
      </rPr>
      <t xml:space="preserve">S* </t>
    </r>
    <r>
      <rPr>
        <sz val="10"/>
        <rFont val="Noto Sans CJK SC"/>
        <family val="2"/>
      </rPr>
      <t xml:space="preserve">＝ </t>
    </r>
    <r>
      <rPr>
        <sz val="10"/>
        <rFont val="Arial"/>
        <family val="0"/>
        <charset val="1"/>
      </rPr>
      <t xml:space="preserve">S ÷ </t>
    </r>
    <r>
      <rPr>
        <sz val="10"/>
        <rFont val="Noto Sans CJK SC"/>
        <family val="2"/>
      </rPr>
      <t xml:space="preserve">缺口、</t>
    </r>
    <r>
      <rPr>
        <sz val="10"/>
        <rFont val="Arial"/>
        <family val="0"/>
        <charset val="1"/>
      </rPr>
      <t xml:space="preserve">SB* </t>
    </r>
    <r>
      <rPr>
        <sz val="10"/>
        <rFont val="Noto Sans CJK SC"/>
        <family val="2"/>
      </rPr>
      <t xml:space="preserve">＝ </t>
    </r>
    <r>
      <rPr>
        <sz val="10"/>
        <rFont val="Arial"/>
        <family val="0"/>
        <charset val="1"/>
      </rPr>
      <t xml:space="preserve">SB × </t>
    </r>
    <r>
      <rPr>
        <sz val="10"/>
        <rFont val="Noto Sans CJK SC"/>
        <family val="2"/>
      </rPr>
      <t xml:space="preserve">缺口、</t>
    </r>
    <r>
      <rPr>
        <sz val="10"/>
        <rFont val="Arial"/>
        <family val="0"/>
        <charset val="1"/>
      </rPr>
      <t xml:space="preserve">U_a* </t>
    </r>
    <r>
      <rPr>
        <sz val="10"/>
        <rFont val="Noto Sans CJK SC"/>
        <family val="2"/>
      </rPr>
      <t xml:space="preserve">＝ </t>
    </r>
    <r>
      <rPr>
        <sz val="10"/>
        <rFont val="Arial"/>
        <family val="0"/>
        <charset val="1"/>
      </rPr>
      <t xml:space="preserve">U_a ÷ </t>
    </r>
    <r>
      <rPr>
        <sz val="10"/>
        <rFont val="Noto Sans CJK SC"/>
        <family val="2"/>
      </rPr>
      <t xml:space="preserve">缺口、</t>
    </r>
    <r>
      <rPr>
        <sz val="10"/>
        <rFont val="Arial"/>
        <family val="0"/>
        <charset val="1"/>
      </rPr>
      <t xml:space="preserve">κ* </t>
    </r>
    <r>
      <rPr>
        <sz val="10"/>
        <rFont val="Noto Sans CJK SC"/>
        <family val="2"/>
      </rPr>
      <t xml:space="preserve">＝ </t>
    </r>
    <r>
      <rPr>
        <sz val="10"/>
        <rFont val="Arial"/>
        <family val="0"/>
        <charset val="1"/>
      </rPr>
      <t xml:space="preserve">κ ÷ </t>
    </r>
    <r>
      <rPr>
        <sz val="10"/>
        <rFont val="Noto Sans CJK SC"/>
        <family val="2"/>
      </rPr>
      <t xml:space="preserve">缺口。（閉合條件頁第 </t>
    </r>
    <r>
      <rPr>
        <sz val="10"/>
        <rFont val="Arial"/>
        <family val="0"/>
        <charset val="1"/>
      </rPr>
      <t xml:space="preserve">1–4 </t>
    </r>
    <r>
      <rPr>
        <sz val="10"/>
        <rFont val="Noto Sans CJK SC"/>
        <family val="2"/>
      </rPr>
      <t xml:space="preserve">列）</t>
    </r>
  </si>
  <si>
    <t xml:space="preserve">7</t>
  </si>
  <si>
    <r>
      <rPr>
        <sz val="10"/>
        <rFont val="Noto Sans CJK SC"/>
        <family val="2"/>
      </rPr>
      <t xml:space="preserve">改需求端的 </t>
    </r>
    <r>
      <rPr>
        <sz val="10"/>
        <rFont val="Arial"/>
        <family val="0"/>
        <charset val="1"/>
      </rPr>
      <t xml:space="preserve">τ</t>
    </r>
    <r>
      <rPr>
        <sz val="10"/>
        <rFont val="Noto Sans CJK SC"/>
        <family val="2"/>
      </rPr>
      <t xml:space="preserve">：令（</t>
    </r>
    <r>
      <rPr>
        <sz val="10"/>
        <rFont val="Arial"/>
        <family val="0"/>
        <charset val="1"/>
      </rPr>
      <t xml:space="preserve">D_p </t>
    </r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D_f</t>
    </r>
    <r>
      <rPr>
        <sz val="10"/>
        <rFont val="Noto Sans CJK SC"/>
        <family val="2"/>
      </rPr>
      <t xml:space="preserve">）剛好用滿 </t>
    </r>
    <r>
      <rPr>
        <sz val="10"/>
        <rFont val="Arial"/>
        <family val="0"/>
        <charset val="1"/>
      </rPr>
      <t xml:space="preserve">GW_eff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token T_chat </t>
    </r>
    <r>
      <rPr>
        <sz val="10"/>
        <rFont val="Noto Sans CJK SC"/>
        <family val="2"/>
      </rPr>
      <t xml:space="preserve">滿足 </t>
    </r>
    <r>
      <rPr>
        <sz val="10"/>
        <rFont val="Arial"/>
        <family val="0"/>
        <charset val="1"/>
      </rPr>
      <t xml:space="preserve">API ÷ cap_P </t>
    </r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T_chat ×</t>
    </r>
    <r>
      <rPr>
        <sz val="10"/>
        <rFont val="Noto Sans CJK SC"/>
        <family val="2"/>
      </rPr>
      <t xml:space="preserve">［</t>
    </r>
    <r>
      <rPr>
        <sz val="10"/>
        <rFont val="Arial"/>
        <family val="0"/>
        <charset val="1"/>
      </rPr>
      <t xml:space="preserve">(1 − f) ÷ cap_P </t>
    </r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f ÷ cap_F</t>
    </r>
    <r>
      <rPr>
        <sz val="10"/>
        <rFont val="Noto Sans CJK SC"/>
        <family val="2"/>
      </rPr>
      <t xml:space="preserve">］＝ </t>
    </r>
    <r>
      <rPr>
        <sz val="10"/>
        <rFont val="Arial"/>
        <family val="0"/>
        <charset val="1"/>
      </rPr>
      <t xml:space="preserve">GW_eff</t>
    </r>
    <r>
      <rPr>
        <sz val="10"/>
        <rFont val="Noto Sans CJK SC"/>
        <family val="2"/>
      </rPr>
      <t xml:space="preserve">，解得 </t>
    </r>
    <r>
      <rPr>
        <sz val="10"/>
        <rFont val="Arial"/>
        <family val="0"/>
        <charset val="1"/>
      </rPr>
      <t xml:space="preserve">T_chat* </t>
    </r>
    <r>
      <rPr>
        <sz val="10"/>
        <rFont val="Noto Sans CJK SC"/>
        <family val="2"/>
      </rPr>
      <t xml:space="preserve">＝（</t>
    </r>
    <r>
      <rPr>
        <sz val="10"/>
        <rFont val="Arial"/>
        <family val="0"/>
        <charset val="1"/>
      </rPr>
      <t xml:space="preserve">GW_eff − API ÷ cap_P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［</t>
    </r>
    <r>
      <rPr>
        <sz val="10"/>
        <rFont val="Arial"/>
        <family val="0"/>
        <charset val="1"/>
      </rPr>
      <t xml:space="preserve">(1 − f) ÷ cap_P </t>
    </r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f ÷ cap_F</t>
    </r>
    <r>
      <rPr>
        <sz val="10"/>
        <rFont val="Noto Sans CJK SC"/>
        <family val="2"/>
      </rPr>
      <t xml:space="preserve">］，</t>
    </r>
    <r>
      <rPr>
        <sz val="10"/>
        <rFont val="Arial"/>
        <family val="0"/>
        <charset val="1"/>
      </rPr>
      <t xml:space="preserve">τ* </t>
    </r>
    <r>
      <rPr>
        <sz val="10"/>
        <rFont val="Noto Sans CJK SC"/>
        <family val="2"/>
      </rPr>
      <t xml:space="preserve">＝ </t>
    </r>
    <r>
      <rPr>
        <sz val="10"/>
        <rFont val="Arial"/>
        <family val="0"/>
        <charset val="1"/>
      </rPr>
      <t xml:space="preserve">T_chat* ÷</t>
    </r>
    <r>
      <rPr>
        <sz val="10"/>
        <rFont val="Noto Sans CJK SC"/>
        <family val="2"/>
      </rPr>
      <t xml:space="preserve">（每日訊息 </t>
    </r>
    <r>
      <rPr>
        <sz val="10"/>
        <rFont val="Arial"/>
        <family val="0"/>
        <charset val="1"/>
      </rPr>
      <t xml:space="preserve">× 365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f</t>
    </r>
    <r>
      <rPr>
        <sz val="10"/>
        <rFont val="Noto Sans CJK SC"/>
        <family val="2"/>
      </rPr>
      <t xml:space="preserve">＝免費占比。（推導鏈 </t>
    </r>
    <r>
      <rPr>
        <sz val="10"/>
        <rFont val="Arial"/>
        <family val="0"/>
        <charset val="1"/>
      </rPr>
      <t xml:space="preserve">E6–E7</t>
    </r>
    <r>
      <rPr>
        <sz val="10"/>
        <rFont val="Noto Sans CJK SC"/>
        <family val="2"/>
      </rPr>
      <t xml:space="preserve">）</t>
    </r>
  </si>
  <si>
    <t xml:space="preserve">8</t>
  </si>
  <si>
    <r>
      <rPr>
        <sz val="10"/>
        <rFont val="Arial"/>
        <family val="0"/>
        <charset val="1"/>
      </rPr>
      <t xml:space="preserve">τ </t>
    </r>
    <r>
      <rPr>
        <sz val="10"/>
        <rFont val="Noto Sans CJK SC"/>
        <family val="2"/>
      </rPr>
      <t xml:space="preserve">為何要變很多：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部分不隨 </t>
    </r>
    <r>
      <rPr>
        <sz val="10"/>
        <rFont val="Arial"/>
        <family val="0"/>
        <charset val="1"/>
      </rPr>
      <t xml:space="preserve">τ </t>
    </r>
    <r>
      <rPr>
        <sz val="10"/>
        <rFont val="Noto Sans CJK SC"/>
        <family val="2"/>
      </rPr>
      <t xml:space="preserve">變，所以 </t>
    </r>
    <r>
      <rPr>
        <sz val="10"/>
        <rFont val="Arial"/>
        <family val="0"/>
        <charset val="1"/>
      </rPr>
      <t xml:space="preserve">τ </t>
    </r>
    <r>
      <rPr>
        <sz val="10"/>
        <rFont val="Noto Sans CJK SC"/>
        <family val="2"/>
      </rPr>
      <t xml:space="preserve">加倍時需求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不會加倍。模型現值下 </t>
    </r>
    <r>
      <rPr>
        <sz val="10"/>
        <rFont val="Arial"/>
        <family val="0"/>
        <charset val="1"/>
      </rPr>
      <t xml:space="preserve">τ </t>
    </r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2,000 </t>
    </r>
    <r>
      <rPr>
        <sz val="10"/>
        <rFont val="Noto Sans CJK SC"/>
        <family val="2"/>
      </rPr>
      <t xml:space="preserve">加到 </t>
    </r>
    <r>
      <rPr>
        <sz val="10"/>
        <rFont val="Arial"/>
        <family val="0"/>
        <charset val="1"/>
      </rPr>
      <t xml:space="preserve">4,000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GW_token </t>
    </r>
    <r>
      <rPr>
        <sz val="10"/>
        <rFont val="Noto Sans CJK SC"/>
        <family val="2"/>
      </rPr>
      <t xml:space="preserve">只由 </t>
    </r>
    <r>
      <rPr>
        <sz val="10"/>
        <rFont val="Arial"/>
        <family val="0"/>
        <charset val="1"/>
      </rPr>
      <t xml:space="preserve">0.1403 </t>
    </r>
    <r>
      <rPr>
        <sz val="10"/>
        <rFont val="Noto Sans CJK SC"/>
        <family val="2"/>
      </rPr>
      <t xml:space="preserve">增為 </t>
    </r>
    <r>
      <rPr>
        <sz val="10"/>
        <rFont val="Arial"/>
        <family val="0"/>
        <charset val="1"/>
      </rPr>
      <t xml:space="preserve">0.1826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×1.30</t>
    </r>
    <r>
      <rPr>
        <sz val="10"/>
        <rFont val="Noto Sans CJK SC"/>
        <family val="2"/>
      </rPr>
      <t xml:space="preserve">）。這也是「四項口徑差」把 </t>
    </r>
    <r>
      <rPr>
        <sz val="10"/>
        <rFont val="Arial"/>
        <family val="0"/>
        <charset val="1"/>
      </rPr>
      <t xml:space="preserve">τ </t>
    </r>
    <r>
      <rPr>
        <sz val="10"/>
        <rFont val="Noto Sans CJK SC"/>
        <family val="2"/>
      </rPr>
      <t xml:space="preserve">的倍數記成 </t>
    </r>
    <r>
      <rPr>
        <sz val="10"/>
        <rFont val="Arial"/>
        <family val="0"/>
        <charset val="1"/>
      </rPr>
      <t xml:space="preserve">2.0 </t>
    </r>
    <r>
      <rPr>
        <sz val="10"/>
        <rFont val="Noto Sans CJK SC"/>
        <family val="2"/>
      </rPr>
      <t xml:space="preserve">會高估的原因。（見「四項口徑差」頁）</t>
    </r>
  </si>
  <si>
    <t xml:space="preserve">9</t>
  </si>
  <si>
    <r>
      <rPr>
        <sz val="10"/>
        <rFont val="Noto Sans CJK SC"/>
        <family val="2"/>
      </rPr>
      <t xml:space="preserve">第二個不閉合：閉合後免費算力只占約 </t>
    </r>
    <r>
      <rPr>
        <sz val="10"/>
        <rFont val="Arial"/>
        <family val="0"/>
        <charset val="1"/>
      </rPr>
      <t xml:space="preserve">21%</t>
    </r>
    <r>
      <rPr>
        <sz val="10"/>
        <rFont val="Noto Sans CJK SC"/>
        <family val="2"/>
      </rPr>
      <t xml:space="preserve">（推導鏈 </t>
    </r>
    <r>
      <rPr>
        <sz val="10"/>
        <rFont val="Arial"/>
        <family val="0"/>
        <charset val="1"/>
      </rPr>
      <t xml:space="preserve">E9</t>
    </r>
    <r>
      <rPr>
        <sz val="10"/>
        <rFont val="Noto Sans CJK SC"/>
        <family val="2"/>
      </rPr>
      <t xml:space="preserve">），但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自己的支出數字顯示免費推論占 </t>
    </r>
    <r>
      <rPr>
        <sz val="10"/>
        <rFont val="Arial"/>
        <family val="0"/>
        <charset val="1"/>
      </rPr>
      <t xml:space="preserve">46%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E10</t>
    </r>
    <r>
      <rPr>
        <sz val="10"/>
        <rFont val="Noto Sans CJK SC"/>
        <family val="2"/>
      </rPr>
      <t xml:space="preserve">）。若要同時滿足，免費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必須多很多，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會再往上修。這一項本活頁簿只列出，未解。</t>
    </r>
  </si>
  <si>
    <t xml:space="preserve">10</t>
  </si>
  <si>
    <r>
      <rPr>
        <sz val="10"/>
        <rFont val="Noto Sans CJK SC"/>
        <family val="2"/>
      </rPr>
      <t xml:space="preserve">回本：</t>
    </r>
    <r>
      <rPr>
        <sz val="10"/>
        <rFont val="Arial"/>
        <family val="0"/>
        <charset val="1"/>
      </rPr>
      <t xml:space="preserve">L × m ≥ </t>
    </r>
    <r>
      <rPr>
        <sz val="10"/>
        <rFont val="Noto Sans CJK SC"/>
        <family val="2"/>
      </rPr>
      <t xml:space="preserve">門檻，門檻 ＝ 回本乘積 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U × δ</t>
    </r>
    <r>
      <rPr>
        <sz val="10"/>
        <rFont val="Noto Sans CJK SC"/>
        <family val="2"/>
      </rPr>
      <t xml:space="preserve">）＝ </t>
    </r>
    <r>
      <rPr>
        <sz val="10"/>
        <rFont val="Arial"/>
        <family val="0"/>
        <charset val="1"/>
      </rPr>
      <t xml:space="preserve">0.1505 ÷ 0.51 </t>
    </r>
    <r>
      <rPr>
        <sz val="10"/>
        <rFont val="Noto Sans CJK SC"/>
        <family val="2"/>
      </rPr>
      <t xml:space="preserve">＝ </t>
    </r>
    <r>
      <rPr>
        <sz val="10"/>
        <rFont val="Arial"/>
        <family val="0"/>
        <charset val="1"/>
      </rPr>
      <t xml:space="preserve">0.295</t>
    </r>
    <r>
      <rPr>
        <sz val="10"/>
        <rFont val="Noto Sans CJK SC"/>
        <family val="2"/>
      </rPr>
      <t xml:space="preserve">。換成實收單價：</t>
    </r>
    <r>
      <rPr>
        <sz val="10"/>
        <rFont val="Arial"/>
        <family val="0"/>
        <charset val="1"/>
      </rPr>
      <t xml:space="preserve">L × </t>
    </r>
    <r>
      <rPr>
        <sz val="10"/>
        <rFont val="Noto Sans CJK SC"/>
        <family val="2"/>
      </rPr>
      <t xml:space="preserve">實收單價 ≥ </t>
    </r>
    <r>
      <rPr>
        <sz val="10"/>
        <rFont val="Arial"/>
        <family val="0"/>
        <charset val="1"/>
      </rPr>
      <t xml:space="preserve">0.295 × P̄ </t>
    </r>
    <r>
      <rPr>
        <sz val="10"/>
        <rFont val="Noto Sans CJK SC"/>
        <family val="2"/>
      </rPr>
      <t xml:space="preserve">＝ </t>
    </r>
    <r>
      <rPr>
        <sz val="10"/>
        <rFont val="Arial"/>
        <family val="0"/>
        <charset val="1"/>
      </rPr>
      <t xml:space="preserve">0.579 $/M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0.643 </t>
    </r>
    <r>
      <rPr>
        <sz val="10"/>
        <rFont val="Noto Sans CJK SC"/>
        <family val="2"/>
      </rPr>
      <t xml:space="preserve">時需實收 </t>
    </r>
    <r>
      <rPr>
        <sz val="10"/>
        <rFont val="Arial"/>
        <family val="0"/>
        <charset val="1"/>
      </rPr>
      <t xml:space="preserve">0.90 $/M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0.342 </t>
    </r>
    <r>
      <rPr>
        <sz val="10"/>
        <rFont val="Noto Sans CJK SC"/>
        <family val="2"/>
      </rPr>
      <t xml:space="preserve">時需 </t>
    </r>
    <r>
      <rPr>
        <sz val="10"/>
        <rFont val="Arial"/>
        <family val="0"/>
        <charset val="1"/>
      </rPr>
      <t xml:space="preserve">1.69 $/M</t>
    </r>
    <r>
      <rPr>
        <sz val="10"/>
        <rFont val="Noto Sans CJK SC"/>
        <family val="2"/>
      </rPr>
      <t xml:space="preserve">。注意：門檻用的是新建 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的成本與產出，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量的是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機隊的實收；兩者時點不同，本活頁簿沿用模型的做法並列，不做調整。</t>
    </r>
  </si>
  <si>
    <r>
      <rPr>
        <b val="true"/>
        <sz val="14"/>
        <rFont val="Noto Sans CJK SC"/>
        <family val="2"/>
      </rPr>
      <t xml:space="preserve">敏感度：從模型現值出發，一次只把一個輸入移到區間低或高（區間在「輸入」頁 </t>
    </r>
    <r>
      <rPr>
        <b val="true"/>
        <sz val="14"/>
        <rFont val="Arial"/>
        <family val="0"/>
        <charset val="1"/>
      </rPr>
      <t xml:space="preserve">I</t>
    </r>
    <r>
      <rPr>
        <b val="true"/>
        <sz val="14"/>
        <rFont val="Noto Sans CJK SC"/>
        <family val="2"/>
      </rPr>
      <t xml:space="preserve">／</t>
    </r>
    <r>
      <rPr>
        <b val="true"/>
        <sz val="14"/>
        <rFont val="Arial"/>
        <family val="0"/>
        <charset val="1"/>
      </rPr>
      <t xml:space="preserve">J </t>
    </r>
    <r>
      <rPr>
        <b val="true"/>
        <sz val="14"/>
        <rFont val="Noto Sans CJK SC"/>
        <family val="2"/>
      </rPr>
      <t xml:space="preserve">欄）</t>
    </r>
  </si>
  <si>
    <r>
      <rPr>
        <sz val="10"/>
        <rFont val="Arial"/>
        <family val="0"/>
        <charset val="1"/>
      </rPr>
      <t xml:space="preserve">C–J </t>
    </r>
    <r>
      <rPr>
        <sz val="10"/>
        <rFont val="Noto Sans CJK SC"/>
        <family val="2"/>
      </rPr>
      <t xml:space="preserve">欄是該列實際使用的輸入（被調整的那一格為藍字，其餘引用模型現值）；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欄起是同一條推導鏈的閉式公式。最右欄「</t>
    </r>
    <r>
      <rPr>
        <sz val="10"/>
        <rFont val="Arial"/>
        <family val="0"/>
        <charset val="1"/>
      </rPr>
      <t xml:space="preserve">ln </t>
    </r>
    <r>
      <rPr>
        <sz val="10"/>
        <rFont val="Noto Sans CJK SC"/>
        <family val="2"/>
      </rPr>
      <t xml:space="preserve">寬度」＝ </t>
    </r>
    <r>
      <rPr>
        <sz val="10"/>
        <rFont val="Arial"/>
        <family val="0"/>
        <charset val="1"/>
      </rPr>
      <t xml:space="preserve">ln(</t>
    </r>
    <r>
      <rPr>
        <sz val="10"/>
        <rFont val="Noto Sans CJK SC"/>
        <family val="2"/>
      </rPr>
      <t xml:space="preserve">高端缺口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低端缺口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的絕對值，數字越大越重要。</t>
    </r>
  </si>
  <si>
    <t xml:space="preserve">調整的輸入</t>
  </si>
  <si>
    <t xml:space="preserve">端點</t>
  </si>
  <si>
    <r>
      <rPr>
        <b val="true"/>
        <sz val="10"/>
        <color rgb="FFFFFFFF"/>
        <rFont val="Noto Sans CJK SC"/>
        <family val="2"/>
      </rPr>
      <t xml:space="preserve">每則 </t>
    </r>
    <r>
      <rPr>
        <b val="true"/>
        <sz val="10"/>
        <color rgb="FFFFFFFF"/>
        <rFont val="Arial"/>
        <family val="0"/>
        <charset val="1"/>
      </rPr>
      <t xml:space="preserve">token τ</t>
    </r>
  </si>
  <si>
    <t xml:space="preserve">免費占比</t>
  </si>
  <si>
    <r>
      <rPr>
        <b val="true"/>
        <sz val="10"/>
        <color rgb="FFFFFFFF"/>
        <rFont val="Arial"/>
        <family val="0"/>
        <charset val="1"/>
      </rPr>
      <t xml:space="preserve">API </t>
    </r>
    <r>
      <rPr>
        <b val="true"/>
        <sz val="10"/>
        <color rgb="FFFFFFFF"/>
        <rFont val="Noto Sans CJK SC"/>
        <family val="2"/>
      </rPr>
      <t xml:space="preserve">全年比例</t>
    </r>
  </si>
  <si>
    <t xml:space="preserve">每日訊息</t>
  </si>
  <si>
    <r>
      <rPr>
        <b val="true"/>
        <sz val="10"/>
        <color rgb="FFFFFFFF"/>
        <rFont val="Noto Sans CJK SC"/>
        <family val="2"/>
      </rPr>
      <t xml:space="preserve">實際利用率</t>
    </r>
    <r>
      <rPr>
        <b val="true"/>
        <sz val="10"/>
        <color rgb="FFFFFFFF"/>
        <rFont val="Arial"/>
        <family val="0"/>
        <charset val="1"/>
      </rPr>
      <t xml:space="preserve">×</t>
    </r>
    <r>
      <rPr>
        <b val="true"/>
        <sz val="10"/>
        <color rgb="FFFFFFFF"/>
        <rFont val="Noto Sans CJK SC"/>
        <family val="2"/>
      </rPr>
      <t xml:space="preserve">折減</t>
    </r>
  </si>
  <si>
    <r>
      <rPr>
        <b val="true"/>
        <sz val="10"/>
        <color rgb="FFFFFFFF"/>
        <rFont val="Noto Sans CJK SC"/>
        <family val="2"/>
      </rPr>
      <t xml:space="preserve">需求付費 </t>
    </r>
    <r>
      <rPr>
        <b val="true"/>
        <sz val="10"/>
        <color rgb="FFFFFFFF"/>
        <rFont val="Arial"/>
        <family val="0"/>
        <charset val="1"/>
      </rPr>
      <t xml:space="preserve">token</t>
    </r>
  </si>
  <si>
    <r>
      <rPr>
        <b val="true"/>
        <sz val="10"/>
        <color rgb="FFFFFFFF"/>
        <rFont val="Noto Sans CJK SC"/>
        <family val="2"/>
      </rPr>
      <t xml:space="preserve">免費 </t>
    </r>
    <r>
      <rPr>
        <b val="true"/>
        <sz val="10"/>
        <color rgb="FFFFFFFF"/>
        <rFont val="Arial"/>
        <family val="0"/>
        <charset val="1"/>
      </rPr>
      <t xml:space="preserve">token</t>
    </r>
  </si>
  <si>
    <r>
      <rPr>
        <b val="true"/>
        <sz val="10"/>
        <color rgb="FFFFFFFF"/>
        <rFont val="Noto Sans CJK SC"/>
        <family val="2"/>
      </rPr>
      <t xml:space="preserve">有效 </t>
    </r>
    <r>
      <rPr>
        <b val="true"/>
        <sz val="10"/>
        <color rgb="FFFFFFFF"/>
        <rFont val="Arial"/>
        <family val="0"/>
        <charset val="1"/>
      </rPr>
      <t xml:space="preserve">GW</t>
    </r>
  </si>
  <si>
    <r>
      <rPr>
        <b val="true"/>
        <sz val="10"/>
        <color rgb="FFFFFFFF"/>
        <rFont val="Noto Sans CJK SC"/>
        <family val="2"/>
      </rPr>
      <t xml:space="preserve">機隊付費 </t>
    </r>
    <r>
      <rPr>
        <b val="true"/>
        <sz val="10"/>
        <color rgb="FFFFFFFF"/>
        <rFont val="Arial"/>
        <family val="0"/>
        <charset val="1"/>
      </rPr>
      <t xml:space="preserve">token</t>
    </r>
  </si>
  <si>
    <t xml:space="preserve">缺口</t>
  </si>
  <si>
    <t xml:space="preserve">m_fleet</t>
  </si>
  <si>
    <r>
      <rPr>
        <b val="true"/>
        <sz val="10"/>
        <color rgb="FFFFFFFF"/>
        <rFont val="Noto Sans CJK SC"/>
        <family val="2"/>
      </rPr>
      <t xml:space="preserve">實收單價 </t>
    </r>
    <r>
      <rPr>
        <b val="true"/>
        <sz val="10"/>
        <color rgb="FFFFFFFF"/>
        <rFont val="Arial"/>
        <family val="0"/>
        <charset val="1"/>
      </rPr>
      <t xml:space="preserve">$/M</t>
    </r>
  </si>
  <si>
    <t xml:space="preserve">τ*</t>
  </si>
  <si>
    <r>
      <rPr>
        <b val="true"/>
        <sz val="10"/>
        <color rgb="FFFFFFFF"/>
        <rFont val="Arial"/>
        <family val="0"/>
        <charset val="1"/>
      </rPr>
      <t xml:space="preserve">L </t>
    </r>
    <r>
      <rPr>
        <b val="true"/>
        <sz val="10"/>
        <color rgb="FFFFFFFF"/>
        <rFont val="Noto Sans CJK SC"/>
        <family val="2"/>
      </rPr>
      <t xml:space="preserve">基準判讀</t>
    </r>
  </si>
  <si>
    <r>
      <rPr>
        <b val="true"/>
        <sz val="10"/>
        <color rgb="FFFFFFFF"/>
        <rFont val="Noto Sans CJK SC"/>
        <family val="2"/>
      </rPr>
      <t xml:space="preserve">缺口 </t>
    </r>
    <r>
      <rPr>
        <b val="true"/>
        <sz val="10"/>
        <color rgb="FFFFFFFF"/>
        <rFont val="Arial"/>
        <family val="0"/>
        <charset val="1"/>
      </rPr>
      <t xml:space="preserve">ln </t>
    </r>
    <r>
      <rPr>
        <b val="true"/>
        <sz val="10"/>
        <color rgb="FFFFFFFF"/>
        <rFont val="Noto Sans CJK SC"/>
        <family val="2"/>
      </rPr>
      <t xml:space="preserve">寬度</t>
    </r>
  </si>
  <si>
    <t xml:space="preserve">（基準：模型現值）</t>
  </si>
  <si>
    <t xml:space="preserve">基準</t>
  </si>
  <si>
    <r>
      <rPr>
        <sz val="10"/>
        <rFont val="Noto Sans CJK SC"/>
        <family val="2"/>
      </rPr>
      <t xml:space="preserve">每則 </t>
    </r>
    <r>
      <rPr>
        <sz val="10"/>
        <rFont val="Arial"/>
        <family val="0"/>
        <charset val="1"/>
      </rPr>
      <t xml:space="preserve">token τ</t>
    </r>
  </si>
  <si>
    <t xml:space="preserve">低</t>
  </si>
  <si>
    <t xml:space="preserve">高</t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</si>
  <si>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全年比例</t>
    </r>
  </si>
  <si>
    <r>
      <rPr>
        <sz val="10"/>
        <rFont val="Noto Sans CJK SC"/>
        <family val="2"/>
      </rPr>
      <t xml:space="preserve">實際利用率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折減</t>
    </r>
  </si>
  <si>
    <r>
      <rPr>
        <sz val="10"/>
        <rFont val="Noto Sans CJK SC"/>
        <family val="2"/>
      </rPr>
      <t xml:space="preserve">讀法：缺口 </t>
    </r>
    <r>
      <rPr>
        <sz val="10"/>
        <rFont val="Arial"/>
        <family val="0"/>
        <charset val="1"/>
      </rPr>
      <t xml:space="preserve">ln </t>
    </r>
    <r>
      <rPr>
        <sz val="10"/>
        <rFont val="Noto Sans CJK SC"/>
        <family val="2"/>
      </rPr>
      <t xml:space="preserve">寬度最大的輸入，就是最值得先查證的輸入。</t>
    </r>
    <r>
      <rPr>
        <sz val="10"/>
        <rFont val="Arial"/>
        <family val="0"/>
        <charset val="1"/>
      </rPr>
      <t xml:space="preserve">m_fleet </t>
    </r>
    <r>
      <rPr>
        <sz val="10"/>
        <rFont val="Noto Sans CJK SC"/>
        <family val="2"/>
      </rPr>
      <t xml:space="preserve">與實收單價只隨機隊端與營收變動，需求端輸入（</t>
    </r>
    <r>
      <rPr>
        <sz val="10"/>
        <rFont val="Arial"/>
        <family val="0"/>
        <charset val="1"/>
      </rPr>
      <t xml:space="preserve">τ</t>
    </r>
    <r>
      <rPr>
        <sz val="10"/>
        <rFont val="Noto Sans CJK SC"/>
        <family val="2"/>
      </rPr>
      <t xml:space="preserve">、免費占比、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比例、每日訊息）只改變缺口，不改變 </t>
    </r>
    <r>
      <rPr>
        <sz val="10"/>
        <rFont val="Arial"/>
        <family val="0"/>
        <charset val="1"/>
      </rPr>
      <t xml:space="preserve">m_fleet</t>
    </r>
    <r>
      <rPr>
        <sz val="10"/>
        <rFont val="Noto Sans CJK SC"/>
        <family val="2"/>
      </rPr>
      <t xml:space="preserve">。</t>
    </r>
  </si>
  <si>
    <r>
      <rPr>
        <b val="true"/>
        <sz val="14"/>
        <rFont val="Noto Sans CJK SC"/>
        <family val="2"/>
      </rPr>
      <t xml:space="preserve">四項口徑差：模型 </t>
    </r>
    <r>
      <rPr>
        <b val="true"/>
        <sz val="14"/>
        <rFont val="Arial"/>
        <family val="0"/>
        <charset val="1"/>
      </rPr>
      <t xml:space="preserve">L1 </t>
    </r>
    <r>
      <rPr>
        <b val="true"/>
        <sz val="14"/>
        <rFont val="Noto Sans CJK SC"/>
        <family val="2"/>
      </rPr>
      <t xml:space="preserve">的落差分解，以及為何乘積 </t>
    </r>
    <r>
      <rPr>
        <b val="true"/>
        <sz val="14"/>
        <rFont val="Arial"/>
        <family val="0"/>
        <charset val="1"/>
      </rPr>
      <t xml:space="preserve">13.4 </t>
    </r>
    <r>
      <rPr>
        <b val="true"/>
        <sz val="14"/>
        <rFont val="Noto Sans CJK SC"/>
        <family val="2"/>
      </rPr>
      <t xml:space="preserve">會超過 </t>
    </r>
    <r>
      <rPr>
        <b val="true"/>
        <sz val="14"/>
        <rFont val="Arial"/>
        <family val="0"/>
        <charset val="1"/>
      </rPr>
      <t xml:space="preserve">ScaleServe 7.38</t>
    </r>
  </si>
  <si>
    <r>
      <rPr>
        <b val="true"/>
        <sz val="10"/>
        <color rgb="FFFFFFFF"/>
        <rFont val="Noto Sans CJK SC"/>
        <family val="2"/>
      </rPr>
      <t xml:space="preserve">模型 </t>
    </r>
    <r>
      <rPr>
        <b val="true"/>
        <sz val="10"/>
        <color rgb="FFFFFFFF"/>
        <rFont val="Arial"/>
        <family val="0"/>
        <charset val="1"/>
      </rPr>
      <t xml:space="preserve">L1 </t>
    </r>
    <r>
      <rPr>
        <b val="true"/>
        <sz val="10"/>
        <color rgb="FFFFFFFF"/>
        <rFont val="Noto Sans CJK SC"/>
        <family val="2"/>
      </rPr>
      <t xml:space="preserve">現值</t>
    </r>
  </si>
  <si>
    <t xml:space="preserve">本活頁簿重算</t>
  </si>
  <si>
    <t xml:space="preserve">說明</t>
  </si>
  <si>
    <r>
      <rPr>
        <sz val="10"/>
        <rFont val="Arial"/>
        <family val="0"/>
        <charset val="1"/>
      </rPr>
      <t xml:space="preserve">GapPrompt</t>
    </r>
    <r>
      <rPr>
        <sz val="10"/>
        <rFont val="Noto Sans CJK SC"/>
        <family val="2"/>
      </rPr>
      <t xml:space="preserve">：每則 </t>
    </r>
    <r>
      <rPr>
        <sz val="10"/>
        <rFont val="Arial"/>
        <family val="0"/>
        <charset val="1"/>
      </rPr>
      <t xml:space="preserve">token ÷ 2,000</t>
    </r>
  </si>
  <si>
    <r>
      <rPr>
        <sz val="10"/>
        <rFont val="Noto Sans CJK SC"/>
        <family val="2"/>
      </rPr>
      <t xml:space="preserve">模型直接用 </t>
    </r>
    <r>
      <rPr>
        <sz val="10"/>
        <rFont val="Arial"/>
        <family val="0"/>
        <charset val="1"/>
      </rPr>
      <t xml:space="preserve">τ ÷ 2,000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2.0</t>
    </r>
    <r>
      <rPr>
        <sz val="10"/>
        <rFont val="Noto Sans CJK SC"/>
        <family val="2"/>
      </rPr>
      <t xml:space="preserve">。但 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不隨 </t>
    </r>
    <r>
      <rPr>
        <sz val="10"/>
        <rFont val="Arial"/>
        <family val="0"/>
        <charset val="1"/>
      </rPr>
      <t xml:space="preserve">τ </t>
    </r>
    <r>
      <rPr>
        <sz val="10"/>
        <rFont val="Noto Sans CJK SC"/>
        <family val="2"/>
      </rPr>
      <t xml:space="preserve">變，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只增加 </t>
    </r>
    <r>
      <rPr>
        <sz val="10"/>
        <rFont val="Arial"/>
        <family val="0"/>
        <charset val="1"/>
      </rPr>
      <t xml:space="preserve">1.30 </t>
    </r>
    <r>
      <rPr>
        <sz val="10"/>
        <rFont val="Noto Sans CJK SC"/>
        <family val="2"/>
      </rPr>
      <t xml:space="preserve">倍（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欄＝</t>
    </r>
    <r>
      <rPr>
        <sz val="10"/>
        <rFont val="Arial"/>
        <family val="0"/>
        <charset val="1"/>
      </rPr>
      <t xml:space="preserve">τ 4,000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GW ÷ τ 2,000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GW</t>
    </r>
    <r>
      <rPr>
        <sz val="10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</si>
  <si>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GapSpendBasis</t>
    </r>
    <r>
      <rPr>
        <sz val="10"/>
        <rFont val="Noto Sans CJK SC"/>
        <family val="2"/>
      </rPr>
      <t xml:space="preserve">：計價倍數</t>
    </r>
  </si>
  <si>
    <r>
      <rPr>
        <sz val="10"/>
        <rFont val="Noto Sans CJK SC"/>
        <family val="2"/>
      </rPr>
      <t xml:space="preserve">與推導鏈 </t>
    </r>
    <r>
      <rPr>
        <sz val="10"/>
        <rFont val="Arial"/>
        <family val="0"/>
        <charset val="1"/>
      </rPr>
      <t xml:space="preserve">D2 </t>
    </r>
    <r>
      <rPr>
        <sz val="10"/>
        <rFont val="Noto Sans CJK SC"/>
        <family val="2"/>
      </rPr>
      <t xml:space="preserve">相同；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段證據中心 </t>
    </r>
    <r>
      <rPr>
        <sz val="10"/>
        <rFont val="Arial"/>
        <family val="0"/>
        <charset val="1"/>
      </rPr>
      <t xml:space="preserve">1.5</t>
    </r>
  </si>
  <si>
    <r>
      <rPr>
        <sz val="10"/>
        <rFont val="Arial"/>
        <family val="0"/>
        <charset val="1"/>
      </rPr>
      <t xml:space="preserve">GapISL</t>
    </r>
    <r>
      <rPr>
        <sz val="10"/>
        <rFont val="Noto Sans CJK SC"/>
        <family val="2"/>
      </rPr>
      <t xml:space="preserve">：參考請求 </t>
    </r>
    <r>
      <rPr>
        <sz val="10"/>
        <rFont val="Arial"/>
        <family val="0"/>
        <charset val="1"/>
      </rPr>
      <t xml:space="preserve">ISL 16K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4K</t>
    </r>
  </si>
  <si>
    <r>
      <rPr>
        <sz val="10"/>
        <rFont val="Noto Sans CJK SC"/>
        <family val="2"/>
      </rPr>
      <t xml:space="preserve">模型取「輸入縮成 </t>
    </r>
    <r>
      <rPr>
        <sz val="10"/>
        <rFont val="Arial"/>
        <family val="0"/>
        <charset val="1"/>
      </rPr>
      <t xml:space="preserve">4K</t>
    </r>
    <r>
      <rPr>
        <sz val="10"/>
        <rFont val="Noto Sans CJK SC"/>
        <family val="2"/>
      </rPr>
      <t xml:space="preserve">、輸出仍 </t>
    </r>
    <r>
      <rPr>
        <sz val="10"/>
        <rFont val="Arial"/>
        <family val="0"/>
        <charset val="1"/>
      </rPr>
      <t xml:space="preserve">2K</t>
    </r>
    <r>
      <rPr>
        <sz val="10"/>
        <rFont val="Noto Sans CJK SC"/>
        <family val="2"/>
      </rPr>
      <t xml:space="preserve">」的產出比；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段以實際輸入輸出比重算 </t>
    </r>
    <r>
      <rPr>
        <sz val="10"/>
        <rFont val="Arial"/>
        <family val="0"/>
        <charset val="1"/>
      </rPr>
      <t xml:space="preserve">κ≈1.0</t>
    </r>
    <r>
      <rPr>
        <sz val="10"/>
        <rFont val="Noto Sans CJK SC"/>
        <family val="2"/>
      </rPr>
      <t xml:space="preserve">，即本項≈</t>
    </r>
    <r>
      <rPr>
        <sz val="10"/>
        <rFont val="Arial"/>
        <family val="0"/>
        <charset val="1"/>
      </rPr>
      <t xml:space="preserve">1.0</t>
    </r>
  </si>
  <si>
    <r>
      <rPr>
        <sz val="10"/>
        <rFont val="Arial"/>
        <family val="0"/>
        <charset val="1"/>
      </rPr>
      <t xml:space="preserve">GapUtil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IF_Util × δ ÷ </t>
    </r>
    <r>
      <rPr>
        <sz val="10"/>
        <rFont val="Noto Sans CJK SC"/>
        <family val="2"/>
      </rPr>
      <t xml:space="preserve">實際利用率</t>
    </r>
  </si>
  <si>
    <r>
      <rPr>
        <sz val="10"/>
        <rFont val="Noto Sans CJK SC"/>
        <family val="2"/>
      </rPr>
      <t xml:space="preserve">模型乘了 </t>
    </r>
    <r>
      <rPr>
        <sz val="10"/>
        <rFont val="Arial"/>
        <family val="0"/>
        <charset val="1"/>
      </rPr>
      <t xml:space="preserve">δ 0.85</t>
    </r>
    <r>
      <rPr>
        <sz val="10"/>
        <rFont val="Noto Sans CJK SC"/>
        <family val="2"/>
      </rPr>
      <t xml:space="preserve">，但機隊路線（推導鏈 </t>
    </r>
    <r>
      <rPr>
        <sz val="10"/>
        <rFont val="Arial"/>
        <family val="0"/>
        <charset val="1"/>
      </rPr>
      <t xml:space="preserve">D3</t>
    </r>
    <r>
      <rPr>
        <sz val="10"/>
        <rFont val="Noto Sans CJK SC"/>
        <family val="2"/>
      </rPr>
      <t xml:space="preserve">）只用 </t>
    </r>
    <r>
      <rPr>
        <sz val="10"/>
        <rFont val="Arial"/>
        <family val="0"/>
        <charset val="1"/>
      </rPr>
      <t xml:space="preserve">IF_Util ÷ </t>
    </r>
    <r>
      <rPr>
        <sz val="10"/>
        <rFont val="Noto Sans CJK SC"/>
        <family val="2"/>
      </rPr>
      <t xml:space="preserve">實際利用率＝</t>
    </r>
    <r>
      <rPr>
        <sz val="10"/>
        <rFont val="Arial"/>
        <family val="0"/>
        <charset val="1"/>
      </rPr>
      <t xml:space="preserve">1.714</t>
    </r>
    <r>
      <rPr>
        <sz val="10"/>
        <rFont val="Noto Sans CJK SC"/>
        <family val="2"/>
      </rPr>
      <t xml:space="preserve">；兩處口徑不同</t>
    </r>
  </si>
  <si>
    <t xml:space="preserve">乘積</t>
  </si>
  <si>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13.44</t>
    </r>
    <r>
      <rPr>
        <sz val="10"/>
        <rFont val="Noto Sans CJK SC"/>
        <family val="2"/>
      </rPr>
      <t xml:space="preserve">；本活頁簿以有效 </t>
    </r>
    <r>
      <rPr>
        <sz val="10"/>
        <rFont val="Arial"/>
        <family val="0"/>
        <charset val="1"/>
      </rPr>
      <t xml:space="preserve">τ </t>
    </r>
    <r>
      <rPr>
        <sz val="10"/>
        <rFont val="Noto Sans CJK SC"/>
        <family val="2"/>
      </rPr>
      <t xml:space="preserve">倍數與機隊口徑重算</t>
    </r>
  </si>
  <si>
    <r>
      <rPr>
        <sz val="10"/>
        <rFont val="Arial"/>
        <family val="0"/>
        <charset val="1"/>
      </rPr>
      <t xml:space="preserve">ScaleServe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τ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4,000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</si>
  <si>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支出路線 </t>
    </r>
    <r>
      <rPr>
        <sz val="10"/>
        <rFont val="Arial"/>
        <family val="0"/>
        <charset val="1"/>
      </rPr>
      <t xml:space="preserve">GW ÷ token </t>
    </r>
    <r>
      <rPr>
        <sz val="10"/>
        <rFont val="Noto Sans CJK SC"/>
        <family val="2"/>
      </rPr>
      <t xml:space="preserve">路線 </t>
    </r>
    <r>
      <rPr>
        <sz val="10"/>
        <rFont val="Arial"/>
        <family val="0"/>
        <charset val="1"/>
      </rPr>
      <t xml:space="preserve">GW</t>
    </r>
  </si>
  <si>
    <r>
      <rPr>
        <sz val="10"/>
        <rFont val="Arial"/>
        <family val="0"/>
        <charset val="1"/>
      </rPr>
      <t xml:space="preserve">ScaleServe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τ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2,000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v5.28 </t>
    </r>
    <r>
      <rPr>
        <sz val="10"/>
        <rFont val="Noto Sans CJK SC"/>
        <family val="2"/>
      </rPr>
      <t xml:space="preserve">基準）</t>
    </r>
  </si>
  <si>
    <r>
      <rPr>
        <sz val="10"/>
        <rFont val="Noto Sans CJK SC"/>
        <family val="2"/>
      </rPr>
      <t xml:space="preserve">乘積應對照的對象是 </t>
    </r>
    <r>
      <rPr>
        <sz val="10"/>
        <rFont val="Arial"/>
        <family val="0"/>
        <charset val="1"/>
      </rPr>
      <t xml:space="preserve">τ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2,000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ScaleServe</t>
    </r>
  </si>
  <si>
    <t xml:space="preserve">—</t>
  </si>
  <si>
    <r>
      <rPr>
        <sz val="10"/>
        <rFont val="Noto Sans CJK SC"/>
        <family val="2"/>
      </rPr>
      <t xml:space="preserve">（輔助）</t>
    </r>
    <r>
      <rPr>
        <sz val="10"/>
        <rFont val="Arial"/>
        <family val="0"/>
        <charset val="1"/>
      </rPr>
      <t xml:space="preserve">τ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2,000 </t>
    </r>
    <r>
      <rPr>
        <sz val="10"/>
        <rFont val="Noto Sans CJK SC"/>
        <family val="2"/>
      </rPr>
      <t xml:space="preserve">時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路線 </t>
    </r>
    <r>
      <rPr>
        <sz val="10"/>
        <rFont val="Arial"/>
        <family val="0"/>
        <charset val="1"/>
      </rPr>
      <t xml:space="preserve">GW</t>
    </r>
  </si>
  <si>
    <r>
      <rPr>
        <sz val="10"/>
        <rFont val="Noto Sans CJK SC"/>
        <family val="2"/>
      </rPr>
      <t xml:space="preserve">計算第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列用</t>
    </r>
  </si>
  <si>
    <r>
      <rPr>
        <sz val="10"/>
        <rFont val="Noto Sans CJK SC"/>
        <family val="2"/>
      </rPr>
      <t xml:space="preserve">只改正 </t>
    </r>
    <r>
      <rPr>
        <sz val="10"/>
        <rFont val="Arial"/>
        <family val="0"/>
        <charset val="1"/>
      </rPr>
      <t xml:space="preserve">τ </t>
    </r>
    <r>
      <rPr>
        <sz val="10"/>
        <rFont val="Noto Sans CJK SC"/>
        <family val="2"/>
      </rPr>
      <t xml:space="preserve">重複計入、其餘維持模型值的乘積</t>
    </r>
  </si>
  <si>
    <t xml:space="preserve">1.30 × 2.0 × 2.307 × 1.457</t>
  </si>
  <si>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列對 </t>
    </r>
    <r>
      <rPr>
        <sz val="10"/>
        <rFont val="Arial"/>
        <family val="0"/>
        <charset val="1"/>
      </rPr>
      <t xml:space="preserve">ScaleServe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τ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2,000</t>
    </r>
    <r>
      <rPr>
        <sz val="10"/>
        <rFont val="Noto Sans CJK SC"/>
        <family val="2"/>
      </rPr>
      <t xml:space="preserve">）的解釋比例</t>
    </r>
  </si>
  <si>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列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列</t>
    </r>
  </si>
  <si>
    <r>
      <rPr>
        <sz val="10"/>
        <rFont val="Noto Sans CJK SC"/>
        <family val="2"/>
      </rPr>
      <t xml:space="preserve">再改用實際流量（</t>
    </r>
    <r>
      <rPr>
        <sz val="10"/>
        <rFont val="Arial"/>
        <family val="0"/>
        <charset val="1"/>
      </rPr>
      <t xml:space="preserve">κ</t>
    </r>
    <r>
      <rPr>
        <sz val="10"/>
        <rFont val="Noto Sans CJK SC"/>
        <family val="2"/>
      </rPr>
      <t xml:space="preserve">）與機隊利用率口徑的乘積</t>
    </r>
  </si>
  <si>
    <r>
      <rPr>
        <sz val="10"/>
        <rFont val="Noto Sans CJK SC"/>
        <family val="2"/>
      </rPr>
      <t xml:space="preserve">＝第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列 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欄</t>
    </r>
  </si>
  <si>
    <t xml:space="preserve">11</t>
  </si>
  <si>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列的解釋比例</t>
    </r>
  </si>
  <si>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列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列；剩下的部分就是推導鏈 </t>
    </r>
    <r>
      <rPr>
        <sz val="10"/>
        <rFont val="Arial"/>
        <family val="0"/>
        <charset val="1"/>
      </rPr>
      <t xml:space="preserve">E2 </t>
    </r>
    <r>
      <rPr>
        <sz val="10"/>
        <rFont val="Noto Sans CJK SC"/>
        <family val="2"/>
      </rPr>
      <t xml:space="preserve">的缺口</t>
    </r>
  </si>
  <si>
    <r>
      <rPr>
        <sz val="10"/>
        <rFont val="Noto Sans CJK SC"/>
        <family val="2"/>
      </rPr>
      <t xml:space="preserve">讀法：模型的乘積 </t>
    </r>
    <r>
      <rPr>
        <sz val="10"/>
        <rFont val="Arial"/>
        <family val="0"/>
        <charset val="1"/>
      </rPr>
      <t xml:space="preserve">13.44 </t>
    </r>
    <r>
      <rPr>
        <sz val="10"/>
        <rFont val="Noto Sans CJK SC"/>
        <family val="2"/>
      </rPr>
      <t xml:space="preserve">超過 </t>
    </r>
    <r>
      <rPr>
        <sz val="10"/>
        <rFont val="Arial"/>
        <family val="0"/>
        <charset val="1"/>
      </rPr>
      <t xml:space="preserve">7.38</t>
    </r>
    <r>
      <rPr>
        <sz val="10"/>
        <rFont val="Noto Sans CJK SC"/>
        <family val="2"/>
      </rPr>
      <t xml:space="preserve">，是因為 </t>
    </r>
    <r>
      <rPr>
        <sz val="10"/>
        <rFont val="Arial"/>
        <family val="0"/>
        <charset val="1"/>
      </rPr>
      <t xml:space="preserve">(a) τ </t>
    </r>
    <r>
      <rPr>
        <sz val="10"/>
        <rFont val="Noto Sans CJK SC"/>
        <family val="2"/>
      </rPr>
      <t xml:space="preserve">的倍數 </t>
    </r>
    <r>
      <rPr>
        <sz val="10"/>
        <rFont val="Arial"/>
        <family val="0"/>
        <charset val="1"/>
      </rPr>
      <t xml:space="preserve">2.0 </t>
    </r>
    <r>
      <rPr>
        <sz val="10"/>
        <rFont val="Noto Sans CJK SC"/>
        <family val="2"/>
      </rPr>
      <t xml:space="preserve">被重複計入（</t>
    </r>
    <r>
      <rPr>
        <sz val="10"/>
        <rFont val="Arial"/>
        <family val="0"/>
        <charset val="1"/>
      </rPr>
      <t xml:space="preserve">ScaleServe 7.38 </t>
    </r>
    <r>
      <rPr>
        <sz val="10"/>
        <rFont val="Noto Sans CJK SC"/>
        <family val="2"/>
      </rPr>
      <t xml:space="preserve">已經是 </t>
    </r>
    <r>
      <rPr>
        <sz val="10"/>
        <rFont val="Arial"/>
        <family val="0"/>
        <charset val="1"/>
      </rPr>
      <t xml:space="preserve">τ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4,000 </t>
    </r>
    <r>
      <rPr>
        <sz val="10"/>
        <rFont val="Noto Sans CJK SC"/>
        <family val="2"/>
      </rPr>
      <t xml:space="preserve">下的值，應對照 </t>
    </r>
    <r>
      <rPr>
        <sz val="10"/>
        <rFont val="Arial"/>
        <family val="0"/>
        <charset val="1"/>
      </rPr>
      <t xml:space="preserve">τ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2,000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9.60</t>
    </r>
    <r>
      <rPr>
        <sz val="10"/>
        <rFont val="Noto Sans CJK SC"/>
        <family val="2"/>
      </rPr>
      <t xml:space="preserve">），</t>
    </r>
    <r>
      <rPr>
        <sz val="10"/>
        <rFont val="Arial"/>
        <family val="0"/>
        <charset val="1"/>
      </rPr>
      <t xml:space="preserve">(b) GapISL 2.31 </t>
    </r>
    <r>
      <rPr>
        <sz val="10"/>
        <rFont val="Noto Sans CJK SC"/>
        <family val="2"/>
      </rPr>
      <t xml:space="preserve">用了不符實際流量的假設。只改正 </t>
    </r>
    <r>
      <rPr>
        <sz val="10"/>
        <rFont val="Arial"/>
        <family val="0"/>
        <charset val="1"/>
      </rPr>
      <t xml:space="preserve">(a) </t>
    </r>
    <r>
      <rPr>
        <sz val="10"/>
        <rFont val="Noto Sans CJK SC"/>
        <family val="2"/>
      </rPr>
      <t xml:space="preserve">時乘積可解釋約九成（第 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列）；再改正 </t>
    </r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與利用率口徑後只解釋不到一半（第 </t>
    </r>
    <r>
      <rPr>
        <sz val="10"/>
        <rFont val="Arial"/>
        <family val="0"/>
        <charset val="1"/>
      </rPr>
      <t xml:space="preserve">11 </t>
    </r>
    <r>
      <rPr>
        <sz val="10"/>
        <rFont val="Noto Sans CJK SC"/>
        <family val="2"/>
      </rPr>
      <t xml:space="preserve">列），剩下的就是推導鏈 </t>
    </r>
    <r>
      <rPr>
        <sz val="10"/>
        <rFont val="Arial"/>
        <family val="0"/>
        <charset val="1"/>
      </rPr>
      <t xml:space="preserve">E2 </t>
    </r>
    <r>
      <rPr>
        <sz val="10"/>
        <rFont val="Noto Sans CJK SC"/>
        <family val="2"/>
      </rPr>
      <t xml:space="preserve">的缺口。</t>
    </r>
  </si>
  <si>
    <r>
      <rPr>
        <sz val="10"/>
        <rFont val="Noto Sans CJK SC"/>
        <family val="2"/>
      </rPr>
      <t xml:space="preserve">四項口徑差只是說明工具；本活頁簿以推導鏈 </t>
    </r>
    <r>
      <rPr>
        <sz val="10"/>
        <rFont val="Arial"/>
        <family val="0"/>
        <charset val="1"/>
      </rPr>
      <t xml:space="preserve">E4 </t>
    </r>
    <r>
      <rPr>
        <sz val="10"/>
        <rFont val="Noto Sans CJK SC"/>
        <family val="2"/>
      </rPr>
      <t xml:space="preserve">的恆等式為準：缺口＝</t>
    </r>
    <r>
      <rPr>
        <sz val="10"/>
        <rFont val="Arial"/>
        <family val="0"/>
        <charset val="1"/>
      </rPr>
      <t xml:space="preserve">ScaleServe ÷</t>
    </r>
    <r>
      <rPr>
        <sz val="10"/>
        <rFont val="Noto Sans CJK SC"/>
        <family val="2"/>
      </rPr>
      <t xml:space="preserve">（計價倍數 </t>
    </r>
    <r>
      <rPr>
        <sz val="10"/>
        <rFont val="Arial"/>
        <family val="0"/>
        <charset val="1"/>
      </rPr>
      <t xml:space="preserve">× IF_Util ÷</t>
    </r>
    <r>
      <rPr>
        <sz val="10"/>
        <rFont val="Noto Sans CJK SC"/>
        <family val="2"/>
      </rPr>
      <t xml:space="preserve">（實際利用率 </t>
    </r>
    <r>
      <rPr>
        <sz val="10"/>
        <rFont val="Arial"/>
        <family val="0"/>
        <charset val="1"/>
      </rPr>
      <t xml:space="preserve">× κ</t>
    </r>
    <r>
      <rPr>
        <sz val="10"/>
        <rFont val="Noto Sans CJK SC"/>
        <family val="2"/>
      </rPr>
      <t xml:space="preserve">））。</t>
    </r>
  </si>
  <si>
    <r>
      <rPr>
        <b val="true"/>
        <sz val="14"/>
        <rFont val="Noto Sans CJK SC"/>
        <family val="2"/>
      </rPr>
      <t xml:space="preserve">價格時間錯配：</t>
    </r>
    <r>
      <rPr>
        <b val="true"/>
        <sz val="14"/>
        <rFont val="Arial"/>
        <family val="0"/>
        <charset val="1"/>
      </rPr>
      <t xml:space="preserve">2025 </t>
    </r>
    <r>
      <rPr>
        <b val="true"/>
        <sz val="14"/>
        <rFont val="Noto Sans CJK SC"/>
        <family val="2"/>
      </rPr>
      <t xml:space="preserve">年實際牌價 </t>
    </r>
    <r>
      <rPr>
        <b val="true"/>
        <sz val="14"/>
        <rFont val="Arial"/>
        <family val="0"/>
        <charset val="1"/>
      </rPr>
      <t xml:space="preserve">÷ 2026-09 </t>
    </r>
    <r>
      <rPr>
        <b val="true"/>
        <sz val="14"/>
        <rFont val="Noto Sans CJK SC"/>
        <family val="2"/>
      </rPr>
      <t xml:space="preserve">快照（</t>
    </r>
    <r>
      <rPr>
        <b val="true"/>
        <sz val="14"/>
        <rFont val="Arial"/>
        <family val="0"/>
        <charset val="1"/>
      </rPr>
      <t xml:space="preserve">ρ</t>
    </r>
    <r>
      <rPr>
        <b val="true"/>
        <sz val="14"/>
        <rFont val="Noto Sans CJK SC"/>
        <family val="2"/>
      </rPr>
      <t xml:space="preserve">），以及對 </t>
    </r>
    <r>
      <rPr>
        <b val="true"/>
        <sz val="14"/>
        <rFont val="Arial"/>
        <family val="0"/>
        <charset val="1"/>
      </rPr>
      <t xml:space="preserve">m </t>
    </r>
    <r>
      <rPr>
        <b val="true"/>
        <sz val="14"/>
        <rFont val="Noto Sans CJK SC"/>
        <family val="2"/>
      </rPr>
      <t xml:space="preserve">的影響</t>
    </r>
  </si>
  <si>
    <r>
      <rPr>
        <sz val="10"/>
        <rFont val="Noto Sans CJK SC"/>
        <family val="2"/>
      </rPr>
      <t xml:space="preserve">參考請求單價 </t>
    </r>
    <r>
      <rPr>
        <sz val="10"/>
        <rFont val="Arial"/>
        <family val="0"/>
        <charset val="1"/>
      </rPr>
      <t xml:space="preserve">ref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[0.45 × </t>
    </r>
    <r>
      <rPr>
        <sz val="10"/>
        <rFont val="Noto Sans CJK SC"/>
        <family val="2"/>
      </rPr>
      <t xml:space="preserve">輸入價 </t>
    </r>
    <r>
      <rPr>
        <sz val="10"/>
        <rFont val="Arial"/>
        <family val="0"/>
        <charset val="1"/>
      </rPr>
      <t xml:space="preserve">× 16,000 </t>
    </r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0.55 × </t>
    </r>
    <r>
      <rPr>
        <sz val="10"/>
        <rFont val="Noto Sans CJK SC"/>
        <family val="2"/>
      </rPr>
      <t xml:space="preserve">快取價 </t>
    </r>
    <r>
      <rPr>
        <sz val="10"/>
        <rFont val="Arial"/>
        <family val="0"/>
        <charset val="1"/>
      </rPr>
      <t xml:space="preserve">× 16,000 </t>
    </r>
    <r>
      <rPr>
        <sz val="10"/>
        <rFont val="Noto Sans CJK SC"/>
        <family val="2"/>
      </rPr>
      <t xml:space="preserve">＋ 輸出價 </t>
    </r>
    <r>
      <rPr>
        <sz val="10"/>
        <rFont val="Arial"/>
        <family val="0"/>
        <charset val="1"/>
      </rPr>
      <t xml:space="preserve">× 2,000] ÷ 18,000</t>
    </r>
    <r>
      <rPr>
        <sz val="10"/>
        <rFont val="Noto Sans CJK SC"/>
        <family val="2"/>
      </rPr>
      <t xml:space="preserve">（未折扣；兩邊同乘 </t>
    </r>
    <r>
      <rPr>
        <sz val="10"/>
        <rFont val="Arial"/>
        <family val="0"/>
        <charset val="1"/>
      </rPr>
      <t xml:space="preserve">0.8 </t>
    </r>
    <r>
      <rPr>
        <sz val="10"/>
        <rFont val="Noto Sans CJK SC"/>
        <family val="2"/>
      </rPr>
      <t xml:space="preserve">約掉）。數值取自 </t>
    </r>
    <r>
      <rPr>
        <sz val="10"/>
        <rFont val="Arial"/>
        <family val="0"/>
        <charset val="1"/>
      </rPr>
      <t xml:space="preserve">v5.36A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3.3 </t>
    </r>
    <r>
      <rPr>
        <sz val="10"/>
        <rFont val="Noto Sans CJK SC"/>
        <family val="2"/>
      </rPr>
      <t xml:space="preserve">節（</t>
    </r>
    <r>
      <rPr>
        <sz val="10"/>
        <rFont val="Arial"/>
        <family val="0"/>
        <charset val="1"/>
      </rPr>
      <t xml:space="preserve">Derived</t>
    </r>
    <r>
      <rPr>
        <sz val="10"/>
        <rFont val="Noto Sans CJK SC"/>
        <family val="2"/>
      </rPr>
      <t xml:space="preserve">；牌價為二手彙整，等級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）。</t>
    </r>
  </si>
  <si>
    <t xml:space="preserve">模型</t>
  </si>
  <si>
    <t xml:space="preserve">ref $/M</t>
  </si>
  <si>
    <r>
      <rPr>
        <b val="true"/>
        <sz val="10"/>
        <color rgb="FFFFFFFF"/>
        <rFont val="Arial"/>
        <family val="0"/>
        <charset val="1"/>
      </rPr>
      <t xml:space="preserve">2025 </t>
    </r>
    <r>
      <rPr>
        <b val="true"/>
        <sz val="10"/>
        <color rgb="FFFFFFFF"/>
        <rFont val="Noto Sans CJK SC"/>
        <family val="2"/>
      </rPr>
      <t xml:space="preserve">月數</t>
    </r>
  </si>
  <si>
    <t xml:space="preserve">加權</t>
  </si>
  <si>
    <r>
      <rPr>
        <sz val="10"/>
        <rFont val="Arial"/>
        <family val="0"/>
        <charset val="1"/>
      </rPr>
      <t xml:space="preserve">GPT-4o</t>
    </r>
    <r>
      <rPr>
        <sz val="10"/>
        <rFont val="Noto Sans CJK SC"/>
        <family val="2"/>
      </rPr>
      <t xml:space="preserve">（中階，</t>
    </r>
    <r>
      <rPr>
        <sz val="10"/>
        <rFont val="Arial"/>
        <family val="0"/>
        <charset val="1"/>
      </rPr>
      <t xml:space="preserve">2025-01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07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</si>
  <si>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GPT-5</t>
    </r>
    <r>
      <rPr>
        <sz val="10"/>
        <rFont val="Noto Sans CJK SC"/>
        <family val="2"/>
      </rPr>
      <t xml:space="preserve">（中階，</t>
    </r>
    <r>
      <rPr>
        <sz val="10"/>
        <rFont val="Arial"/>
        <family val="0"/>
        <charset val="1"/>
      </rPr>
      <t xml:space="preserve">2025-08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</si>
  <si>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GPT-5.2</t>
    </r>
    <r>
      <rPr>
        <sz val="10"/>
        <rFont val="Noto Sans CJK SC"/>
        <family val="2"/>
      </rPr>
      <t xml:space="preserve">（中階，</t>
    </r>
    <r>
      <rPr>
        <sz val="10"/>
        <rFont val="Arial"/>
        <family val="0"/>
        <charset val="1"/>
      </rPr>
      <t xml:space="preserve">2025-12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</si>
  <si>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GPT-4o mini</t>
    </r>
    <r>
      <rPr>
        <sz val="10"/>
        <rFont val="Noto Sans CJK SC"/>
        <family val="2"/>
      </rPr>
      <t xml:space="preserve">（低階，</t>
    </r>
    <r>
      <rPr>
        <sz val="10"/>
        <rFont val="Arial"/>
        <family val="0"/>
        <charset val="1"/>
      </rPr>
      <t xml:space="preserve">2025-01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07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</si>
  <si>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GPT-5 mini</t>
    </r>
    <r>
      <rPr>
        <sz val="10"/>
        <rFont val="Noto Sans CJK SC"/>
        <family val="2"/>
      </rPr>
      <t xml:space="preserve">（低階，</t>
    </r>
    <r>
      <rPr>
        <sz val="10"/>
        <rFont val="Arial"/>
        <family val="0"/>
        <charset val="1"/>
      </rPr>
      <t xml:space="preserve">2025-08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</si>
  <si>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快照 </t>
    </r>
    <r>
      <rPr>
        <sz val="10"/>
        <rFont val="Arial"/>
        <family val="0"/>
        <charset val="1"/>
      </rPr>
      <t xml:space="preserve">Sol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GPT-6 </t>
    </r>
    <r>
      <rPr>
        <sz val="10"/>
        <rFont val="Noto Sans CJK SC"/>
        <family val="2"/>
      </rPr>
      <t xml:space="preserve">中階）</t>
    </r>
  </si>
  <si>
    <r>
      <rPr>
        <sz val="10"/>
        <rFont val="Noto Sans CJK SC"/>
        <family val="2"/>
      </rPr>
      <t xml:space="preserve">快照 </t>
    </r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GPT-6 </t>
    </r>
    <r>
      <rPr>
        <sz val="10"/>
        <rFont val="Noto Sans CJK SC"/>
        <family val="2"/>
      </rPr>
      <t xml:space="preserve">低階）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</si>
  <si>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中階時間加權 </t>
    </r>
    <r>
      <rPr>
        <b val="true"/>
        <sz val="10"/>
        <rFont val="Arial"/>
        <family val="0"/>
        <charset val="1"/>
      </rPr>
      <t xml:space="preserve">ref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</si>
  <si>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低階時間加權 </t>
    </r>
    <r>
      <rPr>
        <b val="true"/>
        <sz val="10"/>
        <rFont val="Arial"/>
        <family val="0"/>
        <charset val="1"/>
      </rPr>
      <t xml:space="preserve">ref</t>
    </r>
  </si>
  <si>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：全用中階</t>
    </r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</si>
  <si>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中階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快照 </t>
    </r>
    <r>
      <rPr>
        <sz val="10"/>
        <rFont val="Arial"/>
        <family val="0"/>
        <charset val="1"/>
      </rPr>
      <t xml:space="preserve">Sol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段區間 </t>
    </r>
    <r>
      <rPr>
        <sz val="10"/>
        <rFont val="Arial"/>
        <family val="0"/>
        <charset val="1"/>
      </rPr>
      <t xml:space="preserve">0.83–1.36</t>
    </r>
  </si>
  <si>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：中階＋低階各半</t>
    </r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</si>
  <si>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段區間 </t>
    </r>
    <r>
      <rPr>
        <sz val="10"/>
        <rFont val="Arial"/>
        <family val="0"/>
        <charset val="1"/>
      </rPr>
      <t xml:space="preserve">0.82–1.47</t>
    </r>
  </si>
  <si>
    <r>
      <rPr>
        <b val="true"/>
        <sz val="11"/>
        <color rgb="FF1F3864"/>
        <rFont val="Noto Sans CJK SC"/>
        <family val="2"/>
      </rPr>
      <t xml:space="preserve">修正後 </t>
    </r>
    <r>
      <rPr>
        <b val="true"/>
        <sz val="11"/>
        <color rgb="FF1F3864"/>
        <rFont val="Arial"/>
        <family val="0"/>
        <charset val="1"/>
      </rPr>
      <t xml:space="preserve">m</t>
    </r>
    <r>
      <rPr>
        <b val="true"/>
        <sz val="11"/>
        <color rgb="FF1F3864"/>
        <rFont val="Noto Sans CJK SC"/>
        <family val="2"/>
      </rPr>
      <t xml:space="preserve">（模型現值欄）</t>
    </r>
  </si>
  <si>
    <r>
      <rPr>
        <b val="true"/>
        <sz val="10"/>
        <color rgb="FFFFFFFF"/>
        <rFont val="Arial"/>
        <family val="0"/>
        <charset val="1"/>
      </rPr>
      <t xml:space="preserve">ρ </t>
    </r>
    <r>
      <rPr>
        <b val="true"/>
        <sz val="10"/>
        <color rgb="FFFFFFFF"/>
        <rFont val="Noto Sans CJK SC"/>
        <family val="2"/>
      </rPr>
      <t xml:space="preserve">情境 </t>
    </r>
    <r>
      <rPr>
        <b val="true"/>
        <sz val="10"/>
        <color rgb="FFFFFFFF"/>
        <rFont val="Arial"/>
        <family val="0"/>
        <charset val="1"/>
      </rPr>
      <t xml:space="preserve">1</t>
    </r>
  </si>
  <si>
    <r>
      <rPr>
        <b val="true"/>
        <sz val="10"/>
        <color rgb="FFFFFFFF"/>
        <rFont val="Arial"/>
        <family val="0"/>
        <charset val="1"/>
      </rPr>
      <t xml:space="preserve">ρ </t>
    </r>
    <r>
      <rPr>
        <b val="true"/>
        <sz val="10"/>
        <color rgb="FFFFFFFF"/>
        <rFont val="Noto Sans CJK SC"/>
        <family val="2"/>
      </rPr>
      <t xml:space="preserve">情境 </t>
    </r>
    <r>
      <rPr>
        <b val="true"/>
        <sz val="10"/>
        <color rgb="FFFFFFFF"/>
        <rFont val="Arial"/>
        <family val="0"/>
        <charset val="1"/>
      </rPr>
      <t xml:space="preserve">2</t>
    </r>
  </si>
  <si>
    <t xml:space="preserve">m_fleet ÷ ρ</t>
  </si>
  <si>
    <r>
      <rPr>
        <sz val="10"/>
        <rFont val="Arial"/>
        <family val="0"/>
        <charset val="1"/>
      </rPr>
      <t xml:space="preserve">m_</t>
    </r>
    <r>
      <rPr>
        <sz val="10"/>
        <rFont val="Noto Sans CJK SC"/>
        <family val="2"/>
      </rPr>
      <t xml:space="preserve">整體 </t>
    </r>
    <r>
      <rPr>
        <sz val="10"/>
        <rFont val="Arial"/>
        <family val="0"/>
        <charset val="1"/>
      </rPr>
      <t xml:space="preserve">÷ ρ</t>
    </r>
  </si>
  <si>
    <r>
      <rPr>
        <sz val="10"/>
        <rFont val="Noto Sans CJK SC"/>
        <family val="2"/>
      </rPr>
      <t xml:space="preserve">缺口（修正後 </t>
    </r>
    <r>
      <rPr>
        <sz val="10"/>
        <rFont val="Arial"/>
        <family val="0"/>
        <charset val="1"/>
      </rPr>
      <t xml:space="preserve">m_</t>
    </r>
    <r>
      <rPr>
        <sz val="10"/>
        <rFont val="Noto Sans CJK SC"/>
        <family val="2"/>
      </rPr>
      <t xml:space="preserve">整體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修正後 </t>
    </r>
    <r>
      <rPr>
        <sz val="10"/>
        <rFont val="Arial"/>
        <family val="0"/>
        <charset val="1"/>
      </rPr>
      <t xml:space="preserve">m_fleet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</si>
  <si>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讀法：</t>
    </r>
    <r>
      <rPr>
        <sz val="10"/>
        <rFont val="Arial"/>
        <family val="0"/>
        <charset val="1"/>
      </rPr>
      <t xml:space="preserve">ρ </t>
    </r>
    <r>
      <rPr>
        <sz val="10"/>
        <rFont val="Noto Sans CJK SC"/>
        <family val="2"/>
      </rPr>
      <t xml:space="preserve">讓兩個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都下降 </t>
    </r>
    <r>
      <rPr>
        <sz val="10"/>
        <rFont val="Arial"/>
        <family val="0"/>
        <charset val="1"/>
      </rPr>
      <t xml:space="preserve">14–18%</t>
    </r>
    <r>
      <rPr>
        <sz val="10"/>
        <rFont val="Noto Sans CJK SC"/>
        <family val="2"/>
      </rPr>
      <t xml:space="preserve">，但缺口不變（第 </t>
    </r>
    <r>
      <rPr>
        <sz val="10"/>
        <rFont val="Arial"/>
        <family val="0"/>
        <charset val="1"/>
      </rPr>
      <t xml:space="preserve">21 </t>
    </r>
    <r>
      <rPr>
        <sz val="10"/>
        <rFont val="Noto Sans CJK SC"/>
        <family val="2"/>
      </rPr>
      <t xml:space="preserve">列＝推導鏈 </t>
    </r>
    <r>
      <rPr>
        <sz val="10"/>
        <rFont val="Arial"/>
        <family val="0"/>
        <charset val="1"/>
      </rPr>
      <t xml:space="preserve">E2</t>
    </r>
    <r>
      <rPr>
        <sz val="10"/>
        <rFont val="Noto Sans CJK SC"/>
        <family val="2"/>
      </rPr>
      <t xml:space="preserve">）。實收單價（美元）是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÷ 2025 token </t>
    </r>
    <r>
      <rPr>
        <sz val="10"/>
        <rFont val="Noto Sans CJK SC"/>
        <family val="2"/>
      </rPr>
      <t xml:space="preserve">的觀測，也不受 </t>
    </r>
    <r>
      <rPr>
        <sz val="10"/>
        <rFont val="Arial"/>
        <family val="0"/>
        <charset val="1"/>
      </rPr>
      <t xml:space="preserve">ρ </t>
    </r>
    <r>
      <rPr>
        <sz val="10"/>
        <rFont val="Noto Sans CJK SC"/>
        <family val="2"/>
      </rPr>
      <t xml:space="preserve">影響，所以回本判讀不變。</t>
    </r>
    <r>
      <rPr>
        <sz val="10"/>
        <rFont val="Arial"/>
        <family val="0"/>
        <charset val="1"/>
      </rPr>
      <t xml:space="preserve">ρ </t>
    </r>
    <r>
      <rPr>
        <sz val="10"/>
        <rFont val="Noto Sans CJK SC"/>
        <family val="2"/>
      </rPr>
      <t xml:space="preserve">只改變「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低於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是打折還是牌價下降」的解讀。</t>
    </r>
  </si>
  <si>
    <r>
      <rPr>
        <b val="true"/>
        <sz val="14"/>
        <rFont val="Noto Sans CJK SC"/>
        <family val="2"/>
      </rPr>
      <t xml:space="preserve">證據：</t>
    </r>
    <r>
      <rPr>
        <b val="true"/>
        <sz val="14"/>
        <rFont val="Arial"/>
        <family val="0"/>
        <charset val="1"/>
      </rPr>
      <t xml:space="preserve">v5.36A </t>
    </r>
    <r>
      <rPr>
        <b val="true"/>
        <sz val="14"/>
        <rFont val="Noto Sans CJK SC"/>
        <family val="2"/>
      </rPr>
      <t xml:space="preserve">查證（</t>
    </r>
    <r>
      <rPr>
        <b val="true"/>
        <sz val="14"/>
        <rFont val="Arial"/>
        <family val="0"/>
        <charset val="1"/>
      </rPr>
      <t xml:space="preserve">2026-10-15</t>
    </r>
    <r>
      <rPr>
        <b val="true"/>
        <sz val="14"/>
        <rFont val="Noto Sans CJK SC"/>
        <family val="2"/>
      </rPr>
      <t xml:space="preserve">）的原始紀錄，原樣複製；「已搜尋，未找到」與「不存在」不同</t>
    </r>
  </si>
  <si>
    <r>
      <rPr>
        <b val="true"/>
        <sz val="11"/>
        <color rgb="FF1F3864"/>
        <rFont val="Arial"/>
        <family val="0"/>
        <charset val="1"/>
      </rPr>
      <t xml:space="preserve">2.1_A1 </t>
    </r>
    <r>
      <rPr>
        <b val="true"/>
        <sz val="11"/>
        <color rgb="FF1F3864"/>
        <rFont val="Noto Sans CJK SC"/>
        <family val="2"/>
      </rPr>
      <t xml:space="preserve">新揭露</t>
    </r>
  </si>
  <si>
    <r>
      <rPr>
        <sz val="10"/>
        <rFont val="Noto Sans CJK SC"/>
        <family val="2"/>
      </rPr>
      <t xml:space="preserve">搜尋範圍：</t>
    </r>
    <r>
      <rPr>
        <sz val="10"/>
        <rFont val="Arial"/>
        <family val="0"/>
        <charset val="1"/>
      </rPr>
      <t xml:space="preserve">WebSearch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OpenAI tokens per day ChatGPT messages per day October 2026</t>
    </r>
    <r>
      <rPr>
        <sz val="10"/>
        <rFont val="Noto Sans CJK SC"/>
        <family val="2"/>
      </rPr>
      <t xml:space="preserve">」「</t>
    </r>
    <r>
      <rPr>
        <sz val="10"/>
        <rFont val="Arial"/>
        <family val="0"/>
        <charset val="1"/>
      </rPr>
      <t xml:space="preserve">OpenAI API tokens per minute DevDay 2026</t>
    </r>
    <r>
      <rPr>
        <sz val="10"/>
        <rFont val="Noto Sans CJK SC"/>
        <family val="2"/>
      </rPr>
      <t xml:space="preserve">」「</t>
    </r>
    <r>
      <rPr>
        <sz val="10"/>
        <rFont val="Arial"/>
        <family val="0"/>
        <charset val="1"/>
      </rPr>
      <t xml:space="preserve">OpenAI announces tokens per day billion token API usage October 2026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extended</t>
    </r>
    <r>
      <rPr>
        <sz val="10"/>
        <rFont val="Noto Sans CJK SC"/>
        <family val="2"/>
      </rPr>
      <t xml:space="preserve">）」「</t>
    </r>
    <r>
      <rPr>
        <sz val="10"/>
        <rFont val="Arial"/>
        <family val="0"/>
        <charset val="1"/>
      </rPr>
      <t xml:space="preserve">OpenAI news October 14 2026 weekly active users</t>
    </r>
    <r>
      <rPr>
        <sz val="10"/>
        <rFont val="Noto Sans CJK SC"/>
        <family val="2"/>
      </rPr>
      <t xml:space="preserve">」「</t>
    </r>
    <r>
      <rPr>
        <sz val="10"/>
        <rFont val="Arial"/>
        <family val="0"/>
        <charset val="1"/>
      </rPr>
      <t xml:space="preserve">Anthropic Claude tokens per day disclosed run-rate revenue October 2026</t>
    </r>
    <r>
      <rPr>
        <sz val="10"/>
        <rFont val="Noto Sans CJK SC"/>
        <family val="2"/>
      </rPr>
      <t xml:space="preserve">」「</t>
    </r>
    <r>
      <rPr>
        <sz val="10"/>
        <rFont val="Arial"/>
        <family val="0"/>
        <charset val="1"/>
      </rPr>
      <t xml:space="preserve">Google Gemini monthly tokens processed quadrillion 2026</t>
    </r>
    <r>
      <rPr>
        <sz val="10"/>
        <rFont val="Noto Sans CJK SC"/>
        <family val="2"/>
      </rPr>
      <t xml:space="preserve">」「</t>
    </r>
    <r>
      <rPr>
        <sz val="10"/>
        <rFont val="Arial"/>
        <family val="0"/>
        <charset val="1"/>
      </rPr>
      <t xml:space="preserve">Microsoft FY26 Q4 earnings Nadella tokens processed Foundry</t>
    </r>
    <r>
      <rPr>
        <sz val="10"/>
        <rFont val="Noto Sans CJK SC"/>
        <family val="2"/>
      </rPr>
      <t xml:space="preserve">」；</t>
    </r>
    <r>
      <rPr>
        <sz val="10"/>
        <rFont val="Arial"/>
        <family val="0"/>
        <charset val="1"/>
      </rPr>
      <t xml:space="preserve">WebFetch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openai.com DevDay 2026 recap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blog.google I/O 2026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Microsoft FY26 Q4 </t>
    </r>
    <r>
      <rPr>
        <sz val="10"/>
        <rFont val="Noto Sans CJK SC"/>
        <family val="2"/>
      </rPr>
      <t xml:space="preserve">電話會議逐字稿（</t>
    </r>
    <r>
      <rPr>
        <sz val="10"/>
        <rFont val="Arial"/>
        <family val="0"/>
        <charset val="1"/>
      </rPr>
      <t xml:space="preserve">.docx </t>
    </r>
    <r>
      <rPr>
        <sz val="10"/>
        <rFont val="Noto Sans CJK SC"/>
        <family val="2"/>
      </rPr>
      <t xml:space="preserve">讀出為二進位，未能讀取）、</t>
    </r>
    <r>
      <rPr>
        <sz val="10"/>
        <rFont val="Arial"/>
        <family val="0"/>
        <charset val="1"/>
      </rPr>
      <t xml:space="preserve">Futurum FY26 Q4 </t>
    </r>
    <r>
      <rPr>
        <sz val="10"/>
        <rFont val="Noto Sans CJK SC"/>
        <family val="2"/>
      </rPr>
      <t xml:space="preserve">摘要。</t>
    </r>
  </si>
  <si>
    <r>
      <rPr>
        <sz val="10"/>
        <rFont val="Arial"/>
        <family val="0"/>
        <charset val="1"/>
      </rPr>
      <t xml:space="preserve">2.1 A1 </t>
    </r>
    <r>
      <rPr>
        <sz val="10"/>
        <rFont val="Noto Sans CJK SC"/>
        <family val="2"/>
      </rPr>
      <t xml:space="preserve">新揭露（</t>
    </r>
    <r>
      <rPr>
        <sz val="10"/>
        <rFont val="Arial"/>
        <family val="0"/>
        <charset val="1"/>
      </rPr>
      <t xml:space="preserve">2026-10-12 </t>
    </r>
    <r>
      <rPr>
        <sz val="10"/>
        <rFont val="Noto Sans CJK SC"/>
        <family val="2"/>
      </rPr>
      <t xml:space="preserve">之後；並補作類比的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量）</t>
    </r>
  </si>
  <si>
    <t xml:space="preserve">ID</t>
  </si>
  <si>
    <t xml:space="preserve">數值</t>
  </si>
  <si>
    <t xml:space="preserve">單位／期間</t>
  </si>
  <si>
    <t xml:space="preserve">來源</t>
  </si>
  <si>
    <t xml:space="preserve">文件日</t>
  </si>
  <si>
    <t xml:space="preserve">利害關係方與誘因／備註</t>
  </si>
  <si>
    <t xml:space="preserve">讀取日</t>
  </si>
  <si>
    <t xml:space="preserve">A1-1</t>
  </si>
  <si>
    <r>
      <rPr>
        <sz val="10"/>
        <rFont val="Arial"/>
        <family val="0"/>
        <charset val="1"/>
      </rPr>
      <t xml:space="preserve">2026-10-12 </t>
    </r>
    <r>
      <rPr>
        <sz val="10"/>
        <rFont val="Noto Sans CJK SC"/>
        <family val="2"/>
      </rPr>
      <t xml:space="preserve">後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每日訊息、每日／每分鐘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API token </t>
    </r>
    <r>
      <rPr>
        <sz val="10"/>
        <rFont val="Noto Sans CJK SC"/>
        <family val="2"/>
      </rPr>
      <t xml:space="preserve">量</t>
    </r>
  </si>
  <si>
    <t xml:space="preserve">已搜尋，未找到</t>
  </si>
  <si>
    <r>
      <rPr>
        <sz val="10"/>
        <rFont val="Noto Sans CJK SC"/>
        <family val="2"/>
      </rPr>
      <t xml:space="preserve">上列搜尋；</t>
    </r>
    <r>
      <rPr>
        <sz val="10"/>
        <rFont val="Arial"/>
        <family val="0"/>
        <charset val="1"/>
      </rPr>
      <t xml:space="preserve">OpenAI DevDay 2026 recap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2026-09-29</t>
    </r>
    <r>
      <rPr>
        <sz val="10"/>
        <rFont val="Noto Sans CJK SC"/>
        <family val="2"/>
      </rPr>
      <t xml:space="preserve">）只有「</t>
    </r>
    <r>
      <rPr>
        <sz val="10"/>
        <rFont val="Arial"/>
        <family val="0"/>
        <charset val="1"/>
      </rPr>
      <t xml:space="preserve">ChatGPT 1.2B </t>
    </r>
    <r>
      <rPr>
        <sz val="10"/>
        <rFont val="Noto Sans CJK SC"/>
        <family val="2"/>
      </rPr>
      <t xml:space="preserve">週用戶」，無訊息數與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量</t>
    </r>
  </si>
  <si>
    <r>
      <rPr>
        <sz val="10"/>
        <rFont val="Noto Sans CJK SC"/>
        <family val="2"/>
      </rPr>
      <t xml:space="preserve">讀取日 </t>
    </r>
    <r>
      <rPr>
        <sz val="10"/>
        <rFont val="Arial"/>
        <family val="0"/>
        <charset val="1"/>
      </rPr>
      <t xml:space="preserve">2026-10-15</t>
    </r>
  </si>
  <si>
    <r>
      <rPr>
        <sz val="10"/>
        <rFont val="Noto Sans CJK SC"/>
        <family val="2"/>
      </rPr>
      <t xml:space="preserve">不等於不存在；最新可查日期為 </t>
    </r>
    <r>
      <rPr>
        <sz val="10"/>
        <rFont val="Arial"/>
        <family val="0"/>
        <charset val="1"/>
      </rPr>
      <t xml:space="preserve">10-08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OpenRouter</t>
    </r>
    <r>
      <rPr>
        <sz val="10"/>
        <rFont val="Noto Sans CJK SC"/>
        <family val="2"/>
      </rPr>
      <t xml:space="preserve">）與 </t>
    </r>
    <r>
      <rPr>
        <sz val="10"/>
        <rFont val="Arial"/>
        <family val="0"/>
        <charset val="1"/>
      </rPr>
      <t xml:space="preserve">10-10</t>
    </r>
    <r>
      <rPr>
        <sz val="10"/>
        <rFont val="Noto Sans CJK SC"/>
        <family val="2"/>
      </rPr>
      <t xml:space="preserve">（二手摘要）</t>
    </r>
  </si>
  <si>
    <t xml:space="preserve">2026-10-15</t>
  </si>
  <si>
    <t xml:space="preserve">A1-2</t>
  </si>
  <si>
    <r>
      <rPr>
        <sz val="10"/>
        <rFont val="Arial"/>
        <family val="0"/>
        <charset val="1"/>
      </rPr>
      <t xml:space="preserve">Anthropic token </t>
    </r>
    <r>
      <rPr>
        <sz val="10"/>
        <rFont val="Noto Sans CJK SC"/>
        <family val="2"/>
      </rPr>
      <t xml:space="preserve">量</t>
    </r>
  </si>
  <si>
    <r>
      <rPr>
        <sz val="10"/>
        <rFont val="Noto Sans CJK SC"/>
        <family val="2"/>
      </rPr>
      <t xml:space="preserve">已搜尋，未找到；僅有 </t>
    </r>
    <r>
      <rPr>
        <sz val="10"/>
        <rFont val="Arial"/>
        <family val="0"/>
        <charset val="1"/>
      </rPr>
      <t xml:space="preserve">2026-06-01 </t>
    </r>
    <r>
      <rPr>
        <sz val="10"/>
        <rFont val="Noto Sans CJK SC"/>
        <family val="2"/>
      </rPr>
      <t xml:space="preserve">機密 </t>
    </r>
    <r>
      <rPr>
        <sz val="10"/>
        <rFont val="Arial"/>
        <family val="0"/>
        <charset val="1"/>
      </rPr>
      <t xml:space="preserve">S-1 </t>
    </r>
    <r>
      <rPr>
        <sz val="10"/>
        <rFont val="Noto Sans CJK SC"/>
        <family val="2"/>
      </rPr>
      <t xml:space="preserve">申報與年化營收約 </t>
    </r>
    <r>
      <rPr>
        <sz val="10"/>
        <rFont val="Arial"/>
        <family val="0"/>
        <charset val="1"/>
      </rPr>
      <t xml:space="preserve">470 </t>
    </r>
    <r>
      <rPr>
        <sz val="10"/>
        <rFont val="Noto Sans CJK SC"/>
        <family val="2"/>
      </rPr>
      <t xml:space="preserve">億（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月下旬）的二手報導（</t>
    </r>
    <r>
      <rPr>
        <sz val="10"/>
        <rFont val="Arial"/>
        <family val="0"/>
        <charset val="1"/>
      </rPr>
      <t xml:space="preserve">InterCapital 2026-06-08</t>
    </r>
    <r>
      <rPr>
        <sz val="10"/>
        <rFont val="Noto Sans CJK SC"/>
        <family val="2"/>
      </rPr>
      <t xml:space="preserve">），無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、無推論成本、無利用率</t>
    </r>
  </si>
  <si>
    <r>
      <rPr>
        <sz val="10"/>
        <rFont val="Arial"/>
        <family val="0"/>
        <charset val="1"/>
      </rPr>
      <t xml:space="preserve">https://inter.capital/meet-the-father-of-claude-anthropic-files-for-an-ipo-at-usd-965-billion/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Madrona 2026-04 </t>
    </r>
    <r>
      <rPr>
        <sz val="10"/>
        <rFont val="Noto Sans CJK SC"/>
        <family val="2"/>
      </rPr>
      <t xml:space="preserve">文章也無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量</t>
    </r>
  </si>
  <si>
    <t xml:space="preserve">2026-06-08</t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</si>
  <si>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</rPr>
      <t xml:space="preserve">（二手）</t>
    </r>
  </si>
  <si>
    <r>
      <rPr>
        <sz val="10"/>
        <rFont val="Arial"/>
        <family val="0"/>
        <charset val="1"/>
      </rPr>
      <t xml:space="preserve">Anthropic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IPO </t>
    </r>
    <r>
      <rPr>
        <sz val="10"/>
        <rFont val="Noto Sans CJK SC"/>
        <family val="2"/>
      </rPr>
      <t xml:space="preserve">前敘事</t>
    </r>
  </si>
  <si>
    <t xml:space="preserve">A1-3</t>
  </si>
  <si>
    <r>
      <rPr>
        <sz val="10"/>
        <rFont val="Arial"/>
        <family val="0"/>
        <charset val="1"/>
      </rPr>
      <t xml:space="preserve">Google </t>
    </r>
    <r>
      <rPr>
        <sz val="10"/>
        <rFont val="Noto Sans CJK SC"/>
        <family val="2"/>
      </rPr>
      <t xml:space="preserve">每月處理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</si>
  <si>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Arial"/>
        <family val="0"/>
        <charset val="1"/>
      </rPr>
      <t xml:space="preserve">3.2 </t>
    </r>
    <r>
      <rPr>
        <sz val="10"/>
        <rFont val="Noto Sans CJK SC"/>
        <family val="2"/>
      </rPr>
      <t xml:space="preserve">千兆（</t>
    </r>
    <r>
      <rPr>
        <sz val="10"/>
        <rFont val="Arial"/>
        <family val="0"/>
        <charset val="1"/>
      </rPr>
      <t xml:space="preserve">3.2e15</t>
    </r>
    <r>
      <rPr>
        <sz val="10"/>
        <rFont val="Noto Sans CJK SC"/>
        <family val="2"/>
      </rPr>
      <t xml:space="preserve">）／月，一年前約 </t>
    </r>
    <r>
      <rPr>
        <sz val="10"/>
        <rFont val="Arial"/>
        <family val="0"/>
        <charset val="1"/>
      </rPr>
      <t xml:space="preserve">480 </t>
    </r>
    <r>
      <rPr>
        <sz val="10"/>
        <rFont val="Noto Sans CJK SC"/>
        <family val="2"/>
      </rPr>
      <t xml:space="preserve">兆，兩年前 </t>
    </r>
    <r>
      <rPr>
        <sz val="10"/>
        <rFont val="Arial"/>
        <family val="0"/>
        <charset val="1"/>
      </rPr>
      <t xml:space="preserve">9.7 </t>
    </r>
    <r>
      <rPr>
        <sz val="10"/>
        <rFont val="Noto Sans CJK SC"/>
        <family val="2"/>
      </rPr>
      <t xml:space="preserve">兆；</t>
    </r>
    <r>
      <rPr>
        <sz val="10"/>
        <rFont val="Arial"/>
        <family val="0"/>
        <charset val="1"/>
      </rPr>
      <t xml:space="preserve">Gemini app </t>
    </r>
    <r>
      <rPr>
        <sz val="10"/>
        <rFont val="Noto Sans CJK SC"/>
        <family val="2"/>
      </rPr>
      <t xml:space="preserve">月活 </t>
    </r>
    <r>
      <rPr>
        <sz val="10"/>
        <rFont val="Arial"/>
        <family val="0"/>
        <charset val="1"/>
      </rPr>
      <t xml:space="preserve">&gt;9 </t>
    </r>
    <r>
      <rPr>
        <sz val="10"/>
        <rFont val="Noto Sans CJK SC"/>
        <family val="2"/>
      </rPr>
      <t xml:space="preserve">億</t>
    </r>
  </si>
  <si>
    <r>
      <rPr>
        <sz val="10"/>
        <rFont val="Arial"/>
        <family val="0"/>
        <charset val="1"/>
      </rPr>
      <t xml:space="preserve">2026-05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I/O</t>
    </r>
    <r>
      <rPr>
        <sz val="10"/>
        <rFont val="Noto Sans CJK SC"/>
        <family val="2"/>
      </rPr>
      <t xml:space="preserve">）</t>
    </r>
  </si>
  <si>
    <t xml:space="preserve">https://blog.google/innovation-and-ai/sundar-pichai-io-2026/</t>
  </si>
  <si>
    <t xml:space="preserve">2026-05-19</t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</si>
  <si>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Google</t>
    </r>
    <r>
      <rPr>
        <sz val="10"/>
        <rFont val="Noto Sans CJK SC"/>
        <family val="2"/>
      </rPr>
      <t xml:space="preserve">；誘因：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領先敘事，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量含所有內部表面與快取，並非付費收入口徑）</t>
    </r>
  </si>
  <si>
    <r>
      <rPr>
        <sz val="10"/>
        <rFont val="Noto Sans CJK SC"/>
        <family val="2"/>
      </rPr>
      <t xml:space="preserve">換算 </t>
    </r>
    <r>
      <rPr>
        <sz val="10"/>
        <rFont val="Arial"/>
        <family val="0"/>
        <charset val="1"/>
      </rPr>
      <t xml:space="preserve">1.07e14 tok/</t>
    </r>
    <r>
      <rPr>
        <sz val="10"/>
        <rFont val="Noto Sans CJK SC"/>
        <family val="2"/>
      </rPr>
      <t xml:space="preserve">日＝</t>
    </r>
    <r>
      <rPr>
        <sz val="10"/>
        <rFont val="Arial"/>
        <family val="0"/>
        <charset val="1"/>
      </rPr>
      <t xml:space="preserve">107 T/</t>
    </r>
    <r>
      <rPr>
        <sz val="10"/>
        <rFont val="Noto Sans CJK SC"/>
        <family val="2"/>
      </rPr>
      <t xml:space="preserve">日；對照 </t>
    </r>
    <r>
      <rPr>
        <sz val="10"/>
        <rFont val="Arial"/>
        <family val="0"/>
        <charset val="1"/>
      </rPr>
      <t xml:space="preserve">Alloc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列 </t>
    </r>
    <r>
      <rPr>
        <sz val="10"/>
        <rFont val="Arial"/>
        <family val="0"/>
        <charset val="1"/>
      </rPr>
      <t xml:space="preserve">OpenAI 2025 </t>
    </r>
    <r>
      <rPr>
        <sz val="10"/>
        <rFont val="Noto Sans CJK SC"/>
        <family val="2"/>
      </rPr>
      <t xml:space="preserve">需求 </t>
    </r>
    <r>
      <rPr>
        <sz val="10"/>
        <rFont val="Arial"/>
        <family val="0"/>
        <charset val="1"/>
      </rPr>
      <t xml:space="preserve">16.5 T/</t>
    </r>
    <r>
      <rPr>
        <sz val="10"/>
        <rFont val="Noto Sans CJK SC"/>
        <family val="2"/>
      </rPr>
      <t xml:space="preserve">日（</t>
    </r>
    <r>
      <rPr>
        <sz val="10"/>
        <rFont val="Arial"/>
        <family val="0"/>
        <charset val="1"/>
      </rPr>
      <t xml:space="preserve">Epoch </t>
    </r>
    <r>
      <rPr>
        <sz val="10"/>
        <rFont val="Noto Sans CJK SC"/>
        <family val="2"/>
      </rPr>
      <t xml:space="preserve">區間 </t>
    </r>
    <r>
      <rPr>
        <sz val="10"/>
        <rFont val="Arial"/>
        <family val="0"/>
        <charset val="1"/>
      </rPr>
      <t xml:space="preserve">10–100 T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DB_Evidence D180 </t>
    </r>
    <r>
      <rPr>
        <sz val="10"/>
        <rFont val="Noto Sans CJK SC"/>
        <family val="2"/>
      </rPr>
      <t xml:space="preserve">已登錄同主題，不重複登錄</t>
    </r>
  </si>
  <si>
    <t xml:space="preserve">A1-4</t>
  </si>
  <si>
    <r>
      <rPr>
        <sz val="10"/>
        <rFont val="Arial"/>
        <family val="0"/>
        <charset val="1"/>
      </rPr>
      <t xml:space="preserve">Microsoft</t>
    </r>
    <r>
      <rPr>
        <sz val="10"/>
        <rFont val="Noto Sans CJK SC"/>
        <family val="2"/>
      </rPr>
      <t xml:space="preserve">：年化達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兆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Foundry </t>
    </r>
    <r>
      <rPr>
        <sz val="10"/>
        <rFont val="Noto Sans CJK SC"/>
        <family val="2"/>
      </rPr>
      <t xml:space="preserve">客戶數較去年 </t>
    </r>
    <r>
      <rPr>
        <sz val="10"/>
        <rFont val="Arial"/>
        <family val="0"/>
        <charset val="1"/>
      </rPr>
      <t xml:space="preserve">×4</t>
    </r>
  </si>
  <si>
    <r>
      <rPr>
        <sz val="10"/>
        <rFont val="Noto Sans CJK SC"/>
        <family val="2"/>
      </rPr>
      <t xml:space="preserve">無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總量</t>
    </r>
  </si>
  <si>
    <r>
      <rPr>
        <sz val="10"/>
        <rFont val="Arial"/>
        <family val="0"/>
        <charset val="1"/>
      </rPr>
      <t xml:space="preserve">FY26 Q4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2026-04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06</t>
    </r>
    <r>
      <rPr>
        <sz val="10"/>
        <rFont val="Noto Sans CJK SC"/>
        <family val="2"/>
      </rPr>
      <t xml:space="preserve">），電話會議 </t>
    </r>
    <r>
      <rPr>
        <sz val="10"/>
        <rFont val="Arial"/>
        <family val="0"/>
        <charset val="1"/>
      </rPr>
      <t xml:space="preserve">2026-07-29</t>
    </r>
  </si>
  <si>
    <r>
      <rPr>
        <sz val="10"/>
        <rFont val="Arial"/>
        <family val="0"/>
        <charset val="1"/>
      </rPr>
      <t xml:space="preserve">Futurum 2026-07-31 https://futurumgroup.com/insights/microsoft-q4-fy-2026-ai-demand-accelerates-azure-and-enterprise-growth/</t>
    </r>
    <r>
      <rPr>
        <sz val="10"/>
        <rFont val="Noto Sans CJK SC"/>
        <family val="2"/>
      </rPr>
      <t xml:space="preserve">（二手）</t>
    </r>
  </si>
  <si>
    <t xml:space="preserve">2026-07-31</t>
  </si>
  <si>
    <r>
      <rPr>
        <sz val="10"/>
        <rFont val="Noto Sans CJK SC"/>
        <family val="2"/>
      </rPr>
      <t xml:space="preserve">該文未提 </t>
    </r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Microsoft Cloud </t>
    </r>
    <r>
      <rPr>
        <sz val="10"/>
        <rFont val="Noto Sans CJK SC"/>
        <family val="2"/>
      </rPr>
      <t xml:space="preserve">毛利 </t>
    </r>
    <r>
      <rPr>
        <sz val="10"/>
        <rFont val="Arial"/>
        <family val="0"/>
        <charset val="1"/>
      </rPr>
      <t xml:space="preserve">65%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FY26 Q4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cryptobriefing 2026-10-10 </t>
    </r>
    <r>
      <rPr>
        <sz val="10"/>
        <rFont val="Noto Sans CJK SC"/>
        <family val="2"/>
      </rPr>
      <t xml:space="preserve">摘要）→ 不可比（含軟體）</t>
    </r>
  </si>
  <si>
    <t xml:space="preserve">A1-5</t>
  </si>
  <si>
    <r>
      <rPr>
        <sz val="10"/>
        <rFont val="Arial"/>
        <family val="0"/>
        <charset val="1"/>
      </rPr>
      <t xml:space="preserve">OpenRouter </t>
    </r>
    <r>
      <rPr>
        <sz val="10"/>
        <rFont val="Noto Sans CJK SC"/>
        <family val="2"/>
      </rPr>
      <t xml:space="preserve">週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</si>
  <si>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Arial"/>
        <family val="0"/>
        <charset val="1"/>
      </rPr>
      <t xml:space="preserve">128.4 T</t>
    </r>
    <r>
      <rPr>
        <sz val="10"/>
        <rFont val="Noto Sans CJK SC"/>
        <family val="2"/>
      </rPr>
      <t xml:space="preserve">／週（</t>
    </r>
    <r>
      <rPr>
        <sz val="10"/>
        <rFont val="Arial"/>
        <family val="0"/>
        <charset val="1"/>
      </rPr>
      <t xml:space="preserve">2026-09-14 </t>
    </r>
    <r>
      <rPr>
        <sz val="10"/>
        <rFont val="Noto Sans CJK SC"/>
        <family val="2"/>
      </rPr>
      <t xml:space="preserve">週）；</t>
    </r>
    <r>
      <rPr>
        <sz val="10"/>
        <rFont val="Arial"/>
        <family val="0"/>
        <charset val="1"/>
      </rPr>
      <t xml:space="preserve">2025-01-13 </t>
    </r>
    <r>
      <rPr>
        <sz val="10"/>
        <rFont val="Noto Sans CJK SC"/>
        <family val="2"/>
      </rPr>
      <t xml:space="preserve">週約 </t>
    </r>
    <r>
      <rPr>
        <sz val="10"/>
        <rFont val="Arial"/>
        <family val="0"/>
        <charset val="1"/>
      </rPr>
      <t xml:space="preserve">0.5 T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Anthropic </t>
    </r>
    <r>
      <rPr>
        <sz val="10"/>
        <rFont val="Noto Sans CJK SC"/>
        <family val="2"/>
      </rPr>
      <t xml:space="preserve">合計 </t>
    </r>
    <r>
      <rPr>
        <sz val="10"/>
        <rFont val="Arial"/>
        <family val="0"/>
        <charset val="1"/>
      </rPr>
      <t xml:space="preserve">token 78%</t>
    </r>
  </si>
  <si>
    <t xml:space="preserve">2026-09</t>
  </si>
  <si>
    <t xml:space="preserve">https://openrouter.ai/data/newsletter/the-token-state-of-play</t>
  </si>
  <si>
    <t xml:space="preserve">2026-09-22</t>
  </si>
  <si>
    <r>
      <rPr>
        <sz val="10"/>
        <rFont val="Arial"/>
        <family val="0"/>
        <charset val="1"/>
      </rPr>
      <t xml:space="preserve">Analogy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OpenRouter</t>
    </r>
    <r>
      <rPr>
        <sz val="10"/>
        <rFont val="Noto Sans CJK SC"/>
        <family val="2"/>
      </rPr>
      <t xml:space="preserve">：路由商，樣本偏開發者；無輸入／輸出拆分）</t>
    </r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</si>
  <si>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OpenRouter </t>
    </r>
    <r>
      <rPr>
        <sz val="10"/>
        <rFont val="Noto Sans CJK SC"/>
        <family val="2"/>
      </rPr>
      <t xml:space="preserve">量不等於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全部 </t>
    </r>
    <r>
      <rPr>
        <sz val="10"/>
        <rFont val="Arial"/>
        <family val="0"/>
        <charset val="1"/>
      </rPr>
      <t xml:space="preserve">API</t>
    </r>
  </si>
  <si>
    <t xml:space="preserve">A1-6</t>
  </si>
  <si>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內部：</t>
    </r>
    <r>
      <rPr>
        <sz val="10"/>
        <rFont val="Arial"/>
        <family val="0"/>
        <charset val="1"/>
      </rPr>
      <t xml:space="preserve">Codex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全公司每週輸出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</si>
  <si>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Arial"/>
        <family val="0"/>
        <charset val="1"/>
      </rPr>
      <t xml:space="preserve">99.8%</t>
    </r>
    <r>
      <rPr>
        <sz val="10"/>
        <rFont val="Noto Sans CJK SC"/>
        <family val="2"/>
      </rPr>
      <t xml:space="preserve">；平均員工 </t>
    </r>
    <r>
      <rPr>
        <sz val="10"/>
        <rFont val="Arial"/>
        <family val="0"/>
        <charset val="1"/>
      </rPr>
      <t xml:space="preserve">2025-08 </t>
    </r>
    <r>
      <rPr>
        <sz val="10"/>
        <rFont val="Noto Sans CJK SC"/>
        <family val="2"/>
      </rPr>
      <t xml:space="preserve">前 </t>
    </r>
    <r>
      <rPr>
        <sz val="10"/>
        <rFont val="Arial"/>
        <family val="0"/>
        <charset val="1"/>
      </rPr>
      <t xml:space="preserve">Codex </t>
    </r>
    <r>
      <rPr>
        <sz val="10"/>
        <rFont val="Noto Sans CJK SC"/>
        <family val="2"/>
      </rPr>
      <t xml:space="preserve">占比 </t>
    </r>
    <r>
      <rPr>
        <sz val="10"/>
        <rFont val="Arial"/>
        <family val="0"/>
        <charset val="1"/>
      </rPr>
      <t xml:space="preserve">&lt;10%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2026-06 </t>
    </r>
    <r>
      <rPr>
        <sz val="10"/>
        <rFont val="Noto Sans CJK SC"/>
        <family val="2"/>
      </rPr>
      <t xml:space="preserve">前後 </t>
    </r>
    <r>
      <rPr>
        <sz val="10"/>
        <rFont val="Arial"/>
        <family val="0"/>
        <charset val="1"/>
      </rPr>
      <t xml:space="preserve">&gt;85%</t>
    </r>
  </si>
  <si>
    <r>
      <rPr>
        <sz val="10"/>
        <rFont val="Arial"/>
        <family val="0"/>
        <charset val="1"/>
      </rPr>
      <t xml:space="preserve">2026-06 </t>
    </r>
    <r>
      <rPr>
        <sz val="10"/>
        <rFont val="Noto Sans CJK SC"/>
        <family val="2"/>
      </rPr>
      <t xml:space="preserve">前後</t>
    </r>
  </si>
  <si>
    <t xml:space="preserve">https://openai.com/index/how-agents-are-transforming-work/</t>
  </si>
  <si>
    <r>
      <rPr>
        <sz val="10"/>
        <rFont val="Arial"/>
        <family val="0"/>
        <charset val="1"/>
      </rPr>
      <t xml:space="preserve">2026-06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08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</si>
  <si>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自述）</t>
    </r>
  </si>
  <si>
    <r>
      <rPr>
        <sz val="10"/>
        <rFont val="Noto Sans CJK SC"/>
        <family val="2"/>
      </rPr>
      <t xml:space="preserve">只涵蓋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內部使用，不是客戶流量；說明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年流量結構仍以對話為主，代理型流量是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年的現象（支持「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實際輸入長度較短、較少快取」）</t>
    </r>
  </si>
  <si>
    <t xml:space="preserve">A1-7</t>
  </si>
  <si>
    <r>
      <rPr>
        <sz val="10"/>
        <rFont val="Arial"/>
        <family val="0"/>
        <charset val="1"/>
      </rPr>
      <t xml:space="preserve">OpenRouter </t>
    </r>
    <r>
      <rPr>
        <sz val="10"/>
        <rFont val="Noto Sans CJK SC"/>
        <family val="2"/>
      </rPr>
      <t xml:space="preserve">月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2026-08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OpenAI 25.6 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Anthropic 8.8 T</t>
    </r>
  </si>
  <si>
    <t xml:space="preserve">2026-08</t>
  </si>
  <si>
    <r>
      <rPr>
        <sz val="10"/>
        <rFont val="Arial"/>
        <family val="0"/>
        <charset val="1"/>
      </rPr>
      <t xml:space="preserve">https://sacra.com/research/openai</t>
    </r>
    <r>
      <rPr>
        <sz val="10"/>
        <rFont val="Noto Sans CJK SC"/>
        <family val="2"/>
      </rPr>
      <t xml:space="preserve">（二手）</t>
    </r>
  </si>
  <si>
    <r>
      <rPr>
        <sz val="10"/>
        <rFont val="Arial"/>
        <family val="0"/>
        <charset val="1"/>
      </rPr>
      <t xml:space="preserve">2026-10 </t>
    </r>
    <r>
      <rPr>
        <sz val="10"/>
        <rFont val="Noto Sans CJK SC"/>
        <family val="2"/>
      </rPr>
      <t xml:space="preserve">讀取</t>
    </r>
  </si>
  <si>
    <r>
      <rPr>
        <sz val="10"/>
        <rFont val="Arial"/>
        <family val="0"/>
        <charset val="1"/>
      </rPr>
      <t xml:space="preserve">Analogy</t>
    </r>
    <r>
      <rPr>
        <sz val="10"/>
        <rFont val="Noto Sans CJK SC"/>
        <family val="2"/>
      </rPr>
      <t xml:space="preserve">（二手）</t>
    </r>
  </si>
  <si>
    <t xml:space="preserve">僅作量級對照</t>
  </si>
  <si>
    <r>
      <rPr>
        <b val="true"/>
        <sz val="11"/>
        <color rgb="FF1F3864"/>
        <rFont val="Arial"/>
        <family val="0"/>
        <charset val="1"/>
      </rPr>
      <t xml:space="preserve">2.2_A2 </t>
    </r>
    <r>
      <rPr>
        <b val="true"/>
        <sz val="11"/>
        <color rgb="FF1F3864"/>
        <rFont val="Noto Sans CJK SC"/>
        <family val="2"/>
      </rPr>
      <t xml:space="preserve">計價倍數</t>
    </r>
  </si>
  <si>
    <r>
      <rPr>
        <sz val="10"/>
        <rFont val="Noto Sans CJK SC"/>
        <family val="2"/>
      </rPr>
      <t xml:space="preserve">搜尋範圍：「</t>
    </r>
    <r>
      <rPr>
        <sz val="10"/>
        <rFont val="Arial"/>
        <family val="0"/>
        <charset val="1"/>
      </rPr>
      <t xml:space="preserve">OpenAI Microsoft Azure inference spend 2025 … leaked documents revenue share</t>
    </r>
    <r>
      <rPr>
        <sz val="10"/>
        <rFont val="Noto Sans CJK SC"/>
        <family val="2"/>
      </rPr>
      <t xml:space="preserve">」「</t>
    </r>
    <r>
      <rPr>
        <sz val="10"/>
        <rFont val="Arial"/>
        <family val="0"/>
        <charset val="1"/>
      </rPr>
      <t xml:space="preserve">OpenAI Oracle Stargate compute price per GPU hour per GW</t>
    </r>
    <r>
      <rPr>
        <sz val="10"/>
        <rFont val="Noto Sans CJK SC"/>
        <family val="2"/>
      </rPr>
      <t xml:space="preserve">」「</t>
    </r>
    <r>
      <rPr>
        <sz val="10"/>
        <rFont val="Arial"/>
        <family val="0"/>
        <charset val="1"/>
      </rPr>
      <t xml:space="preserve">OpenAI compute margin 2025 The Information</t>
    </r>
    <r>
      <rPr>
        <sz val="10"/>
        <rFont val="Noto Sans CJK SC"/>
        <family val="2"/>
      </rPr>
      <t xml:space="preserve">」「</t>
    </r>
    <r>
      <rPr>
        <sz val="10"/>
        <rFont val="Arial"/>
        <family val="0"/>
        <charset val="1"/>
      </rPr>
      <t xml:space="preserve">Oracle AI cloud gross margin 14%</t>
    </r>
    <r>
      <rPr>
        <sz val="10"/>
        <rFont val="Noto Sans CJK SC"/>
        <family val="2"/>
      </rPr>
      <t xml:space="preserve">」「</t>
    </r>
    <r>
      <rPr>
        <sz val="10"/>
        <rFont val="Arial"/>
        <family val="0"/>
        <charset val="1"/>
      </rPr>
      <t xml:space="preserve">Microsoft Azure AI infrastructure gross margin</t>
    </r>
    <r>
      <rPr>
        <sz val="10"/>
        <rFont val="Noto Sans CJK SC"/>
        <family val="2"/>
      </rPr>
      <t xml:space="preserve">」「</t>
    </r>
    <r>
      <rPr>
        <sz val="10"/>
        <rFont val="Arial"/>
        <family val="0"/>
        <charset val="1"/>
      </rPr>
      <t xml:space="preserve">H100 rental price 2025 Silicon Data</t>
    </r>
    <r>
      <rPr>
        <sz val="10"/>
        <rFont val="Noto Sans CJK SC"/>
        <family val="2"/>
      </rPr>
      <t xml:space="preserve">」「</t>
    </r>
    <r>
      <rPr>
        <sz val="10"/>
        <rFont val="Arial"/>
        <family val="0"/>
        <charset val="1"/>
      </rPr>
      <t xml:space="preserve">Azure ND H100 v5 price</t>
    </r>
    <r>
      <rPr>
        <sz val="10"/>
        <rFont val="Noto Sans CJK SC"/>
        <family val="2"/>
      </rPr>
      <t xml:space="preserve">」「</t>
    </r>
    <r>
      <rPr>
        <sz val="10"/>
        <rFont val="Arial"/>
        <family val="0"/>
        <charset val="1"/>
      </rPr>
      <t xml:space="preserve">OpenAI Oracle $300 billion 4.5 gigawatts</t>
    </r>
    <r>
      <rPr>
        <sz val="10"/>
        <rFont val="Noto Sans CJK SC"/>
        <family val="2"/>
      </rPr>
      <t xml:space="preserve">」「</t>
    </r>
    <r>
      <rPr>
        <sz val="10"/>
        <rFont val="Arial"/>
        <family val="0"/>
        <charset val="1"/>
      </rPr>
      <t xml:space="preserve">CoreWeave revenue per megawatt</t>
    </r>
    <r>
      <rPr>
        <sz val="10"/>
        <rFont val="Noto Sans CJK SC"/>
        <family val="2"/>
      </rPr>
      <t xml:space="preserve">」；</t>
    </r>
    <r>
      <rPr>
        <sz val="10"/>
        <rFont val="Arial"/>
        <family val="0"/>
        <charset val="1"/>
      </rPr>
      <t xml:space="preserve">WebFetch </t>
    </r>
    <r>
      <rPr>
        <sz val="10"/>
        <rFont val="Noto Sans CJK SC"/>
        <family val="2"/>
      </rPr>
      <t xml:space="preserve">對應原文。</t>
    </r>
  </si>
  <si>
    <r>
      <rPr>
        <sz val="10"/>
        <rFont val="Noto Sans CJK SC"/>
        <family val="2"/>
      </rPr>
      <t xml:space="preserve">持有成本對照（</t>
    </r>
    <r>
      <rPr>
        <sz val="10"/>
        <rFont val="Arial"/>
        <family val="0"/>
        <charset val="1"/>
      </rPr>
      <t xml:space="preserve">Interface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L1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時數、基準成本）：</t>
    </r>
    <r>
      <rPr>
        <sz val="10"/>
        <rFont val="Arial"/>
        <family val="0"/>
        <charset val="1"/>
      </rPr>
      <t xml:space="preserve">Hopper 1.543 $/GPU-hr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1.08–2.65</t>
    </r>
    <r>
      <rPr>
        <sz val="10"/>
        <rFont val="Noto Sans CJK SC"/>
        <family val="2"/>
      </rPr>
      <t xml:space="preserve">）；單位 </t>
    </r>
    <r>
      <rPr>
        <sz val="10"/>
        <rFont val="Arial"/>
        <family val="0"/>
        <charset val="1"/>
      </rPr>
      <t xml:space="preserve">GW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Hopper 9.70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GB200 8.83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GB300 10.89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VR200 12.23 $B/GW/</t>
    </r>
    <r>
      <rPr>
        <sz val="10"/>
        <rFont val="Noto Sans CJK SC"/>
        <family val="2"/>
      </rPr>
      <t xml:space="preserve">年。</t>
    </r>
  </si>
  <si>
    <r>
      <rPr>
        <sz val="10"/>
        <rFont val="Arial"/>
        <family val="0"/>
        <charset val="1"/>
      </rPr>
      <t xml:space="preserve">2.2 A2 </t>
    </r>
    <r>
      <rPr>
        <sz val="10"/>
        <rFont val="Noto Sans CJK SC"/>
        <family val="2"/>
      </rPr>
      <t xml:space="preserve">計價倍數（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推論計價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持有成本；現值 </t>
    </r>
    <r>
      <rPr>
        <sz val="10"/>
        <rFont val="Arial"/>
        <family val="0"/>
        <charset val="1"/>
      </rPr>
      <t xml:space="preserve">2.0</t>
    </r>
    <r>
      <rPr>
        <sz val="10"/>
        <rFont val="Noto Sans CJK SC"/>
        <family val="2"/>
      </rPr>
      <t xml:space="preserve">，區間 </t>
    </r>
    <r>
      <rPr>
        <sz val="10"/>
        <rFont val="Arial"/>
        <family val="0"/>
        <charset val="1"/>
      </rPr>
      <t xml:space="preserve">1.5–3.0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）</t>
    </r>
  </si>
  <si>
    <t xml:space="preserve">期間</t>
  </si>
  <si>
    <t xml:space="preserve">利害關係方與誘因／推得倍數</t>
  </si>
  <si>
    <t xml:space="preserve">A2-1</t>
  </si>
  <si>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出租 </t>
    </r>
    <r>
      <rPr>
        <sz val="10"/>
        <rFont val="Arial"/>
        <family val="0"/>
        <charset val="1"/>
      </rPr>
      <t xml:space="preserve">Nvidia </t>
    </r>
    <r>
      <rPr>
        <sz val="10"/>
        <rFont val="Noto Sans CJK SC"/>
        <family val="2"/>
      </rPr>
      <t xml:space="preserve">伺服器：營收約 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億、毛利約 </t>
    </r>
    <r>
      <rPr>
        <sz val="10"/>
        <rFont val="Arial"/>
        <family val="0"/>
        <charset val="1"/>
      </rPr>
      <t xml:space="preserve">1.25 </t>
    </r>
    <r>
      <rPr>
        <sz val="10"/>
        <rFont val="Noto Sans CJK SC"/>
        <family val="2"/>
      </rPr>
      <t xml:space="preserve">億</t>
    </r>
  </si>
  <si>
    <r>
      <rPr>
        <sz val="10"/>
        <rFont val="Noto Sans CJK SC"/>
        <family val="2"/>
      </rPr>
      <t xml:space="preserve">毛利率 </t>
    </r>
    <r>
      <rPr>
        <sz val="10"/>
        <rFont val="Arial"/>
        <family val="0"/>
        <charset val="1"/>
      </rPr>
      <t xml:space="preserve">14%</t>
    </r>
  </si>
  <si>
    <r>
      <rPr>
        <sz val="10"/>
        <rFont val="Arial"/>
        <family val="0"/>
        <charset val="1"/>
      </rPr>
      <t xml:space="preserve">2025-06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08 </t>
    </r>
    <r>
      <rPr>
        <sz val="10"/>
        <rFont val="Noto Sans CJK SC"/>
        <family val="2"/>
      </rPr>
      <t xml:space="preserve">季</t>
    </r>
  </si>
  <si>
    <r>
      <rPr>
        <sz val="10"/>
        <rFont val="Noto Sans CJK SC"/>
        <family val="2"/>
      </rPr>
      <t xml:space="preserve">二手轉述 </t>
    </r>
    <r>
      <rPr>
        <sz val="10"/>
        <rFont val="Arial"/>
        <family val="0"/>
        <charset val="1"/>
      </rPr>
      <t xml:space="preserve">The Information </t>
    </r>
    <r>
      <rPr>
        <sz val="10"/>
        <rFont val="Noto Sans CJK SC"/>
        <family val="2"/>
      </rPr>
      <t xml:space="preserve">報導 </t>
    </r>
    <r>
      <rPr>
        <sz val="10"/>
        <rFont val="Arial"/>
        <family val="0"/>
        <charset val="1"/>
      </rPr>
      <t xml:space="preserve">https://business.sherbrookerecord.com/sherbrookerecord/article/marketminute-2025-10-7-oracles-ai-cloud-margins-squeezed-by-nvidia-chips-sparking-investor-jitters</t>
    </r>
  </si>
  <si>
    <t xml:space="preserve">2025-10-07</t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</si>
  <si>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</rPr>
      <t xml:space="preserve">（洩漏的內部財務，二手；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曾公開表示合約壽命期毛利更高，該文未載，未驗證）</t>
    </r>
  </si>
  <si>
    <r>
      <rPr>
        <sz val="10"/>
        <rFont val="Noto Sans CJK SC"/>
        <family val="2"/>
      </rPr>
      <t xml:space="preserve">價格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（含折舊與營運成本的成本）＝</t>
    </r>
    <r>
      <rPr>
        <sz val="10"/>
        <rFont val="Arial"/>
        <family val="0"/>
        <charset val="1"/>
      </rPr>
      <t xml:space="preserve">1÷(1−0.14)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1.16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Derived</t>
    </r>
    <r>
      <rPr>
        <sz val="10"/>
        <rFont val="Noto Sans CJK SC"/>
        <family val="2"/>
      </rPr>
      <t xml:space="preserve">）。此處成本含營運費，略大於「持有成本」，故倍數略低估</t>
    </r>
  </si>
  <si>
    <t xml:space="preserve">A2-2</t>
  </si>
  <si>
    <r>
      <rPr>
        <sz val="10"/>
        <rFont val="Arial"/>
        <family val="0"/>
        <charset val="1"/>
      </rPr>
      <t xml:space="preserve">CoreWeave 2026 Q2</t>
    </r>
    <r>
      <rPr>
        <sz val="10"/>
        <rFont val="Noto Sans CJK SC"/>
        <family val="2"/>
      </rPr>
      <t xml:space="preserve">：營收 </t>
    </r>
    <r>
      <rPr>
        <sz val="10"/>
        <rFont val="Arial"/>
        <family val="0"/>
        <charset val="1"/>
      </rPr>
      <t xml:space="preserve">26 </t>
    </r>
    <r>
      <rPr>
        <sz val="10"/>
        <rFont val="Noto Sans CJK SC"/>
        <family val="2"/>
      </rPr>
      <t xml:space="preserve">億、調整後營業利益率 </t>
    </r>
    <r>
      <rPr>
        <sz val="10"/>
        <rFont val="Arial"/>
        <family val="0"/>
        <charset val="1"/>
      </rPr>
      <t xml:space="preserve">5%</t>
    </r>
    <r>
      <rPr>
        <sz val="10"/>
        <rFont val="Noto Sans CJK SC"/>
        <family val="2"/>
      </rPr>
      <t xml:space="preserve">、調整後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；活躍電力 </t>
    </r>
    <r>
      <rPr>
        <sz val="10"/>
        <rFont val="Arial"/>
        <family val="0"/>
        <charset val="1"/>
      </rPr>
      <t xml:space="preserve">1.5 GW</t>
    </r>
    <r>
      <rPr>
        <sz val="10"/>
        <rFont val="Noto Sans CJK SC"/>
        <family val="2"/>
      </rPr>
      <t xml:space="preserve">、合約電力 </t>
    </r>
    <r>
      <rPr>
        <sz val="10"/>
        <rFont val="Arial"/>
        <family val="0"/>
        <charset val="1"/>
      </rPr>
      <t xml:space="preserve">3.7→4.2 GW</t>
    </r>
  </si>
  <si>
    <r>
      <rPr>
        <sz val="10"/>
        <rFont val="Noto Sans CJK SC"/>
        <family val="2"/>
      </rPr>
      <t xml:space="preserve">營業利益率 </t>
    </r>
    <r>
      <rPr>
        <sz val="10"/>
        <rFont val="Arial"/>
        <family val="0"/>
        <charset val="1"/>
      </rPr>
      <t xml:space="preserve">5%</t>
    </r>
  </si>
  <si>
    <t xml:space="preserve">2026 Q2</t>
  </si>
  <si>
    <r>
      <rPr>
        <sz val="10"/>
        <rFont val="Arial"/>
        <family val="0"/>
        <charset val="1"/>
      </rPr>
      <t xml:space="preserve">https://www.marketbeat.com/instant-alerts/coreweave-q2-earnings-call-highlights-2026-08-11/</t>
    </r>
    <r>
      <rPr>
        <sz val="10"/>
        <rFont val="Noto Sans CJK SC"/>
        <family val="2"/>
      </rPr>
      <t xml:space="preserve">（二手摘要）</t>
    </r>
  </si>
  <si>
    <t xml:space="preserve">2026-08-11</t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</si>
  <si>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CoreWeave</t>
    </r>
    <r>
      <rPr>
        <sz val="10"/>
        <rFont val="Noto Sans CJK SC"/>
        <family val="2"/>
      </rPr>
      <t xml:space="preserve">；誘因：資本市場）</t>
    </r>
  </si>
  <si>
    <r>
      <rPr>
        <sz val="10"/>
        <rFont val="Noto Sans CJK SC"/>
        <family val="2"/>
      </rPr>
      <t xml:space="preserve">價格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（成本含折舊、未含利息）≈</t>
    </r>
    <r>
      <rPr>
        <sz val="10"/>
        <rFont val="Arial"/>
        <family val="0"/>
        <charset val="1"/>
      </rPr>
      <t xml:space="preserve">1÷(1−0.05)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1.05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Derived</t>
    </r>
    <r>
      <rPr>
        <sz val="10"/>
        <rFont val="Noto Sans CJK SC"/>
        <family val="2"/>
      </rPr>
      <t xml:space="preserve">，下限）。每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營收：未揭露</t>
    </r>
  </si>
  <si>
    <t xml:space="preserve">A2-3</t>
  </si>
  <si>
    <r>
      <rPr>
        <sz val="10"/>
        <rFont val="Arial"/>
        <family val="0"/>
        <charset val="1"/>
      </rPr>
      <t xml:space="preserve">OpenAI–Oracle </t>
    </r>
    <r>
      <rPr>
        <sz val="10"/>
        <rFont val="Noto Sans CJK SC"/>
        <family val="2"/>
      </rPr>
      <t xml:space="preserve">雲端合約：</t>
    </r>
    <r>
      <rPr>
        <sz val="10"/>
        <rFont val="Arial"/>
        <family val="0"/>
        <charset val="1"/>
      </rPr>
      <t xml:space="preserve">3,000 </t>
    </r>
    <r>
      <rPr>
        <sz val="10"/>
        <rFont val="Noto Sans CJK SC"/>
        <family val="2"/>
      </rPr>
      <t xml:space="preserve">億美元、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年、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起、約 </t>
    </r>
    <r>
      <rPr>
        <sz val="10"/>
        <rFont val="Arial"/>
        <family val="0"/>
        <charset val="1"/>
      </rPr>
      <t xml:space="preserve">4.5–5 GW</t>
    </r>
  </si>
  <si>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600 </t>
    </r>
    <r>
      <rPr>
        <sz val="10"/>
        <rFont val="Noto Sans CJK SC"/>
        <family val="2"/>
      </rPr>
      <t xml:space="preserve">億／年；每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12.0–13.3 B</t>
    </r>
  </si>
  <si>
    <t xml:space="preserve">2027–2031</t>
  </si>
  <si>
    <r>
      <rPr>
        <sz val="10"/>
        <rFont val="Arial"/>
        <family val="0"/>
        <charset val="1"/>
      </rPr>
      <t xml:space="preserve">WSJ </t>
    </r>
    <r>
      <rPr>
        <sz val="10"/>
        <rFont val="Noto Sans CJK SC"/>
        <family val="2"/>
      </rPr>
      <t xml:space="preserve">經 </t>
    </r>
    <r>
      <rPr>
        <sz val="10"/>
        <rFont val="Arial"/>
        <family val="0"/>
        <charset val="1"/>
      </rPr>
      <t xml:space="preserve">The Register https://www.theregister.com/2025/09/11/openai_reportedly_on_the_hook/</t>
    </r>
  </si>
  <si>
    <t xml:space="preserve">2025-09-11</t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</si>
  <si>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</rPr>
      <t xml:space="preserve">（匿名消息；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皆有誘因渲染規模；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口徑未明：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或設施）</t>
    </r>
  </si>
  <si>
    <r>
      <rPr>
        <sz val="10"/>
        <rFont val="Arial"/>
        <family val="0"/>
        <charset val="1"/>
      </rPr>
      <t xml:space="preserve">Derived</t>
    </r>
    <r>
      <rPr>
        <sz val="10"/>
        <rFont val="Noto Sans CJK SC"/>
        <family val="2"/>
      </rPr>
      <t xml:space="preserve">：對持有成本 </t>
    </r>
    <r>
      <rPr>
        <sz val="10"/>
        <rFont val="Arial"/>
        <family val="0"/>
        <charset val="1"/>
      </rPr>
      <t xml:space="preserve">GB300 10.89→1.10–1.22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GB200 8.83→1.36–1.51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VR200 12.23→0.98–1.09</t>
    </r>
    <r>
      <rPr>
        <sz val="10"/>
        <rFont val="Noto Sans CJK SC"/>
        <family val="2"/>
      </rPr>
      <t xml:space="preserve">。若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為設施口徑，每 </t>
    </r>
    <r>
      <rPr>
        <sz val="10"/>
        <rFont val="Arial"/>
        <family val="0"/>
        <charset val="1"/>
      </rPr>
      <t xml:space="preserve">IT GW </t>
    </r>
    <r>
      <rPr>
        <sz val="10"/>
        <rFont val="Noto Sans CJK SC"/>
        <family val="2"/>
      </rPr>
      <t xml:space="preserve">再 </t>
    </r>
    <r>
      <rPr>
        <sz val="10"/>
        <rFont val="Arial"/>
        <family val="0"/>
        <charset val="1"/>
      </rPr>
      <t xml:space="preserve">×PUE</t>
    </r>
    <r>
      <rPr>
        <sz val="10"/>
        <rFont val="Noto Sans CJK SC"/>
        <family val="2"/>
      </rPr>
      <t xml:space="preserve">，倍數上升（口徑未明，不加）</t>
    </r>
  </si>
  <si>
    <t xml:space="preserve">A2-4</t>
  </si>
  <si>
    <r>
      <rPr>
        <sz val="10"/>
        <rFont val="Arial"/>
        <family val="0"/>
        <charset val="1"/>
      </rPr>
      <t xml:space="preserve">H100 </t>
    </r>
    <r>
      <rPr>
        <sz val="10"/>
        <rFont val="Noto Sans CJK SC"/>
        <family val="2"/>
      </rPr>
      <t xml:space="preserve">租價指數（每 </t>
    </r>
    <r>
      <rPr>
        <sz val="10"/>
        <rFont val="Arial"/>
        <family val="0"/>
        <charset val="1"/>
      </rPr>
      <t xml:space="preserve">GPU-hr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2025-01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05 </t>
    </r>
    <r>
      <rPr>
        <sz val="10"/>
        <rFont val="Noto Sans CJK SC"/>
        <family val="2"/>
      </rPr>
      <t xml:space="preserve">超大雲 </t>
    </r>
    <r>
      <rPr>
        <sz val="10"/>
        <rFont val="Arial"/>
        <family val="0"/>
        <charset val="1"/>
      </rPr>
      <t xml:space="preserve">8.73–9.30</t>
    </r>
    <r>
      <rPr>
        <sz val="10"/>
        <rFont val="Noto Sans CJK SC"/>
        <family val="2"/>
      </rPr>
      <t xml:space="preserve">、市集 </t>
    </r>
    <r>
      <rPr>
        <sz val="10"/>
        <rFont val="Arial"/>
        <family val="0"/>
        <charset val="1"/>
      </rPr>
      <t xml:space="preserve">2.27–2.46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neocloud 3.00–4.19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2025-07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超大雲 </t>
    </r>
    <r>
      <rPr>
        <sz val="10"/>
        <rFont val="Arial"/>
        <family val="0"/>
        <charset val="1"/>
      </rPr>
      <t xml:space="preserve">6.20–6.64</t>
    </r>
    <r>
      <rPr>
        <sz val="10"/>
        <rFont val="Noto Sans CJK SC"/>
        <family val="2"/>
      </rPr>
      <t xml:space="preserve">、市集 </t>
    </r>
    <r>
      <rPr>
        <sz val="10"/>
        <rFont val="Arial"/>
        <family val="0"/>
        <charset val="1"/>
      </rPr>
      <t xml:space="preserve">1.92–2.00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neocloud 3.01–3.40</t>
    </r>
  </si>
  <si>
    <r>
      <rPr>
        <sz val="10"/>
        <rFont val="Noto Sans CJK SC"/>
        <family val="2"/>
      </rPr>
      <t xml:space="preserve">超大雲 </t>
    </r>
    <r>
      <rPr>
        <sz val="10"/>
        <rFont val="Arial"/>
        <family val="0"/>
        <charset val="1"/>
      </rPr>
      <t xml:space="preserve">6.26–8.96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neocloud 3.33–3.50</t>
    </r>
    <r>
      <rPr>
        <sz val="10"/>
        <rFont val="Noto Sans CJK SC"/>
        <family val="2"/>
      </rPr>
      <t xml:space="preserve">、市集 </t>
    </r>
    <r>
      <rPr>
        <sz val="10"/>
        <rFont val="Arial"/>
        <family val="0"/>
        <charset val="1"/>
      </rPr>
      <t xml:space="preserve">1.95–2.29</t>
    </r>
  </si>
  <si>
    <t xml:space="preserve">https://www.silicondata.com/blog/h100-rental-price-over-time</t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</si>
  <si>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Silicon Data</t>
    </r>
    <r>
      <rPr>
        <sz val="10"/>
        <rFont val="Noto Sans CJK SC"/>
        <family val="2"/>
      </rPr>
      <t xml:space="preserve">：賣指數資料；為牌價而非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長約價）</t>
    </r>
  </si>
  <si>
    <r>
      <rPr>
        <sz val="10"/>
        <rFont val="Arial"/>
        <family val="0"/>
        <charset val="1"/>
      </rPr>
      <t xml:space="preserve">Derived</t>
    </r>
    <r>
      <rPr>
        <sz val="10"/>
        <rFont val="Noto Sans CJK SC"/>
        <family val="2"/>
      </rPr>
      <t xml:space="preserve">（對 </t>
    </r>
    <r>
      <rPr>
        <sz val="10"/>
        <rFont val="Arial"/>
        <family val="0"/>
        <charset val="1"/>
      </rPr>
      <t xml:space="preserve">Hopper </t>
    </r>
    <r>
      <rPr>
        <sz val="10"/>
        <rFont val="Noto Sans CJK SC"/>
        <family val="2"/>
      </rPr>
      <t xml:space="preserve">持有成本 </t>
    </r>
    <r>
      <rPr>
        <sz val="10"/>
        <rFont val="Arial"/>
        <family val="0"/>
        <charset val="1"/>
      </rPr>
      <t xml:space="preserve">1.543</t>
    </r>
    <r>
      <rPr>
        <sz val="10"/>
        <rFont val="Noto Sans CJK SC"/>
        <family val="2"/>
      </rPr>
      <t xml:space="preserve">）：市集 </t>
    </r>
    <r>
      <rPr>
        <sz val="10"/>
        <rFont val="Arial"/>
        <family val="0"/>
        <charset val="1"/>
      </rPr>
      <t xml:space="preserve">1.3–1.5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neocloud 2.2–2.3</t>
    </r>
    <r>
      <rPr>
        <sz val="10"/>
        <rFont val="Noto Sans CJK SC"/>
        <family val="2"/>
      </rPr>
      <t xml:space="preserve">、超大雲 </t>
    </r>
    <r>
      <rPr>
        <sz val="10"/>
        <rFont val="Arial"/>
        <family val="0"/>
        <charset val="1"/>
      </rPr>
      <t xml:space="preserve">4.1–5.8</t>
    </r>
    <r>
      <rPr>
        <sz val="10"/>
        <rFont val="Noto Sans CJK SC"/>
        <family val="2"/>
      </rPr>
      <t xml:space="preserve">（牌價）。注意：此為「按時數出租」價，持有成本亦為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時數，單位一致</t>
    </r>
  </si>
  <si>
    <t xml:space="preserve">A2-5</t>
  </si>
  <si>
    <r>
      <rPr>
        <sz val="10"/>
        <rFont val="Noto Sans CJK SC"/>
        <family val="2"/>
      </rPr>
      <t xml:space="preserve">洩漏的 </t>
    </r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文件：</t>
    </r>
    <r>
      <rPr>
        <sz val="10"/>
        <rFont val="Arial"/>
        <family val="0"/>
        <charset val="1"/>
      </rPr>
      <t xml:space="preserve">OpenAI 2025 </t>
    </r>
    <r>
      <rPr>
        <sz val="10"/>
        <rFont val="Noto Sans CJK SC"/>
        <family val="2"/>
      </rPr>
      <t xml:space="preserve">前三季 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推論支出 </t>
    </r>
    <r>
      <rPr>
        <sz val="10"/>
        <rFont val="Arial"/>
        <family val="0"/>
        <charset val="1"/>
      </rPr>
      <t xml:space="preserve">8.7B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3.7B</t>
    </r>
    <r>
      <rPr>
        <sz val="10"/>
        <rFont val="Noto Sans CJK SC"/>
        <family val="2"/>
      </rPr>
      <t xml:space="preserve">）；對 </t>
    </r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20% </t>
    </r>
    <r>
      <rPr>
        <sz val="10"/>
        <rFont val="Noto Sans CJK SC"/>
        <family val="2"/>
      </rPr>
      <t xml:space="preserve">分成 </t>
    </r>
    <r>
      <rPr>
        <sz val="10"/>
        <rFont val="Arial"/>
        <family val="0"/>
        <charset val="1"/>
      </rPr>
      <t xml:space="preserve">2025 H1 4.547 </t>
    </r>
    <r>
      <rPr>
        <sz val="10"/>
        <rFont val="Noto Sans CJK SC"/>
        <family val="2"/>
      </rPr>
      <t xml:space="preserve">億、</t>
    </r>
    <r>
      <rPr>
        <sz val="10"/>
        <rFont val="Arial"/>
        <family val="0"/>
        <charset val="1"/>
      </rPr>
      <t xml:space="preserve">Q3 8.659 </t>
    </r>
    <r>
      <rPr>
        <sz val="10"/>
        <rFont val="Noto Sans CJK SC"/>
        <family val="2"/>
      </rPr>
      <t xml:space="preserve">億</t>
    </r>
  </si>
  <si>
    <r>
      <rPr>
        <sz val="10"/>
        <rFont val="Arial"/>
        <family val="0"/>
        <charset val="1"/>
      </rPr>
      <t xml:space="preserve">8.7B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Q1–Q3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12.6B </t>
    </r>
    <r>
      <rPr>
        <sz val="10"/>
        <rFont val="Noto Sans CJK SC"/>
        <family val="2"/>
      </rPr>
      <t xml:space="preserve">為全年推估</t>
    </r>
  </si>
  <si>
    <t xml:space="preserve">The Register 2025-11-12 https://www.theregister.com/2025/11/12/openai_spending_report/</t>
  </si>
  <si>
    <t xml:space="preserve">2025-11-12</t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</si>
  <si>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</rPr>
      <t xml:space="preserve">（洩漏，</t>
    </r>
    <r>
      <rPr>
        <sz val="10"/>
        <rFont val="Arial"/>
        <family val="0"/>
        <charset val="1"/>
      </rPr>
      <t xml:space="preserve">Zitron </t>
    </r>
    <r>
      <rPr>
        <sz val="10"/>
        <rFont val="Noto Sans CJK SC"/>
        <family val="2"/>
      </rPr>
      <t xml:space="preserve">經手；</t>
    </r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發言人稱「數字不太對」；文中提到雲端抵用金可能未反映）</t>
    </r>
  </si>
  <si>
    <r>
      <rPr>
        <sz val="10"/>
        <rFont val="Arial"/>
        <family val="0"/>
        <charset val="1"/>
      </rPr>
      <t xml:space="preserve">SRC_DEM_018 12.6B </t>
    </r>
    <r>
      <rPr>
        <sz val="10"/>
        <rFont val="Noto Sans CJK SC"/>
        <family val="2"/>
      </rPr>
      <t xml:space="preserve">的出處；基準（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價、單價）文中未載</t>
    </r>
  </si>
  <si>
    <t xml:space="preserve">A2-6</t>
  </si>
  <si>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計算毛利（</t>
    </r>
    <r>
      <rPr>
        <sz val="10"/>
        <rFont val="Arial"/>
        <family val="0"/>
        <charset val="1"/>
      </rPr>
      <t xml:space="preserve">paying products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2024-01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35%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年底 </t>
    </r>
    <r>
      <rPr>
        <sz val="10"/>
        <rFont val="Arial"/>
        <family val="0"/>
        <charset val="1"/>
      </rPr>
      <t xml:space="preserve">52%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2025-10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70%</t>
    </r>
  </si>
  <si>
    <r>
      <rPr>
        <sz val="10"/>
        <rFont val="Arial"/>
        <family val="0"/>
        <charset val="1"/>
      </rPr>
      <t xml:space="preserve">70%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2025-10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</si>
  <si>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The Information </t>
    </r>
    <r>
      <rPr>
        <sz val="10"/>
        <rFont val="Noto Sans CJK SC"/>
        <family val="2"/>
      </rPr>
      <t xml:space="preserve">經 </t>
    </r>
    <r>
      <rPr>
        <sz val="10"/>
        <rFont val="Arial"/>
        <family val="0"/>
        <charset val="1"/>
      </rPr>
      <t xml:space="preserve">Bloomberg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Fortune https://fortune.com/2025/12/21/openai-compute-margins-revenue-chatgpt-earnings-sam-altman/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SaaStr 2025-12-24</t>
    </r>
  </si>
  <si>
    <t xml:space="preserve">2025-12-21</t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</si>
  <si>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內部指標，洩漏；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發言人不予置評；誘因：融資敘事）</t>
    </r>
  </si>
  <si>
    <r>
      <rPr>
        <sz val="10"/>
        <rFont val="Arial"/>
        <family val="0"/>
        <charset val="1"/>
      </rPr>
      <t xml:space="preserve">Derived </t>
    </r>
    <r>
      <rPr>
        <sz val="10"/>
        <rFont val="Noto Sans CJK SC"/>
        <family val="2"/>
      </rPr>
      <t xml:space="preserve">交叉檢查：付費推論成本＝</t>
    </r>
    <r>
      <rPr>
        <sz val="10"/>
        <rFont val="Arial"/>
        <family val="0"/>
        <charset val="1"/>
      </rPr>
      <t xml:space="preserve">(1−</t>
    </r>
    <r>
      <rPr>
        <sz val="10"/>
        <rFont val="Noto Sans CJK SC"/>
        <family val="2"/>
      </rPr>
      <t xml:space="preserve">毛利</t>
    </r>
    <r>
      <rPr>
        <sz val="10"/>
        <rFont val="Arial"/>
        <family val="0"/>
        <charset val="1"/>
      </rPr>
      <t xml:space="preserve">)×</t>
    </r>
    <r>
      <rPr>
        <sz val="10"/>
        <rFont val="Noto Sans CJK SC"/>
        <family val="2"/>
      </rPr>
      <t xml:space="preserve">營收</t>
    </r>
    <r>
      <rPr>
        <sz val="10"/>
        <rFont val="Arial"/>
        <family val="0"/>
        <charset val="1"/>
      </rPr>
      <t xml:space="preserve">13.07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3.9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70%</t>
    </r>
    <r>
      <rPr>
        <sz val="10"/>
        <rFont val="Noto Sans CJK SC"/>
        <family val="2"/>
      </rPr>
      <t xml:space="preserve">）至 </t>
    </r>
    <r>
      <rPr>
        <sz val="10"/>
        <rFont val="Arial"/>
        <family val="0"/>
        <charset val="1"/>
      </rPr>
      <t xml:space="preserve">5.1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61%</t>
    </r>
    <r>
      <rPr>
        <sz val="10"/>
        <rFont val="Noto Sans CJK SC"/>
        <family val="2"/>
      </rPr>
      <t xml:space="preserve">，年內平均）；對照 </t>
    </r>
    <r>
      <rPr>
        <sz val="10"/>
        <rFont val="Arial"/>
        <family val="0"/>
        <charset val="1"/>
      </rPr>
      <t xml:space="preserve">SRC_DEM_004−005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8.4−3.9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4.5</t>
    </r>
    <r>
      <rPr>
        <sz val="10"/>
        <rFont val="Noto Sans CJK SC"/>
        <family val="2"/>
      </rPr>
      <t xml:space="preserve">，吻合。→ </t>
    </r>
    <r>
      <rPr>
        <sz val="10"/>
        <rFont val="Arial"/>
        <family val="0"/>
        <charset val="1"/>
      </rPr>
      <t xml:space="preserve">8.4B </t>
    </r>
    <r>
      <rPr>
        <sz val="10"/>
        <rFont val="Noto Sans CJK SC"/>
        <family val="2"/>
      </rPr>
      <t xml:space="preserve">是「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自己帳上的推論成本」，與毛利口徑一致；</t>
    </r>
    <r>
      <rPr>
        <sz val="10"/>
        <rFont val="Arial"/>
        <family val="0"/>
        <charset val="1"/>
      </rPr>
      <t xml:space="preserve">12.6B </t>
    </r>
    <r>
      <rPr>
        <sz val="10"/>
        <rFont val="Noto Sans CJK SC"/>
        <family val="2"/>
      </rPr>
      <t xml:space="preserve">是另一來源（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帳單）</t>
    </r>
  </si>
  <si>
    <t xml:space="preserve">A2-7</t>
  </si>
  <si>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Microsoft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Oracle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CoreWeave </t>
    </r>
    <r>
      <rPr>
        <sz val="10"/>
        <rFont val="Noto Sans CJK SC"/>
        <family val="2"/>
      </rPr>
      <t xml:space="preserve">的推論算力單價（每 </t>
    </r>
    <r>
      <rPr>
        <sz val="10"/>
        <rFont val="Arial"/>
        <family val="0"/>
        <charset val="1"/>
      </rPr>
      <t xml:space="preserve">GPU-hr </t>
    </r>
    <r>
      <rPr>
        <sz val="10"/>
        <rFont val="Noto Sans CJK SC"/>
        <family val="2"/>
      </rPr>
      <t xml:space="preserve">或每 </t>
    </r>
    <r>
      <rPr>
        <sz val="10"/>
        <rFont val="Arial"/>
        <family val="0"/>
        <charset val="1"/>
      </rPr>
      <t xml:space="preserve">GW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</si>
  <si>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已搜尋，未找到（只有合約總額與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級別）</t>
    </r>
  </si>
  <si>
    <t xml:space="preserve">同上各搜尋</t>
  </si>
  <si>
    <r>
      <rPr>
        <sz val="10"/>
        <rFont val="Arial"/>
        <family val="0"/>
        <charset val="1"/>
      </rPr>
      <t xml:space="preserve">v5.29 E262 </t>
    </r>
    <r>
      <rPr>
        <sz val="10"/>
        <rFont val="Noto Sans CJK SC"/>
        <family val="2"/>
      </rPr>
      <t xml:space="preserve">已記同一缺口</t>
    </r>
  </si>
  <si>
    <t xml:space="preserve">A2-8</t>
  </si>
  <si>
    <t xml:space="preserve">營收分成與算力抵扣的會計說明</t>
  </si>
  <si>
    <r>
      <rPr>
        <sz val="10"/>
        <rFont val="Noto Sans CJK SC"/>
        <family val="2"/>
      </rPr>
      <t xml:space="preserve">已搜尋，未找到一手說明；僅有「</t>
    </r>
    <r>
      <rPr>
        <sz val="10"/>
        <rFont val="Arial"/>
        <family val="0"/>
        <charset val="1"/>
      </rPr>
      <t xml:space="preserve">20% </t>
    </r>
    <r>
      <rPr>
        <sz val="10"/>
        <rFont val="Noto Sans CJK SC"/>
        <family val="2"/>
      </rPr>
      <t xml:space="preserve">分成」「抵用金可能未反映」二手敘述</t>
    </r>
  </si>
  <si>
    <r>
      <rPr>
        <sz val="10"/>
        <rFont val="Noto Sans CJK SC"/>
        <family val="2"/>
      </rPr>
      <t xml:space="preserve">影響：</t>
    </r>
    <r>
      <rPr>
        <sz val="10"/>
        <rFont val="Arial"/>
        <family val="0"/>
        <charset val="1"/>
      </rPr>
      <t xml:space="preserve">12.6B </t>
    </r>
    <r>
      <rPr>
        <sz val="10"/>
        <rFont val="Noto Sans CJK SC"/>
        <family val="2"/>
      </rPr>
      <t xml:space="preserve">若含抵用金，現金支出被高估</t>
    </r>
  </si>
  <si>
    <r>
      <rPr>
        <sz val="10"/>
        <rFont val="Arial"/>
        <family val="0"/>
        <charset val="1"/>
      </rPr>
      <t xml:space="preserve">A2 </t>
    </r>
    <r>
      <rPr>
        <sz val="10"/>
        <rFont val="Noto Sans CJK SC"/>
        <family val="2"/>
      </rPr>
      <t xml:space="preserve">判讀（</t>
    </r>
    <r>
      <rPr>
        <sz val="10"/>
        <rFont val="Arial"/>
        <family val="0"/>
        <charset val="1"/>
      </rPr>
      <t xml:space="preserve">Derived</t>
    </r>
    <r>
      <rPr>
        <sz val="10"/>
        <rFont val="Noto Sans CJK SC"/>
        <family val="2"/>
      </rPr>
      <t xml:space="preserve">）： 純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租賃類觀測的倍數落在 </t>
    </r>
    <r>
      <rPr>
        <sz val="10"/>
        <rFont val="Arial"/>
        <family val="0"/>
        <charset val="1"/>
      </rPr>
      <t xml:space="preserve">1.05–1.5</t>
    </r>
    <r>
      <rPr>
        <sz val="10"/>
        <rFont val="Noto Sans CJK SC"/>
        <family val="2"/>
      </rPr>
      <t xml:space="preserve">（毛利、合約、市集）；只有 </t>
    </r>
    <r>
      <rPr>
        <sz val="10"/>
        <rFont val="Arial"/>
        <family val="0"/>
        <charset val="1"/>
      </rPr>
      <t xml:space="preserve">neocloud </t>
    </r>
    <r>
      <rPr>
        <sz val="10"/>
        <rFont val="Noto Sans CJK SC"/>
        <family val="2"/>
      </rPr>
      <t xml:space="preserve">牌價（</t>
    </r>
    <r>
      <rPr>
        <sz val="10"/>
        <rFont val="Arial"/>
        <family val="0"/>
        <charset val="1"/>
      </rPr>
      <t xml:space="preserve">2.2</t>
    </r>
    <r>
      <rPr>
        <sz val="10"/>
        <rFont val="Noto Sans CJK SC"/>
        <family val="2"/>
      </rPr>
      <t xml:space="preserve">）與超大雲牌價（</t>
    </r>
    <r>
      <rPr>
        <sz val="10"/>
        <rFont val="Arial"/>
        <family val="0"/>
        <charset val="1"/>
      </rPr>
      <t xml:space="preserve">4–6</t>
    </r>
    <r>
      <rPr>
        <sz val="10"/>
        <rFont val="Noto Sans CJK SC"/>
        <family val="2"/>
      </rPr>
      <t xml:space="preserve">）超過 </t>
    </r>
    <r>
      <rPr>
        <sz val="10"/>
        <rFont val="Arial"/>
        <family val="0"/>
        <charset val="1"/>
      </rPr>
      <t xml:space="preserve">2.0</t>
    </r>
    <r>
      <rPr>
        <sz val="10"/>
        <rFont val="Noto Sans CJK SC"/>
        <family val="2"/>
      </rPr>
      <t xml:space="preserve">，而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用長約、不是牌價。證據中心 </t>
    </r>
    <r>
      <rPr>
        <sz val="10"/>
        <rFont val="Arial"/>
        <family val="0"/>
        <charset val="1"/>
      </rPr>
      <t xml:space="preserve">1.5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1.2–2.0</t>
    </r>
    <r>
      <rPr>
        <sz val="10"/>
        <rFont val="Noto Sans CJK SC"/>
        <family val="2"/>
      </rPr>
      <t xml:space="preserve">），現值 </t>
    </r>
    <r>
      <rPr>
        <sz val="10"/>
        <rFont val="Arial"/>
        <family val="0"/>
        <charset val="1"/>
      </rPr>
      <t xml:space="preserve">2.0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1.5–3.0</t>
    </r>
    <r>
      <rPr>
        <sz val="10"/>
        <rFont val="Noto Sans CJK SC"/>
        <family val="2"/>
      </rPr>
      <t xml:space="preserve">）偏高，上緣 </t>
    </r>
    <r>
      <rPr>
        <sz val="10"/>
        <rFont val="Arial"/>
        <family val="0"/>
        <charset val="1"/>
      </rPr>
      <t xml:space="preserve">3.0 </t>
    </r>
    <r>
      <rPr>
        <sz val="10"/>
        <rFont val="Noto Sans CJK SC"/>
        <family val="2"/>
      </rPr>
      <t xml:space="preserve">沒有任何支持。但把倍數調低會讓機隊變大、缺口變大（第 </t>
    </r>
    <r>
      <rPr>
        <sz val="10"/>
        <rFont val="Arial"/>
        <family val="0"/>
        <charset val="1"/>
      </rPr>
      <t xml:space="preserve">1.1 </t>
    </r>
    <r>
      <rPr>
        <sz val="10"/>
        <rFont val="Noto Sans CJK SC"/>
        <family val="2"/>
      </rPr>
      <t xml:space="preserve">節）。能抵消的只有「推論支出基準」那一項（</t>
    </r>
    <r>
      <rPr>
        <sz val="10"/>
        <rFont val="Arial"/>
        <family val="0"/>
        <charset val="1"/>
      </rPr>
      <t xml:space="preserve">A2-5 vs A2-6 </t>
    </r>
    <r>
      <rPr>
        <sz val="10"/>
        <rFont val="Noto Sans CJK SC"/>
        <family val="2"/>
      </rPr>
      <t xml:space="preserve">的兩個來源差 </t>
    </r>
    <r>
      <rPr>
        <sz val="10"/>
        <rFont val="Arial"/>
        <family val="0"/>
        <charset val="1"/>
      </rPr>
      <t xml:space="preserve">1.5 </t>
    </r>
    <r>
      <rPr>
        <sz val="10"/>
        <rFont val="Noto Sans CJK SC"/>
        <family val="2"/>
      </rPr>
      <t xml:space="preserve">倍＝</t>
    </r>
    <r>
      <rPr>
        <sz val="10"/>
        <rFont val="Arial"/>
        <family val="0"/>
        <charset val="1"/>
      </rPr>
      <t xml:space="preserve">12.6÷8.4</t>
    </r>
    <r>
      <rPr>
        <sz val="10"/>
        <rFont val="Noto Sans CJK SC"/>
        <family val="2"/>
      </rPr>
      <t xml:space="preserve">）。</t>
    </r>
  </si>
  <si>
    <r>
      <rPr>
        <b val="true"/>
        <sz val="11"/>
        <color rgb="FF1F3864"/>
        <rFont val="Arial"/>
        <family val="0"/>
        <charset val="1"/>
      </rPr>
      <t xml:space="preserve">2.3_A3 </t>
    </r>
    <r>
      <rPr>
        <b val="true"/>
        <sz val="11"/>
        <color rgb="FF1F3864"/>
        <rFont val="Noto Sans CJK SC"/>
        <family val="2"/>
      </rPr>
      <t xml:space="preserve">實際利用率 </t>
    </r>
    <r>
      <rPr>
        <b val="true"/>
        <sz val="11"/>
        <color rgb="FF1F3864"/>
        <rFont val="Arial"/>
        <family val="0"/>
        <charset val="1"/>
      </rPr>
      <t xml:space="preserve">× </t>
    </r>
    <r>
      <rPr>
        <b val="true"/>
        <sz val="11"/>
        <color rgb="FF1F3864"/>
        <rFont val="Noto Sans CJK SC"/>
        <family val="2"/>
      </rPr>
      <t xml:space="preserve">生產折減</t>
    </r>
  </si>
  <si>
    <r>
      <rPr>
        <sz val="10"/>
        <rFont val="Noto Sans CJK SC"/>
        <family val="2"/>
      </rPr>
      <t xml:space="preserve">搜尋範圍：「</t>
    </r>
    <r>
      <rPr>
        <sz val="10"/>
        <rFont val="Arial"/>
        <family val="0"/>
        <charset val="1"/>
      </rPr>
      <t xml:space="preserve">average GPU utilization large-scale inference clusters production percent</t>
    </r>
    <r>
      <rPr>
        <sz val="10"/>
        <rFont val="Noto Sans CJK SC"/>
        <family val="2"/>
      </rPr>
      <t xml:space="preserve">」「</t>
    </r>
    <r>
      <rPr>
        <sz val="10"/>
        <rFont val="Arial"/>
        <family val="0"/>
        <charset val="1"/>
      </rPr>
      <t xml:space="preserve">Altman compute constrained capacity ChatGPT rate limits GPUs melting</t>
    </r>
    <r>
      <rPr>
        <sz val="10"/>
        <rFont val="Noto Sans CJK SC"/>
        <family val="2"/>
      </rPr>
      <t xml:space="preserve">」「</t>
    </r>
    <r>
      <rPr>
        <sz val="10"/>
        <rFont val="Arial"/>
        <family val="0"/>
        <charset val="1"/>
      </rPr>
      <t xml:space="preserve">Alibaba Aegaeon GPU pooling</t>
    </r>
    <r>
      <rPr>
        <sz val="10"/>
        <rFont val="Noto Sans CJK SC"/>
        <family val="2"/>
      </rPr>
      <t xml:space="preserve">」「</t>
    </r>
    <r>
      <rPr>
        <sz val="10"/>
        <rFont val="Arial"/>
        <family val="0"/>
        <charset val="1"/>
      </rPr>
      <t xml:space="preserve">ChatGPT traffic diurnal pattern peak hour to average ratio</t>
    </r>
    <r>
      <rPr>
        <sz val="10"/>
        <rFont val="Noto Sans CJK SC"/>
        <family val="2"/>
      </rPr>
      <t xml:space="preserve">」；</t>
    </r>
    <r>
      <rPr>
        <sz val="10"/>
        <rFont val="Arial"/>
        <family val="0"/>
        <charset val="1"/>
      </rPr>
      <t xml:space="preserve">WebFetch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DeepSeek </t>
    </r>
    <r>
      <rPr>
        <sz val="10"/>
        <rFont val="Noto Sans CJK SC"/>
        <family val="2"/>
      </rPr>
      <t xml:space="preserve">一手文件、</t>
    </r>
    <r>
      <rPr>
        <sz val="10"/>
        <rFont val="Arial"/>
        <family val="0"/>
        <charset val="1"/>
      </rPr>
      <t xml:space="preserve">Hebbia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BurstGPT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arXiv 2608.13573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arXiv 2609.12923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PDF </t>
    </r>
    <r>
      <rPr>
        <sz val="10"/>
        <rFont val="Noto Sans CJK SC"/>
        <family val="2"/>
      </rPr>
      <t xml:space="preserve">讀出為空，未能讀取）。</t>
    </r>
  </si>
  <si>
    <r>
      <rPr>
        <sz val="10"/>
        <rFont val="Arial"/>
        <family val="0"/>
        <charset val="1"/>
      </rPr>
      <t xml:space="preserve">2.3 A3 </t>
    </r>
    <r>
      <rPr>
        <sz val="10"/>
        <rFont val="Noto Sans CJK SC"/>
        <family val="2"/>
      </rPr>
      <t xml:space="preserve">實際利用率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生產折減（現值 </t>
    </r>
    <r>
      <rPr>
        <sz val="10"/>
        <rFont val="Arial"/>
        <family val="0"/>
        <charset val="1"/>
      </rPr>
      <t xml:space="preserve">0.35</t>
    </r>
    <r>
      <rPr>
        <sz val="10"/>
        <rFont val="Noto Sans CJK SC"/>
        <family val="2"/>
      </rPr>
      <t xml:space="preserve">，區間 </t>
    </r>
    <r>
      <rPr>
        <sz val="10"/>
        <rFont val="Arial"/>
        <family val="0"/>
        <charset val="1"/>
      </rPr>
      <t xml:space="preserve">0.30–0.40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）</t>
    </r>
  </si>
  <si>
    <t xml:space="preserve">備註</t>
  </si>
  <si>
    <t xml:space="preserve">A3-1</t>
  </si>
  <si>
    <r>
      <rPr>
        <sz val="10"/>
        <rFont val="Arial"/>
        <family val="0"/>
        <charset val="1"/>
      </rPr>
      <t xml:space="preserve">DeepSeek V3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R1 </t>
    </r>
    <r>
      <rPr>
        <sz val="10"/>
        <rFont val="Noto Sans CJK SC"/>
        <family val="2"/>
      </rPr>
      <t xml:space="preserve">線上服務：日均占用 </t>
    </r>
    <r>
      <rPr>
        <sz val="10"/>
        <rFont val="Arial"/>
        <family val="0"/>
        <charset val="1"/>
      </rPr>
      <t xml:space="preserve">226.75 </t>
    </r>
    <r>
      <rPr>
        <sz val="10"/>
        <rFont val="Noto Sans CJK SC"/>
        <family val="2"/>
      </rPr>
      <t xml:space="preserve">節點（每節點 </t>
    </r>
    <r>
      <rPr>
        <sz val="10"/>
        <rFont val="Arial"/>
        <family val="0"/>
        <charset val="1"/>
      </rPr>
      <t xml:space="preserve">8×H800</t>
    </r>
    <r>
      <rPr>
        <sz val="10"/>
        <rFont val="Noto Sans CJK SC"/>
        <family val="2"/>
      </rPr>
      <t xml:space="preserve">），尖峰 </t>
    </r>
    <r>
      <rPr>
        <sz val="10"/>
        <rFont val="Arial"/>
        <family val="0"/>
        <charset val="1"/>
      </rPr>
      <t xml:space="preserve">278 </t>
    </r>
    <r>
      <rPr>
        <sz val="10"/>
        <rFont val="Noto Sans CJK SC"/>
        <family val="2"/>
      </rPr>
      <t xml:space="preserve">節點；低負載時段把節點讓給研究與訓練</t>
    </r>
  </si>
  <si>
    <r>
      <rPr>
        <sz val="10"/>
        <rFont val="Noto Sans CJK SC"/>
        <family val="2"/>
      </rPr>
      <t xml:space="preserve">日均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尖峰＝</t>
    </r>
    <r>
      <rPr>
        <sz val="10"/>
        <rFont val="Arial"/>
        <family val="0"/>
        <charset val="1"/>
      </rPr>
      <t xml:space="preserve">0.816</t>
    </r>
  </si>
  <si>
    <t xml:space="preserve">2025-02</t>
  </si>
  <si>
    <r>
      <rPr>
        <sz val="10"/>
        <rFont val="Arial"/>
        <family val="0"/>
        <charset val="1"/>
      </rPr>
      <t xml:space="preserve">https://github.com/deepseek-ai/open-infra-index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Open Source Week Day 6 </t>
    </r>
    <r>
      <rPr>
        <sz val="10"/>
        <rFont val="Noto Sans CJK SC"/>
        <family val="2"/>
      </rPr>
      <t xml:space="preserve">文件）</t>
    </r>
  </si>
  <si>
    <t xml:space="preserve">2025-02-27</t>
  </si>
  <si>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</rPr>
      <t xml:space="preserve">（一手節點數）／</t>
    </r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</rPr>
      <t xml:space="preserve">（同文件的 </t>
    </r>
    <r>
      <rPr>
        <sz val="10"/>
        <rFont val="Arial"/>
        <family val="0"/>
        <charset val="1"/>
      </rPr>
      <t xml:space="preserve">545% </t>
    </r>
    <r>
      <rPr>
        <sz val="10"/>
        <rFont val="Noto Sans CJK SC"/>
        <family val="2"/>
      </rPr>
      <t xml:space="preserve">成本利潤率是自我宣傳，不引用）</t>
    </r>
  </si>
  <si>
    <r>
      <rPr>
        <sz val="10"/>
        <rFont val="Noto Sans CJK SC"/>
        <family val="2"/>
      </rPr>
      <t xml:space="preserve">這是「隨負載調度」後的比值；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無夜間釋放（全球時區、免費層全天）。只能當上界參考，不是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吞吐利用率</t>
    </r>
  </si>
  <si>
    <t xml:space="preserve">A3-2</t>
  </si>
  <si>
    <t xml:space="preserve">突發型負載的機隊平均利用率（示意）</t>
  </si>
  <si>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12%</t>
    </r>
    <r>
      <rPr>
        <sz val="10"/>
        <rFont val="Noto Sans CJK SC"/>
        <family val="2"/>
      </rPr>
      <t xml:space="preserve">（尖峰為平均的 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倍；對照平滑負載 </t>
    </r>
    <r>
      <rPr>
        <sz val="10"/>
        <rFont val="Arial"/>
        <family val="0"/>
        <charset val="1"/>
      </rPr>
      <t xml:space="preserve">16 GPU vs 125 GPU</t>
    </r>
    <r>
      <rPr>
        <sz val="10"/>
        <rFont val="Noto Sans CJK SC"/>
        <family val="2"/>
      </rPr>
      <t xml:space="preserve">）</t>
    </r>
  </si>
  <si>
    <t xml:space="preserve">2026-02</t>
  </si>
  <si>
    <t xml:space="preserve">https://www.hebbia.com/blog/the-hidden-economics-of-llm-inference</t>
  </si>
  <si>
    <r>
      <rPr>
        <sz val="10"/>
        <rFont val="Arial"/>
        <family val="0"/>
        <charset val="1"/>
      </rPr>
      <t xml:space="preserve">Analogy</t>
    </r>
    <r>
      <rPr>
        <sz val="10"/>
        <rFont val="Noto Sans CJK SC"/>
        <family val="2"/>
      </rPr>
      <t xml:space="preserve">（廠商內部建模與 </t>
    </r>
    <r>
      <rPr>
        <sz val="10"/>
        <rFont val="Arial"/>
        <family val="0"/>
        <charset val="1"/>
      </rPr>
      <t xml:space="preserve">Erlang-C</t>
    </r>
    <r>
      <rPr>
        <sz val="10"/>
        <rFont val="Noto Sans CJK SC"/>
        <family val="2"/>
      </rPr>
      <t xml:space="preserve">，非實測）</t>
    </r>
  </si>
  <si>
    <r>
      <rPr>
        <sz val="10"/>
        <rFont val="Noto Sans CJK SC"/>
        <family val="2"/>
      </rPr>
      <t xml:space="preserve">企業單租戶情境，不代表 </t>
    </r>
    <r>
      <rPr>
        <sz val="10"/>
        <rFont val="Arial"/>
        <family val="0"/>
        <charset val="1"/>
      </rPr>
      <t xml:space="preserve">OpenAI</t>
    </r>
  </si>
  <si>
    <t xml:space="preserve">A3-3</t>
  </si>
  <si>
    <r>
      <rPr>
        <sz val="10"/>
        <rFont val="Arial"/>
        <family val="0"/>
        <charset val="1"/>
      </rPr>
      <t xml:space="preserve">Alibaba Aegaeon</t>
    </r>
    <r>
      <rPr>
        <sz val="10"/>
        <rFont val="Noto Sans CJK SC"/>
        <family val="2"/>
      </rPr>
      <t xml:space="preserve">：多模型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池化，</t>
    </r>
    <r>
      <rPr>
        <sz val="10"/>
        <rFont val="Arial"/>
        <family val="0"/>
        <charset val="1"/>
      </rPr>
      <t xml:space="preserve">1,192→213 </t>
    </r>
    <r>
      <rPr>
        <sz val="10"/>
        <rFont val="Noto Sans CJK SC"/>
        <family val="2"/>
      </rPr>
      <t xml:space="preserve">張 </t>
    </r>
    <r>
      <rPr>
        <sz val="10"/>
        <rFont val="Arial"/>
        <family val="0"/>
        <charset val="1"/>
      </rPr>
      <t xml:space="preserve">H20</t>
    </r>
    <r>
      <rPr>
        <sz val="10"/>
        <rFont val="Noto Sans CJK SC"/>
        <family val="2"/>
      </rPr>
      <t xml:space="preserve">（−</t>
    </r>
    <r>
      <rPr>
        <sz val="10"/>
        <rFont val="Arial"/>
        <family val="0"/>
        <charset val="1"/>
      </rPr>
      <t xml:space="preserve">82%</t>
    </r>
    <r>
      <rPr>
        <sz val="10"/>
        <rFont val="Noto Sans CJK SC"/>
        <family val="2"/>
      </rPr>
      <t xml:space="preserve">），數十個至 </t>
    </r>
    <r>
      <rPr>
        <sz val="10"/>
        <rFont val="Arial"/>
        <family val="0"/>
        <charset val="1"/>
      </rPr>
      <t xml:space="preserve">72B </t>
    </r>
    <r>
      <rPr>
        <sz val="10"/>
        <rFont val="Noto Sans CJK SC"/>
        <family val="2"/>
      </rPr>
      <t xml:space="preserve">模型，</t>
    </r>
    <r>
      <rPr>
        <sz val="10"/>
        <rFont val="Arial"/>
        <family val="0"/>
        <charset val="1"/>
      </rPr>
      <t xml:space="preserve">Model Studio </t>
    </r>
    <r>
      <rPr>
        <sz val="10"/>
        <rFont val="Noto Sans CJK SC"/>
        <family val="2"/>
      </rPr>
      <t xml:space="preserve">多月 </t>
    </r>
    <r>
      <rPr>
        <sz val="10"/>
        <rFont val="Arial"/>
        <family val="0"/>
        <charset val="1"/>
      </rPr>
      <t xml:space="preserve">beta</t>
    </r>
  </si>
  <si>
    <t xml:space="preserve">−82% GPU</t>
  </si>
  <si>
    <t xml:space="preserve">2025-10</t>
  </si>
  <si>
    <t xml:space="preserve">https://tomshardware.com/tech-industry/semiconductors/alibaba-says-new-pooling-system-cut-nvidia-gpu-use-by-82-percent</t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</si>
  <si>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Alibaba</t>
    </r>
    <r>
      <rPr>
        <sz val="10"/>
        <rFont val="Noto Sans CJK SC"/>
        <family val="2"/>
      </rPr>
      <t xml:space="preserve">；誘因：技術宣傳）</t>
    </r>
  </si>
  <si>
    <t xml:space="preserve">長尾小模型閒置的例子；未載利用率百分比；不適用於旗艦模型</t>
  </si>
  <si>
    <t xml:space="preserve">A3-4</t>
  </si>
  <si>
    <r>
      <rPr>
        <sz val="10"/>
        <rFont val="Noto Sans CJK SC"/>
        <family val="2"/>
      </rPr>
      <t xml:space="preserve">對話型流量平日／上班時段高峰、週末與夜間低；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型流量不週期、突發</t>
    </r>
  </si>
  <si>
    <t xml:space="preserve">無單一比值</t>
  </si>
  <si>
    <r>
      <rPr>
        <sz val="10"/>
        <rFont val="Arial"/>
        <family val="0"/>
        <charset val="1"/>
      </rPr>
      <t xml:space="preserve">2023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24</t>
    </r>
  </si>
  <si>
    <r>
      <rPr>
        <sz val="10"/>
        <rFont val="Arial"/>
        <family val="0"/>
        <charset val="1"/>
      </rPr>
      <t xml:space="preserve">BurstGPT arXiv 2401.17644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Azure OpenAI </t>
    </r>
    <r>
      <rPr>
        <sz val="10"/>
        <rFont val="Noto Sans CJK SC"/>
        <family val="2"/>
      </rPr>
      <t xml:space="preserve">的區域服務商，</t>
    </r>
    <r>
      <rPr>
        <sz val="10"/>
        <rFont val="Arial"/>
        <family val="0"/>
        <charset val="1"/>
      </rPr>
      <t xml:space="preserve">213 </t>
    </r>
    <r>
      <rPr>
        <sz val="10"/>
        <rFont val="Noto Sans CJK SC"/>
        <family val="2"/>
      </rPr>
      <t xml:space="preserve">天 </t>
    </r>
    <r>
      <rPr>
        <sz val="10"/>
        <rFont val="Arial"/>
        <family val="0"/>
        <charset val="1"/>
      </rPr>
      <t xml:space="preserve">1,031 </t>
    </r>
    <r>
      <rPr>
        <sz val="10"/>
        <rFont val="Noto Sans CJK SC"/>
        <family val="2"/>
      </rPr>
      <t xml:space="preserve">萬筆）</t>
    </r>
  </si>
  <si>
    <t xml:space="preserve">2024-01</t>
  </si>
  <si>
    <t xml:space="preserve">Analogy</t>
  </si>
  <si>
    <t xml:space="preserve">方向支持「尖峰高於平均」；數值未載</t>
  </si>
  <si>
    <t xml:space="preserve">A3-5</t>
  </si>
  <si>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Anthropic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Google </t>
    </r>
    <r>
      <rPr>
        <sz val="10"/>
        <rFont val="Noto Sans CJK SC"/>
        <family val="2"/>
      </rPr>
      <t xml:space="preserve">大規模推論叢集的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吞吐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容量實測</t>
    </r>
  </si>
  <si>
    <t xml:space="preserve">上列</t>
  </si>
  <si>
    <r>
      <rPr>
        <sz val="10"/>
        <rFont val="Noto Sans CJK SC"/>
        <family val="2"/>
      </rPr>
      <t xml:space="preserve">不是 </t>
    </r>
    <r>
      <rPr>
        <sz val="10"/>
        <rFont val="Arial"/>
        <family val="0"/>
        <charset val="1"/>
      </rPr>
      <t xml:space="preserve">SM </t>
    </r>
    <r>
      <rPr>
        <sz val="10"/>
        <rFont val="Noto Sans CJK SC"/>
        <family val="2"/>
      </rPr>
      <t xml:space="preserve">利用率，也不是 </t>
    </r>
    <r>
      <rPr>
        <sz val="10"/>
        <rFont val="Arial"/>
        <family val="0"/>
        <charset val="1"/>
      </rPr>
      <t xml:space="preserve">MFU</t>
    </r>
    <r>
      <rPr>
        <sz val="10"/>
        <rFont val="Noto Sans CJK SC"/>
        <family val="2"/>
      </rPr>
      <t xml:space="preserve">；公開資料只有學術與廠商示意</t>
    </r>
  </si>
  <si>
    <t xml:space="preserve">A3-6</t>
  </si>
  <si>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「算力不足」公開說法的時間分布</t>
    </r>
  </si>
  <si>
    <r>
      <rPr>
        <sz val="10"/>
        <rFont val="Noto Sans CJK SC"/>
        <family val="2"/>
      </rPr>
      <t xml:space="preserve">已搜尋，未找到；只找到單一事件（</t>
    </r>
    <r>
      <rPr>
        <sz val="10"/>
        <rFont val="Arial"/>
        <family val="0"/>
        <charset val="1"/>
      </rPr>
      <t xml:space="preserve">2025-03 Altman </t>
    </r>
    <r>
      <rPr>
        <sz val="10"/>
        <rFont val="Noto Sans CJK SC"/>
        <family val="2"/>
      </rPr>
      <t xml:space="preserve">稱圖像生成使 </t>
    </r>
    <r>
      <rPr>
        <sz val="10"/>
        <rFont val="Arial"/>
        <family val="0"/>
        <charset val="1"/>
      </rPr>
      <t xml:space="preserve">GPU</t>
    </r>
    <r>
      <rPr>
        <sz val="10"/>
        <rFont val="Noto Sans CJK SC"/>
        <family val="2"/>
      </rPr>
      <t xml:space="preserve">「熔化」並限流）的報導</t>
    </r>
  </si>
  <si>
    <t xml:space="preserve">2025-03</t>
  </si>
  <si>
    <t xml:space="preserve">https://fortune.com/2025/03/28/sam-altman-chatgpt-gpus-melting-ai-images</t>
  </si>
  <si>
    <t xml:space="preserve">2025-03-28</t>
  </si>
  <si>
    <t xml:space="preserve">事件而非分布</t>
  </si>
  <si>
    <r>
      <rPr>
        <sz val="10"/>
        <rFont val="Arial"/>
        <family val="0"/>
        <charset val="1"/>
      </rPr>
      <t xml:space="preserve">A3 </t>
    </r>
    <r>
      <rPr>
        <sz val="10"/>
        <rFont val="Noto Sans CJK SC"/>
        <family val="2"/>
      </rPr>
      <t xml:space="preserve">判讀： 沒有實測可以支持或推翻 </t>
    </r>
    <r>
      <rPr>
        <sz val="10"/>
        <rFont val="Arial"/>
        <family val="0"/>
        <charset val="1"/>
      </rPr>
      <t xml:space="preserve">0.30–0.40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DeepSeek </t>
    </r>
    <r>
      <rPr>
        <sz val="10"/>
        <rFont val="Noto Sans CJK SC"/>
        <family val="2"/>
      </rPr>
      <t xml:space="preserve">的日均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尖峰 </t>
    </r>
    <r>
      <rPr>
        <sz val="10"/>
        <rFont val="Arial"/>
        <family val="0"/>
        <charset val="1"/>
      </rPr>
      <t xml:space="preserve">0.82 </t>
    </r>
    <r>
      <rPr>
        <sz val="10"/>
        <rFont val="Noto Sans CJK SC"/>
        <family val="2"/>
      </rPr>
      <t xml:space="preserve">是「容量按尖峰配置、再隨負載調度」的上界；乘上批次填充與延遲目標的損失後，</t>
    </r>
    <r>
      <rPr>
        <sz val="10"/>
        <rFont val="Arial"/>
        <family val="0"/>
        <charset val="1"/>
      </rPr>
      <t xml:space="preserve">0.35 </t>
    </r>
    <r>
      <rPr>
        <sz val="10"/>
        <rFont val="Noto Sans CJK SC"/>
        <family val="2"/>
      </rPr>
      <t xml:space="preserve">在合理範圍。機隊端只要利用率往高處走（</t>
    </r>
    <r>
      <rPr>
        <sz val="10"/>
        <rFont val="Arial"/>
        <family val="0"/>
        <charset val="1"/>
      </rPr>
      <t xml:space="preserve">0.40–0.50</t>
    </r>
    <r>
      <rPr>
        <sz val="10"/>
        <rFont val="Noto Sans CJK SC"/>
        <family val="2"/>
      </rPr>
      <t xml:space="preserve">），缺口擴大至 </t>
    </r>
    <r>
      <rPr>
        <sz val="10"/>
        <rFont val="Arial"/>
        <family val="0"/>
        <charset val="1"/>
      </rPr>
      <t xml:space="preserve">2.46–3.07</t>
    </r>
    <r>
      <rPr>
        <sz val="10"/>
        <rFont val="Noto Sans CJK SC"/>
        <family val="2"/>
      </rPr>
      <t xml:space="preserve">，所以 </t>
    </r>
    <r>
      <rPr>
        <sz val="10"/>
        <rFont val="Arial"/>
        <family val="0"/>
        <charset val="1"/>
      </rPr>
      <t xml:space="preserve">A3 </t>
    </r>
    <r>
      <rPr>
        <sz val="10"/>
        <rFont val="Noto Sans CJK SC"/>
        <family val="2"/>
      </rPr>
      <t xml:space="preserve">不能用來閉合缺口。</t>
    </r>
  </si>
  <si>
    <r>
      <rPr>
        <b val="true"/>
        <sz val="11"/>
        <color rgb="FF1F3864"/>
        <rFont val="Arial"/>
        <family val="0"/>
        <charset val="1"/>
      </rPr>
      <t xml:space="preserve">2.4_A4 </t>
    </r>
    <r>
      <rPr>
        <b val="true"/>
        <sz val="11"/>
        <color rgb="FF1F3864"/>
        <rFont val="Noto Sans CJK SC"/>
        <family val="2"/>
      </rPr>
      <t xml:space="preserve">實際輸入長度、輸入輸出比、快取</t>
    </r>
  </si>
  <si>
    <r>
      <rPr>
        <sz val="10"/>
        <rFont val="Noto Sans CJK SC"/>
        <family val="2"/>
      </rPr>
      <t xml:space="preserve">搜尋範圍：「</t>
    </r>
    <r>
      <rPr>
        <sz val="10"/>
        <rFont val="Arial"/>
        <family val="0"/>
        <charset val="1"/>
      </rPr>
      <t xml:space="preserve">OpenRouter 2026 prompt tokens completion tokens ratio cache hit rate</t>
    </r>
    <r>
      <rPr>
        <sz val="10"/>
        <rFont val="Noto Sans CJK SC"/>
        <family val="2"/>
      </rPr>
      <t xml:space="preserve">」「</t>
    </r>
    <r>
      <rPr>
        <sz val="10"/>
        <rFont val="Arial"/>
        <family val="0"/>
        <charset val="1"/>
      </rPr>
      <t xml:space="preserve">OpenAI prompt caching percent of API input tokens cached Codex agentic</t>
    </r>
    <r>
      <rPr>
        <sz val="10"/>
        <rFont val="Noto Sans CJK SC"/>
        <family val="2"/>
      </rPr>
      <t xml:space="preserve">」「</t>
    </r>
    <r>
      <rPr>
        <sz val="10"/>
        <rFont val="Arial"/>
        <family val="0"/>
        <charset val="1"/>
      </rPr>
      <t xml:space="preserve">Codex tokens per week OpenAI</t>
    </r>
    <r>
      <rPr>
        <sz val="10"/>
        <rFont val="Noto Sans CJK SC"/>
        <family val="2"/>
      </rPr>
      <t xml:space="preserve">」；</t>
    </r>
    <r>
      <rPr>
        <sz val="10"/>
        <rFont val="Arial"/>
        <family val="0"/>
        <charset val="1"/>
      </rPr>
      <t xml:space="preserve">WebFetch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OpenRouter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Cache is Crucial</t>
    </r>
    <r>
      <rPr>
        <sz val="10"/>
        <rFont val="Noto Sans CJK SC"/>
        <family val="2"/>
      </rPr>
      <t xml:space="preserve">」「</t>
    </r>
    <r>
      <rPr>
        <sz val="10"/>
        <rFont val="Arial"/>
        <family val="0"/>
        <charset val="1"/>
      </rPr>
      <t xml:space="preserve">Token State of Play</t>
    </r>
    <r>
      <rPr>
        <sz val="10"/>
        <rFont val="Noto Sans CJK SC"/>
        <family val="2"/>
      </rPr>
      <t xml:space="preserve">」、</t>
    </r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Better prompt caching for GPT-6</t>
    </r>
    <r>
      <rPr>
        <sz val="10"/>
        <rFont val="Noto Sans CJK SC"/>
        <family val="2"/>
      </rPr>
      <t xml:space="preserve">」、</t>
    </r>
    <r>
      <rPr>
        <sz val="10"/>
        <rFont val="Arial"/>
        <family val="0"/>
        <charset val="1"/>
      </rPr>
      <t xml:space="preserve">arXiv 2608.13573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DeepSeek </t>
    </r>
    <r>
      <rPr>
        <sz val="10"/>
        <rFont val="Noto Sans CJK SC"/>
        <family val="2"/>
      </rPr>
      <t xml:space="preserve">一手文件。</t>
    </r>
  </si>
  <si>
    <r>
      <rPr>
        <sz val="10"/>
        <rFont val="Arial"/>
        <family val="0"/>
        <charset val="1"/>
      </rPr>
      <t xml:space="preserve">2.4 A4 </t>
    </r>
    <r>
      <rPr>
        <sz val="10"/>
        <rFont val="Noto Sans CJK SC"/>
        <family val="2"/>
      </rPr>
      <t xml:space="preserve">實際輸入長度、輸入輸出比、快取命中（現值：參考請求 </t>
    </r>
    <r>
      <rPr>
        <sz val="10"/>
        <rFont val="Arial"/>
        <family val="0"/>
        <charset val="1"/>
      </rPr>
      <t xml:space="preserve">ISL 16K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OSL 2K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χ 0.55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GapISL 2.31</t>
    </r>
    <r>
      <rPr>
        <sz val="10"/>
        <rFont val="Noto Sans CJK SC"/>
        <family val="2"/>
      </rPr>
      <t xml:space="preserve">）</t>
    </r>
  </si>
  <si>
    <t xml:space="preserve">A4-1</t>
  </si>
  <si>
    <r>
      <rPr>
        <sz val="10"/>
        <rFont val="Noto Sans CJK SC"/>
        <family val="2"/>
      </rPr>
      <t xml:space="preserve">無伺服器推論平台一年追蹤（匿名「</t>
    </r>
    <r>
      <rPr>
        <sz val="10"/>
        <rFont val="Arial"/>
        <family val="0"/>
        <charset val="1"/>
      </rPr>
      <t xml:space="preserve">CompanyX</t>
    </r>
    <r>
      <rPr>
        <sz val="10"/>
        <rFont val="Noto Sans CJK SC"/>
        <family val="2"/>
      </rPr>
      <t xml:space="preserve">」）：</t>
    </r>
    <r>
      <rPr>
        <sz val="10"/>
        <rFont val="Arial"/>
        <family val="0"/>
        <charset val="1"/>
      </rPr>
      <t xml:space="preserve">61.2 </t>
    </r>
    <r>
      <rPr>
        <sz val="10"/>
        <rFont val="Noto Sans CJK SC"/>
        <family val="2"/>
      </rPr>
      <t xml:space="preserve">億請求、</t>
    </r>
    <r>
      <rPr>
        <sz val="10"/>
        <rFont val="Arial"/>
        <family val="0"/>
        <charset val="1"/>
      </rPr>
      <t xml:space="preserve">31.5 </t>
    </r>
    <r>
      <rPr>
        <sz val="10"/>
        <rFont val="Noto Sans CJK SC"/>
        <family val="2"/>
      </rPr>
      <t xml:space="preserve">萬用戶、</t>
    </r>
    <r>
      <rPr>
        <sz val="10"/>
        <rFont val="Arial"/>
        <family val="0"/>
        <charset val="1"/>
      </rPr>
      <t xml:space="preserve">9,174 </t>
    </r>
    <r>
      <rPr>
        <sz val="10"/>
        <rFont val="Noto Sans CJK SC"/>
        <family val="2"/>
      </rPr>
      <t xml:space="preserve">個模型；輸入 </t>
    </r>
    <r>
      <rPr>
        <sz val="10"/>
        <rFont val="Arial"/>
        <family val="0"/>
        <charset val="1"/>
      </rPr>
      <t xml:space="preserve">35.8 T</t>
    </r>
    <r>
      <rPr>
        <sz val="10"/>
        <rFont val="Noto Sans CJK SC"/>
        <family val="2"/>
      </rPr>
      <t xml:space="preserve">、輸出 </t>
    </r>
    <r>
      <rPr>
        <sz val="10"/>
        <rFont val="Arial"/>
        <family val="0"/>
        <charset val="1"/>
      </rPr>
      <t xml:space="preserve">2.5 T</t>
    </r>
  </si>
  <si>
    <r>
      <rPr>
        <sz val="10"/>
        <rFont val="Noto Sans CJK SC"/>
        <family val="2"/>
      </rPr>
      <t xml:space="preserve">輸入：輸出＝</t>
    </r>
    <r>
      <rPr>
        <sz val="10"/>
        <rFont val="Arial"/>
        <family val="0"/>
        <charset val="1"/>
      </rPr>
      <t xml:space="preserve">14.3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；每請求約 </t>
    </r>
    <r>
      <rPr>
        <sz val="10"/>
        <rFont val="Arial"/>
        <family val="0"/>
        <charset val="1"/>
      </rPr>
      <t xml:space="preserve">5,850 </t>
    </r>
    <r>
      <rPr>
        <sz val="10"/>
        <rFont val="Noto Sans CJK SC"/>
        <family val="2"/>
      </rPr>
      <t xml:space="preserve">入／</t>
    </r>
    <r>
      <rPr>
        <sz val="10"/>
        <rFont val="Arial"/>
        <family val="0"/>
        <charset val="1"/>
      </rPr>
      <t xml:space="preserve">408 </t>
    </r>
    <r>
      <rPr>
        <sz val="10"/>
        <rFont val="Noto Sans CJK SC"/>
        <family val="2"/>
      </rPr>
      <t xml:space="preserve">出；快取命中呈雙峰（多為近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或近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），無單一聚合值；</t>
    </r>
    <r>
      <rPr>
        <sz val="10"/>
        <rFont val="Arial"/>
        <family val="0"/>
        <charset val="1"/>
      </rPr>
      <t xml:space="preserve">99% </t>
    </r>
    <r>
      <rPr>
        <sz val="10"/>
        <rFont val="Noto Sans CJK SC"/>
        <family val="2"/>
      </rPr>
      <t xml:space="preserve">的重用在 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分鐘內</t>
    </r>
  </si>
  <si>
    <r>
      <rPr>
        <sz val="10"/>
        <rFont val="Arial"/>
        <family val="0"/>
        <charset val="1"/>
      </rPr>
      <t xml:space="preserve">2025-04-11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2026-04-12</t>
    </r>
  </si>
  <si>
    <t xml:space="preserve">arXiv 2608.13573 https://arxiv.org/abs/2608.13573</t>
  </si>
  <si>
    <r>
      <rPr>
        <sz val="10"/>
        <rFont val="Arial"/>
        <family val="0"/>
        <charset val="1"/>
      </rPr>
      <t xml:space="preserve">Analogy</t>
    </r>
    <r>
      <rPr>
        <sz val="10"/>
        <rFont val="Noto Sans CJK SC"/>
        <family val="2"/>
      </rPr>
      <t xml:space="preserve">（匿名平台；非 </t>
    </r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</si>
  <si>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SRC_DEM_014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015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OpenRouter 6,000 </t>
    </r>
    <r>
      <rPr>
        <sz val="10"/>
        <rFont val="Noto Sans CJK SC"/>
        <family val="2"/>
      </rPr>
      <t xml:space="preserve">入／</t>
    </r>
    <r>
      <rPr>
        <sz val="10"/>
        <rFont val="Arial"/>
        <family val="0"/>
        <charset val="1"/>
      </rPr>
      <t xml:space="preserve">400 </t>
    </r>
    <r>
      <rPr>
        <sz val="10"/>
        <rFont val="Noto Sans CJK SC"/>
        <family val="2"/>
      </rPr>
      <t xml:space="preserve">出）一致</t>
    </r>
  </si>
  <si>
    <t xml:space="preserve">A4-2</t>
  </si>
  <si>
    <r>
      <rPr>
        <sz val="10"/>
        <rFont val="Arial"/>
        <family val="0"/>
        <charset val="1"/>
      </rPr>
      <t xml:space="preserve">OpenRouter </t>
    </r>
    <r>
      <rPr>
        <sz val="10"/>
        <rFont val="Noto Sans CJK SC"/>
        <family val="2"/>
      </rPr>
      <t xml:space="preserve">代理型流量（</t>
    </r>
    <r>
      <rPr>
        <sz val="10"/>
        <rFont val="Arial"/>
        <family val="0"/>
        <charset val="1"/>
      </rPr>
      <t xml:space="preserve">2026-09</t>
    </r>
    <r>
      <rPr>
        <sz val="10"/>
        <rFont val="Noto Sans CJK SC"/>
        <family val="2"/>
      </rPr>
      <t xml:space="preserve">）：被快取的提示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87–90%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2026-01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）；提示：輸出約 </t>
    </r>
    <r>
      <rPr>
        <sz val="10"/>
        <rFont val="Arial"/>
        <family val="0"/>
        <charset val="1"/>
      </rPr>
      <t xml:space="preserve">99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（取自頁面拆分，</t>
    </r>
    <r>
      <rPr>
        <sz val="10"/>
        <rFont val="Arial"/>
        <family val="0"/>
        <charset val="1"/>
      </rPr>
      <t xml:space="preserve">Derived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</si>
  <si>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快取 </t>
    </r>
    <r>
      <rPr>
        <sz val="10"/>
        <rFont val="Arial"/>
        <family val="0"/>
        <charset val="1"/>
      </rPr>
      <t xml:space="preserve">87–90%</t>
    </r>
  </si>
  <si>
    <t xml:space="preserve">https://openrouter.ai/data/newsletter/cache-is-crucial</t>
  </si>
  <si>
    <t xml:space="preserve">2026-10-08</t>
  </si>
  <si>
    <r>
      <rPr>
        <sz val="10"/>
        <rFont val="Arial"/>
        <family val="0"/>
        <charset val="1"/>
      </rPr>
      <t xml:space="preserve">Analogy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OpenRouter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年現象，非 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）</t>
    </r>
  </si>
  <si>
    <t xml:space="preserve">全流量輸入／輸出拆分：頁面未載</t>
  </si>
  <si>
    <t xml:space="preserve">A4-3</t>
  </si>
  <si>
    <r>
      <rPr>
        <sz val="10"/>
        <rFont val="Arial"/>
        <family val="0"/>
        <charset val="1"/>
      </rPr>
      <t xml:space="preserve">OpenAI GPT-6 </t>
    </r>
    <r>
      <rPr>
        <sz val="10"/>
        <rFont val="Noto Sans CJK SC"/>
        <family val="2"/>
      </rPr>
      <t xml:space="preserve">快取：快取輸入最多 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折；客戶自報命中率 </t>
    </r>
    <r>
      <rPr>
        <sz val="10"/>
        <rFont val="Arial"/>
        <family val="0"/>
        <charset val="1"/>
      </rPr>
      <t xml:space="preserve">83–91%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Manus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85% </t>
    </r>
    <r>
      <rPr>
        <sz val="10"/>
        <rFont val="Noto Sans CJK SC"/>
        <family val="2"/>
      </rPr>
      <t xml:space="preserve">至 </t>
    </r>
    <r>
      <rPr>
        <sz val="10"/>
        <rFont val="Arial"/>
        <family val="0"/>
        <charset val="1"/>
      </rPr>
      <t xml:space="preserve">90% </t>
    </r>
    <r>
      <rPr>
        <sz val="10"/>
        <rFont val="Noto Sans CJK SC"/>
        <family val="2"/>
      </rPr>
      <t xml:space="preserve">以上）；快取窗口 </t>
    </r>
    <r>
      <rPr>
        <sz val="10"/>
        <rFont val="Arial"/>
        <family val="0"/>
        <charset val="1"/>
      </rPr>
      <t xml:space="preserve">30 </t>
    </r>
    <r>
      <rPr>
        <sz val="10"/>
        <rFont val="Noto Sans CJK SC"/>
        <family val="2"/>
      </rPr>
      <t xml:space="preserve">分鐘；整體占比：未載</t>
    </r>
  </si>
  <si>
    <t xml:space="preserve">https://openai.com/index/better-prompt-caching-for-gpt-6/</t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</si>
  <si>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行銷＋客戶自報）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</si>
  <si>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2025</t>
    </r>
  </si>
  <si>
    <t xml:space="preserve">A4-4</t>
  </si>
  <si>
    <r>
      <rPr>
        <sz val="10"/>
        <rFont val="Arial"/>
        <family val="0"/>
        <charset val="1"/>
      </rPr>
      <t xml:space="preserve">DeepSeek V3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R1</t>
    </r>
    <r>
      <rPr>
        <sz val="10"/>
        <rFont val="Noto Sans CJK SC"/>
        <family val="2"/>
      </rPr>
      <t xml:space="preserve">：輸入 </t>
    </r>
    <r>
      <rPr>
        <sz val="10"/>
        <rFont val="Arial"/>
        <family val="0"/>
        <charset val="1"/>
      </rPr>
      <t xml:space="preserve">608 B</t>
    </r>
    <r>
      <rPr>
        <sz val="10"/>
        <rFont val="Noto Sans CJK SC"/>
        <family val="2"/>
      </rPr>
      <t xml:space="preserve">／日、其中 </t>
    </r>
    <r>
      <rPr>
        <sz val="10"/>
        <rFont val="Arial"/>
        <family val="0"/>
        <charset val="1"/>
      </rPr>
      <t xml:space="preserve">342 B </t>
    </r>
    <r>
      <rPr>
        <sz val="10"/>
        <rFont val="Noto Sans CJK SC"/>
        <family val="2"/>
      </rPr>
      <t xml:space="preserve">命中磁碟快取；輸出 </t>
    </r>
    <r>
      <rPr>
        <sz val="10"/>
        <rFont val="Arial"/>
        <family val="0"/>
        <charset val="1"/>
      </rPr>
      <t xml:space="preserve">168 B</t>
    </r>
    <r>
      <rPr>
        <sz val="10"/>
        <rFont val="Noto Sans CJK SC"/>
        <family val="2"/>
      </rPr>
      <t xml:space="preserve">／日</t>
    </r>
  </si>
  <si>
    <r>
      <rPr>
        <sz val="10"/>
        <rFont val="Noto Sans CJK SC"/>
        <family val="2"/>
      </rPr>
      <t xml:space="preserve">命中 </t>
    </r>
    <r>
      <rPr>
        <sz val="10"/>
        <rFont val="Arial"/>
        <family val="0"/>
        <charset val="1"/>
      </rPr>
      <t xml:space="preserve">56.3%</t>
    </r>
    <r>
      <rPr>
        <sz val="10"/>
        <rFont val="Noto Sans CJK SC"/>
        <family val="2"/>
      </rPr>
      <t xml:space="preserve">；輸入：輸出 </t>
    </r>
    <r>
      <rPr>
        <sz val="10"/>
        <rFont val="Arial"/>
        <family val="0"/>
        <charset val="1"/>
      </rPr>
      <t xml:space="preserve">3.6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</si>
  <si>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同 </t>
    </r>
    <r>
      <rPr>
        <sz val="10"/>
        <rFont val="Arial"/>
        <family val="0"/>
        <charset val="1"/>
      </rPr>
      <t xml:space="preserve">A3-1</t>
    </r>
  </si>
  <si>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</rPr>
      <t xml:space="preserve">（一手）／</t>
    </r>
    <r>
      <rPr>
        <sz val="10"/>
        <rFont val="Arial"/>
        <family val="0"/>
        <charset val="1"/>
      </rPr>
      <t xml:space="preserve">Analogy</t>
    </r>
    <r>
      <rPr>
        <sz val="10"/>
        <rFont val="Noto Sans CJK SC"/>
        <family val="2"/>
      </rPr>
      <t xml:space="preserve">（對 </t>
    </r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</si>
  <si>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推理型輸出長；命中率恰與模型 </t>
    </r>
    <r>
      <rPr>
        <sz val="10"/>
        <rFont val="Arial"/>
        <family val="0"/>
        <charset val="1"/>
      </rPr>
      <t xml:space="preserve">χ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0.55 </t>
    </r>
    <r>
      <rPr>
        <sz val="10"/>
        <rFont val="Noto Sans CJK SC"/>
        <family val="2"/>
      </rPr>
      <t xml:space="preserve">接近</t>
    </r>
  </si>
  <si>
    <t xml:space="preserve">A4-5</t>
  </si>
  <si>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內部 </t>
    </r>
    <r>
      <rPr>
        <sz val="10"/>
        <rFont val="Arial"/>
        <family val="0"/>
        <charset val="1"/>
      </rPr>
      <t xml:space="preserve">Codex </t>
    </r>
    <r>
      <rPr>
        <sz val="10"/>
        <rFont val="Noto Sans CJK SC"/>
        <family val="2"/>
      </rPr>
      <t xml:space="preserve">占輸出 </t>
    </r>
    <r>
      <rPr>
        <sz val="10"/>
        <rFont val="Arial"/>
        <family val="0"/>
        <charset val="1"/>
      </rPr>
      <t xml:space="preserve">token 99.8%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2026-06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2025-08 </t>
    </r>
    <r>
      <rPr>
        <sz val="10"/>
        <rFont val="Noto Sans CJK SC"/>
        <family val="2"/>
      </rPr>
      <t xml:space="preserve">前 </t>
    </r>
    <r>
      <rPr>
        <sz val="10"/>
        <rFont val="Arial"/>
        <family val="0"/>
        <charset val="1"/>
      </rPr>
      <t xml:space="preserve">&lt;10%</t>
    </r>
  </si>
  <si>
    <r>
      <rPr>
        <sz val="10"/>
        <rFont val="Noto Sans CJK SC"/>
        <family val="2"/>
      </rPr>
      <t xml:space="preserve">同 </t>
    </r>
    <r>
      <rPr>
        <sz val="10"/>
        <rFont val="Arial"/>
        <family val="0"/>
        <charset val="1"/>
      </rPr>
      <t xml:space="preserve">A1-6</t>
    </r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</si>
  <si>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對話為主、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代理為主</t>
    </r>
  </si>
  <si>
    <t xml:space="preserve">A4-6</t>
  </si>
  <si>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Anthropic </t>
    </r>
    <r>
      <rPr>
        <sz val="10"/>
        <rFont val="Noto Sans CJK SC"/>
        <family val="2"/>
      </rPr>
      <t xml:space="preserve">官方對代理型流量整體的輸入輸出比／快取占比</t>
    </r>
  </si>
  <si>
    <t xml:space="preserve">只有客戶自報命中率</t>
  </si>
  <si>
    <r>
      <rPr>
        <sz val="10"/>
        <rFont val="Arial"/>
        <family val="0"/>
        <charset val="1"/>
      </rPr>
      <t xml:space="preserve">A4 </t>
    </r>
    <r>
      <rPr>
        <sz val="10"/>
        <rFont val="Noto Sans CJK SC"/>
        <family val="2"/>
      </rPr>
      <t xml:space="preserve">判讀： 實際請求的輸入輸出比是 </t>
    </r>
    <r>
      <rPr>
        <sz val="10"/>
        <rFont val="Arial"/>
        <family val="0"/>
        <charset val="1"/>
      </rPr>
      <t xml:space="preserve">3.6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DeepSeek </t>
    </r>
    <r>
      <rPr>
        <sz val="10"/>
        <rFont val="Noto Sans CJK SC"/>
        <family val="2"/>
      </rPr>
      <t xml:space="preserve">推理）至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（無伺服器平台），而參考請求為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GapISL 2.31 </t>
    </r>
    <r>
      <rPr>
        <sz val="10"/>
        <rFont val="Noto Sans CJK SC"/>
        <family val="2"/>
      </rPr>
      <t xml:space="preserve">把「</t>
    </r>
    <r>
      <rPr>
        <sz val="10"/>
        <rFont val="Arial"/>
        <family val="0"/>
        <charset val="1"/>
      </rPr>
      <t xml:space="preserve">ISL </t>
    </r>
    <r>
      <rPr>
        <sz val="10"/>
        <rFont val="Noto Sans CJK SC"/>
        <family val="2"/>
      </rPr>
      <t xml:space="preserve">縮到 </t>
    </r>
    <r>
      <rPr>
        <sz val="10"/>
        <rFont val="Arial"/>
        <family val="0"/>
        <charset val="1"/>
      </rPr>
      <t xml:space="preserve">4K</t>
    </r>
    <r>
      <rPr>
        <sz val="10"/>
        <rFont val="Noto Sans CJK SC"/>
        <family val="2"/>
      </rPr>
      <t xml:space="preserve">、輸出卻維持 </t>
    </r>
    <r>
      <rPr>
        <sz val="10"/>
        <rFont val="Arial"/>
        <family val="0"/>
        <charset val="1"/>
      </rPr>
      <t xml:space="preserve">2K</t>
    </r>
    <r>
      <rPr>
        <sz val="10"/>
        <rFont val="Noto Sans CJK SC"/>
        <family val="2"/>
      </rPr>
      <t xml:space="preserve">」當成實際，輸出占比被放大到 </t>
    </r>
    <r>
      <rPr>
        <sz val="10"/>
        <rFont val="Arial"/>
        <family val="0"/>
        <charset val="1"/>
      </rPr>
      <t xml:space="preserve">33%</t>
    </r>
    <r>
      <rPr>
        <sz val="10"/>
        <rFont val="Noto Sans CJK SC"/>
        <family val="2"/>
      </rPr>
      <t xml:space="preserve">，與所有觀測都不符。見第 </t>
    </r>
    <r>
      <rPr>
        <sz val="10"/>
        <rFont val="Arial"/>
        <family val="0"/>
        <charset val="1"/>
      </rPr>
      <t xml:space="preserve">3.2 </t>
    </r>
    <r>
      <rPr>
        <sz val="10"/>
        <rFont val="Noto Sans CJK SC"/>
        <family val="2"/>
      </rPr>
      <t xml:space="preserve">節的重算。</t>
    </r>
  </si>
  <si>
    <r>
      <rPr>
        <b val="true"/>
        <sz val="11"/>
        <color rgb="FF1F3864"/>
        <rFont val="Arial"/>
        <family val="0"/>
        <charset val="1"/>
      </rPr>
      <t xml:space="preserve">2.5_A5 API </t>
    </r>
    <r>
      <rPr>
        <b val="true"/>
        <sz val="11"/>
        <color rgb="FF1F3864"/>
        <rFont val="Noto Sans CJK SC"/>
        <family val="2"/>
      </rPr>
      <t xml:space="preserve">的 </t>
    </r>
    <r>
      <rPr>
        <b val="true"/>
        <sz val="11"/>
        <color rgb="FF1F3864"/>
        <rFont val="Arial"/>
        <family val="0"/>
        <charset val="1"/>
      </rPr>
      <t xml:space="preserve">Batch</t>
    </r>
    <r>
      <rPr>
        <b val="true"/>
        <sz val="11"/>
        <color rgb="FF1F3864"/>
        <rFont val="Noto Sans CJK SC"/>
        <family val="2"/>
      </rPr>
      <t xml:space="preserve">／</t>
    </r>
    <r>
      <rPr>
        <b val="true"/>
        <sz val="11"/>
        <color rgb="FF1F3864"/>
        <rFont val="Arial"/>
        <family val="0"/>
        <charset val="1"/>
      </rPr>
      <t xml:space="preserve">Fle</t>
    </r>
  </si>
  <si>
    <r>
      <rPr>
        <sz val="10"/>
        <rFont val="Arial"/>
        <family val="0"/>
        <charset val="1"/>
      </rPr>
      <t xml:space="preserve">v5.34 </t>
    </r>
    <r>
      <rPr>
        <sz val="10"/>
        <rFont val="Noto Sans CJK SC"/>
        <family val="2"/>
      </rPr>
      <t xml:space="preserve">已搜尋未找到；本段限時再找一次（兩輪 </t>
    </r>
    <r>
      <rPr>
        <sz val="10"/>
        <rFont val="Arial"/>
        <family val="0"/>
        <charset val="1"/>
      </rPr>
      <t xml:space="preserve">WebSearch</t>
    </r>
    <r>
      <rPr>
        <sz val="10"/>
        <rFont val="Noto Sans CJK SC"/>
        <family val="2"/>
      </rPr>
      <t xml:space="preserve">：「</t>
    </r>
    <r>
      <rPr>
        <sz val="10"/>
        <rFont val="Arial"/>
        <family val="0"/>
        <charset val="1"/>
      </rPr>
      <t xml:space="preserve">OpenAI Batch API Flex processing share of API usage percent …enterprise discount</t>
    </r>
    <r>
      <rPr>
        <sz val="10"/>
        <rFont val="Noto Sans CJK SC"/>
        <family val="2"/>
      </rPr>
      <t xml:space="preserve">」「</t>
    </r>
    <r>
      <rPr>
        <sz val="10"/>
        <rFont val="Arial"/>
        <family val="0"/>
        <charset val="1"/>
      </rPr>
      <t xml:space="preserve">Anthropic Batch API share of API volume percent …</t>
    </r>
    <r>
      <rPr>
        <sz val="10"/>
        <rFont val="Noto Sans CJK SC"/>
        <family val="2"/>
      </rPr>
      <t xml:space="preserve">」及「</t>
    </r>
    <r>
      <rPr>
        <sz val="10"/>
        <rFont val="Arial"/>
        <family val="0"/>
        <charset val="1"/>
      </rPr>
      <t xml:space="preserve">Flex processing percent of API traffic …committed use average discount</t>
    </r>
    <r>
      <rPr>
        <sz val="10"/>
        <rFont val="Noto Sans CJK SC"/>
        <family val="2"/>
      </rPr>
      <t xml:space="preserve">」），仍未找到任何占比或平均折扣；只看到價目結構的標題層級資訊（</t>
    </r>
    <r>
      <rPr>
        <sz val="10"/>
        <rFont val="Arial"/>
        <family val="0"/>
        <charset val="1"/>
      </rPr>
      <t xml:space="preserve">Batch </t>
    </r>
    <r>
      <rPr>
        <sz val="10"/>
        <rFont val="Noto Sans CJK SC"/>
        <family val="2"/>
      </rPr>
      <t xml:space="preserve">最高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折、</t>
    </r>
    <r>
      <rPr>
        <sz val="10"/>
        <rFont val="Arial"/>
        <family val="0"/>
        <charset val="1"/>
      </rPr>
      <t xml:space="preserve">Flex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2025-04 </t>
    </r>
    <r>
      <rPr>
        <sz val="10"/>
        <rFont val="Noto Sans CJK SC"/>
        <family val="2"/>
      </rPr>
      <t xml:space="preserve">推出，來源為搜尋結果標題，未讀全文，不登錄）。結論：已搜尋，未找到；</t>
    </r>
    <r>
      <rPr>
        <sz val="10"/>
        <rFont val="Arial"/>
        <family val="0"/>
        <charset val="1"/>
      </rPr>
      <t xml:space="preserve">B4_Disc </t>
    </r>
    <r>
      <rPr>
        <sz val="10"/>
        <rFont val="Noto Sans CJK SC"/>
        <family val="2"/>
      </rPr>
      <t xml:space="preserve">維持 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。</t>
    </r>
  </si>
  <si>
    <r>
      <rPr>
        <b val="true"/>
        <sz val="11"/>
        <color rgb="FF1F3864"/>
        <rFont val="Arial"/>
        <family val="0"/>
        <charset val="1"/>
      </rPr>
      <t xml:space="preserve">2.6_A6 </t>
    </r>
    <r>
      <rPr>
        <b val="true"/>
        <sz val="11"/>
        <color rgb="FF1F3864"/>
        <rFont val="Noto Sans CJK SC"/>
        <family val="2"/>
      </rPr>
      <t xml:space="preserve">價格時間錯配</t>
    </r>
  </si>
  <si>
    <r>
      <rPr>
        <sz val="10"/>
        <rFont val="Noto Sans CJK SC"/>
        <family val="2"/>
      </rPr>
      <t xml:space="preserve">搜尋範圍：「</t>
    </r>
    <r>
      <rPr>
        <sz val="10"/>
        <rFont val="Arial"/>
        <family val="0"/>
        <charset val="1"/>
      </rPr>
      <t xml:space="preserve">OpenAI API usage share by model 2025 GPT-4o GPT-4.1 o3 GPT-5 percent</t>
    </r>
    <r>
      <rPr>
        <sz val="10"/>
        <rFont val="Noto Sans CJK SC"/>
        <family val="2"/>
      </rPr>
      <t xml:space="preserve">」「</t>
    </r>
    <r>
      <rPr>
        <sz val="10"/>
        <rFont val="Arial"/>
        <family val="0"/>
        <charset val="1"/>
      </rPr>
      <t xml:space="preserve">ChatGPT GPT-4o usage share after GPT-5 launch</t>
    </r>
    <r>
      <rPr>
        <sz val="10"/>
        <rFont val="Noto Sans CJK SC"/>
        <family val="2"/>
      </rPr>
      <t xml:space="preserve">」「</t>
    </r>
    <r>
      <rPr>
        <sz val="10"/>
        <rFont val="Arial"/>
        <family val="0"/>
        <charset val="1"/>
      </rPr>
      <t xml:space="preserve">NBER How People Use ChatGPT model usage</t>
    </r>
    <r>
      <rPr>
        <sz val="10"/>
        <rFont val="Noto Sans CJK SC"/>
        <family val="2"/>
      </rPr>
      <t xml:space="preserve">」；</t>
    </r>
    <r>
      <rPr>
        <sz val="10"/>
        <rFont val="Arial"/>
        <family val="0"/>
        <charset val="1"/>
      </rPr>
      <t xml:space="preserve">WebFetch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benchlm.ai OpenAI </t>
    </r>
    <r>
      <rPr>
        <sz val="10"/>
        <rFont val="Noto Sans CJK SC"/>
        <family val="2"/>
      </rPr>
      <t xml:space="preserve">牌價表、</t>
    </r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Retiring GPT-4o</t>
    </r>
    <r>
      <rPr>
        <sz val="10"/>
        <rFont val="Noto Sans CJK SC"/>
        <family val="2"/>
      </rPr>
      <t xml:space="preserve">」、</t>
    </r>
    <r>
      <rPr>
        <sz val="10"/>
        <rFont val="Arial"/>
        <family val="0"/>
        <charset val="1"/>
      </rPr>
      <t xml:space="preserve">Sacra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</si>
  <si>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2.6 A6 </t>
    </r>
    <r>
      <rPr>
        <sz val="10"/>
        <rFont val="Noto Sans CJK SC"/>
        <family val="2"/>
      </rPr>
      <t xml:space="preserve">價格時間錯配（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實收單價 </t>
    </r>
    <r>
      <rPr>
        <sz val="10"/>
        <rFont val="Arial"/>
        <family val="0"/>
        <charset val="1"/>
      </rPr>
      <t xml:space="preserve">÷ 2026-09 </t>
    </r>
    <r>
      <rPr>
        <sz val="10"/>
        <rFont val="Noto Sans CJK SC"/>
        <family val="2"/>
      </rPr>
      <t xml:space="preserve">牌價快照；未建模）</t>
    </r>
  </si>
  <si>
    <t xml:space="preserve">A6-1</t>
  </si>
  <si>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牌價（輸入／輸出 </t>
    </r>
    <r>
      <rPr>
        <sz val="10"/>
        <rFont val="Arial"/>
        <family val="0"/>
        <charset val="1"/>
      </rPr>
      <t xml:space="preserve">$/M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GPT-4o 2.5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4.1 2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o3 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GPT-5 1.25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5.2 1.75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4o mini 0.15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0.6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4.1 mini 0.4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1.6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GPT-5 mini 0.25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GPT-5 nano 0.05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0.4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o1 15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o3-pro 20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80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GPT-6 Astra 10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（快取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6.1 Sol 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（快取 </t>
    </r>
    <r>
      <rPr>
        <sz val="10"/>
        <rFont val="Arial"/>
        <family val="0"/>
        <charset val="1"/>
      </rPr>
      <t xml:space="preserve">0.10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6 Sol 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（快取 </t>
    </r>
    <r>
      <rPr>
        <sz val="10"/>
        <rFont val="Arial"/>
        <family val="0"/>
        <charset val="1"/>
      </rPr>
      <t xml:space="preserve">0.20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6 Luna 0.10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0.50</t>
    </r>
    <r>
      <rPr>
        <sz val="10"/>
        <rFont val="Noto Sans CJK SC"/>
        <family val="2"/>
      </rPr>
      <t xml:space="preserve">（快取 </t>
    </r>
    <r>
      <rPr>
        <sz val="10"/>
        <rFont val="Arial"/>
        <family val="0"/>
        <charset val="1"/>
      </rPr>
      <t xml:space="preserve">0.01</t>
    </r>
    <r>
      <rPr>
        <sz val="10"/>
        <rFont val="Noto Sans CJK SC"/>
        <family val="2"/>
      </rPr>
      <t xml:space="preserve">）</t>
    </r>
  </si>
  <si>
    <t xml:space="preserve">https://benchlm.ai/openai/api-pricing</t>
  </si>
  <si>
    <r>
      <rPr>
        <sz val="10"/>
        <rFont val="Arial"/>
        <family val="0"/>
        <charset val="1"/>
      </rPr>
      <t xml:space="preserve">2026-10-14</t>
    </r>
    <r>
      <rPr>
        <sz val="10"/>
        <rFont val="Noto Sans CJK SC"/>
        <family val="2"/>
      </rPr>
      <t xml:space="preserve">（同步日）</t>
    </r>
  </si>
  <si>
    <r>
      <rPr>
        <sz val="10"/>
        <rFont val="Arial"/>
        <family val="0"/>
        <charset val="1"/>
      </rPr>
      <t xml:space="preserve">Analogy</t>
    </r>
    <r>
      <rPr>
        <sz val="10"/>
        <rFont val="Noto Sans CJK SC"/>
        <family val="2"/>
      </rPr>
      <t xml:space="preserve">（二手彙整，等級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；與 </t>
    </r>
    <r>
      <rPr>
        <sz val="10"/>
        <rFont val="Arial"/>
        <family val="0"/>
        <charset val="1"/>
      </rPr>
      <t xml:space="preserve">E338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E340 </t>
    </r>
    <r>
      <rPr>
        <sz val="10"/>
        <rFont val="Noto Sans CJK SC"/>
        <family val="2"/>
      </rPr>
      <t xml:space="preserve">一致）</t>
    </r>
  </si>
  <si>
    <r>
      <rPr>
        <sz val="10"/>
        <rFont val="Noto Sans CJK SC"/>
        <family val="2"/>
      </rPr>
      <t xml:space="preserve">該頁多數模型未列快取價；本段快取價按各模型常見折數假設（</t>
    </r>
    <r>
      <rPr>
        <sz val="10"/>
        <rFont val="Arial"/>
        <family val="0"/>
        <charset val="1"/>
      </rPr>
      <t xml:space="preserve">4o 5 </t>
    </r>
    <r>
      <rPr>
        <sz val="10"/>
        <rFont val="Noto Sans CJK SC"/>
        <family val="2"/>
      </rPr>
      <t xml:space="preserve">折、</t>
    </r>
    <r>
      <rPr>
        <sz val="10"/>
        <rFont val="Arial"/>
        <family val="0"/>
        <charset val="1"/>
      </rPr>
      <t xml:space="preserve">4.1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o3 2.5 </t>
    </r>
    <r>
      <rPr>
        <sz val="10"/>
        <rFont val="Noto Sans CJK SC"/>
        <family val="2"/>
      </rPr>
      <t xml:space="preserve">折、</t>
    </r>
    <r>
      <rPr>
        <sz val="10"/>
        <rFont val="Arial"/>
        <family val="0"/>
        <charset val="1"/>
      </rPr>
      <t xml:space="preserve">GPT-5 </t>
    </r>
    <r>
      <rPr>
        <sz val="10"/>
        <rFont val="Noto Sans CJK SC"/>
        <family val="2"/>
      </rPr>
      <t xml:space="preserve">系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折、</t>
    </r>
    <r>
      <rPr>
        <sz val="10"/>
        <rFont val="Arial"/>
        <family val="0"/>
        <charset val="1"/>
      </rPr>
      <t xml:space="preserve">mini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nano </t>
    </r>
    <r>
      <rPr>
        <sz val="10"/>
        <rFont val="Noto Sans CJK SC"/>
        <family val="2"/>
      </rPr>
      <t xml:space="preserve">同折）。快取只占參考請求的小部分，對比值影響 </t>
    </r>
    <r>
      <rPr>
        <sz val="10"/>
        <rFont val="Arial"/>
        <family val="0"/>
        <charset val="1"/>
      </rPr>
      <t xml:space="preserve">&lt;3%</t>
    </r>
  </si>
  <si>
    <t xml:space="preserve">A6-2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</si>
  <si>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年各模型用量占比（</t>
    </r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</si>
  <si>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已搜尋，未找到；只有「</t>
    </r>
    <r>
      <rPr>
        <sz val="10"/>
        <rFont val="Arial"/>
        <family val="0"/>
        <charset val="1"/>
      </rPr>
      <t xml:space="preserve">2026-01 </t>
    </r>
    <r>
      <rPr>
        <sz val="10"/>
        <rFont val="Noto Sans CJK SC"/>
        <family val="2"/>
      </rPr>
      <t xml:space="preserve">每日仍選 </t>
    </r>
    <r>
      <rPr>
        <sz val="10"/>
        <rFont val="Arial"/>
        <family val="0"/>
        <charset val="1"/>
      </rPr>
      <t xml:space="preserve">GPT-4o </t>
    </r>
    <r>
      <rPr>
        <sz val="10"/>
        <rFont val="Noto Sans CJK SC"/>
        <family val="2"/>
      </rPr>
      <t xml:space="preserve">的用戶 </t>
    </r>
    <r>
      <rPr>
        <sz val="10"/>
        <rFont val="Arial"/>
        <family val="0"/>
        <charset val="1"/>
      </rPr>
      <t xml:space="preserve">0.1%</t>
    </r>
    <r>
      <rPr>
        <sz val="10"/>
        <rFont val="Noto Sans CJK SC"/>
        <family val="2"/>
      </rPr>
      <t xml:space="preserve">」（</t>
    </r>
    <r>
      <rPr>
        <sz val="10"/>
        <rFont val="Arial"/>
        <family val="0"/>
        <charset val="1"/>
      </rPr>
      <t xml:space="preserve">OpenAI 2026-01-29</t>
    </r>
    <r>
      <rPr>
        <sz val="10"/>
        <rFont val="Noto Sans CJK SC"/>
        <family val="2"/>
      </rPr>
      <t xml:space="preserve">，終態）與「推理模型用戶占比 </t>
    </r>
    <r>
      <rPr>
        <sz val="10"/>
        <rFont val="Arial"/>
        <family val="0"/>
        <charset val="1"/>
      </rPr>
      <t xml:space="preserve">Plus 24%</t>
    </r>
    <r>
      <rPr>
        <sz val="10"/>
        <rFont val="Noto Sans CJK SC"/>
        <family val="2"/>
      </rPr>
      <t xml:space="preserve">／免費 </t>
    </r>
    <r>
      <rPr>
        <sz val="10"/>
        <rFont val="Arial"/>
        <family val="0"/>
        <charset val="1"/>
      </rPr>
      <t xml:space="preserve">7%</t>
    </r>
    <r>
      <rPr>
        <sz val="10"/>
        <rFont val="Noto Sans CJK SC"/>
        <family val="2"/>
      </rPr>
      <t xml:space="preserve">」（</t>
    </r>
    <r>
      <rPr>
        <sz val="10"/>
        <rFont val="Arial"/>
        <family val="0"/>
        <charset val="1"/>
      </rPr>
      <t xml:space="preserve">v5.33A T10</t>
    </r>
    <r>
      <rPr>
        <sz val="10"/>
        <rFont val="Noto Sans CJK SC"/>
        <family val="2"/>
      </rPr>
      <t xml:space="preserve">）</t>
    </r>
  </si>
  <si>
    <t xml:space="preserve">https://openai.com/index/retiring-gpt-4o-and-older-models</t>
  </si>
  <si>
    <t xml:space="preserve">2026-01-29</t>
  </si>
  <si>
    <t xml:space="preserve">組合找不到→依工作單給兩種情境</t>
  </si>
  <si>
    <t xml:space="preserve">A6-3</t>
  </si>
  <si>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組合快照（</t>
    </r>
    <r>
      <rPr>
        <sz val="10"/>
        <rFont val="Arial"/>
        <family val="0"/>
        <charset val="1"/>
      </rPr>
      <t xml:space="preserve">Luna 0.40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Sol 0.45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Astra 0.15</t>
    </r>
    <r>
      <rPr>
        <sz val="10"/>
        <rFont val="Noto Sans CJK SC"/>
        <family val="2"/>
      </rPr>
      <t xml:space="preserve">）與有效單價</t>
    </r>
  </si>
  <si>
    <r>
      <rPr>
        <sz val="10"/>
        <rFont val="Arial"/>
        <family val="0"/>
        <charset val="1"/>
      </rPr>
      <t xml:space="preserve">P̄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1.9607 $/M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占美元 </t>
    </r>
    <r>
      <rPr>
        <sz val="10"/>
        <rFont val="Arial"/>
        <family val="0"/>
        <charset val="1"/>
      </rPr>
      <t xml:space="preserve">61%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</si>
  <si>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90 </t>
    </r>
    <r>
      <rPr>
        <sz val="10"/>
        <rFont val="Noto Sans CJK SC"/>
        <family val="2"/>
      </rPr>
      <t xml:space="preserve">列；</t>
    </r>
    <r>
      <rPr>
        <sz val="10"/>
        <rFont val="Arial"/>
        <family val="0"/>
        <charset val="1"/>
      </rPr>
      <t xml:space="preserve">B4_MixPaid</t>
    </r>
  </si>
  <si>
    <t xml:space="preserve">v5.35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</si>
  <si>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沒有「</t>
    </r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級」定價點可直接對映</t>
    </r>
  </si>
  <si>
    <r>
      <rPr>
        <b val="true"/>
        <sz val="11"/>
        <color rgb="FF1F3864"/>
        <rFont val="Arial"/>
        <family val="0"/>
        <charset val="1"/>
      </rPr>
      <t xml:space="preserve">6_</t>
    </r>
    <r>
      <rPr>
        <b val="true"/>
        <sz val="11"/>
        <color rgb="FF1F3864"/>
        <rFont val="Noto Sans CJK SC"/>
        <family val="2"/>
      </rPr>
      <t xml:space="preserve">已搜尋，未找到</t>
    </r>
  </si>
  <si>
    <r>
      <rPr>
        <sz val="10"/>
        <rFont val="Arial"/>
        <family val="0"/>
        <charset val="1"/>
      </rPr>
      <t xml:space="preserve">1. OpenAI 2026-10-12 </t>
    </r>
    <r>
      <rPr>
        <sz val="10"/>
        <rFont val="Noto Sans CJK SC"/>
        <family val="2"/>
      </rPr>
      <t xml:space="preserve">後的每日訊息數、每日／每分鐘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API token </t>
    </r>
    <r>
      <rPr>
        <sz val="10"/>
        <rFont val="Noto Sans CJK SC"/>
        <family val="2"/>
      </rPr>
      <t xml:space="preserve">量（</t>
    </r>
    <r>
      <rPr>
        <sz val="10"/>
        <rFont val="Arial"/>
        <family val="0"/>
        <charset val="1"/>
      </rPr>
      <t xml:space="preserve">A1-1</t>
    </r>
    <r>
      <rPr>
        <sz val="10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</si>
  <si>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2. Anthropic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量、推論成本、利用率（</t>
    </r>
    <r>
      <rPr>
        <sz val="10"/>
        <rFont val="Arial"/>
        <family val="0"/>
        <charset val="1"/>
      </rPr>
      <t xml:space="preserve">A1-2</t>
    </r>
    <r>
      <rPr>
        <sz val="10"/>
        <rFont val="Noto Sans CJK SC"/>
        <family val="2"/>
      </rPr>
      <t xml:space="preserve">；機密 </t>
    </r>
    <r>
      <rPr>
        <sz val="10"/>
        <rFont val="Arial"/>
        <family val="0"/>
        <charset val="1"/>
      </rPr>
      <t xml:space="preserve">S-1 </t>
    </r>
    <r>
      <rPr>
        <sz val="10"/>
        <rFont val="Noto Sans CJK SC"/>
        <family val="2"/>
      </rPr>
      <t xml:space="preserve">尚未公開）。</t>
    </r>
  </si>
  <si>
    <r>
      <rPr>
        <sz val="10"/>
        <rFont val="Arial"/>
        <family val="0"/>
        <charset val="1"/>
      </rPr>
      <t xml:space="preserve">3. OpenAI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Microsoft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Oracle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CoreWeave </t>
    </r>
    <r>
      <rPr>
        <sz val="10"/>
        <rFont val="Noto Sans CJK SC"/>
        <family val="2"/>
      </rPr>
      <t xml:space="preserve">的推論算力單價（</t>
    </r>
    <r>
      <rPr>
        <sz val="10"/>
        <rFont val="Arial"/>
        <family val="0"/>
        <charset val="1"/>
      </rPr>
      <t xml:space="preserve">A2-7</t>
    </r>
    <r>
      <rPr>
        <sz val="10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</si>
  <si>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營收分成與算力抵扣的一手會計說明（</t>
    </r>
    <r>
      <rPr>
        <sz val="10"/>
        <rFont val="Arial"/>
        <family val="0"/>
        <charset val="1"/>
      </rPr>
      <t xml:space="preserve">A2-8</t>
    </r>
    <r>
      <rPr>
        <sz val="10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</si>
  <si>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5. Microsoft FY26 Q4 </t>
    </r>
    <r>
      <rPr>
        <sz val="10"/>
        <rFont val="Noto Sans CJK SC"/>
        <family val="2"/>
      </rPr>
      <t xml:space="preserve">電話會議逐字稿的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數（檔案讀出為二進位，未能讀取；二手摘要無總量）。</t>
    </r>
  </si>
  <si>
    <r>
      <rPr>
        <sz val="10"/>
        <rFont val="Arial"/>
        <family val="0"/>
        <charset val="1"/>
      </rPr>
      <t xml:space="preserve">6. </t>
    </r>
    <r>
      <rPr>
        <sz val="10"/>
        <rFont val="Noto Sans CJK SC"/>
        <family val="2"/>
      </rPr>
      <t xml:space="preserve">大規模推論叢集的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吞吐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容量實測（</t>
    </r>
    <r>
      <rPr>
        <sz val="10"/>
        <rFont val="Arial"/>
        <family val="0"/>
        <charset val="1"/>
      </rPr>
      <t xml:space="preserve">A3-5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尖峰對平均比；「算力不足」說法的時間分布（</t>
    </r>
    <r>
      <rPr>
        <sz val="10"/>
        <rFont val="Arial"/>
        <family val="0"/>
        <charset val="1"/>
      </rPr>
      <t xml:space="preserve">A3-6</t>
    </r>
    <r>
      <rPr>
        <sz val="10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</si>
  <si>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7. OpenAI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Anthropic </t>
    </r>
    <r>
      <rPr>
        <sz val="10"/>
        <rFont val="Noto Sans CJK SC"/>
        <family val="2"/>
      </rPr>
      <t xml:space="preserve">對代理型流量整體輸入輸出比、快取占比的官方描述（</t>
    </r>
    <r>
      <rPr>
        <sz val="10"/>
        <rFont val="Arial"/>
        <family val="0"/>
        <charset val="1"/>
      </rPr>
      <t xml:space="preserve">A4-6</t>
    </r>
    <r>
      <rPr>
        <sz val="10"/>
        <rFont val="Noto Sans CJK SC"/>
        <family val="2"/>
      </rPr>
      <t xml:space="preserve">）；全流量輸入／輸出拆分（</t>
    </r>
    <r>
      <rPr>
        <sz val="10"/>
        <rFont val="Arial"/>
        <family val="0"/>
        <charset val="1"/>
      </rPr>
      <t xml:space="preserve">OpenRouter </t>
    </r>
    <r>
      <rPr>
        <sz val="10"/>
        <rFont val="Noto Sans CJK SC"/>
        <family val="2"/>
      </rPr>
      <t xml:space="preserve">頁面未載）。</t>
    </r>
  </si>
  <si>
    <r>
      <rPr>
        <sz val="10"/>
        <rFont val="Arial"/>
        <family val="0"/>
        <charset val="1"/>
      </rPr>
      <t xml:space="preserve">8. Batch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Flex </t>
    </r>
    <r>
      <rPr>
        <sz val="10"/>
        <rFont val="Noto Sans CJK SC"/>
        <family val="2"/>
      </rPr>
      <t xml:space="preserve">占比、企業平均折扣（</t>
    </r>
    <r>
      <rPr>
        <sz val="10"/>
        <rFont val="Arial"/>
        <family val="0"/>
        <charset val="1"/>
      </rPr>
      <t xml:space="preserve">A5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v5.34 </t>
    </r>
    <r>
      <rPr>
        <sz val="10"/>
        <rFont val="Noto Sans CJK SC"/>
        <family val="2"/>
      </rPr>
      <t xml:space="preserve">與本段共三輪）。</t>
    </r>
  </si>
  <si>
    <r>
      <rPr>
        <sz val="10"/>
        <rFont val="Arial"/>
        <family val="0"/>
        <charset val="1"/>
      </rPr>
      <t xml:space="preserve">9. 2025 </t>
    </r>
    <r>
      <rPr>
        <sz val="10"/>
        <rFont val="Noto Sans CJK SC"/>
        <family val="2"/>
      </rPr>
      <t xml:space="preserve">年各模型用量占比（</t>
    </r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）（</t>
    </r>
    <r>
      <rPr>
        <sz val="10"/>
        <rFont val="Arial"/>
        <family val="0"/>
        <charset val="1"/>
      </rPr>
      <t xml:space="preserve">A6-2</t>
    </r>
    <r>
      <rPr>
        <sz val="10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</si>
  <si>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10. CoreWeave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A2-2</t>
    </r>
    <r>
      <rPr>
        <sz val="10"/>
        <rFont val="Noto Sans CJK SC"/>
        <family val="2"/>
      </rPr>
      <t xml:space="preserve">，未揭露）。</t>
    </r>
  </si>
  <si>
    <r>
      <rPr>
        <sz val="10"/>
        <rFont val="Arial"/>
        <family val="0"/>
        <charset val="1"/>
      </rPr>
      <t xml:space="preserve">11. arXiv 2609.12923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Hopper </t>
    </r>
    <r>
      <rPr>
        <sz val="10"/>
        <rFont val="Noto Sans CJK SC"/>
        <family val="2"/>
      </rPr>
      <t xml:space="preserve">上 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推論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利用率）</t>
    </r>
    <r>
      <rPr>
        <sz val="10"/>
        <rFont val="Arial"/>
        <family val="0"/>
        <charset val="1"/>
      </rPr>
      <t xml:space="preserve">PDF </t>
    </r>
    <r>
      <rPr>
        <sz val="10"/>
        <rFont val="Noto Sans CJK SC"/>
        <family val="2"/>
      </rPr>
      <t xml:space="preserve">讀出為空，未能讀取。</t>
    </r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</si>
</sst>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"/>
    <numFmt numFmtId="166" formatCode="0%"/>
    <numFmt numFmtId="167" formatCode="0.0000"/>
    <numFmt numFmtId="168" formatCode="0.0"/>
    <numFmt numFmtId="169" formatCode="#,##0"/>
    <numFmt numFmtId="170" formatCode="0.000"/>
    <numFmt numFmtId="171" formatCode="0.0E+00"/>
    <numFmt numFmtId="172" formatCode="0.0%"/>
    <numFmt numFmtId="173" formatCode="#,##0.00"/>
    <numFmt numFmtId="174" formatCode="#,##0.0E+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1"/>
      <color rgb="FF1F3864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C65911"/>
      <rgbColor rgb="FF666699"/>
      <rgbColor rgb="FF7F7F7F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21.6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s">
        <v>2</v>
      </c>
    </row>
    <row r="4" customFormat="false" ht="30" hidden="false" customHeight="true" outlineLevel="0" collapsed="false">
      <c r="A4" s="2" t="s">
        <v>3</v>
      </c>
      <c r="B4" s="4" t="s">
        <v>4</v>
      </c>
    </row>
    <row r="5" customFormat="false" ht="30" hidden="false" customHeight="true" outlineLevel="0" collapsed="false">
      <c r="A5" s="2" t="s">
        <v>5</v>
      </c>
      <c r="B5" s="3" t="s">
        <v>6</v>
      </c>
    </row>
    <row r="6" customFormat="false" ht="15" hidden="false" customHeight="true" outlineLevel="0" collapsed="false">
      <c r="A6" s="2" t="s">
        <v>7</v>
      </c>
      <c r="B6" s="4" t="s">
        <v>8</v>
      </c>
    </row>
    <row r="7" customFormat="false" ht="15" hidden="false" customHeight="true" outlineLevel="0" collapsed="false">
      <c r="A7" s="2" t="s">
        <v>9</v>
      </c>
      <c r="B7" s="4" t="s">
        <v>10</v>
      </c>
    </row>
    <row r="8" customFormat="false" ht="30" hidden="false" customHeight="true" outlineLevel="0" collapsed="false">
      <c r="A8" s="2" t="s">
        <v>11</v>
      </c>
      <c r="B8" s="4" t="s">
        <v>12</v>
      </c>
    </row>
    <row r="9" customFormat="false" ht="30" hidden="false" customHeight="true" outlineLevel="0" collapsed="false">
      <c r="A9" s="2" t="s">
        <v>13</v>
      </c>
      <c r="B9" s="4" t="s">
        <v>14</v>
      </c>
    </row>
    <row r="10" customFormat="false" ht="30" hidden="false" customHeight="true" outlineLevel="0" collapsed="false">
      <c r="A10" s="2" t="s">
        <v>15</v>
      </c>
      <c r="B10" s="3" t="s">
        <v>16</v>
      </c>
    </row>
    <row r="11" customFormat="false" ht="30" hidden="false" customHeight="true" outlineLevel="0" collapsed="false">
      <c r="A11" s="2" t="s">
        <v>17</v>
      </c>
      <c r="B11" s="4" t="s">
        <v>18</v>
      </c>
    </row>
    <row r="13" customFormat="false" ht="17.15" hidden="false" customHeight="false" outlineLevel="0" collapsed="false">
      <c r="A13" s="5" t="s">
        <v>19</v>
      </c>
      <c r="B13" s="5"/>
    </row>
    <row r="14" customFormat="false" ht="15" hidden="false" customHeight="false" outlineLevel="0" collapsed="false">
      <c r="A14" s="4" t="s">
        <v>20</v>
      </c>
      <c r="B14" s="4" t="s">
        <v>21</v>
      </c>
    </row>
    <row r="15" customFormat="false" ht="15" hidden="false" customHeight="false" outlineLevel="0" collapsed="false">
      <c r="A15" s="4" t="s">
        <v>22</v>
      </c>
      <c r="B15" s="4" t="s">
        <v>23</v>
      </c>
    </row>
    <row r="16" customFormat="false" ht="15" hidden="false" customHeight="false" outlineLevel="0" collapsed="false">
      <c r="A16" s="4" t="s">
        <v>24</v>
      </c>
      <c r="B16" s="4" t="s">
        <v>25</v>
      </c>
    </row>
    <row r="17" customFormat="false" ht="15" hidden="false" customHeight="false" outlineLevel="0" collapsed="false">
      <c r="A17" s="4" t="s">
        <v>26</v>
      </c>
      <c r="B17" s="4" t="s">
        <v>27</v>
      </c>
    </row>
    <row r="18" customFormat="false" ht="15" hidden="false" customHeight="false" outlineLevel="0" collapsed="false">
      <c r="A18" s="4" t="s">
        <v>28</v>
      </c>
      <c r="B18" s="4" t="s">
        <v>29</v>
      </c>
    </row>
    <row r="19" customFormat="false" ht="15" hidden="false" customHeight="false" outlineLevel="0" collapsed="false">
      <c r="A19" s="4" t="s">
        <v>30</v>
      </c>
      <c r="B19" s="4" t="s">
        <v>31</v>
      </c>
    </row>
    <row r="20" customFormat="false" ht="15" hidden="false" customHeight="false" outlineLevel="0" collapsed="false">
      <c r="A20" s="4" t="s">
        <v>32</v>
      </c>
      <c r="B20" s="3" t="s">
        <v>33</v>
      </c>
    </row>
    <row r="21" customFormat="false" ht="15" hidden="false" customHeight="false" outlineLevel="0" collapsed="false">
      <c r="A21" s="4" t="s">
        <v>34</v>
      </c>
      <c r="B21" s="3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FF"/>
    <pageSetUpPr fitToPage="true"/>
  </sheetPr>
  <dimension ref="A1:L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8" min="4" style="0" width="14"/>
    <col collapsed="false" customWidth="true" hidden="false" outlineLevel="0" max="10" min="9" style="0" width="11"/>
    <col collapsed="false" customWidth="true" hidden="false" outlineLevel="0" max="11" min="11" style="0" width="22"/>
    <col collapsed="false" customWidth="true" hidden="false" outlineLevel="0" max="12" min="12" style="0" width="70"/>
  </cols>
  <sheetData>
    <row r="1" customFormat="false" ht="21.6" hidden="false" customHeight="false" outlineLevel="0" collapsed="false">
      <c r="A1" s="6" t="s">
        <v>36</v>
      </c>
    </row>
    <row r="2" customFormat="false" ht="30" hidden="false" customHeight="true" outlineLevel="0" collapsed="false">
      <c r="A2" s="7" t="s">
        <v>37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customFormat="false" ht="42" hidden="false" customHeight="true" outlineLevel="0" collapsed="false">
      <c r="A4" s="8" t="s">
        <v>38</v>
      </c>
      <c r="B4" s="8" t="s">
        <v>39</v>
      </c>
      <c r="C4" s="8" t="s">
        <v>40</v>
      </c>
      <c r="D4" s="8" t="s">
        <v>41</v>
      </c>
      <c r="E4" s="9" t="s">
        <v>42</v>
      </c>
      <c r="F4" s="9" t="s">
        <v>43</v>
      </c>
      <c r="G4" s="8" t="s">
        <v>44</v>
      </c>
      <c r="H4" s="8" t="s">
        <v>45</v>
      </c>
      <c r="I4" s="8" t="s">
        <v>46</v>
      </c>
      <c r="J4" s="8" t="s">
        <v>47</v>
      </c>
      <c r="K4" s="8" t="s">
        <v>48</v>
      </c>
      <c r="L4" s="8" t="s">
        <v>49</v>
      </c>
    </row>
    <row r="5" customFormat="false" ht="32.8" hidden="false" customHeight="false" outlineLevel="0" collapsed="false">
      <c r="A5" s="10" t="s">
        <v>50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15" hidden="false" customHeight="false" outlineLevel="0" collapsed="false">
      <c r="A6" s="3" t="s">
        <v>51</v>
      </c>
      <c r="B6" s="3" t="s">
        <v>52</v>
      </c>
      <c r="C6" s="3" t="s">
        <v>53</v>
      </c>
      <c r="D6" s="11" t="n">
        <v>13.07</v>
      </c>
      <c r="E6" s="11" t="n">
        <v>13.07</v>
      </c>
      <c r="F6" s="11" t="n">
        <v>13.07</v>
      </c>
      <c r="G6" s="11" t="n">
        <v>13.07</v>
      </c>
      <c r="H6" s="12" t="n">
        <v>13.07</v>
      </c>
      <c r="I6" s="11"/>
      <c r="J6" s="11"/>
      <c r="K6" s="3" t="s">
        <v>54</v>
      </c>
      <c r="L6" s="3" t="s">
        <v>55</v>
      </c>
    </row>
    <row r="7" customFormat="false" ht="15" hidden="false" customHeight="false" outlineLevel="0" collapsed="false">
      <c r="A7" s="3" t="s">
        <v>56</v>
      </c>
      <c r="B7" s="4" t="s">
        <v>57</v>
      </c>
      <c r="C7" s="3" t="s">
        <v>58</v>
      </c>
      <c r="D7" s="13" t="n">
        <v>0.4</v>
      </c>
      <c r="E7" s="13" t="n">
        <v>0.4</v>
      </c>
      <c r="F7" s="13" t="n">
        <v>0.4</v>
      </c>
      <c r="G7" s="13" t="n">
        <v>0.4</v>
      </c>
      <c r="H7" s="14" t="n">
        <v>0.4</v>
      </c>
      <c r="I7" s="13"/>
      <c r="J7" s="13"/>
      <c r="K7" s="3" t="s">
        <v>59</v>
      </c>
      <c r="L7" s="3" t="s">
        <v>60</v>
      </c>
    </row>
    <row r="8" customFormat="false" ht="15" hidden="false" customHeight="false" outlineLevel="0" collapsed="false">
      <c r="A8" s="3" t="s">
        <v>61</v>
      </c>
      <c r="B8" s="4" t="s">
        <v>62</v>
      </c>
      <c r="C8" s="3" t="s">
        <v>58</v>
      </c>
      <c r="D8" s="13" t="n">
        <v>0.45</v>
      </c>
      <c r="E8" s="13" t="n">
        <v>0.45</v>
      </c>
      <c r="F8" s="13" t="n">
        <v>0.45</v>
      </c>
      <c r="G8" s="13" t="n">
        <v>0.45</v>
      </c>
      <c r="H8" s="14" t="n">
        <v>0.45</v>
      </c>
      <c r="I8" s="13"/>
      <c r="J8" s="13"/>
      <c r="K8" s="3" t="s">
        <v>59</v>
      </c>
      <c r="L8" s="3" t="s">
        <v>63</v>
      </c>
    </row>
    <row r="9" customFormat="false" ht="15" hidden="false" customHeight="false" outlineLevel="0" collapsed="false">
      <c r="A9" s="3" t="s">
        <v>64</v>
      </c>
      <c r="B9" s="4" t="s">
        <v>65</v>
      </c>
      <c r="C9" s="3" t="s">
        <v>58</v>
      </c>
      <c r="D9" s="13" t="n">
        <v>0.15</v>
      </c>
      <c r="E9" s="13" t="n">
        <v>0.15</v>
      </c>
      <c r="F9" s="13" t="n">
        <v>0.15</v>
      </c>
      <c r="G9" s="13" t="n">
        <v>0.15</v>
      </c>
      <c r="H9" s="14" t="n">
        <v>0.15</v>
      </c>
      <c r="I9" s="13"/>
      <c r="J9" s="13"/>
      <c r="K9" s="3" t="s">
        <v>59</v>
      </c>
      <c r="L9" s="3" t="s">
        <v>63</v>
      </c>
    </row>
    <row r="10" customFormat="false" ht="15" hidden="false" customHeight="false" outlineLevel="0" collapsed="false">
      <c r="A10" s="3" t="s">
        <v>66</v>
      </c>
      <c r="B10" s="4" t="s">
        <v>67</v>
      </c>
      <c r="C10" s="3" t="s">
        <v>68</v>
      </c>
      <c r="D10" s="15" t="n">
        <v>0.0803555555555556</v>
      </c>
      <c r="E10" s="15" t="n">
        <v>0.0803555555555556</v>
      </c>
      <c r="F10" s="15" t="n">
        <v>0.0803555555555556</v>
      </c>
      <c r="G10" s="15" t="n">
        <v>0.0803555555555556</v>
      </c>
      <c r="H10" s="16" t="n">
        <v>0.0803555555555556</v>
      </c>
      <c r="I10" s="15"/>
      <c r="J10" s="15"/>
      <c r="K10" s="3" t="s">
        <v>69</v>
      </c>
      <c r="L10" s="3" t="s">
        <v>70</v>
      </c>
    </row>
    <row r="11" customFormat="false" ht="15" hidden="false" customHeight="false" outlineLevel="0" collapsed="false">
      <c r="A11" s="3" t="s">
        <v>71</v>
      </c>
      <c r="B11" s="4" t="s">
        <v>72</v>
      </c>
      <c r="C11" s="3" t="s">
        <v>68</v>
      </c>
      <c r="D11" s="15" t="n">
        <v>1.60711111111111</v>
      </c>
      <c r="E11" s="15" t="n">
        <v>1.60711111111111</v>
      </c>
      <c r="F11" s="15" t="n">
        <v>1.60711111111111</v>
      </c>
      <c r="G11" s="15" t="n">
        <v>1.60711111111111</v>
      </c>
      <c r="H11" s="16" t="n">
        <v>1.60711111111111</v>
      </c>
      <c r="I11" s="15"/>
      <c r="J11" s="15"/>
      <c r="K11" s="3" t="s">
        <v>69</v>
      </c>
      <c r="L11" s="3" t="s">
        <v>73</v>
      </c>
    </row>
    <row r="12" customFormat="false" ht="15" hidden="false" customHeight="false" outlineLevel="0" collapsed="false">
      <c r="A12" s="3" t="s">
        <v>74</v>
      </c>
      <c r="B12" s="4" t="s">
        <v>75</v>
      </c>
      <c r="C12" s="3" t="s">
        <v>68</v>
      </c>
      <c r="D12" s="15" t="n">
        <v>8.03555555555555</v>
      </c>
      <c r="E12" s="15" t="n">
        <v>8.03555555555555</v>
      </c>
      <c r="F12" s="15" t="n">
        <v>8.03555555555555</v>
      </c>
      <c r="G12" s="15" t="n">
        <v>8.03555555555555</v>
      </c>
      <c r="H12" s="16" t="n">
        <v>8.03555555555555</v>
      </c>
      <c r="I12" s="15"/>
      <c r="J12" s="15"/>
      <c r="K12" s="3" t="s">
        <v>69</v>
      </c>
      <c r="L12" s="3" t="s">
        <v>76</v>
      </c>
    </row>
    <row r="13" customFormat="false" ht="79.85" hidden="false" customHeight="false" outlineLevel="0" collapsed="false">
      <c r="A13" s="10" t="s">
        <v>77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customFormat="false" ht="15" hidden="false" customHeight="false" outlineLevel="0" collapsed="false">
      <c r="A14" s="3" t="s">
        <v>78</v>
      </c>
      <c r="B14" s="3" t="s">
        <v>79</v>
      </c>
      <c r="C14" s="3" t="s">
        <v>80</v>
      </c>
      <c r="D14" s="17" t="n">
        <v>6</v>
      </c>
      <c r="E14" s="17" t="n">
        <v>6</v>
      </c>
      <c r="F14" s="17" t="n">
        <v>6</v>
      </c>
      <c r="G14" s="17" t="n">
        <v>6</v>
      </c>
      <c r="H14" s="18" t="n">
        <v>6</v>
      </c>
      <c r="I14" s="17"/>
      <c r="J14" s="17"/>
      <c r="K14" s="3" t="s">
        <v>54</v>
      </c>
      <c r="L14" s="3" t="s">
        <v>81</v>
      </c>
    </row>
    <row r="15" customFormat="false" ht="15" hidden="false" customHeight="false" outlineLevel="0" collapsed="false">
      <c r="A15" s="3" t="s">
        <v>82</v>
      </c>
      <c r="B15" s="3" t="s">
        <v>83</v>
      </c>
      <c r="C15" s="3" t="s">
        <v>84</v>
      </c>
      <c r="D15" s="11" t="n">
        <v>0.75</v>
      </c>
      <c r="E15" s="11" t="n">
        <v>0.75</v>
      </c>
      <c r="F15" s="11" t="n">
        <v>0.75</v>
      </c>
      <c r="G15" s="11" t="n">
        <v>0.75</v>
      </c>
      <c r="H15" s="12" t="n">
        <v>0.75</v>
      </c>
      <c r="I15" s="11" t="n">
        <v>0.6</v>
      </c>
      <c r="J15" s="11" t="n">
        <v>0.9</v>
      </c>
      <c r="K15" s="3" t="s">
        <v>59</v>
      </c>
      <c r="L15" s="3" t="s">
        <v>85</v>
      </c>
    </row>
    <row r="16" customFormat="false" ht="15" hidden="false" customHeight="false" outlineLevel="0" collapsed="false">
      <c r="A16" s="3" t="s">
        <v>86</v>
      </c>
      <c r="B16" s="3" t="s">
        <v>87</v>
      </c>
      <c r="C16" s="3" t="s">
        <v>88</v>
      </c>
      <c r="D16" s="11" t="n">
        <v>2.5</v>
      </c>
      <c r="E16" s="11" t="n">
        <v>2.5</v>
      </c>
      <c r="F16" s="11" t="n">
        <v>2.5</v>
      </c>
      <c r="G16" s="11" t="n">
        <v>2.5</v>
      </c>
      <c r="H16" s="12" t="n">
        <v>2.5</v>
      </c>
      <c r="I16" s="11" t="n">
        <v>2.2</v>
      </c>
      <c r="J16" s="11" t="n">
        <v>2.7</v>
      </c>
      <c r="K16" s="3" t="s">
        <v>54</v>
      </c>
      <c r="L16" s="3" t="s">
        <v>89</v>
      </c>
    </row>
    <row r="17" customFormat="false" ht="29.85" hidden="false" customHeight="false" outlineLevel="0" collapsed="false">
      <c r="A17" s="3" t="s">
        <v>90</v>
      </c>
      <c r="B17" s="4" t="s">
        <v>91</v>
      </c>
      <c r="C17" s="3" t="s">
        <v>92</v>
      </c>
      <c r="D17" s="19" t="n">
        <v>4000</v>
      </c>
      <c r="E17" s="19" t="n">
        <v>4000</v>
      </c>
      <c r="F17" s="19" t="n">
        <v>4000</v>
      </c>
      <c r="G17" s="19" t="n">
        <v>4000</v>
      </c>
      <c r="H17" s="20" t="n">
        <v>4000</v>
      </c>
      <c r="I17" s="19" t="n">
        <v>2000</v>
      </c>
      <c r="J17" s="19" t="n">
        <v>11000</v>
      </c>
      <c r="K17" s="3" t="s">
        <v>59</v>
      </c>
      <c r="L17" s="3" t="s">
        <v>93</v>
      </c>
    </row>
    <row r="18" customFormat="false" ht="15" hidden="false" customHeight="false" outlineLevel="0" collapsed="false">
      <c r="A18" s="3" t="s">
        <v>94</v>
      </c>
      <c r="B18" s="3" t="s">
        <v>95</v>
      </c>
      <c r="C18" s="3" t="s">
        <v>58</v>
      </c>
      <c r="D18" s="13" t="n">
        <v>0.6</v>
      </c>
      <c r="E18" s="13" t="n">
        <v>0.6</v>
      </c>
      <c r="F18" s="13" t="n">
        <v>0.6</v>
      </c>
      <c r="G18" s="13" t="n">
        <v>0.6</v>
      </c>
      <c r="H18" s="14" t="n">
        <v>0.6</v>
      </c>
      <c r="I18" s="13" t="n">
        <v>0.4</v>
      </c>
      <c r="J18" s="13" t="n">
        <v>0.8</v>
      </c>
      <c r="K18" s="3" t="s">
        <v>59</v>
      </c>
      <c r="L18" s="3" t="s">
        <v>96</v>
      </c>
    </row>
    <row r="19" customFormat="false" ht="95.5" hidden="false" customHeight="false" outlineLevel="0" collapsed="false">
      <c r="A19" s="10" t="s">
        <v>97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customFormat="false" ht="15" hidden="false" customHeight="false" outlineLevel="0" collapsed="false">
      <c r="A20" s="3" t="s">
        <v>98</v>
      </c>
      <c r="B20" s="4" t="s">
        <v>99</v>
      </c>
      <c r="C20" s="3" t="s">
        <v>58</v>
      </c>
      <c r="D20" s="13" t="n">
        <v>0.6</v>
      </c>
      <c r="E20" s="13" t="n">
        <v>0.6</v>
      </c>
      <c r="F20" s="13" t="n">
        <v>0.6</v>
      </c>
      <c r="G20" s="13" t="n">
        <v>0.6</v>
      </c>
      <c r="H20" s="14" t="n">
        <v>0.6</v>
      </c>
      <c r="I20" s="13"/>
      <c r="J20" s="13"/>
      <c r="K20" s="3" t="s">
        <v>59</v>
      </c>
      <c r="L20" s="3" t="s">
        <v>100</v>
      </c>
    </row>
    <row r="21" customFormat="false" ht="15" hidden="false" customHeight="false" outlineLevel="0" collapsed="false">
      <c r="A21" s="3" t="s">
        <v>101</v>
      </c>
      <c r="B21" s="4" t="s">
        <v>102</v>
      </c>
      <c r="C21" s="3" t="s">
        <v>58</v>
      </c>
      <c r="D21" s="13" t="n">
        <v>0.4</v>
      </c>
      <c r="E21" s="13" t="n">
        <v>0.4</v>
      </c>
      <c r="F21" s="13" t="n">
        <v>0.4</v>
      </c>
      <c r="G21" s="13" t="n">
        <v>0.4</v>
      </c>
      <c r="H21" s="14" t="n">
        <v>0.4</v>
      </c>
      <c r="I21" s="13"/>
      <c r="J21" s="13"/>
      <c r="K21" s="3" t="s">
        <v>59</v>
      </c>
      <c r="L21" s="3" t="s">
        <v>103</v>
      </c>
    </row>
    <row r="22" customFormat="false" ht="15" hidden="false" customHeight="false" outlineLevel="0" collapsed="false">
      <c r="A22" s="3" t="s">
        <v>104</v>
      </c>
      <c r="B22" s="4" t="s">
        <v>105</v>
      </c>
      <c r="C22" s="3" t="s">
        <v>106</v>
      </c>
      <c r="D22" s="19" t="n">
        <v>15376438188.6735</v>
      </c>
      <c r="E22" s="19" t="n">
        <v>15376438188.6735</v>
      </c>
      <c r="F22" s="19" t="n">
        <v>15376438188.6735</v>
      </c>
      <c r="G22" s="19" t="n">
        <v>15376438188.6735</v>
      </c>
      <c r="H22" s="20" t="n">
        <v>15376438188.6735</v>
      </c>
      <c r="I22" s="19"/>
      <c r="J22" s="19"/>
      <c r="K22" s="3" t="s">
        <v>69</v>
      </c>
      <c r="L22" s="3" t="s">
        <v>107</v>
      </c>
    </row>
    <row r="23" customFormat="false" ht="15" hidden="false" customHeight="false" outlineLevel="0" collapsed="false">
      <c r="A23" s="3" t="s">
        <v>108</v>
      </c>
      <c r="B23" s="4" t="s">
        <v>109</v>
      </c>
      <c r="C23" s="3" t="s">
        <v>106</v>
      </c>
      <c r="D23" s="19" t="n">
        <v>77458783652.1948</v>
      </c>
      <c r="E23" s="19" t="n">
        <v>77458783652.1948</v>
      </c>
      <c r="F23" s="19" t="n">
        <v>77458783652.1948</v>
      </c>
      <c r="G23" s="19" t="n">
        <v>77458783652.1948</v>
      </c>
      <c r="H23" s="20" t="n">
        <v>77458783652.1948</v>
      </c>
      <c r="I23" s="19"/>
      <c r="J23" s="19"/>
      <c r="K23" s="3" t="s">
        <v>69</v>
      </c>
      <c r="L23" s="3" t="s">
        <v>110</v>
      </c>
    </row>
    <row r="24" customFormat="false" ht="15" hidden="false" customHeight="false" outlineLevel="0" collapsed="false">
      <c r="A24" s="3" t="s">
        <v>111</v>
      </c>
      <c r="B24" s="4" t="s">
        <v>112</v>
      </c>
      <c r="C24" s="3" t="s">
        <v>106</v>
      </c>
      <c r="D24" s="19" t="n">
        <v>59508389423.6568</v>
      </c>
      <c r="E24" s="19" t="n">
        <v>59508389423.6568</v>
      </c>
      <c r="F24" s="19" t="n">
        <v>59508389423.6568</v>
      </c>
      <c r="G24" s="19" t="n">
        <v>59508389423.6568</v>
      </c>
      <c r="H24" s="20" t="n">
        <v>59508389423.6568</v>
      </c>
      <c r="I24" s="19"/>
      <c r="J24" s="19"/>
      <c r="K24" s="3" t="s">
        <v>69</v>
      </c>
      <c r="L24" s="3" t="s">
        <v>113</v>
      </c>
    </row>
    <row r="25" customFormat="false" ht="15" hidden="false" customHeight="false" outlineLevel="0" collapsed="false">
      <c r="A25" s="3" t="s">
        <v>114</v>
      </c>
      <c r="B25" s="4" t="s">
        <v>115</v>
      </c>
      <c r="C25" s="3" t="s">
        <v>106</v>
      </c>
      <c r="D25" s="19" t="n">
        <v>290321070574.845</v>
      </c>
      <c r="E25" s="19" t="n">
        <v>290321070574.845</v>
      </c>
      <c r="F25" s="19" t="n">
        <v>290321070574.845</v>
      </c>
      <c r="G25" s="19" t="n">
        <v>290321070574.845</v>
      </c>
      <c r="H25" s="20" t="n">
        <v>290321070574.845</v>
      </c>
      <c r="I25" s="19"/>
      <c r="J25" s="19"/>
      <c r="K25" s="3" t="s">
        <v>69</v>
      </c>
      <c r="L25" s="3" t="s">
        <v>116</v>
      </c>
    </row>
    <row r="26" customFormat="false" ht="15" hidden="false" customHeight="false" outlineLevel="0" collapsed="false">
      <c r="A26" s="3" t="s">
        <v>117</v>
      </c>
      <c r="B26" s="4" t="s">
        <v>118</v>
      </c>
      <c r="C26" s="3" t="s">
        <v>119</v>
      </c>
      <c r="D26" s="21" t="n">
        <v>9.70308728611469</v>
      </c>
      <c r="E26" s="21" t="n">
        <v>9.70308728611469</v>
      </c>
      <c r="F26" s="21" t="n">
        <v>9.70308728611469</v>
      </c>
      <c r="G26" s="21" t="n">
        <v>9.70308728611469</v>
      </c>
      <c r="H26" s="22" t="n">
        <v>9.70308728611469</v>
      </c>
      <c r="I26" s="21"/>
      <c r="J26" s="21"/>
      <c r="K26" s="3" t="s">
        <v>69</v>
      </c>
      <c r="L26" s="3" t="s">
        <v>120</v>
      </c>
    </row>
    <row r="27" customFormat="false" ht="15" hidden="false" customHeight="false" outlineLevel="0" collapsed="false">
      <c r="A27" s="3" t="s">
        <v>121</v>
      </c>
      <c r="B27" s="4" t="s">
        <v>122</v>
      </c>
      <c r="C27" s="3" t="s">
        <v>119</v>
      </c>
      <c r="D27" s="21" t="n">
        <v>8.82816556596761</v>
      </c>
      <c r="E27" s="21" t="n">
        <v>8.82816556596761</v>
      </c>
      <c r="F27" s="21" t="n">
        <v>8.82816556596761</v>
      </c>
      <c r="G27" s="21" t="n">
        <v>8.82816556596761</v>
      </c>
      <c r="H27" s="22" t="n">
        <v>8.82816556596761</v>
      </c>
      <c r="I27" s="21"/>
      <c r="J27" s="21"/>
      <c r="K27" s="3" t="s">
        <v>69</v>
      </c>
      <c r="L27" s="3" t="s">
        <v>123</v>
      </c>
    </row>
    <row r="28" customFormat="false" ht="79.85" hidden="false" customHeight="false" outlineLevel="0" collapsed="false">
      <c r="A28" s="10" t="s">
        <v>124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customFormat="false" ht="44" hidden="false" customHeight="false" outlineLevel="0" collapsed="false">
      <c r="A29" s="3" t="s">
        <v>125</v>
      </c>
      <c r="B29" s="3" t="s">
        <v>126</v>
      </c>
      <c r="C29" s="3" t="s">
        <v>53</v>
      </c>
      <c r="D29" s="11" t="n">
        <v>12.6</v>
      </c>
      <c r="E29" s="11" t="n">
        <v>12.6</v>
      </c>
      <c r="F29" s="11" t="n">
        <v>8.4</v>
      </c>
      <c r="G29" s="11" t="n">
        <v>8.4</v>
      </c>
      <c r="H29" s="12" t="n">
        <v>12.6</v>
      </c>
      <c r="I29" s="11" t="n">
        <v>8.4</v>
      </c>
      <c r="J29" s="11" t="n">
        <v>13</v>
      </c>
      <c r="K29" s="3" t="s">
        <v>54</v>
      </c>
      <c r="L29" s="3" t="s">
        <v>127</v>
      </c>
    </row>
    <row r="30" customFormat="false" ht="44" hidden="false" customHeight="false" outlineLevel="0" collapsed="false">
      <c r="A30" s="3" t="s">
        <v>128</v>
      </c>
      <c r="B30" s="4" t="s">
        <v>129</v>
      </c>
      <c r="C30" s="3" t="s">
        <v>84</v>
      </c>
      <c r="D30" s="11" t="n">
        <v>2</v>
      </c>
      <c r="E30" s="11" t="n">
        <v>1.5</v>
      </c>
      <c r="F30" s="11" t="n">
        <v>1.5</v>
      </c>
      <c r="G30" s="11" t="n">
        <v>2</v>
      </c>
      <c r="H30" s="12" t="n">
        <v>2</v>
      </c>
      <c r="I30" s="11" t="n">
        <v>1.2</v>
      </c>
      <c r="J30" s="11" t="n">
        <v>3</v>
      </c>
      <c r="K30" s="3" t="s">
        <v>59</v>
      </c>
      <c r="L30" s="3" t="s">
        <v>130</v>
      </c>
    </row>
    <row r="31" customFormat="false" ht="15" hidden="false" customHeight="false" outlineLevel="0" collapsed="false">
      <c r="A31" s="3" t="s">
        <v>131</v>
      </c>
      <c r="B31" s="4" t="s">
        <v>132</v>
      </c>
      <c r="C31" s="3" t="s">
        <v>58</v>
      </c>
      <c r="D31" s="13" t="n">
        <v>0.6</v>
      </c>
      <c r="E31" s="13" t="n">
        <v>0.6</v>
      </c>
      <c r="F31" s="13" t="n">
        <v>0.6</v>
      </c>
      <c r="G31" s="13" t="n">
        <v>0.6</v>
      </c>
      <c r="H31" s="14" t="n">
        <v>0.6</v>
      </c>
      <c r="I31" s="13"/>
      <c r="J31" s="13"/>
      <c r="K31" s="3" t="s">
        <v>59</v>
      </c>
      <c r="L31" s="3" t="s">
        <v>133</v>
      </c>
    </row>
    <row r="32" customFormat="false" ht="29.85" hidden="false" customHeight="false" outlineLevel="0" collapsed="false">
      <c r="A32" s="3" t="s">
        <v>134</v>
      </c>
      <c r="B32" s="4" t="s">
        <v>135</v>
      </c>
      <c r="C32" s="3" t="s">
        <v>58</v>
      </c>
      <c r="D32" s="13" t="n">
        <v>0.35</v>
      </c>
      <c r="E32" s="13" t="n">
        <v>0.35</v>
      </c>
      <c r="F32" s="13" t="n">
        <v>0.35</v>
      </c>
      <c r="G32" s="13" t="n">
        <v>0.35</v>
      </c>
      <c r="H32" s="14" t="n">
        <v>0.35</v>
      </c>
      <c r="I32" s="13" t="n">
        <v>0.3</v>
      </c>
      <c r="J32" s="13" t="n">
        <v>0.5</v>
      </c>
      <c r="K32" s="3" t="s">
        <v>59</v>
      </c>
      <c r="L32" s="3" t="s">
        <v>136</v>
      </c>
    </row>
    <row r="33" customFormat="false" ht="29.85" hidden="false" customHeight="false" outlineLevel="0" collapsed="false">
      <c r="A33" s="3" t="s">
        <v>137</v>
      </c>
      <c r="B33" s="4" t="s">
        <v>138</v>
      </c>
      <c r="C33" s="3" t="s">
        <v>84</v>
      </c>
      <c r="D33" s="11" t="n">
        <v>1</v>
      </c>
      <c r="E33" s="11" t="n">
        <v>1</v>
      </c>
      <c r="F33" s="11" t="n">
        <v>1</v>
      </c>
      <c r="G33" s="11" t="n">
        <v>0.75</v>
      </c>
      <c r="H33" s="12" t="n">
        <v>1</v>
      </c>
      <c r="I33" s="11" t="n">
        <v>0.65</v>
      </c>
      <c r="J33" s="11" t="n">
        <v>1.2</v>
      </c>
      <c r="K33" s="3" t="s">
        <v>69</v>
      </c>
      <c r="L33" s="3" t="s">
        <v>139</v>
      </c>
    </row>
    <row r="34" customFormat="false" ht="15" hidden="false" customHeight="false" outlineLevel="0" collapsed="false">
      <c r="A34" s="3" t="s">
        <v>140</v>
      </c>
      <c r="B34" s="4" t="s">
        <v>141</v>
      </c>
      <c r="C34" s="3" t="s">
        <v>58</v>
      </c>
      <c r="D34" s="13" t="n">
        <v>0.46</v>
      </c>
      <c r="E34" s="13" t="n">
        <v>0.46</v>
      </c>
      <c r="F34" s="13" t="n">
        <v>0.46</v>
      </c>
      <c r="G34" s="13" t="n">
        <v>0.46</v>
      </c>
      <c r="H34" s="14" t="n">
        <v>0.46</v>
      </c>
      <c r="I34" s="13"/>
      <c r="J34" s="13"/>
      <c r="K34" s="3" t="s">
        <v>54</v>
      </c>
      <c r="L34" s="3" t="s">
        <v>142</v>
      </c>
    </row>
    <row r="35" customFormat="false" ht="17.15" hidden="false" customHeight="false" outlineLevel="0" collapsed="false">
      <c r="A35" s="10" t="s">
        <v>143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customFormat="false" ht="29.85" hidden="false" customHeight="false" outlineLevel="0" collapsed="false">
      <c r="A36" s="3" t="s">
        <v>144</v>
      </c>
      <c r="B36" s="4" t="s">
        <v>145</v>
      </c>
      <c r="C36" s="3" t="s">
        <v>84</v>
      </c>
      <c r="D36" s="15" t="n">
        <v>0.150548548387624</v>
      </c>
      <c r="E36" s="15" t="n">
        <v>0.150548548387624</v>
      </c>
      <c r="F36" s="15" t="n">
        <v>0.150548548387624</v>
      </c>
      <c r="G36" s="15" t="n">
        <v>0.150548548387624</v>
      </c>
      <c r="H36" s="16" t="n">
        <v>0.150548548387624</v>
      </c>
      <c r="I36" s="15"/>
      <c r="J36" s="15"/>
      <c r="K36" s="3" t="s">
        <v>69</v>
      </c>
      <c r="L36" s="3" t="s">
        <v>146</v>
      </c>
    </row>
    <row r="37" customFormat="false" ht="15" hidden="false" customHeight="false" outlineLevel="0" collapsed="false">
      <c r="A37" s="3" t="s">
        <v>147</v>
      </c>
      <c r="B37" s="4" t="s">
        <v>148</v>
      </c>
      <c r="C37" s="3" t="s">
        <v>58</v>
      </c>
      <c r="D37" s="13" t="n">
        <v>0.85</v>
      </c>
      <c r="E37" s="13" t="n">
        <v>0.85</v>
      </c>
      <c r="F37" s="13" t="n">
        <v>0.85</v>
      </c>
      <c r="G37" s="13" t="n">
        <v>0.85</v>
      </c>
      <c r="H37" s="14" t="n">
        <v>0.85</v>
      </c>
      <c r="I37" s="13"/>
      <c r="J37" s="13"/>
      <c r="K37" s="3" t="s">
        <v>59</v>
      </c>
      <c r="L37" s="3" t="s">
        <v>149</v>
      </c>
    </row>
    <row r="38" customFormat="false" ht="15" hidden="false" customHeight="false" outlineLevel="0" collapsed="false">
      <c r="A38" s="3" t="s">
        <v>150</v>
      </c>
      <c r="B38" s="4" t="s">
        <v>151</v>
      </c>
      <c r="C38" s="3" t="s">
        <v>84</v>
      </c>
      <c r="D38" s="21" t="n">
        <v>0.642602366208498</v>
      </c>
      <c r="E38" s="21" t="n">
        <v>0.642602366208498</v>
      </c>
      <c r="F38" s="21" t="n">
        <v>0.642602366208498</v>
      </c>
      <c r="G38" s="21" t="n">
        <v>0.642602366208498</v>
      </c>
      <c r="H38" s="22" t="n">
        <v>0.642602366208498</v>
      </c>
      <c r="I38" s="21" t="n">
        <v>0.342</v>
      </c>
      <c r="J38" s="21" t="n">
        <v>1.162</v>
      </c>
      <c r="K38" s="3" t="s">
        <v>59</v>
      </c>
      <c r="L38" s="3" t="s">
        <v>152</v>
      </c>
    </row>
    <row r="40" customFormat="false" ht="30" hidden="false" customHeight="true" outlineLevel="0" collapsed="false">
      <c r="A40" s="23" t="s">
        <v>153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</row>
  </sheetData>
  <mergeCells count="2">
    <mergeCell ref="A2:L2"/>
    <mergeCell ref="A40:L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tru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13"/>
    <col collapsed="false" customWidth="true" hidden="false" outlineLevel="0" max="8" min="4" style="0" width="15"/>
    <col collapsed="false" customWidth="true" hidden="false" outlineLevel="0" max="9" min="9" style="0" width="66"/>
  </cols>
  <sheetData>
    <row r="1" customFormat="false" ht="21.6" hidden="false" customHeight="false" outlineLevel="0" collapsed="false">
      <c r="A1" s="6" t="s">
        <v>154</v>
      </c>
    </row>
    <row r="2" customFormat="false" ht="15" hidden="false" customHeight="true" outlineLevel="0" collapsed="false">
      <c r="A2" s="23" t="s">
        <v>155</v>
      </c>
      <c r="B2" s="23"/>
      <c r="C2" s="23"/>
      <c r="D2" s="23"/>
      <c r="E2" s="23"/>
      <c r="F2" s="23"/>
      <c r="G2" s="23"/>
      <c r="H2" s="23"/>
      <c r="I2" s="23"/>
    </row>
    <row r="4" customFormat="false" ht="42" hidden="false" customHeight="true" outlineLevel="0" collapsed="false">
      <c r="A4" s="8" t="s">
        <v>156</v>
      </c>
      <c r="B4" s="8" t="s">
        <v>39</v>
      </c>
      <c r="C4" s="8" t="s">
        <v>40</v>
      </c>
      <c r="D4" s="8" t="s">
        <v>41</v>
      </c>
      <c r="E4" s="9" t="s">
        <v>42</v>
      </c>
      <c r="F4" s="9" t="s">
        <v>43</v>
      </c>
      <c r="G4" s="8" t="s">
        <v>44</v>
      </c>
      <c r="H4" s="8" t="s">
        <v>45</v>
      </c>
      <c r="I4" s="8" t="s">
        <v>157</v>
      </c>
    </row>
    <row r="5" customFormat="false" ht="32.8" hidden="false" customHeight="false" outlineLevel="0" collapsed="false">
      <c r="A5" s="10" t="s">
        <v>158</v>
      </c>
      <c r="B5" s="5"/>
      <c r="C5" s="5"/>
      <c r="D5" s="5"/>
      <c r="E5" s="5"/>
      <c r="F5" s="5"/>
      <c r="G5" s="5"/>
      <c r="H5" s="5"/>
      <c r="I5" s="5"/>
    </row>
    <row r="6" customFormat="false" ht="15" hidden="false" customHeight="false" outlineLevel="0" collapsed="false">
      <c r="A6" s="3" t="s">
        <v>159</v>
      </c>
      <c r="B6" s="4" t="s">
        <v>160</v>
      </c>
      <c r="C6" s="3" t="s">
        <v>68</v>
      </c>
      <c r="D6" s="24" t="n">
        <f aca="false">輸入!$D$7*輸入!$D$10+輸入!$D$8*輸入!$D$11+輸入!$D$9*輸入!$D$12</f>
        <v>1.96067555555555</v>
      </c>
      <c r="E6" s="24" t="n">
        <f aca="false">輸入!$E$7*輸入!$E$10+輸入!$E$8*輸入!$E$11+輸入!$E$9*輸入!$E$12</f>
        <v>1.96067555555555</v>
      </c>
      <c r="F6" s="24" t="n">
        <f aca="false">輸入!$F$7*輸入!$F$10+輸入!$F$8*輸入!$F$11+輸入!$F$9*輸入!$F$12</f>
        <v>1.96067555555555</v>
      </c>
      <c r="G6" s="24" t="n">
        <f aca="false">輸入!$G$7*輸入!$G$10+輸入!$G$8*輸入!$G$11+輸入!$G$9*輸入!$G$12</f>
        <v>1.96067555555555</v>
      </c>
      <c r="H6" s="24" t="n">
        <f aca="false">輸入!$H$7*輸入!$H$10+輸入!$H$8*輸入!$H$11+輸入!$H$9*輸入!$H$12</f>
        <v>1.96067555555555</v>
      </c>
      <c r="I6" s="3" t="s">
        <v>161</v>
      </c>
    </row>
    <row r="7" customFormat="false" ht="92.5" hidden="false" customHeight="false" outlineLevel="0" collapsed="false">
      <c r="A7" s="10" t="s">
        <v>162</v>
      </c>
      <c r="B7" s="5"/>
      <c r="C7" s="5"/>
      <c r="D7" s="5"/>
      <c r="E7" s="5"/>
      <c r="F7" s="5"/>
      <c r="G7" s="5"/>
      <c r="H7" s="5"/>
      <c r="I7" s="5"/>
    </row>
    <row r="8" customFormat="false" ht="15" hidden="false" customHeight="false" outlineLevel="0" collapsed="false">
      <c r="A8" s="3" t="s">
        <v>163</v>
      </c>
      <c r="B8" s="3" t="s">
        <v>164</v>
      </c>
      <c r="C8" s="3" t="s">
        <v>165</v>
      </c>
      <c r="D8" s="25" t="n">
        <f aca="false">輸入!$D$14*1000000000*525600*輸入!$D$15/1000000</f>
        <v>2365200000</v>
      </c>
      <c r="E8" s="25" t="n">
        <f aca="false">輸入!$E$14*1000000000*525600*輸入!$E$15/1000000</f>
        <v>2365200000</v>
      </c>
      <c r="F8" s="25" t="n">
        <f aca="false">輸入!$F$14*1000000000*525600*輸入!$F$15/1000000</f>
        <v>2365200000</v>
      </c>
      <c r="G8" s="25" t="n">
        <f aca="false">輸入!$G$14*1000000000*525600*輸入!$G$15/1000000</f>
        <v>2365200000</v>
      </c>
      <c r="H8" s="25" t="n">
        <f aca="false">輸入!$H$14*1000000000*525600*輸入!$H$15/1000000</f>
        <v>2365200000</v>
      </c>
      <c r="I8" s="4" t="s">
        <v>166</v>
      </c>
    </row>
    <row r="9" customFormat="false" ht="15" hidden="false" customHeight="false" outlineLevel="0" collapsed="false">
      <c r="A9" s="3" t="s">
        <v>167</v>
      </c>
      <c r="B9" s="3" t="s">
        <v>168</v>
      </c>
      <c r="C9" s="3" t="s">
        <v>165</v>
      </c>
      <c r="D9" s="25" t="n">
        <f aca="false">輸入!$D$16*1000000000*輸入!$D$17*365/1000000</f>
        <v>3650000000</v>
      </c>
      <c r="E9" s="25" t="n">
        <f aca="false">輸入!$E$16*1000000000*輸入!$E$17*365/1000000</f>
        <v>3650000000</v>
      </c>
      <c r="F9" s="25" t="n">
        <f aca="false">輸入!$F$16*1000000000*輸入!$F$17*365/1000000</f>
        <v>3650000000</v>
      </c>
      <c r="G9" s="25" t="n">
        <f aca="false">輸入!$G$16*1000000000*輸入!$G$17*365/1000000</f>
        <v>3650000000</v>
      </c>
      <c r="H9" s="25" t="n">
        <f aca="false">輸入!$H$16*1000000000*輸入!$H$17*365/1000000</f>
        <v>3650000000</v>
      </c>
      <c r="I9" s="4" t="s">
        <v>169</v>
      </c>
    </row>
    <row r="10" customFormat="false" ht="15" hidden="false" customHeight="false" outlineLevel="0" collapsed="false">
      <c r="A10" s="3" t="s">
        <v>170</v>
      </c>
      <c r="B10" s="4" t="s">
        <v>171</v>
      </c>
      <c r="C10" s="3" t="s">
        <v>165</v>
      </c>
      <c r="D10" s="25" t="n">
        <f aca="false">D9*輸入!$D$18</f>
        <v>2190000000</v>
      </c>
      <c r="E10" s="25" t="n">
        <f aca="false">E9*輸入!$E$18</f>
        <v>2190000000</v>
      </c>
      <c r="F10" s="25" t="n">
        <f aca="false">F9*輸入!$F$18</f>
        <v>2190000000</v>
      </c>
      <c r="G10" s="25" t="n">
        <f aca="false">G9*輸入!$G$18</f>
        <v>2190000000</v>
      </c>
      <c r="H10" s="25" t="n">
        <f aca="false">H9*輸入!$H$18</f>
        <v>2190000000</v>
      </c>
      <c r="I10" s="3" t="s">
        <v>172</v>
      </c>
    </row>
    <row r="11" customFormat="false" ht="15" hidden="false" customHeight="false" outlineLevel="0" collapsed="false">
      <c r="A11" s="3" t="s">
        <v>173</v>
      </c>
      <c r="B11" s="2" t="s">
        <v>174</v>
      </c>
      <c r="C11" s="3" t="s">
        <v>165</v>
      </c>
      <c r="D11" s="26" t="n">
        <f aca="false">D8+D9*(1-輸入!$D$18)</f>
        <v>3825200000</v>
      </c>
      <c r="E11" s="26" t="n">
        <f aca="false">E8+E9*(1-輸入!$E$18)</f>
        <v>3825200000</v>
      </c>
      <c r="F11" s="26" t="n">
        <f aca="false">F8+F9*(1-輸入!$F$18)</f>
        <v>3825200000</v>
      </c>
      <c r="G11" s="26" t="n">
        <f aca="false">G8+G9*(1-輸入!$G$18)</f>
        <v>3825200000</v>
      </c>
      <c r="H11" s="26" t="n">
        <f aca="false">H8+H9*(1-輸入!$H$18)</f>
        <v>3825200000</v>
      </c>
      <c r="I11" s="3" t="s">
        <v>175</v>
      </c>
    </row>
    <row r="12" customFormat="false" ht="15" hidden="false" customHeight="false" outlineLevel="0" collapsed="false">
      <c r="A12" s="3" t="s">
        <v>176</v>
      </c>
      <c r="B12" s="4" t="s">
        <v>177</v>
      </c>
      <c r="C12" s="3" t="s">
        <v>84</v>
      </c>
      <c r="D12" s="27" t="n">
        <f aca="false">D10/D11</f>
        <v>0.572519083969466</v>
      </c>
      <c r="E12" s="27" t="n">
        <f aca="false">E10/E11</f>
        <v>0.572519083969466</v>
      </c>
      <c r="F12" s="27" t="n">
        <f aca="false">F10/F11</f>
        <v>0.572519083969466</v>
      </c>
      <c r="G12" s="27" t="n">
        <f aca="false">G10/G11</f>
        <v>0.572519083969466</v>
      </c>
      <c r="H12" s="27" t="n">
        <f aca="false">H10/H11</f>
        <v>0.572519083969466</v>
      </c>
      <c r="I12" s="3" t="s">
        <v>178</v>
      </c>
    </row>
    <row r="13" customFormat="false" ht="15" hidden="false" customHeight="false" outlineLevel="0" collapsed="false">
      <c r="A13" s="3" t="s">
        <v>179</v>
      </c>
      <c r="B13" s="28" t="s">
        <v>180</v>
      </c>
      <c r="C13" s="3" t="s">
        <v>84</v>
      </c>
      <c r="D13" s="29" t="n">
        <f aca="false">輸入!$D$6*1000000000/(D11*D6)</f>
        <v>1.74267221182383</v>
      </c>
      <c r="E13" s="29" t="n">
        <f aca="false">輸入!$E$6*1000000000/(E11*E6)</f>
        <v>1.74267221182383</v>
      </c>
      <c r="F13" s="29" t="n">
        <f aca="false">輸入!$F$6*1000000000/(F11*F6)</f>
        <v>1.74267221182383</v>
      </c>
      <c r="G13" s="29" t="n">
        <f aca="false">輸入!$G$6*1000000000/(G11*G6)</f>
        <v>1.74267221182383</v>
      </c>
      <c r="H13" s="29" t="n">
        <f aca="false">輸入!$H$6*1000000000/(H11*H6)</f>
        <v>1.74267221182383</v>
      </c>
      <c r="I13" s="4" t="s">
        <v>181</v>
      </c>
    </row>
    <row r="14" customFormat="false" ht="15" hidden="false" customHeight="false" outlineLevel="0" collapsed="false">
      <c r="A14" s="3" t="s">
        <v>182</v>
      </c>
      <c r="B14" s="4" t="s">
        <v>183</v>
      </c>
      <c r="C14" s="3" t="s">
        <v>68</v>
      </c>
      <c r="D14" s="30" t="n">
        <f aca="false">輸入!$D$6*1000000000/D11</f>
        <v>3.41681480706891</v>
      </c>
      <c r="E14" s="30" t="n">
        <f aca="false">輸入!$E$6*1000000000/E11</f>
        <v>3.41681480706891</v>
      </c>
      <c r="F14" s="30" t="n">
        <f aca="false">輸入!$F$6*1000000000/F11</f>
        <v>3.41681480706891</v>
      </c>
      <c r="G14" s="30" t="n">
        <f aca="false">輸入!$G$6*1000000000/G11</f>
        <v>3.41681480706891</v>
      </c>
      <c r="H14" s="30" t="n">
        <f aca="false">輸入!$H$6*1000000000/H11</f>
        <v>3.41681480706891</v>
      </c>
      <c r="I14" s="4" t="s">
        <v>184</v>
      </c>
    </row>
    <row r="15" customFormat="false" ht="92.5" hidden="false" customHeight="false" outlineLevel="0" collapsed="false">
      <c r="A15" s="10" t="s">
        <v>185</v>
      </c>
      <c r="B15" s="5"/>
      <c r="C15" s="5"/>
      <c r="D15" s="5"/>
      <c r="E15" s="5"/>
      <c r="F15" s="5"/>
      <c r="G15" s="5"/>
      <c r="H15" s="5"/>
      <c r="I15" s="5"/>
    </row>
    <row r="16" customFormat="false" ht="15" hidden="false" customHeight="false" outlineLevel="0" collapsed="false">
      <c r="A16" s="3" t="s">
        <v>186</v>
      </c>
      <c r="B16" s="4" t="s">
        <v>187</v>
      </c>
      <c r="C16" s="3" t="s">
        <v>106</v>
      </c>
      <c r="D16" s="25" t="n">
        <f aca="false">輸入!$D$31*(輸入!$D$20*輸入!$D$22+輸入!$D$21*輸入!$D$23)</f>
        <v>24125625824.4492</v>
      </c>
      <c r="E16" s="25" t="n">
        <f aca="false">輸入!$E$31*(輸入!$E$20*輸入!$E$22+輸入!$E$21*輸入!$E$23)</f>
        <v>24125625824.4492</v>
      </c>
      <c r="F16" s="25" t="n">
        <f aca="false">輸入!$F$31*(輸入!$F$20*輸入!$F$22+輸入!$F$21*輸入!$F$23)</f>
        <v>24125625824.4492</v>
      </c>
      <c r="G16" s="25" t="n">
        <f aca="false">輸入!$G$31*(輸入!$G$20*輸入!$G$22+輸入!$G$21*輸入!$G$23)</f>
        <v>24125625824.4492</v>
      </c>
      <c r="H16" s="25" t="n">
        <f aca="false">輸入!$H$31*(輸入!$H$20*輸入!$H$22+輸入!$H$21*輸入!$H$23)</f>
        <v>24125625824.4492</v>
      </c>
      <c r="I16" s="3" t="s">
        <v>188</v>
      </c>
    </row>
    <row r="17" customFormat="false" ht="15" hidden="false" customHeight="false" outlineLevel="0" collapsed="false">
      <c r="A17" s="3" t="s">
        <v>189</v>
      </c>
      <c r="B17" s="4" t="s">
        <v>190</v>
      </c>
      <c r="C17" s="3" t="s">
        <v>106</v>
      </c>
      <c r="D17" s="25" t="n">
        <f aca="false">輸入!$D$31*(輸入!$D$20*輸入!$D$24+輸入!$D$21*輸入!$D$25)</f>
        <v>91100077130.4793</v>
      </c>
      <c r="E17" s="25" t="n">
        <f aca="false">輸入!$E$31*(輸入!$E$20*輸入!$E$24+輸入!$E$21*輸入!$E$25)</f>
        <v>91100077130.4793</v>
      </c>
      <c r="F17" s="25" t="n">
        <f aca="false">輸入!$F$31*(輸入!$F$20*輸入!$F$24+輸入!$F$21*輸入!$F$25)</f>
        <v>91100077130.4793</v>
      </c>
      <c r="G17" s="25" t="n">
        <f aca="false">輸入!$G$31*(輸入!$G$20*輸入!$G$24+輸入!$G$21*輸入!$G$25)</f>
        <v>91100077130.4793</v>
      </c>
      <c r="H17" s="25" t="n">
        <f aca="false">輸入!$H$31*(輸入!$H$20*輸入!$H$24+輸入!$H$21*輸入!$H$25)</f>
        <v>91100077130.4793</v>
      </c>
      <c r="I17" s="4" t="s">
        <v>191</v>
      </c>
    </row>
    <row r="18" customFormat="false" ht="15" hidden="false" customHeight="false" outlineLevel="0" collapsed="false">
      <c r="A18" s="3" t="s">
        <v>192</v>
      </c>
      <c r="B18" s="4" t="s">
        <v>193</v>
      </c>
      <c r="C18" s="3" t="s">
        <v>119</v>
      </c>
      <c r="D18" s="27" t="n">
        <f aca="false">輸入!$D$20*輸入!$D$26+輸入!$D$21*輸入!$D$27</f>
        <v>9.35311859805586</v>
      </c>
      <c r="E18" s="27" t="n">
        <f aca="false">輸入!$E$20*輸入!$E$26+輸入!$E$21*輸入!$E$27</f>
        <v>9.35311859805586</v>
      </c>
      <c r="F18" s="27" t="n">
        <f aca="false">輸入!$F$20*輸入!$F$26+輸入!$F$21*輸入!$F$27</f>
        <v>9.35311859805586</v>
      </c>
      <c r="G18" s="27" t="n">
        <f aca="false">輸入!$G$20*輸入!$G$26+輸入!$G$21*輸入!$G$27</f>
        <v>9.35311859805586</v>
      </c>
      <c r="H18" s="27" t="n">
        <f aca="false">輸入!$H$20*輸入!$H$26+輸入!$H$21*輸入!$H$27</f>
        <v>9.35311859805586</v>
      </c>
      <c r="I18" s="3" t="s">
        <v>194</v>
      </c>
    </row>
    <row r="19" customFormat="false" ht="15" hidden="false" customHeight="false" outlineLevel="0" collapsed="false">
      <c r="A19" s="3" t="s">
        <v>195</v>
      </c>
      <c r="B19" s="3" t="s">
        <v>196</v>
      </c>
      <c r="C19" s="3" t="s">
        <v>197</v>
      </c>
      <c r="D19" s="24" t="n">
        <f aca="false">D11/D16+D10/D17</f>
        <v>0.182592896594975</v>
      </c>
      <c r="E19" s="24" t="n">
        <f aca="false">E11/E16+E10/E17</f>
        <v>0.182592896594975</v>
      </c>
      <c r="F19" s="24" t="n">
        <f aca="false">F11/F16+F10/F17</f>
        <v>0.182592896594975</v>
      </c>
      <c r="G19" s="24" t="n">
        <f aca="false">G11/G16+G10/G17</f>
        <v>0.182592896594975</v>
      </c>
      <c r="H19" s="24" t="n">
        <f aca="false">H11/H16+H10/H17</f>
        <v>0.182592896594975</v>
      </c>
      <c r="I19" s="4" t="s">
        <v>198</v>
      </c>
    </row>
    <row r="20" customFormat="false" ht="108.2" hidden="false" customHeight="false" outlineLevel="0" collapsed="false">
      <c r="A20" s="10" t="s">
        <v>199</v>
      </c>
      <c r="B20" s="5"/>
      <c r="C20" s="5"/>
      <c r="D20" s="5"/>
      <c r="E20" s="5"/>
      <c r="F20" s="5"/>
      <c r="G20" s="5"/>
      <c r="H20" s="5"/>
      <c r="I20" s="5"/>
    </row>
    <row r="21" customFormat="false" ht="15" hidden="false" customHeight="false" outlineLevel="0" collapsed="false">
      <c r="A21" s="3" t="s">
        <v>200</v>
      </c>
      <c r="B21" s="4" t="s">
        <v>201</v>
      </c>
      <c r="C21" s="3" t="s">
        <v>197</v>
      </c>
      <c r="D21" s="24" t="n">
        <f aca="false">輸入!$D$29/D18</f>
        <v>1.34714425652841</v>
      </c>
      <c r="E21" s="24" t="n">
        <f aca="false">輸入!$E$29/E18</f>
        <v>1.34714425652841</v>
      </c>
      <c r="F21" s="24" t="n">
        <f aca="false">輸入!$F$29/F18</f>
        <v>0.89809617101894</v>
      </c>
      <c r="G21" s="24" t="n">
        <f aca="false">輸入!$G$29/G18</f>
        <v>0.89809617101894</v>
      </c>
      <c r="H21" s="24" t="n">
        <f aca="false">輸入!$H$29/H18</f>
        <v>1.34714425652841</v>
      </c>
      <c r="I21" s="4" t="s">
        <v>202</v>
      </c>
    </row>
    <row r="22" customFormat="false" ht="15" hidden="false" customHeight="false" outlineLevel="0" collapsed="false">
      <c r="A22" s="3" t="s">
        <v>203</v>
      </c>
      <c r="B22" s="4" t="s">
        <v>204</v>
      </c>
      <c r="C22" s="3" t="s">
        <v>197</v>
      </c>
      <c r="D22" s="24" t="n">
        <f aca="false">D21/輸入!$D$30</f>
        <v>0.673572128264205</v>
      </c>
      <c r="E22" s="24" t="n">
        <f aca="false">E21/輸入!$E$30</f>
        <v>0.89809617101894</v>
      </c>
      <c r="F22" s="24" t="n">
        <f aca="false">F21/輸入!$F$30</f>
        <v>0.598730780679293</v>
      </c>
      <c r="G22" s="24" t="n">
        <f aca="false">G21/輸入!$G$30</f>
        <v>0.44904808550947</v>
      </c>
      <c r="H22" s="24" t="n">
        <f aca="false">H21/輸入!$H$30</f>
        <v>0.673572128264205</v>
      </c>
      <c r="I22" s="3" t="s">
        <v>205</v>
      </c>
    </row>
    <row r="23" customFormat="false" ht="15" hidden="false" customHeight="false" outlineLevel="0" collapsed="false">
      <c r="A23" s="3" t="s">
        <v>206</v>
      </c>
      <c r="B23" s="4" t="s">
        <v>207</v>
      </c>
      <c r="C23" s="3" t="s">
        <v>84</v>
      </c>
      <c r="D23" s="27" t="n">
        <f aca="false">輸入!$D$32/輸入!$D$31</f>
        <v>0.583333333333333</v>
      </c>
      <c r="E23" s="27" t="n">
        <f aca="false">輸入!$E$32/輸入!$E$31</f>
        <v>0.583333333333333</v>
      </c>
      <c r="F23" s="27" t="n">
        <f aca="false">輸入!$F$32/輸入!$F$31</f>
        <v>0.583333333333333</v>
      </c>
      <c r="G23" s="27" t="n">
        <f aca="false">輸入!$G$32/輸入!$G$31</f>
        <v>0.583333333333333</v>
      </c>
      <c r="H23" s="27" t="n">
        <f aca="false">輸入!$H$32/輸入!$H$31</f>
        <v>0.583333333333333</v>
      </c>
      <c r="I23" s="4" t="s">
        <v>208</v>
      </c>
    </row>
    <row r="24" customFormat="false" ht="15" hidden="false" customHeight="false" outlineLevel="0" collapsed="false">
      <c r="A24" s="3" t="s">
        <v>209</v>
      </c>
      <c r="B24" s="4" t="s">
        <v>210</v>
      </c>
      <c r="C24" s="3" t="s">
        <v>197</v>
      </c>
      <c r="D24" s="24" t="n">
        <f aca="false">D22*D23*輸入!$D$33</f>
        <v>0.392917074820786</v>
      </c>
      <c r="E24" s="24" t="n">
        <f aca="false">E22*E23*輸入!$E$33</f>
        <v>0.523889433094382</v>
      </c>
      <c r="F24" s="24" t="n">
        <f aca="false">F22*F23*輸入!$F$33</f>
        <v>0.349259622062921</v>
      </c>
      <c r="G24" s="24" t="n">
        <f aca="false">G22*G23*輸入!$G$33</f>
        <v>0.196458537410393</v>
      </c>
      <c r="H24" s="24" t="n">
        <f aca="false">H22*H23*輸入!$H$33</f>
        <v>0.392917074820786</v>
      </c>
      <c r="I24" s="3" t="s">
        <v>211</v>
      </c>
    </row>
    <row r="25" customFormat="false" ht="29.85" hidden="false" customHeight="false" outlineLevel="0" collapsed="false">
      <c r="A25" s="3" t="s">
        <v>212</v>
      </c>
      <c r="B25" s="2" t="s">
        <v>213</v>
      </c>
      <c r="C25" s="3" t="s">
        <v>165</v>
      </c>
      <c r="D25" s="26" t="n">
        <f aca="false">D24/(1/D16+D12/D17)</f>
        <v>8231351945.4066</v>
      </c>
      <c r="E25" s="26" t="n">
        <f aca="false">E24/(1/E16+E12/E17)</f>
        <v>10975135927.2088</v>
      </c>
      <c r="F25" s="26" t="n">
        <f aca="false">F24/(1/F16+F12/F17)</f>
        <v>7316757284.80587</v>
      </c>
      <c r="G25" s="26" t="n">
        <f aca="false">G24/(1/G16+G12/G17)</f>
        <v>4115675972.7033</v>
      </c>
      <c r="H25" s="26" t="n">
        <f aca="false">H24/(1/H16+H12/H17)</f>
        <v>8231351945.4066</v>
      </c>
      <c r="I25" s="4" t="s">
        <v>214</v>
      </c>
    </row>
    <row r="26" customFormat="false" ht="15" hidden="false" customHeight="false" outlineLevel="0" collapsed="false">
      <c r="A26" s="3" t="s">
        <v>215</v>
      </c>
      <c r="B26" s="28" t="s">
        <v>216</v>
      </c>
      <c r="C26" s="3" t="s">
        <v>84</v>
      </c>
      <c r="D26" s="29" t="n">
        <f aca="false">輸入!$D$6*1000000000/(D25*D6)</f>
        <v>0.809838989862221</v>
      </c>
      <c r="E26" s="29" t="n">
        <f aca="false">輸入!$E$6*1000000000/(E25*E6)</f>
        <v>0.607379242396666</v>
      </c>
      <c r="F26" s="29" t="n">
        <f aca="false">輸入!$F$6*1000000000/(F25*F6)</f>
        <v>0.911068863594999</v>
      </c>
      <c r="G26" s="29" t="n">
        <f aca="false">輸入!$G$6*1000000000/(G25*G6)</f>
        <v>1.61967797972444</v>
      </c>
      <c r="H26" s="29" t="n">
        <f aca="false">輸入!$H$6*1000000000/(H25*H6)</f>
        <v>0.809838989862221</v>
      </c>
      <c r="I26" s="4" t="s">
        <v>217</v>
      </c>
    </row>
    <row r="27" customFormat="false" ht="15" hidden="false" customHeight="false" outlineLevel="0" collapsed="false">
      <c r="A27" s="3" t="s">
        <v>218</v>
      </c>
      <c r="B27" s="4" t="s">
        <v>219</v>
      </c>
      <c r="C27" s="3" t="s">
        <v>68</v>
      </c>
      <c r="D27" s="30" t="n">
        <f aca="false">輸入!$D$6*1000000000/D25</f>
        <v>1.58783151135866</v>
      </c>
      <c r="E27" s="30" t="n">
        <f aca="false">輸入!$E$6*1000000000/E25</f>
        <v>1.19087363351899</v>
      </c>
      <c r="F27" s="30" t="n">
        <f aca="false">輸入!$F$6*1000000000/F25</f>
        <v>1.78631045027849</v>
      </c>
      <c r="G27" s="30" t="n">
        <f aca="false">輸入!$G$6*1000000000/G25</f>
        <v>3.17566302271732</v>
      </c>
      <c r="H27" s="30" t="n">
        <f aca="false">輸入!$H$6*1000000000/H25</f>
        <v>1.58783151135866</v>
      </c>
      <c r="I27" s="4" t="s">
        <v>220</v>
      </c>
    </row>
    <row r="28" customFormat="false" ht="64.15" hidden="false" customHeight="false" outlineLevel="0" collapsed="false">
      <c r="A28" s="10" t="s">
        <v>221</v>
      </c>
      <c r="B28" s="5"/>
      <c r="C28" s="5"/>
      <c r="D28" s="5"/>
      <c r="E28" s="5"/>
      <c r="F28" s="5"/>
      <c r="G28" s="5"/>
      <c r="H28" s="5"/>
      <c r="I28" s="5"/>
    </row>
    <row r="29" customFormat="false" ht="15" hidden="false" customHeight="false" outlineLevel="0" collapsed="false">
      <c r="A29" s="3" t="s">
        <v>222</v>
      </c>
      <c r="B29" s="2" t="s">
        <v>223</v>
      </c>
      <c r="C29" s="3" t="s">
        <v>84</v>
      </c>
      <c r="D29" s="29" t="n">
        <f aca="false">D11/D25</f>
        <v>0.46471102503819</v>
      </c>
      <c r="E29" s="29" t="n">
        <f aca="false">E11/E25</f>
        <v>0.348533268778642</v>
      </c>
      <c r="F29" s="29" t="n">
        <f aca="false">F11/F25</f>
        <v>0.522799903167964</v>
      </c>
      <c r="G29" s="29" t="n">
        <f aca="false">G11/G25</f>
        <v>0.92942205007638</v>
      </c>
      <c r="H29" s="29" t="n">
        <f aca="false">H11/H25</f>
        <v>0.46471102503819</v>
      </c>
      <c r="I29" s="3" t="s">
        <v>224</v>
      </c>
    </row>
    <row r="30" customFormat="false" ht="15" hidden="false" customHeight="false" outlineLevel="0" collapsed="false">
      <c r="A30" s="3" t="s">
        <v>225</v>
      </c>
      <c r="B30" s="2" t="s">
        <v>226</v>
      </c>
      <c r="C30" s="3" t="s">
        <v>84</v>
      </c>
      <c r="D30" s="29" t="n">
        <f aca="false">D25/D11</f>
        <v>2.1518749203719</v>
      </c>
      <c r="E30" s="29" t="n">
        <f aca="false">E25/E11</f>
        <v>2.86916656049587</v>
      </c>
      <c r="F30" s="29" t="n">
        <f aca="false">F25/F11</f>
        <v>1.91277770699725</v>
      </c>
      <c r="G30" s="29" t="n">
        <f aca="false">G25/G11</f>
        <v>1.07593746018595</v>
      </c>
      <c r="H30" s="29" t="n">
        <f aca="false">H25/H11</f>
        <v>2.1518749203719</v>
      </c>
      <c r="I30" s="3" t="s">
        <v>227</v>
      </c>
    </row>
    <row r="31" customFormat="false" ht="15" hidden="false" customHeight="false" outlineLevel="0" collapsed="false">
      <c r="A31" s="3" t="s">
        <v>228</v>
      </c>
      <c r="B31" s="4" t="s">
        <v>229</v>
      </c>
      <c r="C31" s="3" t="s">
        <v>84</v>
      </c>
      <c r="D31" s="27" t="n">
        <f aca="false">D21/D19</f>
        <v>7.37785686984652</v>
      </c>
      <c r="E31" s="27" t="n">
        <f aca="false">E21/E19</f>
        <v>7.37785686984652</v>
      </c>
      <c r="F31" s="27" t="n">
        <f aca="false">F21/F19</f>
        <v>4.91857124656435</v>
      </c>
      <c r="G31" s="27" t="n">
        <f aca="false">G21/G19</f>
        <v>4.91857124656435</v>
      </c>
      <c r="H31" s="27" t="n">
        <f aca="false">H21/H19</f>
        <v>7.37785686984652</v>
      </c>
      <c r="I31" s="3" t="s">
        <v>230</v>
      </c>
    </row>
    <row r="32" customFormat="false" ht="29.85" hidden="false" customHeight="false" outlineLevel="0" collapsed="false">
      <c r="A32" s="3" t="s">
        <v>231</v>
      </c>
      <c r="B32" s="4" t="s">
        <v>232</v>
      </c>
      <c r="C32" s="3" t="s">
        <v>84</v>
      </c>
      <c r="D32" s="27" t="n">
        <f aca="false">D31/(輸入!$D$30*輸入!$D$31/(輸入!$D$32*輸入!$D$33))</f>
        <v>2.1518749203719</v>
      </c>
      <c r="E32" s="27" t="n">
        <f aca="false">E31/(輸入!$E$30*輸入!$E$31/(輸入!$E$32*輸入!$E$33))</f>
        <v>2.86916656049587</v>
      </c>
      <c r="F32" s="27" t="n">
        <f aca="false">F31/(輸入!$F$30*輸入!$F$31/(輸入!$F$32*輸入!$F$33))</f>
        <v>1.91277770699725</v>
      </c>
      <c r="G32" s="27" t="n">
        <f aca="false">G31/(輸入!$G$30*輸入!$G$31/(輸入!$G$32*輸入!$G$33))</f>
        <v>1.07593746018595</v>
      </c>
      <c r="H32" s="27" t="n">
        <f aca="false">H31/(輸入!$H$30*輸入!$H$31/(輸入!$H$32*輸入!$H$33))</f>
        <v>2.1518749203719</v>
      </c>
      <c r="I32" s="4" t="s">
        <v>233</v>
      </c>
    </row>
    <row r="33" customFormat="false" ht="15" hidden="false" customHeight="false" outlineLevel="0" collapsed="false">
      <c r="A33" s="3" t="s">
        <v>234</v>
      </c>
      <c r="B33" s="4" t="s">
        <v>235</v>
      </c>
      <c r="C33" s="3" t="s">
        <v>84</v>
      </c>
      <c r="D33" s="31" t="n">
        <f aca="false">D32-D30</f>
        <v>0</v>
      </c>
      <c r="E33" s="31" t="n">
        <f aca="false">E32-E30</f>
        <v>0</v>
      </c>
      <c r="F33" s="31" t="n">
        <f aca="false">F32-F30</f>
        <v>0</v>
      </c>
      <c r="G33" s="31" t="n">
        <f aca="false">G32-G30</f>
        <v>0</v>
      </c>
      <c r="H33" s="31" t="n">
        <f aca="false">H32-H30</f>
        <v>0</v>
      </c>
      <c r="I33" s="4" t="s">
        <v>236</v>
      </c>
    </row>
    <row r="34" customFormat="false" ht="29.85" hidden="false" customHeight="false" outlineLevel="0" collapsed="false">
      <c r="A34" s="3" t="s">
        <v>237</v>
      </c>
      <c r="B34" s="4" t="s">
        <v>238</v>
      </c>
      <c r="C34" s="3" t="s">
        <v>165</v>
      </c>
      <c r="D34" s="25" t="n">
        <f aca="false">(D24-D8/D16)/((1-輸入!$D$18)/D16+輸入!$D$18/D17)</f>
        <v>12728985429.4545</v>
      </c>
      <c r="E34" s="25" t="n">
        <f aca="false">(E24-E8/E16)/((1-輸入!$E$18)/E16+輸入!$E$18/E17)</f>
        <v>18382620415.4931</v>
      </c>
      <c r="F34" s="25" t="n">
        <f aca="false">(F24-F8/F16)/((1-輸入!$F$18)/F16+輸入!$F$18/F17)</f>
        <v>10844440434.1083</v>
      </c>
      <c r="G34" s="25" t="n">
        <f aca="false">(G24-G8/G16)/((1-輸入!$G$18)/G16+輸入!$G$18/G17)</f>
        <v>4248532950.39659</v>
      </c>
      <c r="H34" s="25" t="n">
        <f aca="false">(H24-H8/H16)/((1-輸入!$H$18)/H16+輸入!$H$18/H17)</f>
        <v>12728985429.4545</v>
      </c>
      <c r="I34" s="4" t="s">
        <v>239</v>
      </c>
    </row>
    <row r="35" customFormat="false" ht="15" hidden="false" customHeight="false" outlineLevel="0" collapsed="false">
      <c r="A35" s="3" t="s">
        <v>240</v>
      </c>
      <c r="B35" s="2" t="s">
        <v>241</v>
      </c>
      <c r="C35" s="3" t="s">
        <v>92</v>
      </c>
      <c r="D35" s="26" t="n">
        <f aca="false">D34*1000000/(輸入!$D$16*1000000000*365)</f>
        <v>13949.5730733748</v>
      </c>
      <c r="E35" s="26" t="n">
        <f aca="false">E34*1000000/(輸入!$E$16*1000000000*365)</f>
        <v>20145.3374416363</v>
      </c>
      <c r="F35" s="26" t="n">
        <f aca="false">F34*1000000/(輸入!$F$16*1000000000*365)</f>
        <v>11884.3182839543</v>
      </c>
      <c r="G35" s="26" t="n">
        <f aca="false">G34*1000000/(輸入!$G$16*1000000000*365)</f>
        <v>4655.92652098257</v>
      </c>
      <c r="H35" s="26" t="n">
        <f aca="false">H34*1000000/(輸入!$H$16*1000000000*365)</f>
        <v>13949.5730733748</v>
      </c>
      <c r="I35" s="3" t="s">
        <v>242</v>
      </c>
    </row>
    <row r="36" customFormat="false" ht="15" hidden="false" customHeight="false" outlineLevel="0" collapsed="false">
      <c r="A36" s="3" t="s">
        <v>243</v>
      </c>
      <c r="B36" s="3" t="s">
        <v>244</v>
      </c>
      <c r="C36" s="3"/>
      <c r="D36" s="32" t="str">
        <f aca="false">IF(D35&gt;11300,"高於證據區間",IF(D35&lt;1650,"低於證據區間","在證據區間內"))</f>
        <v>高於證據區間</v>
      </c>
      <c r="E36" s="32" t="str">
        <f aca="false">IF(E35&gt;11300,"高於證據區間",IF(E35&lt;1650,"低於證據區間","在證據區間內"))</f>
        <v>高於證據區間</v>
      </c>
      <c r="F36" s="32" t="str">
        <f aca="false">IF(F35&gt;11300,"高於證據區間",IF(F35&lt;1650,"低於證據區間","在證據區間內"))</f>
        <v>高於證據區間</v>
      </c>
      <c r="G36" s="32" t="str">
        <f aca="false">IF(G35&gt;11300,"高於證據區間",IF(G35&lt;1650,"低於證據區間","在證據區間內"))</f>
        <v>在證據區間內</v>
      </c>
      <c r="H36" s="32" t="str">
        <f aca="false">IF(H35&gt;11300,"高於證據區間",IF(H35&lt;1650,"低於證據區間","在證據區間內"))</f>
        <v>高於證據區間</v>
      </c>
      <c r="I36" s="3" t="s">
        <v>245</v>
      </c>
    </row>
    <row r="37" customFormat="false" ht="15" hidden="false" customHeight="false" outlineLevel="0" collapsed="false">
      <c r="A37" s="3" t="s">
        <v>246</v>
      </c>
      <c r="B37" s="4" t="s">
        <v>247</v>
      </c>
      <c r="C37" s="3" t="s">
        <v>58</v>
      </c>
      <c r="D37" s="33" t="n">
        <f aca="false">(D34*輸入!$D$18/D17)/D24</f>
        <v>0.213366087153051</v>
      </c>
      <c r="E37" s="33" t="n">
        <f aca="false">(E34*輸入!$E$18/E17)/E24</f>
        <v>0.231100181436946</v>
      </c>
      <c r="F37" s="33" t="n">
        <f aca="false">(F34*輸入!$F$18/F17)/F24</f>
        <v>0.204499040011104</v>
      </c>
      <c r="G37" s="33" t="n">
        <f aca="false">(G34*輸入!$G$18/G17)/G24</f>
        <v>0.142429710017474</v>
      </c>
      <c r="H37" s="33" t="n">
        <f aca="false">(H34*輸入!$H$18/H17)/H24</f>
        <v>0.213366087153051</v>
      </c>
      <c r="I37" s="4" t="s">
        <v>248</v>
      </c>
    </row>
    <row r="38" customFormat="false" ht="15" hidden="false" customHeight="false" outlineLevel="0" collapsed="false">
      <c r="A38" s="3" t="s">
        <v>249</v>
      </c>
      <c r="B38" s="4" t="s">
        <v>141</v>
      </c>
      <c r="C38" s="3" t="s">
        <v>58</v>
      </c>
      <c r="D38" s="34" t="n">
        <f aca="false">輸入!$D$34</f>
        <v>0.46</v>
      </c>
      <c r="E38" s="34" t="n">
        <f aca="false">輸入!$E$34</f>
        <v>0.46</v>
      </c>
      <c r="F38" s="34" t="n">
        <f aca="false">輸入!$F$34</f>
        <v>0.46</v>
      </c>
      <c r="G38" s="34" t="n">
        <f aca="false">輸入!$G$34</f>
        <v>0.46</v>
      </c>
      <c r="H38" s="34" t="n">
        <f aca="false">輸入!$H$34</f>
        <v>0.46</v>
      </c>
      <c r="I38" s="3" t="s">
        <v>250</v>
      </c>
    </row>
    <row r="39" customFormat="false" ht="108.2" hidden="false" customHeight="false" outlineLevel="0" collapsed="false">
      <c r="A39" s="10" t="s">
        <v>251</v>
      </c>
      <c r="B39" s="5"/>
      <c r="C39" s="5"/>
      <c r="D39" s="5"/>
      <c r="E39" s="5"/>
      <c r="F39" s="5"/>
      <c r="G39" s="5"/>
      <c r="H39" s="5"/>
      <c r="I39" s="5"/>
    </row>
    <row r="40" customFormat="false" ht="15" hidden="false" customHeight="false" outlineLevel="0" collapsed="false">
      <c r="A40" s="3" t="s">
        <v>252</v>
      </c>
      <c r="B40" s="4" t="s">
        <v>253</v>
      </c>
      <c r="C40" s="3" t="s">
        <v>84</v>
      </c>
      <c r="D40" s="27" t="n">
        <f aca="false">輸入!$D$36/(輸入!$D$31*輸入!$D$37)</f>
        <v>0.295193232132596</v>
      </c>
      <c r="E40" s="27" t="n">
        <f aca="false">輸入!$E$36/(輸入!$E$31*輸入!$E$37)</f>
        <v>0.295193232132596</v>
      </c>
      <c r="F40" s="27" t="n">
        <f aca="false">輸入!$F$36/(輸入!$F$31*輸入!$F$37)</f>
        <v>0.295193232132596</v>
      </c>
      <c r="G40" s="27" t="n">
        <f aca="false">輸入!$G$36/(輸入!$G$31*輸入!$G$37)</f>
        <v>0.295193232132596</v>
      </c>
      <c r="H40" s="27" t="n">
        <f aca="false">輸入!$H$36/(輸入!$H$31*輸入!$H$37)</f>
        <v>0.295193232132596</v>
      </c>
      <c r="I40" s="4" t="s">
        <v>254</v>
      </c>
    </row>
    <row r="41" customFormat="false" ht="15" hidden="false" customHeight="false" outlineLevel="0" collapsed="false">
      <c r="A41" s="3" t="s">
        <v>255</v>
      </c>
      <c r="B41" s="2" t="s">
        <v>256</v>
      </c>
      <c r="C41" s="3" t="s">
        <v>68</v>
      </c>
      <c r="D41" s="35" t="n">
        <f aca="false">D40*D6/輸入!$D$38</f>
        <v>0.900678529745762</v>
      </c>
      <c r="E41" s="35" t="n">
        <f aca="false">E40*E6/輸入!$E$38</f>
        <v>0.900678529745762</v>
      </c>
      <c r="F41" s="35" t="n">
        <f aca="false">F40*F6/輸入!$F$38</f>
        <v>0.900678529745762</v>
      </c>
      <c r="G41" s="35" t="n">
        <f aca="false">G40*G6/輸入!$G$38</f>
        <v>0.900678529745762</v>
      </c>
      <c r="H41" s="35" t="n">
        <f aca="false">H40*H6/輸入!$H$38</f>
        <v>0.900678529745762</v>
      </c>
      <c r="I41" s="4" t="s">
        <v>257</v>
      </c>
    </row>
    <row r="42" customFormat="false" ht="15" hidden="false" customHeight="false" outlineLevel="0" collapsed="false">
      <c r="A42" s="3" t="s">
        <v>258</v>
      </c>
      <c r="B42" s="4" t="s">
        <v>259</v>
      </c>
      <c r="C42" s="3" t="s">
        <v>68</v>
      </c>
      <c r="D42" s="30" t="n">
        <f aca="false">D40*D6/輸入!$I$38</f>
        <v>1.69233378481818</v>
      </c>
      <c r="E42" s="30" t="n">
        <f aca="false">E40*E6/輸入!$I$38</f>
        <v>1.69233378481818</v>
      </c>
      <c r="F42" s="30" t="n">
        <f aca="false">F40*F6/輸入!$I$38</f>
        <v>1.69233378481818</v>
      </c>
      <c r="G42" s="30" t="n">
        <f aca="false">G40*G6/輸入!$I$38</f>
        <v>1.69233378481818</v>
      </c>
      <c r="H42" s="30" t="n">
        <f aca="false">H40*H6/輸入!$I$38</f>
        <v>1.69233378481818</v>
      </c>
      <c r="I42" s="4" t="s">
        <v>260</v>
      </c>
    </row>
    <row r="43" customFormat="false" ht="15" hidden="false" customHeight="false" outlineLevel="0" collapsed="false">
      <c r="A43" s="3" t="s">
        <v>261</v>
      </c>
      <c r="B43" s="4" t="s">
        <v>262</v>
      </c>
      <c r="C43" s="3"/>
      <c r="D43" s="32" t="str">
        <f aca="false">IF(D27&gt;=D41,"回本","不回本")</f>
        <v>回本</v>
      </c>
      <c r="E43" s="32" t="str">
        <f aca="false">IF(E27&gt;=E41,"回本","不回本")</f>
        <v>回本</v>
      </c>
      <c r="F43" s="32" t="str">
        <f aca="false">IF(F27&gt;=F41,"回本","不回本")</f>
        <v>回本</v>
      </c>
      <c r="G43" s="32" t="str">
        <f aca="false">IF(G27&gt;=G41,"回本","不回本")</f>
        <v>回本</v>
      </c>
      <c r="H43" s="32" t="str">
        <f aca="false">IF(H27&gt;=H41,"回本","不回本")</f>
        <v>回本</v>
      </c>
      <c r="I43" s="3" t="s">
        <v>263</v>
      </c>
    </row>
    <row r="44" customFormat="false" ht="15" hidden="false" customHeight="false" outlineLevel="0" collapsed="false">
      <c r="A44" s="3" t="s">
        <v>264</v>
      </c>
      <c r="B44" s="4" t="s">
        <v>265</v>
      </c>
      <c r="C44" s="3"/>
      <c r="D44" s="32" t="str">
        <f aca="false">IF(D27&gt;=D42,"回本","不回本")</f>
        <v>不回本</v>
      </c>
      <c r="E44" s="32" t="str">
        <f aca="false">IF(E27&gt;=E42,"回本","不回本")</f>
        <v>不回本</v>
      </c>
      <c r="F44" s="32" t="str">
        <f aca="false">IF(F27&gt;=F42,"回本","不回本")</f>
        <v>回本</v>
      </c>
      <c r="G44" s="32" t="str">
        <f aca="false">IF(G27&gt;=G42,"回本","不回本")</f>
        <v>回本</v>
      </c>
      <c r="H44" s="32" t="str">
        <f aca="false">IF(H27&gt;=H42,"回本","不回本")</f>
        <v>不回本</v>
      </c>
      <c r="I44" s="3" t="s">
        <v>266</v>
      </c>
    </row>
    <row r="45" customFormat="false" ht="15" hidden="false" customHeight="false" outlineLevel="0" collapsed="false">
      <c r="A45" s="3" t="s">
        <v>267</v>
      </c>
      <c r="B45" s="4" t="s">
        <v>268</v>
      </c>
      <c r="C45" s="3"/>
      <c r="D45" s="32" t="str">
        <f aca="false">IF(D14&gt;=D41,"回本","不回本")</f>
        <v>回本</v>
      </c>
      <c r="E45" s="32" t="str">
        <f aca="false">IF(E14&gt;=E41,"回本","不回本")</f>
        <v>回本</v>
      </c>
      <c r="F45" s="32" t="str">
        <f aca="false">IF(F14&gt;=F41,"回本","不回本")</f>
        <v>回本</v>
      </c>
      <c r="G45" s="32" t="str">
        <f aca="false">IF(G14&gt;=G41,"回本","不回本")</f>
        <v>回本</v>
      </c>
      <c r="H45" s="32" t="str">
        <f aca="false">IF(H14&gt;=H41,"回本","不回本")</f>
        <v>回本</v>
      </c>
      <c r="I45" s="3" t="s">
        <v>269</v>
      </c>
    </row>
    <row r="46" customFormat="false" ht="15" hidden="false" customHeight="false" outlineLevel="0" collapsed="false">
      <c r="A46" s="3" t="s">
        <v>270</v>
      </c>
      <c r="B46" s="4" t="s">
        <v>271</v>
      </c>
      <c r="C46" s="3"/>
      <c r="D46" s="32" t="str">
        <f aca="false">IF(D14&gt;=D42,"回本","不回本")</f>
        <v>回本</v>
      </c>
      <c r="E46" s="32" t="str">
        <f aca="false">IF(E14&gt;=E42,"回本","不回本")</f>
        <v>回本</v>
      </c>
      <c r="F46" s="32" t="str">
        <f aca="false">IF(F14&gt;=F42,"回本","不回本")</f>
        <v>回本</v>
      </c>
      <c r="G46" s="32" t="str">
        <f aca="false">IF(G14&gt;=G42,"回本","不回本")</f>
        <v>回本</v>
      </c>
      <c r="H46" s="32" t="str">
        <f aca="false">IF(H14&gt;=H42,"回本","不回本")</f>
        <v>回本</v>
      </c>
      <c r="I46" s="3" t="s">
        <v>272</v>
      </c>
    </row>
    <row r="47" customFormat="false" ht="15" hidden="false" customHeight="false" outlineLevel="0" collapsed="false">
      <c r="A47" s="3" t="s">
        <v>273</v>
      </c>
      <c r="B47" s="4" t="s">
        <v>274</v>
      </c>
      <c r="C47" s="3" t="s">
        <v>84</v>
      </c>
      <c r="D47" s="27" t="n">
        <f aca="false">D40/D26</f>
        <v>0.364508545313208</v>
      </c>
      <c r="E47" s="27" t="n">
        <f aca="false">E40/E26</f>
        <v>0.486011393750944</v>
      </c>
      <c r="F47" s="27" t="n">
        <f aca="false">F40/F26</f>
        <v>0.324007595833963</v>
      </c>
      <c r="G47" s="27" t="n">
        <f aca="false">G40/G26</f>
        <v>0.182254272656604</v>
      </c>
      <c r="H47" s="27" t="n">
        <f aca="false">H40/H26</f>
        <v>0.364508545313208</v>
      </c>
      <c r="I47" s="4" t="s">
        <v>275</v>
      </c>
    </row>
    <row r="48" customFormat="false" ht="15" hidden="false" customHeight="false" outlineLevel="0" collapsed="false">
      <c r="A48" s="3" t="s">
        <v>276</v>
      </c>
      <c r="B48" s="3" t="s">
        <v>277</v>
      </c>
      <c r="C48" s="3" t="s">
        <v>84</v>
      </c>
      <c r="D48" s="27" t="n">
        <f aca="false">輸入!$D$38*D26</f>
        <v>0.520404451133363</v>
      </c>
      <c r="E48" s="27" t="n">
        <f aca="false">輸入!$E$38*E26</f>
        <v>0.390303338350022</v>
      </c>
      <c r="F48" s="27" t="n">
        <f aca="false">輸入!$F$38*F26</f>
        <v>0.585455007525033</v>
      </c>
      <c r="G48" s="27" t="n">
        <f aca="false">輸入!$G$38*G26</f>
        <v>1.04080890226673</v>
      </c>
      <c r="H48" s="27" t="n">
        <f aca="false">輸入!$H$38*H26</f>
        <v>0.520404451133363</v>
      </c>
      <c r="I48" s="4" t="s">
        <v>278</v>
      </c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00"/>
    <pageSetUpPr fitToPage="tru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3"/>
    <col collapsed="false" customWidth="true" hidden="false" outlineLevel="0" max="8" min="4" style="0" width="15"/>
    <col collapsed="false" customWidth="true" hidden="false" outlineLevel="0" max="9" min="9" style="0" width="60"/>
  </cols>
  <sheetData>
    <row r="1" customFormat="false" ht="21.6" hidden="false" customHeight="false" outlineLevel="0" collapsed="false">
      <c r="A1" s="6" t="s">
        <v>279</v>
      </c>
    </row>
    <row r="2" customFormat="false" ht="30" hidden="false" customHeight="true" outlineLevel="0" collapsed="false">
      <c r="A2" s="23" t="s">
        <v>280</v>
      </c>
      <c r="B2" s="23"/>
      <c r="C2" s="23"/>
      <c r="D2" s="23"/>
      <c r="E2" s="23"/>
      <c r="F2" s="23"/>
      <c r="G2" s="23"/>
      <c r="H2" s="23"/>
      <c r="I2" s="23"/>
    </row>
    <row r="4" customFormat="false" ht="42" hidden="false" customHeight="true" outlineLevel="0" collapsed="false">
      <c r="A4" s="9" t="s">
        <v>281</v>
      </c>
      <c r="B4" s="8" t="s">
        <v>282</v>
      </c>
      <c r="C4" s="8" t="s">
        <v>40</v>
      </c>
      <c r="D4" s="8" t="s">
        <v>41</v>
      </c>
      <c r="E4" s="9" t="s">
        <v>42</v>
      </c>
      <c r="F4" s="9" t="s">
        <v>43</v>
      </c>
      <c r="G4" s="8" t="s">
        <v>44</v>
      </c>
      <c r="H4" s="8" t="s">
        <v>45</v>
      </c>
      <c r="I4" s="8" t="s">
        <v>283</v>
      </c>
    </row>
    <row r="5" customFormat="false" ht="15" hidden="false" customHeight="false" outlineLevel="0" collapsed="false">
      <c r="A5" s="3" t="n">
        <v>1</v>
      </c>
      <c r="B5" s="4" t="s">
        <v>284</v>
      </c>
      <c r="C5" s="3" t="s">
        <v>53</v>
      </c>
      <c r="D5" s="30" t="n">
        <f aca="false">輸入!$D$29/推導鏈!D30</f>
        <v>5.85535891548119</v>
      </c>
      <c r="E5" s="30" t="n">
        <f aca="false">輸入!$E$29/推導鏈!E30</f>
        <v>4.39151918661089</v>
      </c>
      <c r="F5" s="30" t="n">
        <f aca="false">輸入!$F$29/推導鏈!F30</f>
        <v>4.39151918661089</v>
      </c>
      <c r="G5" s="30" t="n">
        <f aca="false">輸入!$G$29/推導鏈!G30</f>
        <v>7.80714522064159</v>
      </c>
      <c r="H5" s="30" t="n">
        <f aca="false">輸入!$H$29/推導鏈!H30</f>
        <v>5.85535891548119</v>
      </c>
      <c r="I5" s="4" t="s">
        <v>285</v>
      </c>
    </row>
    <row r="6" customFormat="false" ht="15" hidden="false" customHeight="false" outlineLevel="0" collapsed="false">
      <c r="A6" s="3" t="n">
        <v>2</v>
      </c>
      <c r="B6" s="4" t="s">
        <v>286</v>
      </c>
      <c r="C6" s="3" t="s">
        <v>84</v>
      </c>
      <c r="D6" s="30" t="n">
        <f aca="false">輸入!$D$30*推導鏈!D30</f>
        <v>4.3037498407438</v>
      </c>
      <c r="E6" s="30" t="n">
        <f aca="false">輸入!$E$30*推導鏈!E30</f>
        <v>4.30374984074381</v>
      </c>
      <c r="F6" s="30" t="n">
        <f aca="false">輸入!$F$30*推導鏈!F30</f>
        <v>2.86916656049587</v>
      </c>
      <c r="G6" s="30" t="n">
        <f aca="false">輸入!$G$30*推導鏈!G30</f>
        <v>2.1518749203719</v>
      </c>
      <c r="H6" s="30" t="n">
        <f aca="false">輸入!$H$30*推導鏈!H30</f>
        <v>4.3037498407438</v>
      </c>
      <c r="I6" s="4" t="s">
        <v>287</v>
      </c>
    </row>
    <row r="7" customFormat="false" ht="15" hidden="false" customHeight="false" outlineLevel="0" collapsed="false">
      <c r="A7" s="3" t="n">
        <v>3</v>
      </c>
      <c r="B7" s="4" t="s">
        <v>288</v>
      </c>
      <c r="C7" s="3" t="s">
        <v>58</v>
      </c>
      <c r="D7" s="33" t="n">
        <f aca="false">輸入!$D$32/推導鏈!D30</f>
        <v>0.162648858763366</v>
      </c>
      <c r="E7" s="33" t="n">
        <f aca="false">輸入!$E$32/推導鏈!E30</f>
        <v>0.121986644072525</v>
      </c>
      <c r="F7" s="33" t="n">
        <f aca="false">輸入!$F$32/推導鏈!F30</f>
        <v>0.182979966108787</v>
      </c>
      <c r="G7" s="33" t="n">
        <f aca="false">輸入!$G$32/推導鏈!G30</f>
        <v>0.325297717526733</v>
      </c>
      <c r="H7" s="33" t="n">
        <f aca="false">輸入!$H$32/推導鏈!H30</f>
        <v>0.162648858763366</v>
      </c>
      <c r="I7" s="4" t="s">
        <v>289</v>
      </c>
    </row>
    <row r="8" customFormat="false" ht="15" hidden="false" customHeight="false" outlineLevel="0" collapsed="false">
      <c r="A8" s="3" t="n">
        <v>4</v>
      </c>
      <c r="B8" s="3" t="s">
        <v>290</v>
      </c>
      <c r="C8" s="3" t="s">
        <v>84</v>
      </c>
      <c r="D8" s="30" t="n">
        <f aca="false">輸入!$D$33/推導鏈!D30</f>
        <v>0.46471102503819</v>
      </c>
      <c r="E8" s="30" t="n">
        <f aca="false">輸入!$E$33/推導鏈!E30</f>
        <v>0.348533268778642</v>
      </c>
      <c r="F8" s="30" t="n">
        <f aca="false">輸入!$F$33/推導鏈!F30</f>
        <v>0.522799903167964</v>
      </c>
      <c r="G8" s="30" t="n">
        <f aca="false">輸入!$G$33/推導鏈!G30</f>
        <v>0.697066537557285</v>
      </c>
      <c r="H8" s="30" t="n">
        <f aca="false">輸入!$H$33/推導鏈!H30</f>
        <v>0.46471102503819</v>
      </c>
      <c r="I8" s="3" t="s">
        <v>291</v>
      </c>
    </row>
    <row r="9" customFormat="false" ht="15" hidden="false" customHeight="false" outlineLevel="0" collapsed="false">
      <c r="A9" s="3" t="n">
        <v>5</v>
      </c>
      <c r="B9" s="4" t="s">
        <v>292</v>
      </c>
      <c r="C9" s="3" t="s">
        <v>92</v>
      </c>
      <c r="D9" s="25" t="n">
        <f aca="false">推導鏈!D35</f>
        <v>13949.5730733748</v>
      </c>
      <c r="E9" s="25" t="n">
        <f aca="false">推導鏈!E35</f>
        <v>20145.3374416363</v>
      </c>
      <c r="F9" s="25" t="n">
        <f aca="false">推導鏈!F35</f>
        <v>11884.3182839543</v>
      </c>
      <c r="G9" s="25" t="n">
        <f aca="false">推導鏈!G35</f>
        <v>4655.92652098257</v>
      </c>
      <c r="H9" s="25" t="n">
        <f aca="false">推導鏈!H35</f>
        <v>13949.5730733748</v>
      </c>
      <c r="I9" s="3" t="s">
        <v>293</v>
      </c>
    </row>
    <row r="11" customFormat="false" ht="48.5" hidden="false" customHeight="false" outlineLevel="0" collapsed="false">
      <c r="A11" s="5" t="s">
        <v>294</v>
      </c>
      <c r="B11" s="5"/>
      <c r="C11" s="5"/>
      <c r="D11" s="5"/>
      <c r="E11" s="5"/>
      <c r="F11" s="5"/>
      <c r="G11" s="5"/>
      <c r="H11" s="5"/>
      <c r="I11" s="5"/>
    </row>
    <row r="12" customFormat="false" ht="15" hidden="false" customHeight="false" outlineLevel="0" collapsed="false">
      <c r="B12" s="4" t="s">
        <v>295</v>
      </c>
      <c r="D12" s="32" t="str">
        <f aca="false">IF(D5&lt;8.4,"需低於 84 億：超出證據","可在證據內閉合")</f>
        <v>需低於 84 億：超出證據</v>
      </c>
      <c r="E12" s="32"/>
      <c r="F12" s="32"/>
      <c r="G12" s="32"/>
      <c r="H12" s="32"/>
    </row>
    <row r="13" customFormat="false" ht="15" hidden="false" customHeight="false" outlineLevel="0" collapsed="false">
      <c r="B13" s="4" t="s">
        <v>296</v>
      </c>
      <c r="D13" s="32" t="str">
        <f aca="false">IF(D6&gt;3,"需高於 3.0：超出模型上限",IF(D6&gt;2.2,"需高於 2.2：超出 A 段證據","可在證據內閉合"))</f>
        <v>需高於 3.0：超出模型上限</v>
      </c>
      <c r="E13" s="32"/>
      <c r="F13" s="32"/>
      <c r="G13" s="32"/>
      <c r="H13" s="32"/>
    </row>
    <row r="14" customFormat="false" ht="15" hidden="false" customHeight="false" outlineLevel="0" collapsed="false">
      <c r="B14" s="4" t="s">
        <v>297</v>
      </c>
      <c r="D14" s="32" t="str">
        <f aca="false">IF(D7&lt;0.3,"需低於 0.30：超出模型區間","可在區間內閉合")</f>
        <v>需低於 0.30：超出模型區間</v>
      </c>
      <c r="E14" s="32"/>
      <c r="F14" s="32"/>
      <c r="G14" s="32"/>
      <c r="H14" s="32"/>
    </row>
    <row r="15" customFormat="false" ht="15" hidden="false" customHeight="false" outlineLevel="0" collapsed="false">
      <c r="B15" s="3" t="s">
        <v>298</v>
      </c>
      <c r="D15" s="32" t="str">
        <f aca="false">IF(D8&lt;0.65,"需低於 0.65：超出 A 段區間","可在區間內閉合")</f>
        <v>需低於 0.65：超出 A 段區間</v>
      </c>
      <c r="E15" s="32"/>
      <c r="F15" s="32"/>
      <c r="G15" s="32"/>
      <c r="H15" s="32"/>
    </row>
    <row r="16" customFormat="false" ht="15" hidden="false" customHeight="false" outlineLevel="0" collapsed="false">
      <c r="B16" s="3" t="s">
        <v>299</v>
      </c>
      <c r="D16" s="32" t="str">
        <f aca="false">IF(D9&gt;11300,"需高於 11,300：超出證據","可在證據內閉合")</f>
        <v>需高於 11,300：超出證據</v>
      </c>
      <c r="E16" s="32"/>
      <c r="F16" s="32"/>
      <c r="G16" s="32"/>
      <c r="H16" s="32"/>
    </row>
    <row r="18" customFormat="false" ht="17.15" hidden="false" customHeight="false" outlineLevel="0" collapsed="false">
      <c r="A18" s="5" t="s">
        <v>300</v>
      </c>
      <c r="B18" s="5"/>
      <c r="C18" s="5"/>
      <c r="D18" s="5"/>
      <c r="E18" s="5"/>
      <c r="F18" s="5"/>
      <c r="G18" s="5"/>
      <c r="H18" s="5"/>
      <c r="I18" s="5"/>
    </row>
    <row r="19" customFormat="false" ht="30" hidden="false" customHeight="true" outlineLevel="0" collapsed="false">
      <c r="A19" s="7" t="s">
        <v>301</v>
      </c>
      <c r="B19" s="7"/>
      <c r="C19" s="7"/>
      <c r="D19" s="7"/>
      <c r="E19" s="7"/>
      <c r="F19" s="7"/>
      <c r="G19" s="7"/>
      <c r="H19" s="7"/>
      <c r="I19" s="7"/>
    </row>
    <row r="20" customFormat="false" ht="30" hidden="false" customHeight="true" outlineLevel="0" collapsed="false">
      <c r="A20" s="7" t="s">
        <v>302</v>
      </c>
      <c r="B20" s="7"/>
      <c r="C20" s="7"/>
      <c r="D20" s="7"/>
      <c r="E20" s="7"/>
      <c r="F20" s="7"/>
      <c r="G20" s="7"/>
      <c r="H20" s="7"/>
      <c r="I20" s="7"/>
    </row>
    <row r="21" customFormat="false" ht="30" hidden="false" customHeight="true" outlineLevel="0" collapsed="false">
      <c r="A21" s="7" t="s">
        <v>303</v>
      </c>
      <c r="B21" s="7"/>
      <c r="C21" s="7"/>
      <c r="D21" s="7"/>
      <c r="E21" s="7"/>
      <c r="F21" s="7"/>
      <c r="G21" s="7"/>
      <c r="H21" s="7"/>
      <c r="I21" s="7"/>
    </row>
    <row r="22" customFormat="false" ht="30" hidden="false" customHeight="true" outlineLevel="0" collapsed="false">
      <c r="A22" s="7" t="s">
        <v>304</v>
      </c>
      <c r="B22" s="7"/>
      <c r="C22" s="7"/>
      <c r="D22" s="7"/>
      <c r="E22" s="7"/>
      <c r="F22" s="7"/>
      <c r="G22" s="7"/>
      <c r="H22" s="7"/>
      <c r="I22" s="7"/>
    </row>
  </sheetData>
  <mergeCells count="10">
    <mergeCell ref="A2:I2"/>
    <mergeCell ref="D12:H12"/>
    <mergeCell ref="D13:H13"/>
    <mergeCell ref="D14:H14"/>
    <mergeCell ref="D15:H15"/>
    <mergeCell ref="D16:H16"/>
    <mergeCell ref="A19:I19"/>
    <mergeCell ref="A20:I20"/>
    <mergeCell ref="A21:I21"/>
    <mergeCell ref="A22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00"/>
    <pageSetUpPr fitToPage="tru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6" t="s">
        <v>305</v>
      </c>
    </row>
    <row r="3" customFormat="false" ht="45" hidden="false" customHeight="true" outlineLevel="0" collapsed="false">
      <c r="A3" s="2" t="s">
        <v>306</v>
      </c>
      <c r="B3" s="3" t="s">
        <v>307</v>
      </c>
    </row>
    <row r="4" customFormat="false" ht="30" hidden="false" customHeight="true" outlineLevel="0" collapsed="false">
      <c r="A4" s="28" t="s">
        <v>308</v>
      </c>
      <c r="B4" s="4" t="s">
        <v>309</v>
      </c>
    </row>
    <row r="5" customFormat="false" ht="15" hidden="false" customHeight="true" outlineLevel="0" collapsed="false">
      <c r="A5" s="28" t="s">
        <v>310</v>
      </c>
      <c r="B5" s="4" t="s">
        <v>311</v>
      </c>
    </row>
    <row r="6" customFormat="false" ht="30" hidden="false" customHeight="true" outlineLevel="0" collapsed="false">
      <c r="A6" s="28" t="s">
        <v>312</v>
      </c>
      <c r="B6" s="4" t="s">
        <v>313</v>
      </c>
    </row>
    <row r="7" customFormat="false" ht="45" hidden="false" customHeight="true" outlineLevel="0" collapsed="false">
      <c r="A7" s="28" t="s">
        <v>314</v>
      </c>
      <c r="B7" s="4" t="s">
        <v>315</v>
      </c>
    </row>
    <row r="8" customFormat="false" ht="45" hidden="false" customHeight="true" outlineLevel="0" collapsed="false">
      <c r="A8" s="28" t="s">
        <v>316</v>
      </c>
      <c r="B8" s="4" t="s">
        <v>317</v>
      </c>
    </row>
    <row r="9" customFormat="false" ht="45" hidden="false" customHeight="true" outlineLevel="0" collapsed="false">
      <c r="A9" s="28" t="s">
        <v>318</v>
      </c>
      <c r="B9" s="4" t="s">
        <v>319</v>
      </c>
    </row>
    <row r="10" customFormat="false" ht="60" hidden="false" customHeight="true" outlineLevel="0" collapsed="false">
      <c r="A10" s="28" t="s">
        <v>320</v>
      </c>
      <c r="B10" s="4" t="s">
        <v>321</v>
      </c>
    </row>
    <row r="11" customFormat="false" ht="45" hidden="false" customHeight="true" outlineLevel="0" collapsed="false">
      <c r="A11" s="28" t="s">
        <v>322</v>
      </c>
      <c r="B11" s="3" t="s">
        <v>323</v>
      </c>
    </row>
    <row r="12" customFormat="false" ht="30" hidden="false" customHeight="true" outlineLevel="0" collapsed="false">
      <c r="A12" s="28" t="s">
        <v>324</v>
      </c>
      <c r="B12" s="4" t="s">
        <v>325</v>
      </c>
    </row>
    <row r="13" customFormat="false" ht="60" hidden="false" customHeight="true" outlineLevel="0" collapsed="false">
      <c r="A13" s="28" t="s">
        <v>326</v>
      </c>
      <c r="B13" s="4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5911"/>
    <pageSetUpPr fitToPage="true"/>
  </sheetPr>
  <dimension ref="A1:U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10" min="4" style="0" width="9"/>
    <col collapsed="false" customWidth="true" hidden="false" outlineLevel="0" max="14" min="11" style="0" width="13"/>
    <col collapsed="false" customWidth="true" hidden="false" outlineLevel="0" max="18" min="15" style="0" width="11"/>
    <col collapsed="false" customWidth="true" hidden="false" outlineLevel="0" max="19" min="19" style="0" width="10"/>
    <col collapsed="false" customWidth="true" hidden="false" outlineLevel="0" max="20" min="20" style="0" width="11"/>
    <col collapsed="false" customWidth="true" hidden="false" outlineLevel="0" max="21" min="21" style="0" width="12"/>
  </cols>
  <sheetData>
    <row r="1" customFormat="false" ht="21.6" hidden="false" customHeight="false" outlineLevel="0" collapsed="false">
      <c r="A1" s="6" t="s">
        <v>328</v>
      </c>
    </row>
    <row r="2" customFormat="false" ht="30" hidden="false" customHeight="true" outlineLevel="0" collapsed="false">
      <c r="A2" s="7" t="s">
        <v>329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4" customFormat="false" ht="42" hidden="false" customHeight="true" outlineLevel="0" collapsed="false">
      <c r="A4" s="8" t="s">
        <v>330</v>
      </c>
      <c r="B4" s="8" t="s">
        <v>331</v>
      </c>
      <c r="C4" s="8" t="s">
        <v>332</v>
      </c>
      <c r="D4" s="8" t="s">
        <v>333</v>
      </c>
      <c r="E4" s="9" t="s">
        <v>334</v>
      </c>
      <c r="F4" s="8" t="s">
        <v>335</v>
      </c>
      <c r="G4" s="8" t="s">
        <v>295</v>
      </c>
      <c r="H4" s="8" t="s">
        <v>296</v>
      </c>
      <c r="I4" s="8" t="s">
        <v>336</v>
      </c>
      <c r="J4" s="9" t="s">
        <v>298</v>
      </c>
      <c r="K4" s="8" t="s">
        <v>337</v>
      </c>
      <c r="L4" s="8" t="s">
        <v>338</v>
      </c>
      <c r="M4" s="8" t="s">
        <v>339</v>
      </c>
      <c r="N4" s="8" t="s">
        <v>340</v>
      </c>
      <c r="O4" s="8" t="s">
        <v>341</v>
      </c>
      <c r="P4" s="9" t="s">
        <v>342</v>
      </c>
      <c r="Q4" s="8" t="s">
        <v>343</v>
      </c>
      <c r="R4" s="9" t="s">
        <v>344</v>
      </c>
      <c r="S4" s="9" t="s">
        <v>345</v>
      </c>
      <c r="T4" s="8" t="s">
        <v>346</v>
      </c>
    </row>
    <row r="5" customFormat="false" ht="29.85" hidden="false" customHeight="false" outlineLevel="0" collapsed="false">
      <c r="A5" s="4" t="s">
        <v>347</v>
      </c>
      <c r="B5" s="4" t="s">
        <v>348</v>
      </c>
      <c r="C5" s="36" t="n">
        <f aca="false">輸入!$D$17</f>
        <v>4000</v>
      </c>
      <c r="D5" s="36" t="n">
        <f aca="false">輸入!$D$18</f>
        <v>0.6</v>
      </c>
      <c r="E5" s="36" t="n">
        <f aca="false">輸入!$D$15</f>
        <v>0.75</v>
      </c>
      <c r="F5" s="36" t="n">
        <f aca="false">輸入!$D$16</f>
        <v>2.5</v>
      </c>
      <c r="G5" s="36" t="n">
        <f aca="false">輸入!$D$29</f>
        <v>12.6</v>
      </c>
      <c r="H5" s="36" t="n">
        <f aca="false">輸入!$D$30</f>
        <v>2</v>
      </c>
      <c r="I5" s="36" t="n">
        <f aca="false">輸入!$D$32</f>
        <v>0.35</v>
      </c>
      <c r="J5" s="36" t="n">
        <f aca="false">輸入!$D$33</f>
        <v>1</v>
      </c>
      <c r="K5" s="37" t="n">
        <f aca="false">輸入!$D$14*1000000000*525600*E5/1000000+F5*1000000000*C5*365/1000000*(1-D5)</f>
        <v>3825200000</v>
      </c>
      <c r="L5" s="37" t="n">
        <f aca="false">F5*1000000000*C5*365/1000000*D5</f>
        <v>2190000000</v>
      </c>
      <c r="M5" s="24" t="n">
        <f aca="false">G5/推導鏈!$D$18/H5*(I5/輸入!$D$31)*J5</f>
        <v>0.392917074820786</v>
      </c>
      <c r="N5" s="37" t="n">
        <f aca="false">M5/(1/推導鏈!$D$16+(L5/K5)/推導鏈!$D$17)</f>
        <v>8231351945.4066</v>
      </c>
      <c r="O5" s="27" t="n">
        <f aca="false">N5/K5</f>
        <v>2.1518749203719</v>
      </c>
      <c r="P5" s="27" t="n">
        <f aca="false">輸入!$D$6*1000000000/(N5*推導鏈!$D$6)</f>
        <v>0.809838989862221</v>
      </c>
      <c r="Q5" s="30" t="n">
        <f aca="false">輸入!$D$6*1000000000/N5</f>
        <v>1.58783151135866</v>
      </c>
      <c r="R5" s="25" t="n">
        <f aca="false">(M5-(輸入!$D$14*1000000000*525600*E5/1000000)/推導鏈!$D$16)/((1-D5)/推導鏈!$D$16+D5/推導鏈!$D$17)*1000000/(F5*1000000000*365)</f>
        <v>13949.5730733748</v>
      </c>
      <c r="S5" s="32" t="str">
        <f aca="false">IF(Q5&gt;=推導鏈!$D$41,"回本","不回本")</f>
        <v>回本</v>
      </c>
    </row>
    <row r="6" customFormat="false" ht="15" hidden="false" customHeight="false" outlineLevel="0" collapsed="false">
      <c r="A6" s="4" t="s">
        <v>349</v>
      </c>
      <c r="B6" s="4" t="s">
        <v>350</v>
      </c>
      <c r="C6" s="38" t="n">
        <f aca="false">輸入!$I$17</f>
        <v>2000</v>
      </c>
      <c r="D6" s="36" t="n">
        <f aca="false">輸入!$D$18</f>
        <v>0.6</v>
      </c>
      <c r="E6" s="36" t="n">
        <f aca="false">輸入!$D$15</f>
        <v>0.75</v>
      </c>
      <c r="F6" s="36" t="n">
        <f aca="false">輸入!$D$16</f>
        <v>2.5</v>
      </c>
      <c r="G6" s="36" t="n">
        <f aca="false">輸入!$D$29</f>
        <v>12.6</v>
      </c>
      <c r="H6" s="36" t="n">
        <f aca="false">輸入!$D$30</f>
        <v>2</v>
      </c>
      <c r="I6" s="36" t="n">
        <f aca="false">輸入!$D$32</f>
        <v>0.35</v>
      </c>
      <c r="J6" s="36" t="n">
        <f aca="false">輸入!$D$33</f>
        <v>1</v>
      </c>
      <c r="K6" s="37" t="n">
        <f aca="false">輸入!$D$14*1000000000*525600*E6/1000000+F6*1000000000*C6*365/1000000*(1-D6)</f>
        <v>3095200000</v>
      </c>
      <c r="L6" s="37" t="n">
        <f aca="false">F6*1000000000*C6*365/1000000*D6</f>
        <v>1095000000</v>
      </c>
      <c r="M6" s="24" t="n">
        <f aca="false">G6/推導鏈!$D$18/H6*(I6/輸入!$D$31)*J6</f>
        <v>0.392917074820786</v>
      </c>
      <c r="N6" s="37" t="n">
        <f aca="false">M6/(1/推導鏈!$D$16+(L6/K6)/推導鏈!$D$17)</f>
        <v>8667342000.82114</v>
      </c>
      <c r="O6" s="27" t="n">
        <f aca="false">N6/K6</f>
        <v>2.80025264952867</v>
      </c>
      <c r="P6" s="27" t="n">
        <f aca="false">輸入!$D$6*1000000000/(N6*推導鏈!$D$6)</f>
        <v>0.769101962751322</v>
      </c>
      <c r="Q6" s="30" t="n">
        <f aca="false">輸入!$D$6*1000000000/N6</f>
        <v>1.50795941809632</v>
      </c>
      <c r="R6" s="25" t="n">
        <f aca="false">(M6-(輸入!$D$14*1000000000*525600*E6/1000000)/推導鏈!$D$16)/((1-D6)/推導鏈!$D$16+D6/推導鏈!$D$17)*1000000/(F6*1000000000*365)</f>
        <v>13949.5730733748</v>
      </c>
      <c r="S6" s="32" t="str">
        <f aca="false">IF(Q6&gt;=推導鏈!$D$41,"回本","不回本")</f>
        <v>回本</v>
      </c>
      <c r="T6" s="30" t="n">
        <f aca="false">ABS(LN(O7/O6))</f>
        <v>0.856917410687466</v>
      </c>
    </row>
    <row r="7" customFormat="false" ht="15" hidden="false" customHeight="false" outlineLevel="0" collapsed="false">
      <c r="A7" s="4" t="s">
        <v>349</v>
      </c>
      <c r="B7" s="4" t="s">
        <v>351</v>
      </c>
      <c r="C7" s="38" t="n">
        <f aca="false">輸入!$J$17</f>
        <v>11000</v>
      </c>
      <c r="D7" s="36" t="n">
        <f aca="false">輸入!$D$18</f>
        <v>0.6</v>
      </c>
      <c r="E7" s="36" t="n">
        <f aca="false">輸入!$D$15</f>
        <v>0.75</v>
      </c>
      <c r="F7" s="36" t="n">
        <f aca="false">輸入!$D$16</f>
        <v>2.5</v>
      </c>
      <c r="G7" s="36" t="n">
        <f aca="false">輸入!$D$29</f>
        <v>12.6</v>
      </c>
      <c r="H7" s="36" t="n">
        <f aca="false">輸入!$D$30</f>
        <v>2</v>
      </c>
      <c r="I7" s="36" t="n">
        <f aca="false">輸入!$D$32</f>
        <v>0.35</v>
      </c>
      <c r="J7" s="36" t="n">
        <f aca="false">輸入!$D$33</f>
        <v>1</v>
      </c>
      <c r="K7" s="37" t="n">
        <f aca="false">輸入!$D$14*1000000000*525600*E7/1000000+F7*1000000000*C7*365/1000000*(1-D7)</f>
        <v>6380200000</v>
      </c>
      <c r="L7" s="37" t="n">
        <f aca="false">F7*1000000000*C7*365/1000000*D7</f>
        <v>6022500000</v>
      </c>
      <c r="M7" s="24" t="n">
        <f aca="false">G7/推導鏈!$D$18/H7*(I7/輸入!$D$31)*J7</f>
        <v>0.392917074820786</v>
      </c>
      <c r="N7" s="37" t="n">
        <f aca="false">M7/(1/推導鏈!$D$16+(L7/K7)/推導鏈!$D$17)</f>
        <v>7583627742.97959</v>
      </c>
      <c r="O7" s="27" t="n">
        <f aca="false">N7/K7</f>
        <v>1.18861912525933</v>
      </c>
      <c r="P7" s="27" t="n">
        <f aca="false">輸入!$D$6*1000000000/(N7*推導鏈!$D$6)</f>
        <v>0.879008038183244</v>
      </c>
      <c r="Q7" s="30" t="n">
        <f aca="false">輸入!$D$6*1000000000/N7</f>
        <v>1.72344957360273</v>
      </c>
      <c r="R7" s="25" t="n">
        <f aca="false">(M7-(輸入!$D$14*1000000000*525600*E7/1000000)/推導鏈!$D$16)/((1-D7)/推導鏈!$D$16+D7/推導鏈!$D$17)*1000000/(F7*1000000000*365)</f>
        <v>13949.5730733748</v>
      </c>
      <c r="S7" s="32" t="str">
        <f aca="false">IF(Q7&gt;=推導鏈!$D$41,"回本","不回本")</f>
        <v>回本</v>
      </c>
      <c r="T7" s="30"/>
    </row>
    <row r="8" customFormat="false" ht="15" hidden="false" customHeight="false" outlineLevel="0" collapsed="false">
      <c r="A8" s="4" t="s">
        <v>333</v>
      </c>
      <c r="B8" s="4" t="s">
        <v>350</v>
      </c>
      <c r="C8" s="36" t="n">
        <f aca="false">輸入!$D$17</f>
        <v>4000</v>
      </c>
      <c r="D8" s="38" t="n">
        <f aca="false">輸入!$I$18</f>
        <v>0.4</v>
      </c>
      <c r="E8" s="36" t="n">
        <f aca="false">輸入!$D$15</f>
        <v>0.75</v>
      </c>
      <c r="F8" s="36" t="n">
        <f aca="false">輸入!$D$16</f>
        <v>2.5</v>
      </c>
      <c r="G8" s="36" t="n">
        <f aca="false">輸入!$D$29</f>
        <v>12.6</v>
      </c>
      <c r="H8" s="36" t="n">
        <f aca="false">輸入!$D$30</f>
        <v>2</v>
      </c>
      <c r="I8" s="36" t="n">
        <f aca="false">輸入!$D$32</f>
        <v>0.35</v>
      </c>
      <c r="J8" s="36" t="n">
        <f aca="false">輸入!$D$33</f>
        <v>1</v>
      </c>
      <c r="K8" s="37" t="n">
        <f aca="false">輸入!$D$14*1000000000*525600*E8/1000000+F8*1000000000*C8*365/1000000*(1-D8)</f>
        <v>4555200000</v>
      </c>
      <c r="L8" s="37" t="n">
        <f aca="false">F8*1000000000*C8*365/1000000*D8</f>
        <v>1460000000</v>
      </c>
      <c r="M8" s="24" t="n">
        <f aca="false">G8/推導鏈!$D$18/H8*(I8/輸入!$D$31)*J8</f>
        <v>0.392917074820786</v>
      </c>
      <c r="N8" s="37" t="n">
        <f aca="false">M8/(1/推導鏈!$D$16+(L8/K8)/推導鏈!$D$17)</f>
        <v>8737713419.94247</v>
      </c>
      <c r="O8" s="27" t="n">
        <f aca="false">N8/K8</f>
        <v>1.91818436510855</v>
      </c>
      <c r="P8" s="27" t="n">
        <f aca="false">輸入!$D$6*1000000000/(N8*推導鏈!$D$6)</f>
        <v>0.762907802567001</v>
      </c>
      <c r="Q8" s="30" t="n">
        <f aca="false">輸入!$D$6*1000000000/N8</f>
        <v>1.49581467963572</v>
      </c>
      <c r="R8" s="25" t="n">
        <f aca="false">(M8-(輸入!$D$14*1000000000*525600*E8/1000000)/推導鏈!$D$16)/((1-D8)/推導鏈!$D$16+D8/推導鏈!$D$17)*1000000/(F8*1000000000*365)</f>
        <v>11044.0818789043</v>
      </c>
      <c r="S8" s="32" t="str">
        <f aca="false">IF(Q8&gt;=推導鏈!$D$41,"回本","不回本")</f>
        <v>回本</v>
      </c>
      <c r="T8" s="30" t="n">
        <f aca="false">ABS(LN(O9/O8))</f>
        <v>0.24487440902169</v>
      </c>
    </row>
    <row r="9" customFormat="false" ht="15" hidden="false" customHeight="false" outlineLevel="0" collapsed="false">
      <c r="A9" s="4" t="s">
        <v>333</v>
      </c>
      <c r="B9" s="4" t="s">
        <v>351</v>
      </c>
      <c r="C9" s="36" t="n">
        <f aca="false">輸入!$D$17</f>
        <v>4000</v>
      </c>
      <c r="D9" s="38" t="n">
        <f aca="false">輸入!$J$18</f>
        <v>0.8</v>
      </c>
      <c r="E9" s="36" t="n">
        <f aca="false">輸入!$D$15</f>
        <v>0.75</v>
      </c>
      <c r="F9" s="36" t="n">
        <f aca="false">輸入!$D$16</f>
        <v>2.5</v>
      </c>
      <c r="G9" s="36" t="n">
        <f aca="false">輸入!$D$29</f>
        <v>12.6</v>
      </c>
      <c r="H9" s="36" t="n">
        <f aca="false">輸入!$D$30</f>
        <v>2</v>
      </c>
      <c r="I9" s="36" t="n">
        <f aca="false">輸入!$D$32</f>
        <v>0.35</v>
      </c>
      <c r="J9" s="36" t="n">
        <f aca="false">輸入!$D$33</f>
        <v>1</v>
      </c>
      <c r="K9" s="37" t="n">
        <f aca="false">輸入!$D$14*1000000000*525600*E9/1000000+F9*1000000000*C9*365/1000000*(1-D9)</f>
        <v>3095200000</v>
      </c>
      <c r="L9" s="37" t="n">
        <f aca="false">F9*1000000000*C9*365/1000000*D9</f>
        <v>2920000000</v>
      </c>
      <c r="M9" s="24" t="n">
        <f aca="false">G9/推導鏈!$D$18/H9*(I9/輸入!$D$31)*J9</f>
        <v>0.392917074820786</v>
      </c>
      <c r="N9" s="37" t="n">
        <f aca="false">M9/(1/推導鏈!$D$16+(L9/K9)/推導鏈!$D$17)</f>
        <v>7584494977.85478</v>
      </c>
      <c r="O9" s="27" t="n">
        <f aca="false">N9/K9</f>
        <v>2.45040545937412</v>
      </c>
      <c r="P9" s="27" t="n">
        <f aca="false">輸入!$D$6*1000000000/(N9*推導鏈!$D$6)</f>
        <v>0.878907529655186</v>
      </c>
      <c r="Q9" s="30" t="n">
        <f aca="false">輸入!$D$6*1000000000/N9</f>
        <v>1.72325250898864</v>
      </c>
      <c r="R9" s="25" t="n">
        <f aca="false">(M9-(輸入!$D$14*1000000000*525600*E9/1000000)/推導鏈!$D$16)/((1-D9)/推導鏈!$D$16+D9/推導鏈!$D$17)*1000000/(F9*1000000000*365)</f>
        <v>18929.595205319</v>
      </c>
      <c r="S9" s="32" t="str">
        <f aca="false">IF(Q9&gt;=推導鏈!$D$41,"回本","不回本")</f>
        <v>回本</v>
      </c>
      <c r="T9" s="30"/>
    </row>
    <row r="10" customFormat="false" ht="15" hidden="false" customHeight="false" outlineLevel="0" collapsed="false">
      <c r="A10" s="3" t="s">
        <v>352</v>
      </c>
      <c r="B10" s="4" t="s">
        <v>350</v>
      </c>
      <c r="C10" s="36" t="n">
        <f aca="false">輸入!$D$17</f>
        <v>4000</v>
      </c>
      <c r="D10" s="36" t="n">
        <f aca="false">輸入!$D$18</f>
        <v>0.6</v>
      </c>
      <c r="E10" s="38" t="n">
        <f aca="false">輸入!$I$15</f>
        <v>0.6</v>
      </c>
      <c r="F10" s="36" t="n">
        <f aca="false">輸入!$D$16</f>
        <v>2.5</v>
      </c>
      <c r="G10" s="36" t="n">
        <f aca="false">輸入!$D$29</f>
        <v>12.6</v>
      </c>
      <c r="H10" s="36" t="n">
        <f aca="false">輸入!$D$30</f>
        <v>2</v>
      </c>
      <c r="I10" s="36" t="n">
        <f aca="false">輸入!$D$32</f>
        <v>0.35</v>
      </c>
      <c r="J10" s="36" t="n">
        <f aca="false">輸入!$D$33</f>
        <v>1</v>
      </c>
      <c r="K10" s="37" t="n">
        <f aca="false">輸入!$D$14*1000000000*525600*E10/1000000+F10*1000000000*C10*365/1000000*(1-D10)</f>
        <v>3352160000</v>
      </c>
      <c r="L10" s="37" t="n">
        <f aca="false">F10*1000000000*C10*365/1000000*D10</f>
        <v>2190000000</v>
      </c>
      <c r="M10" s="24" t="n">
        <f aca="false">G10/推導鏈!$D$18/H10*(I10/輸入!$D$31)*J10</f>
        <v>0.392917074820786</v>
      </c>
      <c r="N10" s="37" t="n">
        <f aca="false">M10/(1/推導鏈!$D$16+(L10/K10)/推導鏈!$D$17)</f>
        <v>8081213742.86031</v>
      </c>
      <c r="O10" s="27" t="n">
        <f aca="false">N10/K10</f>
        <v>2.41074821692888</v>
      </c>
      <c r="P10" s="27" t="n">
        <f aca="false">輸入!$D$6*1000000000/(N10*推導鏈!$D$6)</f>
        <v>0.824884721129661</v>
      </c>
      <c r="Q10" s="30" t="n">
        <f aca="false">輸入!$D$6*1000000000/N10</f>
        <v>1.61733130887019</v>
      </c>
      <c r="R10" s="25" t="n">
        <f aca="false">(M10-(輸入!$D$14*1000000000*525600*E10/1000000)/推導鏈!$D$16)/((1-D10)/推導鏈!$D$16+D10/推導鏈!$D$17)*1000000/(F10*1000000000*365)</f>
        <v>14877.1170796568</v>
      </c>
      <c r="S10" s="32" t="str">
        <f aca="false">IF(Q10&gt;=推導鏈!$D$41,"回本","不回本")</f>
        <v>回本</v>
      </c>
      <c r="T10" s="30" t="n">
        <f aca="false">ABS(LN(O11/O10))</f>
        <v>0.215597189008592</v>
      </c>
    </row>
    <row r="11" customFormat="false" ht="15" hidden="false" customHeight="false" outlineLevel="0" collapsed="false">
      <c r="A11" s="3" t="s">
        <v>352</v>
      </c>
      <c r="B11" s="4" t="s">
        <v>351</v>
      </c>
      <c r="C11" s="36" t="n">
        <f aca="false">輸入!$D$17</f>
        <v>4000</v>
      </c>
      <c r="D11" s="36" t="n">
        <f aca="false">輸入!$D$18</f>
        <v>0.6</v>
      </c>
      <c r="E11" s="38" t="n">
        <f aca="false">輸入!$J$15</f>
        <v>0.9</v>
      </c>
      <c r="F11" s="36" t="n">
        <f aca="false">輸入!$D$16</f>
        <v>2.5</v>
      </c>
      <c r="G11" s="36" t="n">
        <f aca="false">輸入!$D$29</f>
        <v>12.6</v>
      </c>
      <c r="H11" s="36" t="n">
        <f aca="false">輸入!$D$30</f>
        <v>2</v>
      </c>
      <c r="I11" s="36" t="n">
        <f aca="false">輸入!$D$32</f>
        <v>0.35</v>
      </c>
      <c r="J11" s="36" t="n">
        <f aca="false">輸入!$D$33</f>
        <v>1</v>
      </c>
      <c r="K11" s="37" t="n">
        <f aca="false">輸入!$D$14*1000000000*525600*E11/1000000+F11*1000000000*C11*365/1000000*(1-D11)</f>
        <v>4298240000</v>
      </c>
      <c r="L11" s="37" t="n">
        <f aca="false">F11*1000000000*C11*365/1000000*D11</f>
        <v>2190000000</v>
      </c>
      <c r="M11" s="24" t="n">
        <f aca="false">G11/推導鏈!$D$18/H11*(I11/輸入!$D$31)*J11</f>
        <v>0.392917074820786</v>
      </c>
      <c r="N11" s="37" t="n">
        <f aca="false">M11/(1/推導鏈!$D$16+(L11/K11)/推導鏈!$D$17)</f>
        <v>8352372333.88378</v>
      </c>
      <c r="O11" s="27" t="n">
        <f aca="false">N11/K11</f>
        <v>1.94320753003178</v>
      </c>
      <c r="P11" s="27" t="n">
        <f aca="false">輸入!$D$6*1000000000/(N11*推導鏈!$D$6)</f>
        <v>0.79810495487919</v>
      </c>
      <c r="Q11" s="30" t="n">
        <f aca="false">輸入!$D$6*1000000000/N11</f>
        <v>1.5648248757994</v>
      </c>
      <c r="R11" s="25" t="n">
        <f aca="false">(M11-(輸入!$D$14*1000000000*525600*E11/1000000)/推導鏈!$D$16)/((1-D11)/推導鏈!$D$16+D11/推導鏈!$D$17)*1000000/(F11*1000000000*365)</f>
        <v>13022.0290670929</v>
      </c>
      <c r="S11" s="32" t="str">
        <f aca="false">IF(Q11&gt;=推導鏈!$D$41,"回本","不回本")</f>
        <v>回本</v>
      </c>
      <c r="T11" s="30"/>
    </row>
    <row r="12" customFormat="false" ht="15" hidden="false" customHeight="false" outlineLevel="0" collapsed="false">
      <c r="A12" s="4" t="s">
        <v>335</v>
      </c>
      <c r="B12" s="4" t="s">
        <v>350</v>
      </c>
      <c r="C12" s="36" t="n">
        <f aca="false">輸入!$D$17</f>
        <v>4000</v>
      </c>
      <c r="D12" s="36" t="n">
        <f aca="false">輸入!$D$18</f>
        <v>0.6</v>
      </c>
      <c r="E12" s="36" t="n">
        <f aca="false">輸入!$D$15</f>
        <v>0.75</v>
      </c>
      <c r="F12" s="38" t="n">
        <f aca="false">輸入!$I$16</f>
        <v>2.2</v>
      </c>
      <c r="G12" s="36" t="n">
        <f aca="false">輸入!$D$29</f>
        <v>12.6</v>
      </c>
      <c r="H12" s="36" t="n">
        <f aca="false">輸入!$D$30</f>
        <v>2</v>
      </c>
      <c r="I12" s="36" t="n">
        <f aca="false">輸入!$D$32</f>
        <v>0.35</v>
      </c>
      <c r="J12" s="36" t="n">
        <f aca="false">輸入!$D$33</f>
        <v>1</v>
      </c>
      <c r="K12" s="37" t="n">
        <f aca="false">輸入!$D$14*1000000000*525600*E12/1000000+F12*1000000000*C12*365/1000000*(1-D12)</f>
        <v>3650000000</v>
      </c>
      <c r="L12" s="37" t="n">
        <f aca="false">F12*1000000000*C12*365/1000000*D12</f>
        <v>1927200000</v>
      </c>
      <c r="M12" s="24" t="n">
        <f aca="false">G12/推導鏈!$D$18/H12*(I12/輸入!$D$31)*J12</f>
        <v>0.392917074820786</v>
      </c>
      <c r="N12" s="37" t="n">
        <f aca="false">M12/(1/推導鏈!$D$16+(L12/K12)/推導鏈!$D$17)</f>
        <v>8316492791.03046</v>
      </c>
      <c r="O12" s="27" t="n">
        <f aca="false">N12/K12</f>
        <v>2.27849117562478</v>
      </c>
      <c r="P12" s="27" t="n">
        <f aca="false">輸入!$D$6*1000000000/(N12*推導鏈!$D$6)</f>
        <v>0.801548190104611</v>
      </c>
      <c r="Q12" s="30" t="n">
        <f aca="false">輸入!$D$6*1000000000/N12</f>
        <v>1.57157594293791</v>
      </c>
      <c r="R12" s="25" t="n">
        <f aca="false">(M12-(輸入!$D$14*1000000000*525600*E12/1000000)/推導鏈!$D$16)/((1-D12)/推導鏈!$D$16+D12/推導鏈!$D$17)*1000000/(F12*1000000000*365)</f>
        <v>15851.7875833805</v>
      </c>
      <c r="S12" s="32" t="str">
        <f aca="false">IF(Q12&gt;=推導鏈!$D$41,"回本","不回本")</f>
        <v>回本</v>
      </c>
      <c r="T12" s="30" t="n">
        <f aca="false">ABS(LN(O13/O12))</f>
        <v>0.0935510118071607</v>
      </c>
    </row>
    <row r="13" customFormat="false" ht="15" hidden="false" customHeight="false" outlineLevel="0" collapsed="false">
      <c r="A13" s="4" t="s">
        <v>335</v>
      </c>
      <c r="B13" s="4" t="s">
        <v>351</v>
      </c>
      <c r="C13" s="36" t="n">
        <f aca="false">輸入!$D$17</f>
        <v>4000</v>
      </c>
      <c r="D13" s="36" t="n">
        <f aca="false">輸入!$D$18</f>
        <v>0.6</v>
      </c>
      <c r="E13" s="36" t="n">
        <f aca="false">輸入!$D$15</f>
        <v>0.75</v>
      </c>
      <c r="F13" s="38" t="n">
        <f aca="false">輸入!$J$16</f>
        <v>2.7</v>
      </c>
      <c r="G13" s="36" t="n">
        <f aca="false">輸入!$D$29</f>
        <v>12.6</v>
      </c>
      <c r="H13" s="36" t="n">
        <f aca="false">輸入!$D$30</f>
        <v>2</v>
      </c>
      <c r="I13" s="36" t="n">
        <f aca="false">輸入!$D$32</f>
        <v>0.35</v>
      </c>
      <c r="J13" s="36" t="n">
        <f aca="false">輸入!$D$33</f>
        <v>1</v>
      </c>
      <c r="K13" s="37" t="n">
        <f aca="false">輸入!$D$14*1000000000*525600*E13/1000000+F13*1000000000*C13*365/1000000*(1-D13)</f>
        <v>3942000000</v>
      </c>
      <c r="L13" s="37" t="n">
        <f aca="false">F13*1000000000*C13*365/1000000*D13</f>
        <v>2365200000</v>
      </c>
      <c r="M13" s="24" t="n">
        <f aca="false">G13/推導鏈!$D$18/H13*(I13/輸入!$D$31)*J13</f>
        <v>0.392917074820786</v>
      </c>
      <c r="N13" s="37" t="n">
        <f aca="false">M13/(1/推導鏈!$D$16+(L13/K13)/推導鏈!$D$17)</f>
        <v>8179660579.04689</v>
      </c>
      <c r="O13" s="27" t="n">
        <f aca="false">N13/K13</f>
        <v>2.07500268367501</v>
      </c>
      <c r="P13" s="27" t="n">
        <f aca="false">輸入!$D$6*1000000000/(N13*推導鏈!$D$6)</f>
        <v>0.814956767490375</v>
      </c>
      <c r="Q13" s="30" t="n">
        <f aca="false">輸入!$D$6*1000000000/N13</f>
        <v>1.59786581285295</v>
      </c>
      <c r="R13" s="25" t="n">
        <f aca="false">(M13-(輸入!$D$14*1000000000*525600*E13/1000000)/推導鏈!$D$16)/((1-D13)/推導鏈!$D$16+D13/推導鏈!$D$17)*1000000/(F13*1000000000*365)</f>
        <v>12916.2713642359</v>
      </c>
      <c r="S13" s="32" t="str">
        <f aca="false">IF(Q13&gt;=推導鏈!$D$41,"回本","不回本")</f>
        <v>回本</v>
      </c>
      <c r="T13" s="30"/>
    </row>
    <row r="14" customFormat="false" ht="15" hidden="false" customHeight="false" outlineLevel="0" collapsed="false">
      <c r="A14" s="4" t="s">
        <v>295</v>
      </c>
      <c r="B14" s="4" t="s">
        <v>350</v>
      </c>
      <c r="C14" s="36" t="n">
        <f aca="false">輸入!$D$17</f>
        <v>4000</v>
      </c>
      <c r="D14" s="36" t="n">
        <f aca="false">輸入!$D$18</f>
        <v>0.6</v>
      </c>
      <c r="E14" s="36" t="n">
        <f aca="false">輸入!$D$15</f>
        <v>0.75</v>
      </c>
      <c r="F14" s="36" t="n">
        <f aca="false">輸入!$D$16</f>
        <v>2.5</v>
      </c>
      <c r="G14" s="38" t="n">
        <f aca="false">輸入!$I$29</f>
        <v>8.4</v>
      </c>
      <c r="H14" s="36" t="n">
        <f aca="false">輸入!$D$30</f>
        <v>2</v>
      </c>
      <c r="I14" s="36" t="n">
        <f aca="false">輸入!$D$32</f>
        <v>0.35</v>
      </c>
      <c r="J14" s="36" t="n">
        <f aca="false">輸入!$D$33</f>
        <v>1</v>
      </c>
      <c r="K14" s="37" t="n">
        <f aca="false">輸入!$D$14*1000000000*525600*E14/1000000+F14*1000000000*C14*365/1000000*(1-D14)</f>
        <v>3825200000</v>
      </c>
      <c r="L14" s="37" t="n">
        <f aca="false">F14*1000000000*C14*365/1000000*D14</f>
        <v>2190000000</v>
      </c>
      <c r="M14" s="24" t="n">
        <f aca="false">G14/推導鏈!$D$18/H14*(I14/輸入!$D$31)*J14</f>
        <v>0.261944716547191</v>
      </c>
      <c r="N14" s="37" t="n">
        <f aca="false">M14/(1/推導鏈!$D$16+(L14/K14)/推導鏈!$D$17)</f>
        <v>5487567963.6044</v>
      </c>
      <c r="O14" s="27" t="n">
        <f aca="false">N14/K14</f>
        <v>1.43458328024794</v>
      </c>
      <c r="P14" s="27" t="n">
        <f aca="false">輸入!$D$6*1000000000/(N14*推導鏈!$D$6)</f>
        <v>1.21475848479333</v>
      </c>
      <c r="Q14" s="30" t="n">
        <f aca="false">輸入!$D$6*1000000000/N14</f>
        <v>2.38174726703799</v>
      </c>
      <c r="R14" s="25" t="n">
        <f aca="false">(M14-(輸入!$D$14*1000000000*525600*E14/1000000)/推導鏈!$D$16)/((1-D14)/推導鏈!$D$16+D14/推導鏈!$D$17)*1000000/(F14*1000000000*365)</f>
        <v>7753.80870511332</v>
      </c>
      <c r="S14" s="32" t="str">
        <f aca="false">IF(Q14&gt;=推導鏈!$D$41,"回本","不回本")</f>
        <v>回本</v>
      </c>
      <c r="T14" s="30" t="n">
        <f aca="false">ABS(LN(O15/O14))</f>
        <v>0.436717651612269</v>
      </c>
    </row>
    <row r="15" customFormat="false" ht="15" hidden="false" customHeight="false" outlineLevel="0" collapsed="false">
      <c r="A15" s="4" t="s">
        <v>295</v>
      </c>
      <c r="B15" s="4" t="s">
        <v>351</v>
      </c>
      <c r="C15" s="36" t="n">
        <f aca="false">輸入!$D$17</f>
        <v>4000</v>
      </c>
      <c r="D15" s="36" t="n">
        <f aca="false">輸入!$D$18</f>
        <v>0.6</v>
      </c>
      <c r="E15" s="36" t="n">
        <f aca="false">輸入!$D$15</f>
        <v>0.75</v>
      </c>
      <c r="F15" s="36" t="n">
        <f aca="false">輸入!$D$16</f>
        <v>2.5</v>
      </c>
      <c r="G15" s="38" t="n">
        <f aca="false">輸入!$J$29</f>
        <v>13</v>
      </c>
      <c r="H15" s="36" t="n">
        <f aca="false">輸入!$D$30</f>
        <v>2</v>
      </c>
      <c r="I15" s="36" t="n">
        <f aca="false">輸入!$D$32</f>
        <v>0.35</v>
      </c>
      <c r="J15" s="36" t="n">
        <f aca="false">輸入!$D$33</f>
        <v>1</v>
      </c>
      <c r="K15" s="37" t="n">
        <f aca="false">輸入!$D$14*1000000000*525600*E15/1000000+F15*1000000000*C15*365/1000000*(1-D15)</f>
        <v>3825200000</v>
      </c>
      <c r="L15" s="37" t="n">
        <f aca="false">F15*1000000000*C15*365/1000000*D15</f>
        <v>2190000000</v>
      </c>
      <c r="M15" s="24" t="n">
        <f aca="false">G15/推導鏈!$D$18/H15*(I15/輸入!$D$31)*J15</f>
        <v>0.405390632751605</v>
      </c>
      <c r="N15" s="37" t="n">
        <f aca="false">M15/(1/推導鏈!$D$16+(L15/K15)/推導鏈!$D$17)</f>
        <v>8492664705.57824</v>
      </c>
      <c r="O15" s="27" t="n">
        <f aca="false">N15/K15</f>
        <v>2.22018840990752</v>
      </c>
      <c r="P15" s="27" t="n">
        <f aca="false">輸入!$D$6*1000000000/(N15*推導鏈!$D$6)</f>
        <v>0.78492086709723</v>
      </c>
      <c r="Q15" s="30" t="n">
        <f aca="false">輸入!$D$6*1000000000/N15</f>
        <v>1.53897515716301</v>
      </c>
      <c r="R15" s="25" t="n">
        <f aca="false">(M15-(輸入!$D$14*1000000000*525600*E15/1000000)/推導鏈!$D$16)/((1-D15)/推導鏈!$D$16+D15/推導鏈!$D$17)*1000000/(F15*1000000000*365)</f>
        <v>14539.6458703521</v>
      </c>
      <c r="S15" s="32" t="str">
        <f aca="false">IF(Q15&gt;=推導鏈!$D$41,"回本","不回本")</f>
        <v>回本</v>
      </c>
      <c r="T15" s="30"/>
    </row>
    <row r="16" customFormat="false" ht="15" hidden="false" customHeight="false" outlineLevel="0" collapsed="false">
      <c r="A16" s="4" t="s">
        <v>296</v>
      </c>
      <c r="B16" s="4" t="s">
        <v>350</v>
      </c>
      <c r="C16" s="36" t="n">
        <f aca="false">輸入!$D$17</f>
        <v>4000</v>
      </c>
      <c r="D16" s="36" t="n">
        <f aca="false">輸入!$D$18</f>
        <v>0.6</v>
      </c>
      <c r="E16" s="36" t="n">
        <f aca="false">輸入!$D$15</f>
        <v>0.75</v>
      </c>
      <c r="F16" s="36" t="n">
        <f aca="false">輸入!$D$16</f>
        <v>2.5</v>
      </c>
      <c r="G16" s="36" t="n">
        <f aca="false">輸入!$D$29</f>
        <v>12.6</v>
      </c>
      <c r="H16" s="38" t="n">
        <f aca="false">輸入!$I$30</f>
        <v>1.2</v>
      </c>
      <c r="I16" s="36" t="n">
        <f aca="false">輸入!$D$32</f>
        <v>0.35</v>
      </c>
      <c r="J16" s="36" t="n">
        <f aca="false">輸入!$D$33</f>
        <v>1</v>
      </c>
      <c r="K16" s="37" t="n">
        <f aca="false">輸入!$D$14*1000000000*525600*E16/1000000+F16*1000000000*C16*365/1000000*(1-D16)</f>
        <v>3825200000</v>
      </c>
      <c r="L16" s="37" t="n">
        <f aca="false">F16*1000000000*C16*365/1000000*D16</f>
        <v>2190000000</v>
      </c>
      <c r="M16" s="24" t="n">
        <f aca="false">G16/推導鏈!$D$18/H16*(I16/輸入!$D$31)*J16</f>
        <v>0.654861791367977</v>
      </c>
      <c r="N16" s="37" t="n">
        <f aca="false">M16/(1/推導鏈!$D$16+(L16/K16)/推導鏈!$D$17)</f>
        <v>13718919909.011</v>
      </c>
      <c r="O16" s="27" t="n">
        <f aca="false">N16/K16</f>
        <v>3.58645820061984</v>
      </c>
      <c r="P16" s="27" t="n">
        <f aca="false">輸入!$D$6*1000000000/(N16*推導鏈!$D$6)</f>
        <v>0.485903393917333</v>
      </c>
      <c r="Q16" s="30" t="n">
        <f aca="false">輸入!$D$6*1000000000/N16</f>
        <v>0.952698906815195</v>
      </c>
      <c r="R16" s="25" t="n">
        <f aca="false">(M16-(輸入!$D$14*1000000000*525600*E16/1000000)/推導鏈!$D$16)/((1-D16)/推導鏈!$D$16+D16/推導鏈!$D$17)*1000000/(F16*1000000000*365)</f>
        <v>26341.1018098978</v>
      </c>
      <c r="S16" s="32" t="str">
        <f aca="false">IF(Q16&gt;=推導鏈!$D$41,"回本","不回本")</f>
        <v>回本</v>
      </c>
      <c r="T16" s="30" t="n">
        <f aca="false">ABS(LN(O17/O16))</f>
        <v>0.916290731874155</v>
      </c>
    </row>
    <row r="17" customFormat="false" ht="15" hidden="false" customHeight="false" outlineLevel="0" collapsed="false">
      <c r="A17" s="4" t="s">
        <v>296</v>
      </c>
      <c r="B17" s="4" t="s">
        <v>351</v>
      </c>
      <c r="C17" s="36" t="n">
        <f aca="false">輸入!$D$17</f>
        <v>4000</v>
      </c>
      <c r="D17" s="36" t="n">
        <f aca="false">輸入!$D$18</f>
        <v>0.6</v>
      </c>
      <c r="E17" s="36" t="n">
        <f aca="false">輸入!$D$15</f>
        <v>0.75</v>
      </c>
      <c r="F17" s="36" t="n">
        <f aca="false">輸入!$D$16</f>
        <v>2.5</v>
      </c>
      <c r="G17" s="36" t="n">
        <f aca="false">輸入!$D$29</f>
        <v>12.6</v>
      </c>
      <c r="H17" s="38" t="n">
        <f aca="false">輸入!$J$30</f>
        <v>3</v>
      </c>
      <c r="I17" s="36" t="n">
        <f aca="false">輸入!$D$32</f>
        <v>0.35</v>
      </c>
      <c r="J17" s="36" t="n">
        <f aca="false">輸入!$D$33</f>
        <v>1</v>
      </c>
      <c r="K17" s="37" t="n">
        <f aca="false">輸入!$D$14*1000000000*525600*E17/1000000+F17*1000000000*C17*365/1000000*(1-D17)</f>
        <v>3825200000</v>
      </c>
      <c r="L17" s="37" t="n">
        <f aca="false">F17*1000000000*C17*365/1000000*D17</f>
        <v>2190000000</v>
      </c>
      <c r="M17" s="24" t="n">
        <f aca="false">G17/推導鏈!$D$18/H17*(I17/輸入!$D$31)*J17</f>
        <v>0.261944716547191</v>
      </c>
      <c r="N17" s="37" t="n">
        <f aca="false">M17/(1/推導鏈!$D$16+(L17/K17)/推導鏈!$D$17)</f>
        <v>5487567963.6044</v>
      </c>
      <c r="O17" s="27" t="n">
        <f aca="false">N17/K17</f>
        <v>1.43458328024794</v>
      </c>
      <c r="P17" s="27" t="n">
        <f aca="false">輸入!$D$6*1000000000/(N17*推導鏈!$D$6)</f>
        <v>1.21475848479333</v>
      </c>
      <c r="Q17" s="30" t="n">
        <f aca="false">輸入!$D$6*1000000000/N17</f>
        <v>2.38174726703799</v>
      </c>
      <c r="R17" s="25" t="n">
        <f aca="false">(M17-(輸入!$D$14*1000000000*525600*E17/1000000)/推導鏈!$D$16)/((1-D17)/推導鏈!$D$16+D17/推導鏈!$D$17)*1000000/(F17*1000000000*365)</f>
        <v>7753.80870511332</v>
      </c>
      <c r="S17" s="32" t="str">
        <f aca="false">IF(Q17&gt;=推導鏈!$D$41,"回本","不回本")</f>
        <v>回本</v>
      </c>
      <c r="T17" s="30"/>
    </row>
    <row r="18" customFormat="false" ht="15" hidden="false" customHeight="false" outlineLevel="0" collapsed="false">
      <c r="A18" s="4" t="s">
        <v>353</v>
      </c>
      <c r="B18" s="4" t="s">
        <v>350</v>
      </c>
      <c r="C18" s="36" t="n">
        <f aca="false">輸入!$D$17</f>
        <v>4000</v>
      </c>
      <c r="D18" s="36" t="n">
        <f aca="false">輸入!$D$18</f>
        <v>0.6</v>
      </c>
      <c r="E18" s="36" t="n">
        <f aca="false">輸入!$D$15</f>
        <v>0.75</v>
      </c>
      <c r="F18" s="36" t="n">
        <f aca="false">輸入!$D$16</f>
        <v>2.5</v>
      </c>
      <c r="G18" s="36" t="n">
        <f aca="false">輸入!$D$29</f>
        <v>12.6</v>
      </c>
      <c r="H18" s="36" t="n">
        <f aca="false">輸入!$D$30</f>
        <v>2</v>
      </c>
      <c r="I18" s="38" t="n">
        <f aca="false">輸入!$I$32</f>
        <v>0.3</v>
      </c>
      <c r="J18" s="36" t="n">
        <f aca="false">輸入!$D$33</f>
        <v>1</v>
      </c>
      <c r="K18" s="37" t="n">
        <f aca="false">輸入!$D$14*1000000000*525600*E18/1000000+F18*1000000000*C18*365/1000000*(1-D18)</f>
        <v>3825200000</v>
      </c>
      <c r="L18" s="37" t="n">
        <f aca="false">F18*1000000000*C18*365/1000000*D18</f>
        <v>2190000000</v>
      </c>
      <c r="M18" s="24" t="n">
        <f aca="false">G18/推導鏈!$D$18/H18*(I18/輸入!$D$31)*J18</f>
        <v>0.336786064132102</v>
      </c>
      <c r="N18" s="37" t="n">
        <f aca="false">M18/(1/推導鏈!$D$16+(L18/K18)/推導鏈!$D$17)</f>
        <v>7055444524.63423</v>
      </c>
      <c r="O18" s="27" t="n">
        <f aca="false">N18/K18</f>
        <v>1.84446421746163</v>
      </c>
      <c r="P18" s="27" t="n">
        <f aca="false">輸入!$D$6*1000000000/(N18*推導鏈!$D$6)</f>
        <v>0.944812154839258</v>
      </c>
      <c r="Q18" s="30" t="n">
        <f aca="false">輸入!$D$6*1000000000/N18</f>
        <v>1.8524700965851</v>
      </c>
      <c r="R18" s="25" t="n">
        <f aca="false">(M18-(輸入!$D$14*1000000000*525600*E18/1000000)/推導鏈!$D$16)/((1-D18)/推導鏈!$D$16+D18/推導鏈!$D$17)*1000000/(F18*1000000000*365)</f>
        <v>11294.245486977</v>
      </c>
      <c r="S18" s="32" t="str">
        <f aca="false">IF(Q18&gt;=推導鏈!$D$41,"回本","不回本")</f>
        <v>回本</v>
      </c>
      <c r="T18" s="30" t="n">
        <f aca="false">ABS(LN(O19/O18))</f>
        <v>0.510825623765991</v>
      </c>
    </row>
    <row r="19" customFormat="false" ht="15" hidden="false" customHeight="false" outlineLevel="0" collapsed="false">
      <c r="A19" s="4" t="s">
        <v>353</v>
      </c>
      <c r="B19" s="4" t="s">
        <v>351</v>
      </c>
      <c r="C19" s="36" t="n">
        <f aca="false">輸入!$D$17</f>
        <v>4000</v>
      </c>
      <c r="D19" s="36" t="n">
        <f aca="false">輸入!$D$18</f>
        <v>0.6</v>
      </c>
      <c r="E19" s="36" t="n">
        <f aca="false">輸入!$D$15</f>
        <v>0.75</v>
      </c>
      <c r="F19" s="36" t="n">
        <f aca="false">輸入!$D$16</f>
        <v>2.5</v>
      </c>
      <c r="G19" s="36" t="n">
        <f aca="false">輸入!$D$29</f>
        <v>12.6</v>
      </c>
      <c r="H19" s="36" t="n">
        <f aca="false">輸入!$D$30</f>
        <v>2</v>
      </c>
      <c r="I19" s="38" t="n">
        <f aca="false">輸入!$J$32</f>
        <v>0.5</v>
      </c>
      <c r="J19" s="36" t="n">
        <f aca="false">輸入!$D$33</f>
        <v>1</v>
      </c>
      <c r="K19" s="37" t="n">
        <f aca="false">輸入!$D$14*1000000000*525600*E19/1000000+F19*1000000000*C19*365/1000000*(1-D19)</f>
        <v>3825200000</v>
      </c>
      <c r="L19" s="37" t="n">
        <f aca="false">F19*1000000000*C19*365/1000000*D19</f>
        <v>2190000000</v>
      </c>
      <c r="M19" s="24" t="n">
        <f aca="false">G19/推導鏈!$D$18/H19*(I19/輸入!$D$31)*J19</f>
        <v>0.561310106886838</v>
      </c>
      <c r="N19" s="37" t="n">
        <f aca="false">M19/(1/推導鏈!$D$16+(L19/K19)/推導鏈!$D$17)</f>
        <v>11759074207.7237</v>
      </c>
      <c r="O19" s="27" t="n">
        <f aca="false">N19/K19</f>
        <v>3.07410702910272</v>
      </c>
      <c r="P19" s="27" t="n">
        <f aca="false">輸入!$D$6*1000000000/(N19*推導鏈!$D$6)</f>
        <v>0.566887292903555</v>
      </c>
      <c r="Q19" s="30" t="n">
        <f aca="false">輸入!$D$6*1000000000/N19</f>
        <v>1.11148205795106</v>
      </c>
      <c r="R19" s="25" t="n">
        <f aca="false">(M19-(輸入!$D$14*1000000000*525600*E19/1000000)/推導鏈!$D$16)/((1-D19)/推導鏈!$D$16+D19/推導鏈!$D$17)*1000000/(F19*1000000000*365)</f>
        <v>21915.5558325682</v>
      </c>
      <c r="S19" s="32" t="str">
        <f aca="false">IF(Q19&gt;=推導鏈!$D$41,"回本","不回本")</f>
        <v>回本</v>
      </c>
      <c r="T19" s="30"/>
    </row>
    <row r="20" customFormat="false" ht="15" hidden="false" customHeight="false" outlineLevel="0" collapsed="false">
      <c r="A20" s="3" t="s">
        <v>298</v>
      </c>
      <c r="B20" s="4" t="s">
        <v>350</v>
      </c>
      <c r="C20" s="36" t="n">
        <f aca="false">輸入!$D$17</f>
        <v>4000</v>
      </c>
      <c r="D20" s="36" t="n">
        <f aca="false">輸入!$D$18</f>
        <v>0.6</v>
      </c>
      <c r="E20" s="36" t="n">
        <f aca="false">輸入!$D$15</f>
        <v>0.75</v>
      </c>
      <c r="F20" s="36" t="n">
        <f aca="false">輸入!$D$16</f>
        <v>2.5</v>
      </c>
      <c r="G20" s="36" t="n">
        <f aca="false">輸入!$D$29</f>
        <v>12.6</v>
      </c>
      <c r="H20" s="36" t="n">
        <f aca="false">輸入!$D$30</f>
        <v>2</v>
      </c>
      <c r="I20" s="36" t="n">
        <f aca="false">輸入!$D$32</f>
        <v>0.35</v>
      </c>
      <c r="J20" s="38" t="n">
        <f aca="false">輸入!$I$33</f>
        <v>0.65</v>
      </c>
      <c r="K20" s="37" t="n">
        <f aca="false">輸入!$D$14*1000000000*525600*E20/1000000+F20*1000000000*C20*365/1000000*(1-D20)</f>
        <v>3825200000</v>
      </c>
      <c r="L20" s="37" t="n">
        <f aca="false">F20*1000000000*C20*365/1000000*D20</f>
        <v>2190000000</v>
      </c>
      <c r="M20" s="24" t="n">
        <f aca="false">G20/推導鏈!$D$18/H20*(I20/輸入!$D$31)*J20</f>
        <v>0.255396098633511</v>
      </c>
      <c r="N20" s="37" t="n">
        <f aca="false">M20/(1/推導鏈!$D$16+(L20/K20)/推導鏈!$D$17)</f>
        <v>5350378764.51429</v>
      </c>
      <c r="O20" s="27" t="n">
        <f aca="false">N20/K20</f>
        <v>1.39871869824174</v>
      </c>
      <c r="P20" s="27" t="n">
        <f aca="false">輸入!$D$6*1000000000/(N20*推導鏈!$D$6)</f>
        <v>1.24590613824957</v>
      </c>
      <c r="Q20" s="30" t="n">
        <f aca="false">輸入!$D$6*1000000000/N20</f>
        <v>2.44281770978255</v>
      </c>
      <c r="R20" s="25" t="n">
        <f aca="false">(M20-(輸入!$D$14*1000000000*525600*E20/1000000)/推導鏈!$D$16)/((1-D20)/推導鏈!$D$16+D20/推導鏈!$D$17)*1000000/(F20*1000000000*365)</f>
        <v>7444.02048670024</v>
      </c>
      <c r="S20" s="32" t="str">
        <f aca="false">IF(Q20&gt;=推導鏈!$D$41,"回本","不回本")</f>
        <v>回本</v>
      </c>
      <c r="T20" s="30" t="n">
        <f aca="false">ABS(LN(O21/O20))</f>
        <v>0.613104472886409</v>
      </c>
    </row>
    <row r="21" customFormat="false" ht="15" hidden="false" customHeight="false" outlineLevel="0" collapsed="false">
      <c r="A21" s="3" t="s">
        <v>298</v>
      </c>
      <c r="B21" s="4" t="s">
        <v>351</v>
      </c>
      <c r="C21" s="36" t="n">
        <f aca="false">輸入!$D$17</f>
        <v>4000</v>
      </c>
      <c r="D21" s="36" t="n">
        <f aca="false">輸入!$D$18</f>
        <v>0.6</v>
      </c>
      <c r="E21" s="36" t="n">
        <f aca="false">輸入!$D$15</f>
        <v>0.75</v>
      </c>
      <c r="F21" s="36" t="n">
        <f aca="false">輸入!$D$16</f>
        <v>2.5</v>
      </c>
      <c r="G21" s="36" t="n">
        <f aca="false">輸入!$D$29</f>
        <v>12.6</v>
      </c>
      <c r="H21" s="36" t="n">
        <f aca="false">輸入!$D$30</f>
        <v>2</v>
      </c>
      <c r="I21" s="36" t="n">
        <f aca="false">輸入!$D$32</f>
        <v>0.35</v>
      </c>
      <c r="J21" s="38" t="n">
        <f aca="false">輸入!$J$33</f>
        <v>1.2</v>
      </c>
      <c r="K21" s="37" t="n">
        <f aca="false">輸入!$D$14*1000000000*525600*E21/1000000+F21*1000000000*C21*365/1000000*(1-D21)</f>
        <v>3825200000</v>
      </c>
      <c r="L21" s="37" t="n">
        <f aca="false">F21*1000000000*C21*365/1000000*D21</f>
        <v>2190000000</v>
      </c>
      <c r="M21" s="24" t="n">
        <f aca="false">G21/推導鏈!$D$18/H21*(I21/輸入!$D$31)*J21</f>
        <v>0.471500489784943</v>
      </c>
      <c r="N21" s="37" t="n">
        <f aca="false">M21/(1/推導鏈!$D$16+(L21/K21)/推導鏈!$D$17)</f>
        <v>9877622334.48792</v>
      </c>
      <c r="O21" s="27" t="n">
        <f aca="false">N21/K21</f>
        <v>2.58224990444628</v>
      </c>
      <c r="P21" s="27" t="n">
        <f aca="false">輸入!$D$6*1000000000/(N21*推導鏈!$D$6)</f>
        <v>0.674865824885184</v>
      </c>
      <c r="Q21" s="30" t="n">
        <f aca="false">輸入!$D$6*1000000000/N21</f>
        <v>1.32319292613222</v>
      </c>
      <c r="R21" s="25" t="n">
        <f aca="false">(M21-(輸入!$D$14*1000000000*525600*E21/1000000)/推導鏈!$D$16)/((1-D21)/推導鏈!$D$16+D21/推導鏈!$D$17)*1000000/(F21*1000000000*365)</f>
        <v>17667.0316943317</v>
      </c>
      <c r="S21" s="32" t="str">
        <f aca="false">IF(Q21&gt;=推導鏈!$D$41,"回本","不回本")</f>
        <v>回本</v>
      </c>
      <c r="T21" s="30"/>
    </row>
    <row r="23" customFormat="false" ht="30" hidden="false" customHeight="true" outlineLevel="0" collapsed="false">
      <c r="A23" s="23" t="s">
        <v>354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</row>
  </sheetData>
  <mergeCells count="10">
    <mergeCell ref="A2:U2"/>
    <mergeCell ref="T6:T7"/>
    <mergeCell ref="T8:T9"/>
    <mergeCell ref="T10:T11"/>
    <mergeCell ref="T12:T13"/>
    <mergeCell ref="T14:T15"/>
    <mergeCell ref="T16:T17"/>
    <mergeCell ref="T18:T19"/>
    <mergeCell ref="T20:T21"/>
    <mergeCell ref="A23:U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3"/>
    <col collapsed="false" customWidth="true" hidden="false" outlineLevel="0" max="5" min="4" style="0" width="15"/>
    <col collapsed="false" customWidth="true" hidden="false" outlineLevel="0" max="6" min="6" style="0" width="70"/>
  </cols>
  <sheetData>
    <row r="1" customFormat="false" ht="21.6" hidden="false" customHeight="false" outlineLevel="0" collapsed="false">
      <c r="A1" s="6" t="s">
        <v>355</v>
      </c>
    </row>
    <row r="3" customFormat="false" ht="15" hidden="false" customHeight="false" outlineLevel="0" collapsed="false">
      <c r="A3" s="9" t="s">
        <v>281</v>
      </c>
      <c r="B3" s="8" t="s">
        <v>39</v>
      </c>
      <c r="C3" s="8" t="s">
        <v>40</v>
      </c>
      <c r="D3" s="8" t="s">
        <v>356</v>
      </c>
      <c r="E3" s="8" t="s">
        <v>357</v>
      </c>
      <c r="F3" s="8" t="s">
        <v>358</v>
      </c>
    </row>
    <row r="4" customFormat="false" ht="30" hidden="false" customHeight="true" outlineLevel="0" collapsed="false">
      <c r="A4" s="3" t="s">
        <v>308</v>
      </c>
      <c r="B4" s="3" t="s">
        <v>359</v>
      </c>
      <c r="C4" s="3" t="s">
        <v>84</v>
      </c>
      <c r="D4" s="21" t="n">
        <v>2</v>
      </c>
      <c r="E4" s="27" t="n">
        <f aca="false">推導鏈!D19/E11</f>
        <v>1.30130827912838</v>
      </c>
      <c r="F4" s="4" t="s">
        <v>360</v>
      </c>
    </row>
    <row r="5" customFormat="false" ht="30" hidden="false" customHeight="true" outlineLevel="0" collapsed="false">
      <c r="A5" s="3" t="s">
        <v>310</v>
      </c>
      <c r="B5" s="3" t="s">
        <v>361</v>
      </c>
      <c r="C5" s="3" t="s">
        <v>84</v>
      </c>
      <c r="D5" s="21" t="n">
        <v>2</v>
      </c>
      <c r="E5" s="27" t="n">
        <f aca="false">輸入!$D$30</f>
        <v>2</v>
      </c>
      <c r="F5" s="4" t="s">
        <v>362</v>
      </c>
    </row>
    <row r="6" customFormat="false" ht="30" hidden="false" customHeight="true" outlineLevel="0" collapsed="false">
      <c r="A6" s="3" t="s">
        <v>312</v>
      </c>
      <c r="B6" s="3" t="s">
        <v>363</v>
      </c>
      <c r="C6" s="3" t="s">
        <v>84</v>
      </c>
      <c r="D6" s="21" t="n">
        <v>2.307</v>
      </c>
      <c r="E6" s="27" t="n">
        <f aca="false">1/輸入!$D$33</f>
        <v>1</v>
      </c>
      <c r="F6" s="4" t="s">
        <v>364</v>
      </c>
    </row>
    <row r="7" customFormat="false" ht="30" hidden="false" customHeight="true" outlineLevel="0" collapsed="false">
      <c r="A7" s="3" t="s">
        <v>314</v>
      </c>
      <c r="B7" s="3" t="s">
        <v>365</v>
      </c>
      <c r="C7" s="3" t="s">
        <v>84</v>
      </c>
      <c r="D7" s="21" t="n">
        <v>1.457</v>
      </c>
      <c r="E7" s="27" t="n">
        <f aca="false">輸入!$D$31/輸入!$D$32</f>
        <v>1.71428571428571</v>
      </c>
      <c r="F7" s="4" t="s">
        <v>366</v>
      </c>
    </row>
    <row r="8" customFormat="false" ht="30" hidden="false" customHeight="true" outlineLevel="0" collapsed="false">
      <c r="A8" s="3" t="s">
        <v>316</v>
      </c>
      <c r="B8" s="4" t="s">
        <v>367</v>
      </c>
      <c r="C8" s="3" t="s">
        <v>84</v>
      </c>
      <c r="D8" s="30" t="n">
        <f aca="false">D4*D5*D6*D7</f>
        <v>13.445196</v>
      </c>
      <c r="E8" s="30" t="n">
        <f aca="false">E4*E5*E6*E7</f>
        <v>4.461628385583</v>
      </c>
      <c r="F8" s="4" t="s">
        <v>368</v>
      </c>
    </row>
    <row r="9" customFormat="false" ht="30" hidden="false" customHeight="true" outlineLevel="0" collapsed="false">
      <c r="A9" s="3" t="s">
        <v>318</v>
      </c>
      <c r="B9" s="3" t="s">
        <v>369</v>
      </c>
      <c r="C9" s="3" t="s">
        <v>84</v>
      </c>
      <c r="D9" s="21" t="n">
        <v>7.378</v>
      </c>
      <c r="E9" s="27" t="n">
        <f aca="false">推導鏈!D31</f>
        <v>7.37785686984652</v>
      </c>
      <c r="F9" s="4" t="s">
        <v>370</v>
      </c>
    </row>
    <row r="10" customFormat="false" ht="30" hidden="false" customHeight="true" outlineLevel="0" collapsed="false">
      <c r="A10" s="3" t="s">
        <v>320</v>
      </c>
      <c r="B10" s="3" t="s">
        <v>371</v>
      </c>
      <c r="C10" s="3" t="s">
        <v>84</v>
      </c>
      <c r="D10" s="27"/>
      <c r="E10" s="27" t="n">
        <f aca="false">推導鏈!D21/E11</f>
        <v>9.60086622695544</v>
      </c>
      <c r="F10" s="4" t="s">
        <v>372</v>
      </c>
    </row>
    <row r="11" customFormat="false" ht="30" hidden="false" customHeight="true" outlineLevel="0" collapsed="false">
      <c r="A11" s="3" t="s">
        <v>373</v>
      </c>
      <c r="B11" s="4" t="s">
        <v>374</v>
      </c>
      <c r="C11" s="3" t="s">
        <v>197</v>
      </c>
      <c r="D11" s="24"/>
      <c r="E11" s="24" t="n">
        <f aca="false">(輸入!$D$14*1000000000*525600*輸入!$D$15/1000000+輸入!$D$16*1000000000*2000*365/1000000*(1-輸入!$D$18))/推導鏈!$D$16+(輸入!$D$16*1000000000*2000*365/1000000*輸入!$D$18)/推導鏈!$D$17</f>
        <v>0.14031486583431</v>
      </c>
      <c r="F11" s="4" t="s">
        <v>375</v>
      </c>
    </row>
    <row r="12" customFormat="false" ht="30" hidden="false" customHeight="true" outlineLevel="0" collapsed="false">
      <c r="A12" s="3" t="s">
        <v>322</v>
      </c>
      <c r="B12" s="4" t="s">
        <v>376</v>
      </c>
      <c r="C12" s="3" t="s">
        <v>84</v>
      </c>
      <c r="D12" s="30"/>
      <c r="E12" s="30" t="n">
        <f aca="false">E4*D5*D6*D7</f>
        <v>8.74817243465186</v>
      </c>
      <c r="F12" s="3" t="s">
        <v>377</v>
      </c>
    </row>
    <row r="13" customFormat="false" ht="30" hidden="false" customHeight="true" outlineLevel="0" collapsed="false">
      <c r="A13" s="3" t="s">
        <v>324</v>
      </c>
      <c r="B13" s="4" t="s">
        <v>378</v>
      </c>
      <c r="C13" s="3" t="s">
        <v>58</v>
      </c>
      <c r="D13" s="39"/>
      <c r="E13" s="39" t="n">
        <f aca="false">E12/E10</f>
        <v>0.911185743854075</v>
      </c>
      <c r="F13" s="4" t="s">
        <v>379</v>
      </c>
    </row>
    <row r="14" customFormat="false" ht="30" hidden="false" customHeight="true" outlineLevel="0" collapsed="false">
      <c r="A14" s="3" t="s">
        <v>326</v>
      </c>
      <c r="B14" s="4" t="s">
        <v>380</v>
      </c>
      <c r="C14" s="3" t="s">
        <v>84</v>
      </c>
      <c r="D14" s="30"/>
      <c r="E14" s="30" t="n">
        <f aca="false">E8</f>
        <v>4.461628385583</v>
      </c>
      <c r="F14" s="4" t="s">
        <v>381</v>
      </c>
    </row>
    <row r="15" customFormat="false" ht="30" hidden="false" customHeight="true" outlineLevel="0" collapsed="false">
      <c r="A15" s="3" t="s">
        <v>382</v>
      </c>
      <c r="B15" s="4" t="s">
        <v>383</v>
      </c>
      <c r="C15" s="3" t="s">
        <v>58</v>
      </c>
      <c r="D15" s="39"/>
      <c r="E15" s="39" t="n">
        <f aca="false">E14/E10</f>
        <v>0.46471102503819</v>
      </c>
      <c r="F15" s="4" t="s">
        <v>384</v>
      </c>
    </row>
    <row r="17" customFormat="false" ht="45" hidden="false" customHeight="true" outlineLevel="0" collapsed="false">
      <c r="A17" s="23" t="s">
        <v>385</v>
      </c>
      <c r="B17" s="23"/>
      <c r="C17" s="23"/>
      <c r="D17" s="23"/>
      <c r="E17" s="23"/>
      <c r="F17" s="23"/>
    </row>
    <row r="18" customFormat="false" ht="45" hidden="false" customHeight="true" outlineLevel="0" collapsed="false">
      <c r="A18" s="23" t="s">
        <v>386</v>
      </c>
      <c r="B18" s="23"/>
      <c r="C18" s="23"/>
      <c r="D18" s="23"/>
      <c r="E18" s="23"/>
      <c r="F18" s="23"/>
    </row>
  </sheetData>
  <mergeCells count="2">
    <mergeCell ref="A17:F17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60"/>
  </cols>
  <sheetData>
    <row r="1" customFormat="false" ht="21.6" hidden="false" customHeight="false" outlineLevel="0" collapsed="false">
      <c r="A1" s="6" t="s">
        <v>387</v>
      </c>
    </row>
    <row r="2" customFormat="false" ht="30" hidden="false" customHeight="true" outlineLevel="0" collapsed="false">
      <c r="A2" s="23" t="s">
        <v>388</v>
      </c>
      <c r="B2" s="23"/>
      <c r="C2" s="23"/>
      <c r="D2" s="23"/>
      <c r="E2" s="23"/>
    </row>
    <row r="4" customFormat="false" ht="15" hidden="false" customHeight="false" outlineLevel="0" collapsed="false">
      <c r="A4" s="8" t="s">
        <v>389</v>
      </c>
      <c r="B4" s="9" t="s">
        <v>390</v>
      </c>
      <c r="C4" s="9" t="s">
        <v>391</v>
      </c>
      <c r="D4" s="8" t="s">
        <v>392</v>
      </c>
      <c r="E4" s="8" t="s">
        <v>358</v>
      </c>
    </row>
    <row r="5" customFormat="false" ht="15" hidden="false" customHeight="false" outlineLevel="0" collapsed="false">
      <c r="A5" s="3" t="s">
        <v>393</v>
      </c>
      <c r="B5" s="21" t="n">
        <v>2.722</v>
      </c>
      <c r="C5" s="40" t="n">
        <v>7</v>
      </c>
      <c r="D5" s="27" t="n">
        <f aca="false">B5*C5</f>
        <v>19.054</v>
      </c>
    </row>
    <row r="6" customFormat="false" ht="15" hidden="false" customHeight="false" outlineLevel="0" collapsed="false">
      <c r="A6" s="3" t="s">
        <v>394</v>
      </c>
      <c r="B6" s="21" t="n">
        <v>1.672</v>
      </c>
      <c r="C6" s="40" t="n">
        <v>4</v>
      </c>
      <c r="D6" s="27" t="n">
        <f aca="false">B6*C6</f>
        <v>6.688</v>
      </c>
    </row>
    <row r="7" customFormat="false" ht="15" hidden="false" customHeight="false" outlineLevel="0" collapsed="false">
      <c r="A7" s="3" t="s">
        <v>395</v>
      </c>
      <c r="B7" s="21" t="n">
        <v>2.341</v>
      </c>
      <c r="C7" s="40" t="n">
        <v>1</v>
      </c>
      <c r="D7" s="27" t="n">
        <f aca="false">B7*C7</f>
        <v>2.341</v>
      </c>
    </row>
    <row r="8" customFormat="false" ht="15" hidden="false" customHeight="false" outlineLevel="0" collapsed="false">
      <c r="A8" s="3" t="s">
        <v>396</v>
      </c>
      <c r="B8" s="21" t="n">
        <v>0.163</v>
      </c>
      <c r="C8" s="40" t="n">
        <v>7</v>
      </c>
      <c r="D8" s="27" t="n">
        <f aca="false">B8*C8</f>
        <v>1.141</v>
      </c>
    </row>
    <row r="9" customFormat="false" ht="15" hidden="false" customHeight="false" outlineLevel="0" collapsed="false">
      <c r="A9" s="3" t="s">
        <v>397</v>
      </c>
      <c r="B9" s="21" t="n">
        <v>0.334</v>
      </c>
      <c r="C9" s="40" t="n">
        <v>5</v>
      </c>
      <c r="D9" s="27" t="n">
        <f aca="false">B9*C9</f>
        <v>1.67</v>
      </c>
    </row>
    <row r="10" customFormat="false" ht="15" hidden="false" customHeight="false" outlineLevel="0" collapsed="false">
      <c r="A10" s="4" t="s">
        <v>398</v>
      </c>
      <c r="B10" s="21" t="n">
        <v>2.009</v>
      </c>
      <c r="C10" s="40"/>
      <c r="D10" s="27"/>
    </row>
    <row r="11" customFormat="false" ht="15" hidden="false" customHeight="false" outlineLevel="0" collapsed="false">
      <c r="A11" s="4" t="s">
        <v>399</v>
      </c>
      <c r="B11" s="21" t="n">
        <v>0.1</v>
      </c>
      <c r="C11" s="40"/>
      <c r="D11" s="27"/>
    </row>
    <row r="13" customFormat="false" ht="15" hidden="false" customHeight="false" outlineLevel="0" collapsed="false">
      <c r="A13" s="28" t="s">
        <v>400</v>
      </c>
      <c r="B13" s="27" t="n">
        <f aca="false">SUM(D5:D7)/SUM(C5:C7)</f>
        <v>2.34025</v>
      </c>
    </row>
    <row r="14" customFormat="false" ht="15" hidden="false" customHeight="false" outlineLevel="0" collapsed="false">
      <c r="A14" s="28" t="s">
        <v>401</v>
      </c>
      <c r="B14" s="27" t="n">
        <f aca="false">SUM(D8:D9)/SUM(C8:C9)</f>
        <v>0.23425</v>
      </c>
    </row>
    <row r="15" customFormat="false" ht="15" hidden="false" customHeight="false" outlineLevel="0" collapsed="false">
      <c r="A15" s="28" t="s">
        <v>402</v>
      </c>
      <c r="B15" s="27" t="n">
        <f aca="false">B13/B10</f>
        <v>1.16488302638128</v>
      </c>
      <c r="E15" s="3" t="s">
        <v>403</v>
      </c>
    </row>
    <row r="16" customFormat="false" ht="15" hidden="false" customHeight="false" outlineLevel="0" collapsed="false">
      <c r="A16" s="28" t="s">
        <v>404</v>
      </c>
      <c r="B16" s="27" t="n">
        <f aca="false">(0.5*B13+0.5*B14)/(0.5*B10+0.5*B11)</f>
        <v>1.22072072072072</v>
      </c>
      <c r="E16" s="3" t="s">
        <v>405</v>
      </c>
    </row>
    <row r="18" customFormat="false" ht="17.15" hidden="false" customHeight="false" outlineLevel="0" collapsed="false">
      <c r="A18" s="5" t="s">
        <v>406</v>
      </c>
      <c r="B18" s="9" t="s">
        <v>407</v>
      </c>
      <c r="C18" s="9" t="s">
        <v>408</v>
      </c>
    </row>
    <row r="19" customFormat="false" ht="15" hidden="false" customHeight="false" outlineLevel="0" collapsed="false">
      <c r="A19" s="3" t="s">
        <v>409</v>
      </c>
      <c r="B19" s="27" t="n">
        <f aca="false">推導鏈!D26/B15</f>
        <v>0.695210567517659</v>
      </c>
      <c r="C19" s="27" t="n">
        <f aca="false">推導鏈!D26/B16</f>
        <v>0.663410537820713</v>
      </c>
    </row>
    <row r="20" customFormat="false" ht="15" hidden="false" customHeight="false" outlineLevel="0" collapsed="false">
      <c r="A20" s="3" t="s">
        <v>410</v>
      </c>
      <c r="B20" s="27" t="n">
        <f aca="false">推導鏈!D13/B15</f>
        <v>1.49600618461877</v>
      </c>
      <c r="C20" s="27" t="n">
        <f aca="false">推導鏈!D13/B16</f>
        <v>1.42757649824683</v>
      </c>
    </row>
    <row r="21" customFormat="false" ht="15" hidden="false" customHeight="false" outlineLevel="0" collapsed="false">
      <c r="A21" s="4" t="s">
        <v>411</v>
      </c>
      <c r="B21" s="27" t="n">
        <f aca="false">B20/B19</f>
        <v>2.1518749203719</v>
      </c>
      <c r="C21" s="27" t="n">
        <f aca="false">C20/C19</f>
        <v>2.1518749203719</v>
      </c>
    </row>
    <row r="23" customFormat="false" ht="45" hidden="false" customHeight="true" outlineLevel="0" collapsed="false">
      <c r="A23" s="23" t="s">
        <v>412</v>
      </c>
      <c r="B23" s="23"/>
      <c r="C23" s="23"/>
      <c r="D23" s="23"/>
      <c r="E23" s="23"/>
    </row>
  </sheetData>
  <mergeCells count="2">
    <mergeCell ref="A2:E2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true"/>
  </sheetPr>
  <dimension ref="A1:I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6" min="6" style="0" width="14"/>
    <col collapsed="false" customWidth="true" hidden="false" outlineLevel="0" max="7" min="7" style="0" width="26"/>
    <col collapsed="false" customWidth="true" hidden="false" outlineLevel="0" max="8" min="8" style="0" width="40"/>
    <col collapsed="false" customWidth="true" hidden="false" outlineLevel="0" max="9" min="9" style="0" width="12"/>
  </cols>
  <sheetData>
    <row r="1" customFormat="false" ht="21.6" hidden="false" customHeight="false" outlineLevel="0" collapsed="false">
      <c r="A1" s="6" t="s">
        <v>413</v>
      </c>
    </row>
    <row r="3" customFormat="false" ht="29.85" hidden="false" customHeight="false" outlineLevel="0" collapsed="false">
      <c r="A3" s="10" t="s">
        <v>414</v>
      </c>
      <c r="B3" s="5"/>
      <c r="C3" s="5"/>
      <c r="D3" s="5"/>
      <c r="E3" s="5"/>
      <c r="F3" s="5"/>
      <c r="G3" s="5"/>
      <c r="H3" s="5"/>
      <c r="I3" s="5"/>
    </row>
    <row r="4" customFormat="false" ht="972.35" hidden="false" customHeight="false" outlineLevel="0" collapsed="false">
      <c r="A4" s="4" t="s">
        <v>415</v>
      </c>
      <c r="B4" s="3"/>
      <c r="C4" s="3"/>
      <c r="D4" s="3"/>
      <c r="E4" s="3"/>
      <c r="F4" s="3"/>
      <c r="G4" s="3"/>
      <c r="H4" s="3"/>
      <c r="I4" s="3"/>
    </row>
    <row r="5" customFormat="false" ht="114.9" hidden="false" customHeight="false" outlineLevel="0" collapsed="false">
      <c r="A5" s="3" t="s">
        <v>416</v>
      </c>
      <c r="B5" s="3"/>
      <c r="C5" s="3"/>
      <c r="D5" s="3"/>
      <c r="E5" s="3"/>
      <c r="F5" s="3"/>
      <c r="G5" s="3"/>
      <c r="H5" s="3"/>
      <c r="I5" s="3"/>
    </row>
    <row r="6" customFormat="false" ht="15" hidden="false" customHeight="false" outlineLevel="0" collapsed="false">
      <c r="A6" s="3" t="s">
        <v>417</v>
      </c>
      <c r="B6" s="4" t="s">
        <v>39</v>
      </c>
      <c r="C6" s="4" t="s">
        <v>418</v>
      </c>
      <c r="D6" s="4" t="s">
        <v>419</v>
      </c>
      <c r="E6" s="4" t="s">
        <v>420</v>
      </c>
      <c r="F6" s="4" t="s">
        <v>421</v>
      </c>
      <c r="G6" s="4" t="s">
        <v>48</v>
      </c>
      <c r="H6" s="4" t="s">
        <v>422</v>
      </c>
      <c r="I6" s="4" t="s">
        <v>423</v>
      </c>
    </row>
    <row r="7" customFormat="false" ht="44" hidden="false" customHeight="false" outlineLevel="0" collapsed="false">
      <c r="A7" s="3" t="s">
        <v>424</v>
      </c>
      <c r="B7" s="3" t="s">
        <v>425</v>
      </c>
      <c r="C7" s="4" t="s">
        <v>426</v>
      </c>
      <c r="D7" s="3" t="s">
        <v>373</v>
      </c>
      <c r="E7" s="4" t="s">
        <v>427</v>
      </c>
      <c r="F7" s="4" t="s">
        <v>428</v>
      </c>
      <c r="G7" s="3" t="s">
        <v>373</v>
      </c>
      <c r="H7" s="4" t="s">
        <v>429</v>
      </c>
      <c r="I7" s="3" t="s">
        <v>430</v>
      </c>
    </row>
    <row r="8" customFormat="false" ht="86.55" hidden="false" customHeight="false" outlineLevel="0" collapsed="false">
      <c r="A8" s="3" t="s">
        <v>431</v>
      </c>
      <c r="B8" s="3" t="s">
        <v>432</v>
      </c>
      <c r="C8" s="4" t="s">
        <v>433</v>
      </c>
      <c r="D8" s="3" t="s">
        <v>373</v>
      </c>
      <c r="E8" s="3" t="s">
        <v>434</v>
      </c>
      <c r="F8" s="3" t="s">
        <v>435</v>
      </c>
      <c r="G8" s="3" t="s">
        <v>436</v>
      </c>
      <c r="H8" s="3" t="s">
        <v>437</v>
      </c>
      <c r="I8" s="3" t="s">
        <v>430</v>
      </c>
    </row>
    <row r="9" customFormat="false" ht="58.2" hidden="false" customHeight="false" outlineLevel="0" collapsed="false">
      <c r="A9" s="3" t="s">
        <v>438</v>
      </c>
      <c r="B9" s="3" t="s">
        <v>439</v>
      </c>
      <c r="C9" s="3" t="s">
        <v>440</v>
      </c>
      <c r="D9" s="3" t="s">
        <v>441</v>
      </c>
      <c r="E9" s="3" t="s">
        <v>442</v>
      </c>
      <c r="F9" s="3" t="s">
        <v>443</v>
      </c>
      <c r="G9" s="3" t="s">
        <v>444</v>
      </c>
      <c r="H9" s="4" t="s">
        <v>445</v>
      </c>
      <c r="I9" s="3" t="s">
        <v>430</v>
      </c>
    </row>
    <row r="10" customFormat="false" ht="52.2" hidden="false" customHeight="false" outlineLevel="0" collapsed="false">
      <c r="A10" s="3" t="s">
        <v>446</v>
      </c>
      <c r="B10" s="3" t="s">
        <v>447</v>
      </c>
      <c r="C10" s="4" t="s">
        <v>448</v>
      </c>
      <c r="D10" s="3" t="s">
        <v>449</v>
      </c>
      <c r="E10" s="3" t="s">
        <v>450</v>
      </c>
      <c r="F10" s="3" t="s">
        <v>451</v>
      </c>
      <c r="G10" s="3" t="s">
        <v>436</v>
      </c>
      <c r="H10" s="4" t="s">
        <v>452</v>
      </c>
      <c r="I10" s="3" t="s">
        <v>430</v>
      </c>
    </row>
    <row r="11" customFormat="false" ht="58.2" hidden="false" customHeight="false" outlineLevel="0" collapsed="false">
      <c r="A11" s="3" t="s">
        <v>453</v>
      </c>
      <c r="B11" s="3" t="s">
        <v>454</v>
      </c>
      <c r="C11" s="3" t="s">
        <v>455</v>
      </c>
      <c r="D11" s="3" t="s">
        <v>456</v>
      </c>
      <c r="E11" s="3" t="s">
        <v>457</v>
      </c>
      <c r="F11" s="3" t="s">
        <v>458</v>
      </c>
      <c r="G11" s="3" t="s">
        <v>459</v>
      </c>
      <c r="H11" s="3" t="s">
        <v>460</v>
      </c>
      <c r="I11" s="3" t="s">
        <v>430</v>
      </c>
    </row>
    <row r="12" customFormat="false" ht="58.2" hidden="false" customHeight="false" outlineLevel="0" collapsed="false">
      <c r="A12" s="3" t="s">
        <v>461</v>
      </c>
      <c r="B12" s="3" t="s">
        <v>462</v>
      </c>
      <c r="C12" s="3" t="s">
        <v>463</v>
      </c>
      <c r="D12" s="3" t="s">
        <v>464</v>
      </c>
      <c r="E12" s="3" t="s">
        <v>465</v>
      </c>
      <c r="F12" s="3" t="s">
        <v>466</v>
      </c>
      <c r="G12" s="3" t="s">
        <v>467</v>
      </c>
      <c r="H12" s="4" t="s">
        <v>468</v>
      </c>
      <c r="I12" s="3" t="s">
        <v>430</v>
      </c>
    </row>
    <row r="13" customFormat="false" ht="29.85" hidden="false" customHeight="false" outlineLevel="0" collapsed="false">
      <c r="A13" s="3" t="s">
        <v>469</v>
      </c>
      <c r="B13" s="3" t="s">
        <v>470</v>
      </c>
      <c r="C13" s="3" t="s">
        <v>373</v>
      </c>
      <c r="D13" s="3" t="s">
        <v>471</v>
      </c>
      <c r="E13" s="3" t="s">
        <v>472</v>
      </c>
      <c r="F13" s="3" t="s">
        <v>473</v>
      </c>
      <c r="G13" s="3" t="s">
        <v>474</v>
      </c>
      <c r="H13" s="4" t="s">
        <v>475</v>
      </c>
      <c r="I13" s="3" t="s">
        <v>430</v>
      </c>
    </row>
    <row r="15" customFormat="false" ht="29.85" hidden="false" customHeight="false" outlineLevel="0" collapsed="false">
      <c r="A15" s="10" t="s">
        <v>476</v>
      </c>
      <c r="B15" s="5"/>
      <c r="C15" s="5"/>
      <c r="D15" s="5"/>
      <c r="E15" s="5"/>
      <c r="F15" s="5"/>
      <c r="G15" s="5"/>
      <c r="H15" s="5"/>
      <c r="I15" s="5"/>
    </row>
    <row r="16" customFormat="false" ht="704.45" hidden="false" customHeight="false" outlineLevel="0" collapsed="false">
      <c r="A16" s="4" t="s">
        <v>477</v>
      </c>
      <c r="B16" s="3"/>
      <c r="C16" s="3"/>
      <c r="D16" s="3"/>
      <c r="E16" s="3"/>
      <c r="F16" s="3"/>
      <c r="G16" s="3"/>
      <c r="H16" s="3"/>
      <c r="I16" s="3"/>
    </row>
    <row r="17" customFormat="false" ht="320.85" hidden="false" customHeight="false" outlineLevel="0" collapsed="false">
      <c r="A17" s="4" t="s">
        <v>478</v>
      </c>
      <c r="B17" s="3"/>
      <c r="C17" s="3"/>
      <c r="D17" s="3"/>
      <c r="E17" s="3"/>
      <c r="F17" s="3"/>
      <c r="G17" s="3"/>
      <c r="H17" s="3"/>
      <c r="I17" s="3"/>
    </row>
    <row r="18" customFormat="false" ht="140.25" hidden="false" customHeight="false" outlineLevel="0" collapsed="false">
      <c r="A18" s="3" t="s">
        <v>479</v>
      </c>
      <c r="B18" s="3"/>
      <c r="C18" s="3"/>
      <c r="D18" s="3"/>
      <c r="E18" s="3"/>
      <c r="F18" s="3"/>
      <c r="G18" s="3"/>
      <c r="H18" s="3"/>
      <c r="I18" s="3"/>
    </row>
    <row r="19" customFormat="false" ht="15" hidden="false" customHeight="false" outlineLevel="0" collapsed="false">
      <c r="A19" s="3" t="s">
        <v>417</v>
      </c>
      <c r="B19" s="4" t="s">
        <v>39</v>
      </c>
      <c r="C19" s="4" t="s">
        <v>418</v>
      </c>
      <c r="D19" s="4" t="s">
        <v>480</v>
      </c>
      <c r="E19" s="4" t="s">
        <v>420</v>
      </c>
      <c r="F19" s="4" t="s">
        <v>421</v>
      </c>
      <c r="G19" s="4" t="s">
        <v>48</v>
      </c>
      <c r="H19" s="4" t="s">
        <v>481</v>
      </c>
      <c r="I19" s="4" t="s">
        <v>423</v>
      </c>
    </row>
    <row r="20" customFormat="false" ht="60.4" hidden="false" customHeight="false" outlineLevel="0" collapsed="false">
      <c r="A20" s="3" t="s">
        <v>482</v>
      </c>
      <c r="B20" s="3" t="s">
        <v>483</v>
      </c>
      <c r="C20" s="4" t="s">
        <v>484</v>
      </c>
      <c r="D20" s="3" t="s">
        <v>485</v>
      </c>
      <c r="E20" s="4" t="s">
        <v>486</v>
      </c>
      <c r="F20" s="3" t="s">
        <v>487</v>
      </c>
      <c r="G20" s="3" t="s">
        <v>488</v>
      </c>
      <c r="H20" s="4" t="s">
        <v>489</v>
      </c>
      <c r="I20" s="3" t="s">
        <v>430</v>
      </c>
    </row>
    <row r="21" customFormat="false" ht="55.2" hidden="false" customHeight="false" outlineLevel="0" collapsed="false">
      <c r="A21" s="3" t="s">
        <v>490</v>
      </c>
      <c r="B21" s="3" t="s">
        <v>491</v>
      </c>
      <c r="C21" s="4" t="s">
        <v>492</v>
      </c>
      <c r="D21" s="3" t="s">
        <v>493</v>
      </c>
      <c r="E21" s="3" t="s">
        <v>494</v>
      </c>
      <c r="F21" s="3" t="s">
        <v>495</v>
      </c>
      <c r="G21" s="3" t="s">
        <v>496</v>
      </c>
      <c r="H21" s="4" t="s">
        <v>497</v>
      </c>
      <c r="I21" s="3" t="s">
        <v>430</v>
      </c>
    </row>
    <row r="22" customFormat="false" ht="58.2" hidden="false" customHeight="false" outlineLevel="0" collapsed="false">
      <c r="A22" s="3" t="s">
        <v>498</v>
      </c>
      <c r="B22" s="3" t="s">
        <v>499</v>
      </c>
      <c r="C22" s="4" t="s">
        <v>500</v>
      </c>
      <c r="D22" s="3" t="s">
        <v>501</v>
      </c>
      <c r="E22" s="3" t="s">
        <v>502</v>
      </c>
      <c r="F22" s="3" t="s">
        <v>503</v>
      </c>
      <c r="G22" s="3" t="s">
        <v>504</v>
      </c>
      <c r="H22" s="3" t="s">
        <v>505</v>
      </c>
      <c r="I22" s="3" t="s">
        <v>430</v>
      </c>
    </row>
    <row r="23" customFormat="false" ht="69.4" hidden="false" customHeight="false" outlineLevel="0" collapsed="false">
      <c r="A23" s="3" t="s">
        <v>506</v>
      </c>
      <c r="B23" s="3" t="s">
        <v>507</v>
      </c>
      <c r="C23" s="4" t="s">
        <v>508</v>
      </c>
      <c r="D23" s="3" t="n">
        <v>2025</v>
      </c>
      <c r="E23" s="3" t="s">
        <v>509</v>
      </c>
      <c r="F23" s="4" t="s">
        <v>428</v>
      </c>
      <c r="G23" s="3" t="s">
        <v>510</v>
      </c>
      <c r="H23" s="3" t="s">
        <v>511</v>
      </c>
      <c r="I23" s="3" t="s">
        <v>430</v>
      </c>
    </row>
    <row r="24" customFormat="false" ht="58.2" hidden="false" customHeight="false" outlineLevel="0" collapsed="false">
      <c r="A24" s="3" t="s">
        <v>512</v>
      </c>
      <c r="B24" s="4" t="s">
        <v>513</v>
      </c>
      <c r="C24" s="3" t="s">
        <v>514</v>
      </c>
      <c r="D24" s="3" t="n">
        <v>2025</v>
      </c>
      <c r="E24" s="3" t="s">
        <v>515</v>
      </c>
      <c r="F24" s="3" t="s">
        <v>516</v>
      </c>
      <c r="G24" s="3" t="s">
        <v>517</v>
      </c>
      <c r="H24" s="3" t="s">
        <v>518</v>
      </c>
      <c r="I24" s="3" t="s">
        <v>430</v>
      </c>
    </row>
    <row r="25" customFormat="false" ht="86.55" hidden="false" customHeight="false" outlineLevel="0" collapsed="false">
      <c r="A25" s="3" t="s">
        <v>519</v>
      </c>
      <c r="B25" s="3" t="s">
        <v>520</v>
      </c>
      <c r="C25" s="3" t="s">
        <v>521</v>
      </c>
      <c r="D25" s="3" t="s">
        <v>373</v>
      </c>
      <c r="E25" s="3" t="s">
        <v>522</v>
      </c>
      <c r="F25" s="3" t="s">
        <v>523</v>
      </c>
      <c r="G25" s="3" t="s">
        <v>524</v>
      </c>
      <c r="H25" s="3" t="s">
        <v>525</v>
      </c>
      <c r="I25" s="3" t="s">
        <v>430</v>
      </c>
    </row>
    <row r="26" customFormat="false" ht="44" hidden="false" customHeight="false" outlineLevel="0" collapsed="false">
      <c r="A26" s="3" t="s">
        <v>526</v>
      </c>
      <c r="B26" s="3" t="s">
        <v>527</v>
      </c>
      <c r="C26" s="4" t="s">
        <v>528</v>
      </c>
      <c r="D26" s="3" t="s">
        <v>373</v>
      </c>
      <c r="E26" s="4" t="s">
        <v>529</v>
      </c>
      <c r="F26" s="3" t="s">
        <v>373</v>
      </c>
      <c r="G26" s="3" t="s">
        <v>373</v>
      </c>
      <c r="H26" s="3" t="s">
        <v>530</v>
      </c>
      <c r="I26" s="3" t="s">
        <v>430</v>
      </c>
    </row>
    <row r="27" customFormat="false" ht="44" hidden="false" customHeight="false" outlineLevel="0" collapsed="false">
      <c r="A27" s="3" t="s">
        <v>531</v>
      </c>
      <c r="B27" s="4" t="s">
        <v>532</v>
      </c>
      <c r="C27" s="4" t="s">
        <v>533</v>
      </c>
      <c r="D27" s="3" t="s">
        <v>373</v>
      </c>
      <c r="E27" s="3" t="s">
        <v>512</v>
      </c>
      <c r="F27" s="3" t="s">
        <v>373</v>
      </c>
      <c r="G27" s="3" t="s">
        <v>373</v>
      </c>
      <c r="H27" s="4" t="s">
        <v>534</v>
      </c>
      <c r="I27" s="3" t="s">
        <v>430</v>
      </c>
    </row>
    <row r="28" customFormat="false" ht="633.55" hidden="false" customHeight="false" outlineLevel="0" collapsed="false">
      <c r="A28" s="3" t="s">
        <v>535</v>
      </c>
      <c r="B28" s="3"/>
      <c r="C28" s="3"/>
      <c r="D28" s="3"/>
      <c r="E28" s="3"/>
      <c r="F28" s="3"/>
      <c r="G28" s="3"/>
      <c r="H28" s="3"/>
      <c r="I28" s="3"/>
    </row>
    <row r="30" customFormat="false" ht="61.15" hidden="false" customHeight="false" outlineLevel="0" collapsed="false">
      <c r="A30" s="10" t="s">
        <v>536</v>
      </c>
      <c r="B30" s="5"/>
      <c r="C30" s="5"/>
      <c r="D30" s="5"/>
      <c r="E30" s="5"/>
      <c r="F30" s="5"/>
      <c r="G30" s="5"/>
      <c r="H30" s="5"/>
      <c r="I30" s="5"/>
    </row>
    <row r="31" customFormat="false" ht="564.9" hidden="false" customHeight="false" outlineLevel="0" collapsed="false">
      <c r="A31" s="4" t="s">
        <v>537</v>
      </c>
      <c r="B31" s="3"/>
      <c r="C31" s="3"/>
      <c r="D31" s="3"/>
      <c r="E31" s="3"/>
      <c r="F31" s="3"/>
      <c r="G31" s="3"/>
      <c r="H31" s="3"/>
      <c r="I31" s="3"/>
    </row>
    <row r="32" customFormat="false" ht="114.9" hidden="false" customHeight="false" outlineLevel="0" collapsed="false">
      <c r="A32" s="3" t="s">
        <v>538</v>
      </c>
      <c r="B32" s="3"/>
      <c r="C32" s="3"/>
      <c r="D32" s="3"/>
      <c r="E32" s="3"/>
      <c r="F32" s="3"/>
      <c r="G32" s="3"/>
      <c r="H32" s="3"/>
      <c r="I32" s="3"/>
    </row>
    <row r="33" customFormat="false" ht="15" hidden="false" customHeight="false" outlineLevel="0" collapsed="false">
      <c r="A33" s="3" t="s">
        <v>417</v>
      </c>
      <c r="B33" s="4" t="s">
        <v>39</v>
      </c>
      <c r="C33" s="4" t="s">
        <v>418</v>
      </c>
      <c r="D33" s="4" t="s">
        <v>480</v>
      </c>
      <c r="E33" s="4" t="s">
        <v>420</v>
      </c>
      <c r="F33" s="4" t="s">
        <v>421</v>
      </c>
      <c r="G33" s="4" t="s">
        <v>48</v>
      </c>
      <c r="H33" s="4" t="s">
        <v>539</v>
      </c>
      <c r="I33" s="4" t="s">
        <v>423</v>
      </c>
    </row>
    <row r="34" customFormat="false" ht="58.2" hidden="false" customHeight="false" outlineLevel="0" collapsed="false">
      <c r="A34" s="3" t="s">
        <v>540</v>
      </c>
      <c r="B34" s="3" t="s">
        <v>541</v>
      </c>
      <c r="C34" s="4" t="s">
        <v>542</v>
      </c>
      <c r="D34" s="3" t="s">
        <v>543</v>
      </c>
      <c r="E34" s="3" t="s">
        <v>544</v>
      </c>
      <c r="F34" s="3" t="s">
        <v>545</v>
      </c>
      <c r="G34" s="3" t="s">
        <v>546</v>
      </c>
      <c r="H34" s="4" t="s">
        <v>547</v>
      </c>
      <c r="I34" s="3" t="s">
        <v>430</v>
      </c>
    </row>
    <row r="35" customFormat="false" ht="44" hidden="false" customHeight="false" outlineLevel="0" collapsed="false">
      <c r="A35" s="3" t="s">
        <v>548</v>
      </c>
      <c r="B35" s="4" t="s">
        <v>549</v>
      </c>
      <c r="C35" s="4" t="s">
        <v>550</v>
      </c>
      <c r="D35" s="3" t="s">
        <v>551</v>
      </c>
      <c r="E35" s="3" t="s">
        <v>552</v>
      </c>
      <c r="F35" s="3" t="s">
        <v>551</v>
      </c>
      <c r="G35" s="3" t="s">
        <v>553</v>
      </c>
      <c r="H35" s="4" t="s">
        <v>554</v>
      </c>
      <c r="I35" s="3" t="s">
        <v>430</v>
      </c>
    </row>
    <row r="36" customFormat="false" ht="44" hidden="false" customHeight="false" outlineLevel="0" collapsed="false">
      <c r="A36" s="3" t="s">
        <v>555</v>
      </c>
      <c r="B36" s="3" t="s">
        <v>556</v>
      </c>
      <c r="C36" s="3" t="s">
        <v>557</v>
      </c>
      <c r="D36" s="3" t="s">
        <v>558</v>
      </c>
      <c r="E36" s="3" t="s">
        <v>559</v>
      </c>
      <c r="F36" s="3" t="s">
        <v>558</v>
      </c>
      <c r="G36" s="3" t="s">
        <v>560</v>
      </c>
      <c r="H36" s="4" t="s">
        <v>561</v>
      </c>
      <c r="I36" s="3" t="s">
        <v>430</v>
      </c>
    </row>
    <row r="37" customFormat="false" ht="29.85" hidden="false" customHeight="false" outlineLevel="0" collapsed="false">
      <c r="A37" s="3" t="s">
        <v>562</v>
      </c>
      <c r="B37" s="4" t="s">
        <v>563</v>
      </c>
      <c r="C37" s="4" t="s">
        <v>564</v>
      </c>
      <c r="D37" s="3" t="s">
        <v>565</v>
      </c>
      <c r="E37" s="3" t="s">
        <v>566</v>
      </c>
      <c r="F37" s="3" t="s">
        <v>567</v>
      </c>
      <c r="G37" s="3" t="s">
        <v>568</v>
      </c>
      <c r="H37" s="4" t="s">
        <v>569</v>
      </c>
      <c r="I37" s="3" t="s">
        <v>430</v>
      </c>
    </row>
    <row r="38" customFormat="false" ht="29.85" hidden="false" customHeight="false" outlineLevel="0" collapsed="false">
      <c r="A38" s="3" t="s">
        <v>570</v>
      </c>
      <c r="B38" s="3" t="s">
        <v>571</v>
      </c>
      <c r="C38" s="4" t="s">
        <v>426</v>
      </c>
      <c r="D38" s="3" t="s">
        <v>373</v>
      </c>
      <c r="E38" s="4" t="s">
        <v>572</v>
      </c>
      <c r="F38" s="3" t="s">
        <v>373</v>
      </c>
      <c r="G38" s="3" t="s">
        <v>373</v>
      </c>
      <c r="H38" s="4" t="s">
        <v>573</v>
      </c>
      <c r="I38" s="3" t="s">
        <v>430</v>
      </c>
    </row>
    <row r="39" customFormat="false" ht="58.2" hidden="false" customHeight="false" outlineLevel="0" collapsed="false">
      <c r="A39" s="3" t="s">
        <v>574</v>
      </c>
      <c r="B39" s="3" t="s">
        <v>575</v>
      </c>
      <c r="C39" s="4" t="s">
        <v>576</v>
      </c>
      <c r="D39" s="3" t="s">
        <v>577</v>
      </c>
      <c r="E39" s="3" t="s">
        <v>578</v>
      </c>
      <c r="F39" s="3" t="s">
        <v>579</v>
      </c>
      <c r="G39" s="3" t="s">
        <v>54</v>
      </c>
      <c r="H39" s="4" t="s">
        <v>580</v>
      </c>
      <c r="I39" s="3" t="s">
        <v>430</v>
      </c>
    </row>
    <row r="40" customFormat="false" ht="452.2" hidden="false" customHeight="false" outlineLevel="0" collapsed="false">
      <c r="A40" s="3" t="s">
        <v>581</v>
      </c>
      <c r="B40" s="3"/>
      <c r="C40" s="3"/>
      <c r="D40" s="3"/>
      <c r="E40" s="3"/>
      <c r="F40" s="3"/>
      <c r="G40" s="3"/>
      <c r="H40" s="3"/>
      <c r="I40" s="3"/>
    </row>
    <row r="42" customFormat="false" ht="76.85" hidden="false" customHeight="false" outlineLevel="0" collapsed="false">
      <c r="A42" s="10" t="s">
        <v>582</v>
      </c>
      <c r="B42" s="5"/>
      <c r="C42" s="5"/>
      <c r="D42" s="5"/>
      <c r="E42" s="5"/>
      <c r="F42" s="5"/>
      <c r="G42" s="5"/>
      <c r="H42" s="5"/>
      <c r="I42" s="5"/>
    </row>
    <row r="43" customFormat="false" ht="573.1" hidden="false" customHeight="false" outlineLevel="0" collapsed="false">
      <c r="A43" s="4" t="s">
        <v>583</v>
      </c>
      <c r="B43" s="3"/>
      <c r="C43" s="3"/>
      <c r="D43" s="3"/>
      <c r="E43" s="3"/>
      <c r="F43" s="3"/>
      <c r="G43" s="3"/>
      <c r="H43" s="3"/>
      <c r="I43" s="3"/>
    </row>
    <row r="44" customFormat="false" ht="168.65" hidden="false" customHeight="false" outlineLevel="0" collapsed="false">
      <c r="A44" s="3" t="s">
        <v>584</v>
      </c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false" outlineLevel="0" collapsed="false">
      <c r="A45" s="3" t="s">
        <v>417</v>
      </c>
      <c r="B45" s="4" t="s">
        <v>39</v>
      </c>
      <c r="C45" s="4" t="s">
        <v>418</v>
      </c>
      <c r="D45" s="4" t="s">
        <v>480</v>
      </c>
      <c r="E45" s="4" t="s">
        <v>420</v>
      </c>
      <c r="F45" s="4" t="s">
        <v>421</v>
      </c>
      <c r="G45" s="4" t="s">
        <v>48</v>
      </c>
      <c r="H45" s="4" t="s">
        <v>539</v>
      </c>
      <c r="I45" s="4" t="s">
        <v>423</v>
      </c>
    </row>
    <row r="46" customFormat="false" ht="72.35" hidden="false" customHeight="false" outlineLevel="0" collapsed="false">
      <c r="A46" s="3" t="s">
        <v>585</v>
      </c>
      <c r="B46" s="4" t="s">
        <v>586</v>
      </c>
      <c r="C46" s="4" t="s">
        <v>587</v>
      </c>
      <c r="D46" s="3" t="s">
        <v>588</v>
      </c>
      <c r="E46" s="3" t="s">
        <v>589</v>
      </c>
      <c r="F46" s="3" t="s">
        <v>471</v>
      </c>
      <c r="G46" s="3" t="s">
        <v>590</v>
      </c>
      <c r="H46" s="4" t="s">
        <v>591</v>
      </c>
      <c r="I46" s="3" t="s">
        <v>430</v>
      </c>
    </row>
    <row r="47" customFormat="false" ht="58.2" hidden="false" customHeight="false" outlineLevel="0" collapsed="false">
      <c r="A47" s="3" t="s">
        <v>592</v>
      </c>
      <c r="B47" s="3" t="s">
        <v>593</v>
      </c>
      <c r="C47" s="4" t="s">
        <v>594</v>
      </c>
      <c r="D47" s="3" t="s">
        <v>456</v>
      </c>
      <c r="E47" s="3" t="s">
        <v>595</v>
      </c>
      <c r="F47" s="3" t="s">
        <v>596</v>
      </c>
      <c r="G47" s="3" t="s">
        <v>597</v>
      </c>
      <c r="H47" s="4" t="s">
        <v>598</v>
      </c>
      <c r="I47" s="3" t="s">
        <v>430</v>
      </c>
    </row>
    <row r="48" customFormat="false" ht="58.2" hidden="false" customHeight="false" outlineLevel="0" collapsed="false">
      <c r="A48" s="3" t="s">
        <v>599</v>
      </c>
      <c r="B48" s="3" t="s">
        <v>600</v>
      </c>
      <c r="C48" s="3" t="s">
        <v>373</v>
      </c>
      <c r="D48" s="3" t="s">
        <v>456</v>
      </c>
      <c r="E48" s="3" t="s">
        <v>601</v>
      </c>
      <c r="F48" s="3" t="s">
        <v>458</v>
      </c>
      <c r="G48" s="3" t="s">
        <v>602</v>
      </c>
      <c r="H48" s="4" t="s">
        <v>603</v>
      </c>
      <c r="I48" s="3" t="s">
        <v>430</v>
      </c>
    </row>
    <row r="49" customFormat="false" ht="29.85" hidden="false" customHeight="false" outlineLevel="0" collapsed="false">
      <c r="A49" s="3" t="s">
        <v>604</v>
      </c>
      <c r="B49" s="3" t="s">
        <v>605</v>
      </c>
      <c r="C49" s="4" t="s">
        <v>606</v>
      </c>
      <c r="D49" s="3" t="s">
        <v>543</v>
      </c>
      <c r="E49" s="4" t="s">
        <v>607</v>
      </c>
      <c r="F49" s="3" t="s">
        <v>545</v>
      </c>
      <c r="G49" s="3" t="s">
        <v>608</v>
      </c>
      <c r="H49" s="4" t="s">
        <v>609</v>
      </c>
      <c r="I49" s="3" t="s">
        <v>430</v>
      </c>
    </row>
    <row r="50" customFormat="false" ht="29.85" hidden="false" customHeight="false" outlineLevel="0" collapsed="false">
      <c r="A50" s="3" t="s">
        <v>610</v>
      </c>
      <c r="B50" s="3" t="s">
        <v>611</v>
      </c>
      <c r="C50" s="3" t="s">
        <v>373</v>
      </c>
      <c r="D50" s="3" t="s">
        <v>373</v>
      </c>
      <c r="E50" s="4" t="s">
        <v>612</v>
      </c>
      <c r="F50" s="3" t="s">
        <v>373</v>
      </c>
      <c r="G50" s="3" t="s">
        <v>54</v>
      </c>
      <c r="H50" s="3" t="s">
        <v>613</v>
      </c>
      <c r="I50" s="3" t="s">
        <v>430</v>
      </c>
    </row>
    <row r="51" customFormat="false" ht="29.85" hidden="false" customHeight="false" outlineLevel="0" collapsed="false">
      <c r="A51" s="3" t="s">
        <v>614</v>
      </c>
      <c r="B51" s="3" t="s">
        <v>615</v>
      </c>
      <c r="C51" s="4" t="s">
        <v>426</v>
      </c>
      <c r="D51" s="3" t="s">
        <v>373</v>
      </c>
      <c r="E51" s="4" t="s">
        <v>572</v>
      </c>
      <c r="F51" s="3" t="s">
        <v>373</v>
      </c>
      <c r="G51" s="3" t="s">
        <v>373</v>
      </c>
      <c r="H51" s="4" t="s">
        <v>616</v>
      </c>
      <c r="I51" s="3" t="s">
        <v>430</v>
      </c>
    </row>
    <row r="52" customFormat="false" ht="395.5" hidden="false" customHeight="false" outlineLevel="0" collapsed="false">
      <c r="A52" s="3" t="s">
        <v>617</v>
      </c>
      <c r="B52" s="3"/>
      <c r="C52" s="3"/>
      <c r="D52" s="3"/>
      <c r="E52" s="3"/>
      <c r="F52" s="3"/>
      <c r="G52" s="3"/>
      <c r="H52" s="3"/>
      <c r="I52" s="3"/>
    </row>
    <row r="54" customFormat="false" ht="58.2" hidden="false" customHeight="false" outlineLevel="0" collapsed="false">
      <c r="A54" s="10" t="s">
        <v>618</v>
      </c>
      <c r="B54" s="5"/>
      <c r="C54" s="5"/>
      <c r="D54" s="5"/>
      <c r="E54" s="5"/>
      <c r="F54" s="5"/>
      <c r="G54" s="5"/>
      <c r="H54" s="5"/>
      <c r="I54" s="5"/>
    </row>
    <row r="55" customFormat="false" ht="763.4" hidden="false" customHeight="false" outlineLevel="0" collapsed="false">
      <c r="A55" s="3" t="s">
        <v>619</v>
      </c>
      <c r="B55" s="3"/>
      <c r="C55" s="3"/>
      <c r="D55" s="3"/>
      <c r="E55" s="3"/>
      <c r="F55" s="3"/>
      <c r="G55" s="3"/>
      <c r="H55" s="3"/>
    </row>
    <row r="57" customFormat="false" ht="45.5" hidden="false" customHeight="false" outlineLevel="0" collapsed="false">
      <c r="A57" s="10" t="s">
        <v>620</v>
      </c>
      <c r="B57" s="5"/>
      <c r="C57" s="5"/>
      <c r="D57" s="5"/>
      <c r="E57" s="5"/>
      <c r="F57" s="5"/>
      <c r="G57" s="5"/>
      <c r="H57" s="5"/>
      <c r="I57" s="5"/>
    </row>
    <row r="58" customFormat="false" ht="435.05" hidden="false" customHeight="false" outlineLevel="0" collapsed="false">
      <c r="A58" s="4" t="s">
        <v>621</v>
      </c>
      <c r="B58" s="3"/>
      <c r="C58" s="3"/>
      <c r="D58" s="3"/>
      <c r="E58" s="3"/>
      <c r="F58" s="3"/>
      <c r="G58" s="3"/>
      <c r="H58" s="3"/>
    </row>
    <row r="59" customFormat="false" ht="111.9" hidden="false" customHeight="false" outlineLevel="0" collapsed="false">
      <c r="A59" s="3" t="s">
        <v>622</v>
      </c>
      <c r="B59" s="3"/>
      <c r="C59" s="3"/>
      <c r="D59" s="3"/>
      <c r="E59" s="3"/>
      <c r="F59" s="3"/>
      <c r="G59" s="3"/>
      <c r="H59" s="3"/>
    </row>
    <row r="60" customFormat="false" ht="15" hidden="false" customHeight="false" outlineLevel="0" collapsed="false">
      <c r="A60" s="3" t="s">
        <v>417</v>
      </c>
      <c r="B60" s="4" t="s">
        <v>39</v>
      </c>
      <c r="C60" s="4" t="s">
        <v>418</v>
      </c>
      <c r="D60" s="4" t="s">
        <v>420</v>
      </c>
      <c r="E60" s="4" t="s">
        <v>421</v>
      </c>
      <c r="F60" s="4" t="s">
        <v>48</v>
      </c>
      <c r="G60" s="4" t="s">
        <v>539</v>
      </c>
      <c r="H60" s="4" t="s">
        <v>423</v>
      </c>
    </row>
    <row r="61" customFormat="false" ht="157.45" hidden="false" customHeight="false" outlineLevel="0" collapsed="false">
      <c r="A61" s="3" t="s">
        <v>623</v>
      </c>
      <c r="B61" s="3" t="s">
        <v>624</v>
      </c>
      <c r="C61" s="3" t="s">
        <v>625</v>
      </c>
      <c r="D61" s="3" t="s">
        <v>626</v>
      </c>
      <c r="E61" s="3" t="s">
        <v>627</v>
      </c>
      <c r="F61" s="4" t="s">
        <v>628</v>
      </c>
      <c r="G61" s="3"/>
      <c r="H61" s="3" t="s">
        <v>430</v>
      </c>
    </row>
    <row r="62" customFormat="false" ht="86.55" hidden="false" customHeight="false" outlineLevel="0" collapsed="false">
      <c r="A62" s="3" t="s">
        <v>629</v>
      </c>
      <c r="B62" s="3" t="s">
        <v>630</v>
      </c>
      <c r="C62" s="4" t="s">
        <v>631</v>
      </c>
      <c r="D62" s="3" t="s">
        <v>632</v>
      </c>
      <c r="E62" s="3" t="s">
        <v>633</v>
      </c>
      <c r="F62" s="3" t="s">
        <v>54</v>
      </c>
      <c r="G62" s="4" t="s">
        <v>634</v>
      </c>
      <c r="H62" s="3" t="s">
        <v>430</v>
      </c>
    </row>
    <row r="63" customFormat="false" ht="29.85" hidden="false" customHeight="false" outlineLevel="0" collapsed="false">
      <c r="A63" s="3" t="s">
        <v>635</v>
      </c>
      <c r="B63" s="4" t="s">
        <v>636</v>
      </c>
      <c r="C63" s="3" t="s">
        <v>637</v>
      </c>
      <c r="D63" s="3" t="s">
        <v>638</v>
      </c>
      <c r="E63" s="3" t="s">
        <v>639</v>
      </c>
      <c r="F63" s="3" t="s">
        <v>69</v>
      </c>
      <c r="G63" s="3" t="s">
        <v>640</v>
      </c>
      <c r="H63" s="3" t="s">
        <v>430</v>
      </c>
    </row>
    <row r="65" customFormat="false" ht="48.5" hidden="false" customHeight="false" outlineLevel="0" collapsed="false">
      <c r="A65" s="10" t="s">
        <v>641</v>
      </c>
      <c r="B65" s="5"/>
      <c r="C65" s="5"/>
      <c r="D65" s="5"/>
      <c r="E65" s="5"/>
      <c r="F65" s="5"/>
      <c r="G65" s="5"/>
      <c r="H65" s="5"/>
      <c r="I65" s="5"/>
    </row>
    <row r="66" customFormat="false" ht="134.3" hidden="false" customHeight="false" outlineLevel="0" collapsed="false">
      <c r="A66" s="3" t="s">
        <v>642</v>
      </c>
      <c r="B66" s="3"/>
      <c r="C66" s="3"/>
      <c r="D66" s="3"/>
      <c r="E66" s="3"/>
      <c r="F66" s="3"/>
      <c r="G66" s="3"/>
      <c r="H66" s="3"/>
    </row>
    <row r="67" customFormat="false" ht="123.1" hidden="false" customHeight="false" outlineLevel="0" collapsed="false">
      <c r="A67" s="3" t="s">
        <v>643</v>
      </c>
      <c r="B67" s="3"/>
      <c r="C67" s="3"/>
      <c r="D67" s="3"/>
      <c r="E67" s="3"/>
      <c r="F67" s="3"/>
      <c r="G67" s="3"/>
      <c r="H67" s="3"/>
    </row>
    <row r="68" customFormat="false" ht="134.3" hidden="false" customHeight="false" outlineLevel="0" collapsed="false">
      <c r="A68" s="3" t="s">
        <v>644</v>
      </c>
      <c r="B68" s="3"/>
      <c r="C68" s="3"/>
      <c r="D68" s="3"/>
      <c r="E68" s="3"/>
      <c r="F68" s="3"/>
      <c r="G68" s="3"/>
      <c r="H68" s="3"/>
    </row>
    <row r="69" customFormat="false" ht="86.55" hidden="false" customHeight="false" outlineLevel="0" collapsed="false">
      <c r="A69" s="3" t="s">
        <v>645</v>
      </c>
      <c r="B69" s="3"/>
      <c r="C69" s="3"/>
      <c r="D69" s="3"/>
      <c r="E69" s="3"/>
      <c r="F69" s="3"/>
      <c r="G69" s="3"/>
      <c r="H69" s="3"/>
    </row>
    <row r="70" customFormat="false" ht="162.65" hidden="false" customHeight="false" outlineLevel="0" collapsed="false">
      <c r="A70" s="3" t="s">
        <v>646</v>
      </c>
      <c r="B70" s="3"/>
      <c r="C70" s="3"/>
      <c r="D70" s="3"/>
      <c r="E70" s="3"/>
      <c r="F70" s="3"/>
      <c r="G70" s="3"/>
      <c r="H70" s="3"/>
    </row>
    <row r="71" customFormat="false" ht="197" hidden="false" customHeight="false" outlineLevel="0" collapsed="false">
      <c r="A71" s="3" t="s">
        <v>647</v>
      </c>
      <c r="B71" s="3"/>
      <c r="C71" s="3"/>
      <c r="D71" s="3"/>
      <c r="E71" s="3"/>
      <c r="F71" s="3"/>
      <c r="G71" s="3"/>
      <c r="H71" s="3"/>
    </row>
    <row r="72" customFormat="false" ht="219.4" hidden="false" customHeight="false" outlineLevel="0" collapsed="false">
      <c r="A72" s="3" t="s">
        <v>648</v>
      </c>
      <c r="B72" s="3"/>
      <c r="C72" s="3"/>
      <c r="D72" s="3"/>
      <c r="E72" s="3"/>
      <c r="F72" s="3"/>
      <c r="G72" s="3"/>
      <c r="H72" s="3"/>
    </row>
    <row r="73" customFormat="false" ht="114.9" hidden="false" customHeight="false" outlineLevel="0" collapsed="false">
      <c r="A73" s="3" t="s">
        <v>649</v>
      </c>
      <c r="B73" s="3"/>
      <c r="C73" s="3"/>
      <c r="D73" s="3"/>
      <c r="E73" s="3"/>
      <c r="F73" s="3"/>
      <c r="G73" s="3"/>
      <c r="H73" s="3"/>
    </row>
    <row r="74" customFormat="false" ht="97.75" hidden="false" customHeight="false" outlineLevel="0" collapsed="false">
      <c r="A74" s="3" t="s">
        <v>650</v>
      </c>
      <c r="B74" s="3"/>
      <c r="C74" s="3"/>
      <c r="D74" s="3"/>
      <c r="E74" s="3"/>
      <c r="F74" s="3"/>
      <c r="G74" s="3"/>
      <c r="H74" s="3"/>
    </row>
    <row r="75" customFormat="false" ht="80.55" hidden="false" customHeight="false" outlineLevel="0" collapsed="false">
      <c r="A75" s="3" t="s">
        <v>651</v>
      </c>
      <c r="B75" s="3"/>
      <c r="C75" s="3"/>
      <c r="D75" s="3"/>
      <c r="E75" s="3"/>
      <c r="F75" s="3"/>
      <c r="G75" s="3"/>
      <c r="H75" s="3"/>
    </row>
    <row r="76" customFormat="false" ht="137.3" hidden="false" customHeight="false" outlineLevel="0" collapsed="false">
      <c r="A76" s="3" t="s">
        <v>652</v>
      </c>
      <c r="B76" s="3"/>
      <c r="C76" s="3"/>
      <c r="D76" s="3"/>
      <c r="E76" s="3"/>
      <c r="F76" s="3"/>
      <c r="G76" s="3"/>
      <c r="H7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2026-10-15T00:17:25Z</dcterms:created>
  <dc:creator>openpyxl</dc:creator>
  <dc:description/>
  <dc:language>en-US</dc:language>
  <cp:lastModifiedBy/>
  <dcterms:modified xsi:type="dcterms:W3CDTF">2026-10-15T00:17:26Z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