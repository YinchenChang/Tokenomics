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K 拆解" sheetId="1" state="visible" r:id="rId3"/>
    <sheet name="外部價格換算" sheetId="2" state="visible" r:id="rId4"/>
    <sheet name="對帳" sheetId="3" state="visible" r:id="rId5"/>
    <sheet name="證據" sheetId="4" state="visible" r:id="rId6"/>
    <sheet name="待判斷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<sst xmlns="http://schemas.openxmlformats.org/spreadsheetml/2006/main" count="920" uniqueCount="640">
  <si>
    <r>
      <rPr>
        <b val="true"/>
        <sz val="13"/>
        <rFont val="Cambria"/>
        <family val="0"/>
        <charset val="1"/>
      </rPr>
      <t xml:space="preserve">Tokenomics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Cambria"/>
        <family val="0"/>
        <charset val="1"/>
      </rPr>
      <t xml:space="preserve">IT-GW·</t>
    </r>
    <r>
      <rPr>
        <b val="true"/>
        <sz val="13"/>
        <rFont val="WenQuanYi Zen Hei"/>
        <family val="2"/>
      </rPr>
      <t xml:space="preserve">年 經濟口徑持有成本拆解（</t>
    </r>
    <r>
      <rPr>
        <b val="true"/>
        <sz val="13"/>
        <rFont val="Cambria"/>
        <family val="0"/>
        <charset val="1"/>
      </rPr>
      <t xml:space="preserve">$B/GW·</t>
    </r>
    <r>
      <rPr>
        <b val="true"/>
        <sz val="13"/>
        <rFont val="WenQuanYi Zen Hei"/>
        <family val="2"/>
      </rPr>
      <t xml:space="preserve">年）</t>
    </r>
  </si>
  <si>
    <r>
      <rPr>
        <sz val="11"/>
        <color theme="1"/>
        <rFont val="WenQuanYi Zen Hei"/>
        <family val="2"/>
      </rPr>
      <t xml:space="preserve">來源活頁簿：</t>
    </r>
    <r>
      <rPr>
        <sz val="11"/>
        <color theme="1"/>
        <rFont val="Calibri"/>
        <family val="2"/>
        <charset val="1"/>
      </rPr>
      <t xml:space="preserve">model/20261023_Tokenomics_v20.1.xlsx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model/CURRENT</t>
    </r>
    <r>
      <rPr>
        <sz val="11"/>
        <color theme="1"/>
        <rFont val="WenQuanYi Zen Hei"/>
        <family val="2"/>
      </rPr>
      <t xml:space="preserve">）。藍字＝自模型讀入的輸入（附儲存格位置）；黑字＝本頁公式重算；「模型值」列為 </t>
    </r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列，差列應為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CLAUDE.md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節）。</t>
    </r>
  </si>
  <si>
    <t xml:space="preserve">項目</t>
  </si>
  <si>
    <t xml:space="preserve">單位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</si>
  <si>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</si>
  <si>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</si>
  <si>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</si>
  <si>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</si>
  <si>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機隊組合（</t>
    </r>
    <r>
      <rPr>
        <b val="true"/>
        <sz val="11"/>
        <rFont val="Cambria"/>
        <family val="0"/>
        <charset val="1"/>
      </rPr>
      <t xml:space="preserve">0.6/0.4</t>
    </r>
    <r>
      <rPr>
        <b val="true"/>
        <sz val="11"/>
        <rFont val="WenQuanYi Zen Hei"/>
        <family val="2"/>
      </rPr>
      <t xml:space="preserve">）</t>
    </r>
  </si>
  <si>
    <t xml:space="preserve">模型儲存格位置</t>
  </si>
  <si>
    <t xml:space="preserve">標記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</si>
  <si>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</si>
  <si>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輸入（自模型讀入）</t>
    </r>
  </si>
  <si>
    <r>
      <rPr>
        <sz val="11"/>
        <color theme="1"/>
        <rFont val="WenQuanYi Zen Hei"/>
        <family val="2"/>
      </rPr>
      <t xml:space="preserve">服務世代組合（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全年平均）</t>
    </r>
  </si>
  <si>
    <t xml:space="preserve">%</t>
  </si>
  <si>
    <t xml:space="preserve">Alloc_In!C9:C12</t>
  </si>
  <si>
    <t xml:space="preserve">Derived</t>
  </si>
  <si>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WenQuanYi Zen Hei"/>
        <family val="2"/>
      </rPr>
      <t xml:space="preserve">查證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線性爬升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</si>
  <si>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電力</t>
    </r>
  </si>
  <si>
    <t xml:space="preserve">MW</t>
  </si>
  <si>
    <t xml:space="preserve">Inputs!E5×1000</t>
  </si>
  <si>
    <t xml:space="preserve">Decision</t>
  </si>
  <si>
    <r>
      <rPr>
        <sz val="11"/>
        <color theme="1"/>
        <rFont val="WenQuanYi Zen Hei"/>
        <family val="2"/>
      </rPr>
      <t xml:space="preserve">機架外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電力占比</t>
    </r>
  </si>
  <si>
    <t xml:space="preserve">Inputs!E8</t>
  </si>
  <si>
    <t xml:space="preserve">Assumed</t>
  </si>
  <si>
    <t xml:space="preserve">PUE</t>
  </si>
  <si>
    <t xml:space="preserve">x</t>
  </si>
  <si>
    <t xml:space="preserve">Inputs!E9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</si>
  <si>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WenQuanYi Zen Hei"/>
        <family val="2"/>
      </rPr>
      <t xml:space="preserve">）</t>
    </r>
  </si>
  <si>
    <t xml:space="preserve">WACC</t>
  </si>
  <si>
    <t xml:space="preserve">Inputs!E28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</si>
  <si>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8–13%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</si>
  <si>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折舊年限</t>
    </r>
  </si>
  <si>
    <t xml:space="preserve">年</t>
  </si>
  <si>
    <t xml:space="preserve">Inputs!E23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</si>
  <si>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WenQuanYi Zen Hei"/>
        <family val="2"/>
      </rPr>
      <t xml:space="preserve">）</t>
    </r>
  </si>
  <si>
    <t xml:space="preserve">每架配電設計功率（基準）</t>
  </si>
  <si>
    <t xml:space="preserve">kW</t>
  </si>
  <si>
    <t xml:space="preserve">Spec_Rack!C9:F9</t>
  </si>
  <si>
    <t xml:space="preserve">Verified/Analogy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</si>
  <si>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封裝／架</t>
    </r>
  </si>
  <si>
    <t xml:space="preserve">顆</t>
  </si>
  <si>
    <t xml:space="preserve">Spec_Rack!C6:F6</t>
  </si>
  <si>
    <t xml:space="preserve">Verified</t>
  </si>
  <si>
    <t xml:space="preserve">機架單價（基準）</t>
  </si>
  <si>
    <t xml:space="preserve">$M</t>
  </si>
  <si>
    <t xml:space="preserve">Spec_Rack!C12:F12</t>
  </si>
  <si>
    <t xml:space="preserve">Analogy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</si>
  <si>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機架價格</t>
    </r>
  </si>
  <si>
    <t xml:space="preserve">Inputs!E13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</si>
  <si>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5–15%</t>
    </r>
    <r>
      <rPr>
        <sz val="11"/>
        <color theme="1"/>
        <rFont val="WenQuanYi Zen Hei"/>
        <family val="2"/>
      </rPr>
      <t xml:space="preserve">）</t>
    </r>
  </si>
  <si>
    <t xml:space="preserve">儲存與管理</t>
  </si>
  <si>
    <t xml:space="preserve">$/GPU</t>
  </si>
  <si>
    <t xml:space="preserve">Inputs!E14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</si>
  <si>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300–800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</si>
  <si>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平均用電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配電設計功率</t>
    </r>
  </si>
  <si>
    <t xml:space="preserve">Inputs!E10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</si>
  <si>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0.7–0.9</t>
    </r>
    <r>
      <rPr>
        <sz val="11"/>
        <color theme="1"/>
        <rFont val="WenQuanYi Zen Hei"/>
        <family val="2"/>
      </rPr>
      <t xml:space="preserve">）</t>
    </r>
  </si>
  <si>
    <t xml:space="preserve">電價</t>
  </si>
  <si>
    <t xml:space="preserve">$/kWh</t>
  </si>
  <si>
    <t xml:space="preserve">Inputs!E11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</si>
  <si>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維護費率（壽命期等值）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</si>
  <si>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</si>
  <si>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t xml:space="preserve">Inputs!E30</t>
  </si>
  <si>
    <r>
      <rPr>
        <sz val="11"/>
        <color theme="1"/>
        <rFont val="Calibri"/>
        <family val="2"/>
        <charset val="1"/>
      </rPr>
      <t xml:space="preserve">0.5% </t>
    </r>
    <r>
      <rPr>
        <sz val="11"/>
        <color theme="1"/>
        <rFont val="WenQuanYi Zen Hei"/>
        <family val="2"/>
      </rPr>
      <t xml:space="preserve">保固期內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WenQuanYi Zen Hei"/>
        <family val="2"/>
      </rPr>
      <t xml:space="preserve">保固後；以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折現成單一費率</t>
    </r>
  </si>
  <si>
    <t xml:space="preserve">廠房維護率</t>
  </si>
  <si>
    <t xml:space="preserve">Inputs!E31</t>
  </si>
  <si>
    <t xml:space="preserve">站點營運（人員＋軟體＋水耗材）</t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</si>
  <si>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WenQuanYi Zen Hei"/>
        <family val="2"/>
      </rPr>
      <t xml:space="preserve">年</t>
    </r>
  </si>
  <si>
    <t xml:space="preserve">Inputs!E32:E34</t>
  </si>
  <si>
    <r>
      <rPr>
        <sz val="11"/>
        <color theme="1"/>
        <rFont val="WenQuanYi Zen Hei"/>
        <family val="2"/>
      </rPr>
      <t xml:space="preserve">人員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WenQuanYi Zen Hei"/>
        <family val="2"/>
      </rPr>
      <t xml:space="preserve">＋軟體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WenQuanYi Zen Hei"/>
        <family val="2"/>
      </rPr>
      <t xml:space="preserve">＋水耗材 </t>
    </r>
    <r>
      <rPr>
        <sz val="11"/>
        <color theme="1"/>
        <rFont val="Calibri"/>
        <family val="2"/>
        <charset val="1"/>
      </rPr>
      <t xml:space="preserve">50 $M/GW·</t>
    </r>
    <r>
      <rPr>
        <sz val="11"/>
        <color theme="1"/>
        <rFont val="WenQuanYi Zen Hei"/>
        <family val="2"/>
      </rPr>
      <t xml:space="preserve">年</t>
    </r>
  </si>
  <si>
    <t xml:space="preserve">財產稅與保險率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</si>
  <si>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年（總資本）</t>
    </r>
  </si>
  <si>
    <t xml:space="preserve">Inputs!E35</t>
  </si>
  <si>
    <t xml:space="preserve">土地</t>
  </si>
  <si>
    <t xml:space="preserve">$M/MW</t>
  </si>
  <si>
    <t xml:space="preserve">Inputs!E16</t>
  </si>
  <si>
    <t xml:space="preserve">建物與基地</t>
  </si>
  <si>
    <t xml:space="preserve">Inputs!E17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</si>
  <si>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WenQuanYi Zen Hei"/>
        <family val="2"/>
      </rPr>
      <t xml:space="preserve">校準）</t>
    </r>
  </si>
  <si>
    <t xml:space="preserve">電力設施</t>
  </si>
  <si>
    <t xml:space="preserve">Inputs!E18</t>
  </si>
  <si>
    <t xml:space="preserve">機械與散熱</t>
  </si>
  <si>
    <t xml:space="preserve">Inputs!E19</t>
  </si>
  <si>
    <t xml:space="preserve">光纖、佈線、保全</t>
  </si>
  <si>
    <t xml:space="preserve">Inputs!E20</t>
  </si>
  <si>
    <t xml:space="preserve">設計、管理與預備費率</t>
  </si>
  <si>
    <t xml:space="preserve">Inputs!E21</t>
  </si>
  <si>
    <t xml:space="preserve">建物年限</t>
  </si>
  <si>
    <t xml:space="preserve">Inputs!E24</t>
  </si>
  <si>
    <t xml:space="preserve">電力設施年限</t>
  </si>
  <si>
    <t xml:space="preserve">Inputs!E25</t>
  </si>
  <si>
    <t xml:space="preserve">機械與散熱年限</t>
  </si>
  <si>
    <t xml:space="preserve">Inputs!E26</t>
  </si>
  <si>
    <t xml:space="preserve">光纖與保全年限</t>
  </si>
  <si>
    <t xml:space="preserve">Inputs!E27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</si>
  <si>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規模與資本支出（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 IT</t>
    </r>
    <r>
      <rPr>
        <b val="true"/>
        <sz val="11"/>
        <rFont val="WenQuanYi Zen Hei"/>
        <family val="2"/>
      </rPr>
      <t xml:space="preserve">）</t>
    </r>
  </si>
  <si>
    <t xml:space="preserve">機架數</t>
  </si>
  <si>
    <t xml:space="preserve">架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</si>
  <si>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</si>
  <si>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</si>
  <si>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</si>
  <si>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外部價格換算頁用此數把「每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小時」轉成「每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</si>
  <si>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WenQuanYi Zen Hei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capex</t>
    </r>
  </si>
  <si>
    <t xml:space="preserve">$B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</si>
  <si>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</si>
  <si>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</si>
  <si>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</si>
  <si>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儲存與管理 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</si>
  <si>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</si>
  <si>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小計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</si>
  <si>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</si>
  <si>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</si>
  <si>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</si>
  <si>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</si>
  <si>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列</t>
    </r>
  </si>
  <si>
    <t xml:space="preserve">光纖與保全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</si>
  <si>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列</t>
    </r>
  </si>
  <si>
    <t xml:space="preserve">設計、管理與預備費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</si>
  <si>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</si>
  <si>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小計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</si>
  <si>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</si>
  <si>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＋廠房）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</si>
  <si>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</si>
  <si>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WenQuanYi Zen Hei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</si>
  <si>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</si>
  <si>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Epoch Abilene </t>
    </r>
    <r>
      <rPr>
        <sz val="11"/>
        <color theme="1"/>
        <rFont val="WenQuanYi Zen Hei"/>
        <family val="2"/>
      </rPr>
      <t xml:space="preserve">資本成本 </t>
    </r>
    <r>
      <rPr>
        <sz val="11"/>
        <color theme="1"/>
        <rFont val="Calibri"/>
        <family val="2"/>
        <charset val="1"/>
      </rPr>
      <t xml:space="preserve">15.9B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421 MW IT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37.8 $M/MW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</si>
  <si>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年持有成本（經濟口徑；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 IT·</t>
    </r>
    <r>
      <rPr>
        <b val="true"/>
        <sz val="11"/>
        <rFont val="WenQuanYi Zen Hei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</si>
  <si>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資本回收（年金）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</si>
  <si>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WenQuanYi Zen Hei"/>
        <family val="2"/>
      </rPr>
      <t xml:space="preserve">列</t>
    </r>
  </si>
  <si>
    <t xml:space="preserve">  其中機架</t>
  </si>
  <si>
    <t xml:space="preserve">  其中網路</t>
  </si>
  <si>
    <t xml:space="preserve">  其中儲存</t>
  </si>
  <si>
    <r>
      <rPr>
        <sz val="11"/>
        <color theme="1"/>
        <rFont val="WenQuanYi Zen Hei"/>
        <family val="2"/>
      </rPr>
      <t xml:space="preserve">廠房資本回收（年金；土地按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</si>
  <si>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WenQuanYi Zen Hei"/>
        <family val="2"/>
      </rPr>
      <t xml:space="preserve">列</t>
    </r>
  </si>
  <si>
    <t xml:space="preserve">  其中建物（含預備費）</t>
  </si>
  <si>
    <t xml:space="preserve">  其中電力設施（含預備費）</t>
  </si>
  <si>
    <t xml:space="preserve">  其中機械散熱（含預備費）</t>
  </si>
  <si>
    <t xml:space="preserve">  其中光纖保全（含預備費）</t>
  </si>
  <si>
    <t xml:space="preserve">  其中土地（機會成本）</t>
  </si>
  <si>
    <t xml:space="preserve">電費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</si>
  <si>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43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</si>
  <si>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設施電力＝</t>
    </r>
    <r>
      <rPr>
        <sz val="11"/>
        <color theme="1"/>
        <rFont val="Calibri"/>
        <family val="2"/>
        <charset val="1"/>
      </rPr>
      <t xml:space="preserve">IT×PUE</t>
    </r>
    <r>
      <rPr>
        <sz val="11"/>
        <color theme="1"/>
        <rFont val="WenQuanYi Zen Hei"/>
        <family val="2"/>
      </rPr>
      <t xml:space="preserve">；平均負載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</si>
  <si>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維護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</si>
  <si>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WenQuanYi Zen Hei"/>
        <family val="2"/>
      </rPr>
      <t xml:space="preserve">列</t>
    </r>
  </si>
  <si>
    <t xml:space="preserve">廠房維護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</si>
  <si>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WenQuanYi Zen Hei"/>
        <family val="2"/>
      </rPr>
      <t xml:space="preserve">列</t>
    </r>
  </si>
  <si>
    <t xml:space="preserve">站點營運（人員、軟體、水、耗材）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</si>
  <si>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WenQuanYi Zen Hei"/>
        <family val="2"/>
      </rPr>
      <t xml:space="preserve">列</t>
    </r>
  </si>
  <si>
    <t xml:space="preserve">財產稅與保險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</si>
  <si>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WenQuanYi Zen Hei"/>
        <family val="2"/>
      </rPr>
      <t xml:space="preserve">列</t>
    </r>
  </si>
  <si>
    <t xml:space="preserve">營運費用小計（不含折舊）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</si>
  <si>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</si>
  <si>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WenQuanYi Zen Hei"/>
        <family val="2"/>
      </rPr>
      <t xml:space="preserve">年持有成本（經濟口徑）＝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年金＋廠房年金＋營運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</si>
  <si>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列；組合＝</t>
    </r>
    <r>
      <rPr>
        <sz val="11"/>
        <color theme="1"/>
        <rFont val="Calibri"/>
        <family val="2"/>
        <charset val="1"/>
      </rPr>
      <t xml:space="preserve">Alloc!C157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AL_FleetHold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</si>
  <si>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模型值（</t>
    </r>
    <r>
      <rPr>
        <sz val="11"/>
        <color theme="1"/>
        <rFont val="Calibri"/>
        <family val="2"/>
        <charset val="1"/>
      </rPr>
      <t xml:space="preserve">DC_Cost 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Alloc!C157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</si>
  <si>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DC_Cost!D55,G55,J55,M55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Alloc!C157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</si>
  <si>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（模型快取值）</t>
    </r>
  </si>
  <si>
    <t xml:space="preserve">差（本頁公式 − 模型值）</t>
  </si>
  <si>
    <r>
      <rPr>
        <sz val="11"/>
        <color theme="1"/>
        <rFont val="WenQuanYi Zen Hei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（浮點誤差內）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</si>
  <si>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結構占比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</si>
  <si>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資本回收占比</t>
    </r>
  </si>
  <si>
    <t xml:space="preserve">廠房資本回收占比</t>
  </si>
  <si>
    <t xml:space="preserve">電費占比</t>
  </si>
  <si>
    <r>
      <rPr>
        <sz val="11"/>
        <color theme="1"/>
        <rFont val="WenQuanYi Zen Hei"/>
        <family val="2"/>
      </rPr>
      <t xml:space="preserve">維護（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＋廠房）占比</t>
    </r>
  </si>
  <si>
    <t xml:space="preserve">其他營運（站點＋稅保）占比</t>
  </si>
  <si>
    <t xml:space="preserve">資本回收合計占比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</si>
  <si>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小時持有成本（經濟）</t>
    </r>
  </si>
  <si>
    <t xml:space="preserve">$/GPU-hr</t>
  </si>
  <si>
    <r>
      <rPr>
        <sz val="11"/>
        <color theme="1"/>
        <rFont val="WenQuanYi Zen Hei"/>
        <family val="2"/>
      </rPr>
      <t xml:space="preserve">組合欄＝加權成本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數（總成本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小時；非 </t>
    </r>
    <r>
      <rPr>
        <sz val="11"/>
        <color theme="1"/>
        <rFont val="Calibri"/>
        <family val="2"/>
        <charset val="1"/>
      </rPr>
      <t xml:space="preserve">$/hr </t>
    </r>
    <r>
      <rPr>
        <sz val="11"/>
        <color theme="1"/>
        <rFont val="WenQuanYi Zen Hei"/>
        <family val="2"/>
      </rPr>
      <t xml:space="preserve">直接加權 </t>
    </r>
    <r>
      <rPr>
        <sz val="11"/>
        <color theme="1"/>
        <rFont val="Calibri"/>
        <family val="2"/>
        <charset val="1"/>
      </rPr>
      <t xml:space="preserve">1.729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</si>
  <si>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敏感度：同一資本結構下，持有成本隨 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年限的變化（營運費用固定；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維護率不隨 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WenQuanYi Zen Hei"/>
        <family val="2"/>
      </rPr>
      <t xml:space="preserve">重算）</t>
    </r>
  </si>
  <si>
    <t xml:space="preserve">情境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</si>
  <si>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</si>
  <si>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</si>
  <si>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</si>
  <si>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</si>
  <si>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1"/>
        <rFont val="WenQuanYi Zen Hei"/>
        <family val="2"/>
      </rPr>
      <t xml:space="preserve">組合 </t>
    </r>
    <r>
      <rPr>
        <b val="true"/>
        <sz val="11"/>
        <rFont val="Cambria"/>
        <family val="0"/>
        <charset val="1"/>
      </rPr>
      <t xml:space="preserve">0.6/0.4</t>
    </r>
  </si>
  <si>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年限</t>
    </r>
  </si>
  <si>
    <r>
      <rPr>
        <sz val="11"/>
        <color theme="1"/>
        <rFont val="Calibri"/>
        <family val="2"/>
        <charset val="1"/>
      </rPr>
      <t xml:space="preserve">WACC 3.31%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IREN GPU </t>
    </r>
    <r>
      <rPr>
        <sz val="11"/>
        <color theme="1"/>
        <rFont val="WenQuanYi Zen Hei"/>
        <family val="2"/>
      </rPr>
      <t xml:space="preserve">融資平均成本）</t>
    </r>
  </si>
  <si>
    <t xml:space="preserve">WACC 5%</t>
  </si>
  <si>
    <r>
      <rPr>
        <sz val="11"/>
        <color theme="1"/>
        <rFont val="Calibri"/>
        <family val="2"/>
        <charset val="1"/>
      </rPr>
      <t xml:space="preserve">WACC 8%</t>
    </r>
    <r>
      <rPr>
        <sz val="11"/>
        <color theme="1"/>
        <rFont val="WenQuanYi Zen Hei"/>
        <family val="2"/>
      </rPr>
      <t xml:space="preserve">（模型低端）</t>
    </r>
  </si>
  <si>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WenQuanYi Zen Hei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</si>
  <si>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WACC 13%</t>
    </r>
    <r>
      <rPr>
        <sz val="11"/>
        <color theme="1"/>
        <rFont val="WenQuanYi Zen Hei"/>
        <family val="2"/>
      </rPr>
      <t xml:space="preserve">（模型高端）</t>
    </r>
  </si>
  <si>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年（對齊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年合約）</t>
    </r>
  </si>
  <si>
    <r>
      <rPr>
        <sz val="11"/>
        <color theme="1"/>
        <rFont val="Calibri"/>
        <family val="2"/>
        <charset val="1"/>
      </rPr>
      <t xml:space="preserve">WACC 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</si>
  <si>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WACC 3.31%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</t>
    </r>
  </si>
  <si>
    <r>
      <rPr>
        <b val="true"/>
        <sz val="13"/>
        <rFont val="WenQuanYi Zen Hei"/>
        <family val="2"/>
      </rPr>
      <t xml:space="preserve">外部價格 → 每 </t>
    </r>
    <r>
      <rPr>
        <b val="true"/>
        <sz val="13"/>
        <rFont val="Cambria"/>
        <family val="0"/>
        <charset val="1"/>
      </rPr>
      <t xml:space="preserve">IT-GW·</t>
    </r>
    <r>
      <rPr>
        <b val="true"/>
        <sz val="13"/>
        <rFont val="WenQuanYi Zen Hei"/>
        <family val="2"/>
      </rPr>
      <t xml:space="preserve">年（</t>
    </r>
    <r>
      <rPr>
        <b val="true"/>
        <sz val="13"/>
        <rFont val="Cambria"/>
        <family val="0"/>
        <charset val="1"/>
      </rPr>
      <t xml:space="preserve">$B</t>
    </r>
    <r>
      <rPr>
        <b val="true"/>
        <sz val="13"/>
        <rFont val="WenQuanYi Zen Hei"/>
        <family val="2"/>
      </rPr>
      <t xml:space="preserve">）換算，及其包含／不包含的項目</t>
    </r>
  </si>
  <si>
    <r>
      <rPr>
        <sz val="11"/>
        <color theme="1"/>
        <rFont val="WenQuanYi Zen Hei"/>
        <family val="2"/>
      </rPr>
      <t xml:space="preserve">藍字＝外部證據輸入（出處見「證據」頁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WenQuanYi Zen Hei"/>
        <family val="2"/>
      </rPr>
      <t xml:space="preserve">）；黑字＝公式。倍數＝外部價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WenQuanYi Zen Hei"/>
        <family val="2"/>
      </rPr>
      <t xml:space="preserve">同口徑持有成本（分母指定於「對照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WenQuanYi Zen Hei"/>
        <family val="2"/>
      </rPr>
      <t xml:space="preserve">」欄）。</t>
    </r>
  </si>
  <si>
    <t xml:space="preserve">ID</t>
  </si>
  <si>
    <t xml:space="preserve">總額／數值</t>
  </si>
  <si>
    <t xml:space="preserve">年數／係數</t>
  </si>
  <si>
    <r>
      <rPr>
        <b val="true"/>
        <sz val="11"/>
        <rFont val="WenQuanYi Zen Hei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WenQuanYi Zen Hei"/>
        <family val="2"/>
      </rPr>
      <t xml:space="preserve">）</t>
    </r>
  </si>
  <si>
    <t xml:space="preserve">容量口徑</t>
  </si>
  <si>
    <r>
      <rPr>
        <b val="true"/>
        <sz val="11"/>
        <rFont val="WenQuanYi Zen Hei"/>
        <family val="2"/>
      </rPr>
      <t xml:space="preserve">→ 每年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</si>
  <si>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→ 每 </t>
    </r>
    <r>
      <rPr>
        <b val="true"/>
        <sz val="11"/>
        <rFont val="Cambria"/>
        <family val="0"/>
        <charset val="1"/>
      </rPr>
      <t xml:space="preserve">IT-GW·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WenQuanYi Zen Hei"/>
        <family val="2"/>
      </rPr>
      <t xml:space="preserve">（點估）</t>
    </r>
  </si>
  <si>
    <t xml:space="preserve">低</t>
  </si>
  <si>
    <t xml:space="preserve">高</t>
  </si>
  <si>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項</t>
    </r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</si>
  <si>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值</t>
    </r>
  </si>
  <si>
    <t xml:space="preserve">倍數（點估）</t>
  </si>
  <si>
    <t xml:space="preserve">倍數 低</t>
  </si>
  <si>
    <t xml:space="preserve">倍數 高</t>
  </si>
  <si>
    <t xml:space="preserve">廠房</t>
  </si>
  <si>
    <t xml:space="preserve">網路／儲存</t>
  </si>
  <si>
    <t xml:space="preserve">維運</t>
  </si>
  <si>
    <t xml:space="preserve">出租方利潤／毛利</t>
  </si>
  <si>
    <t xml:space="preserve">利用率／付款假設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</si>
  <si>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世代</t>
    </r>
  </si>
  <si>
    <t xml:space="preserve">品質與限制</t>
  </si>
  <si>
    <r>
      <rPr>
        <b val="true"/>
        <sz val="11"/>
        <rFont val="WenQuanYi Zen Hei"/>
        <family val="2"/>
      </rPr>
      <t xml:space="preserve">證據 </t>
    </r>
    <r>
      <rPr>
        <b val="true"/>
        <sz val="11"/>
        <rFont val="Cambria"/>
        <family val="0"/>
        <charset val="1"/>
      </rPr>
      <t xml:space="preserve">ID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</si>
  <si>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合約／財報營收型（已是每年金額，除以容量）</t>
    </r>
  </si>
  <si>
    <t xml:space="preserve">X1</t>
  </si>
  <si>
    <r>
      <rPr>
        <sz val="11"/>
        <color theme="1"/>
        <rFont val="Calibri"/>
        <family val="2"/>
        <charset val="1"/>
      </rPr>
      <t xml:space="preserve">IREN–Microsoft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</si>
  <si>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$B </t>
    </r>
    <r>
      <rPr>
        <sz val="11"/>
        <color theme="1"/>
        <rFont val="WenQuanYi Zen Hei"/>
        <family val="2"/>
      </rPr>
      <t xml:space="preserve">合約總額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</si>
  <si>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200MW critical IT load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</si>
  <si>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</t>
    </r>
  </si>
  <si>
    <r>
      <rPr>
        <sz val="11"/>
        <color theme="1"/>
        <rFont val="WenQuanYi Zen Hei"/>
        <family val="2"/>
      </rPr>
      <t xml:space="preserve">含：</t>
    </r>
    <r>
      <rPr>
        <sz val="11"/>
        <color theme="1"/>
        <rFont val="Calibri"/>
        <family val="2"/>
        <charset val="1"/>
      </rPr>
      <t xml:space="preserve">EBITDA 85% </t>
    </r>
    <r>
      <rPr>
        <sz val="11"/>
        <color theme="1"/>
        <rFont val="WenQuanYi Zen Hei"/>
        <family val="2"/>
      </rPr>
      <t xml:space="preserve">定義為扣除電力、維修與直接營運成本，故電費由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負擔（公司估計）</t>
    </r>
  </si>
  <si>
    <r>
      <rPr>
        <sz val="11"/>
        <color theme="1"/>
        <rFont val="WenQuanYi Zen Hei"/>
        <family val="2"/>
      </rPr>
      <t xml:space="preserve">含：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Childress Horizon 1–4</t>
    </r>
    <r>
      <rPr>
        <sz val="11"/>
        <color theme="1"/>
        <rFont val="WenQuanYi Zen Hei"/>
        <family val="2"/>
      </rPr>
      <t xml:space="preserve">（含電力、冷卻）</t>
    </r>
  </si>
  <si>
    <r>
      <rPr>
        <sz val="11"/>
        <color theme="1"/>
        <rFont val="WenQuanYi Zen Hei"/>
        <family val="2"/>
      </rPr>
      <t xml:space="preserve">含：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與輔助設備（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$5.8B</t>
    </r>
    <r>
      <rPr>
        <sz val="11"/>
        <color theme="1"/>
        <rFont val="WenQuanYi Zen Hei"/>
        <family val="2"/>
      </rPr>
      <t xml:space="preserve">）</t>
    </r>
  </si>
  <si>
    <t xml:space="preserve">含</t>
  </si>
  <si>
    <r>
      <rPr>
        <sz val="11"/>
        <color theme="1"/>
        <rFont val="WenQuanYi Zen Hei"/>
        <family val="2"/>
      </rPr>
      <t xml:space="preserve">含；公司估計專案 </t>
    </r>
    <r>
      <rPr>
        <sz val="11"/>
        <color theme="1"/>
        <rFont val="Calibri"/>
        <family val="2"/>
        <charset val="1"/>
      </rPr>
      <t xml:space="preserve">EBITDA 85%</t>
    </r>
    <r>
      <rPr>
        <sz val="11"/>
        <color theme="1"/>
        <rFont val="WenQuanYi Zen Hei"/>
        <family val="2"/>
      </rPr>
      <t xml:space="preserve">（資本前）；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預付款於第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WenQuanYi Zen Hei"/>
        <family val="2"/>
      </rPr>
      <t xml:space="preserve">年抵扣（現金時點，非降價）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</si>
  <si>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年固定期限；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可因延遲交付終止；未披露保證利用率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</si>
  <si>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／新聞稿）；利害關係：賣方</t>
    </r>
  </si>
  <si>
    <r>
      <rPr>
        <sz val="11"/>
        <color theme="1"/>
        <rFont val="WenQuanYi Zen Hei"/>
        <family val="2"/>
      </rPr>
      <t xml:space="preserve">高：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口徑明確、單一原始來源（各媒體轉述同一份公告）。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年合約短於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經濟壽命，殘值歸出租方。</t>
    </r>
  </si>
  <si>
    <t xml:space="preserve">E1–E3</t>
  </si>
  <si>
    <t xml:space="preserve">X2a</t>
  </si>
  <si>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WenQuanYi Zen Hei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WenQuanYi Zen Hei"/>
        <family val="2"/>
      </rPr>
      <t xml:space="preserve">（照字面當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</si>
  <si>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$B </t>
    </r>
    <r>
      <rPr>
        <sz val="11"/>
        <color theme="1"/>
        <rFont val="WenQuanYi Zen Hei"/>
        <family val="2"/>
      </rPr>
      <t xml:space="preserve">季營收</t>
    </r>
  </si>
  <si>
    <r>
      <rPr>
        <sz val="11"/>
        <color theme="1"/>
        <rFont val="WenQuanYi Zen Hei"/>
        <family val="2"/>
      </rPr>
      <t xml:space="preserve">不明（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定義未找到）；</t>
    </r>
    <r>
      <rPr>
        <sz val="11"/>
        <color theme="1"/>
        <rFont val="Calibri"/>
        <family val="2"/>
        <charset val="1"/>
      </rPr>
      <t xml:space="preserve">590 </t>
    </r>
    <r>
      <rPr>
        <sz val="11"/>
        <color theme="1"/>
        <rFont val="WenQuanYi Zen Hei"/>
        <family val="2"/>
      </rPr>
      <t xml:space="preserve">為由「</t>
    </r>
    <r>
      <rPr>
        <sz val="11"/>
        <color theme="1"/>
        <rFont val="Calibri"/>
        <family val="2"/>
        <charset val="1"/>
      </rPr>
      <t xml:space="preserve">+260 → &gt;850</t>
    </r>
    <r>
      <rPr>
        <sz val="11"/>
        <color theme="1"/>
        <rFont val="WenQuanYi Zen Hei"/>
        <family val="2"/>
      </rPr>
      <t xml:space="preserve">」反推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</si>
  <si>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0.6/0.4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WenQuanYi Zen Hei"/>
        <family val="2"/>
      </rPr>
      <t xml:space="preserve">欄）</t>
    </r>
  </si>
  <si>
    <r>
      <rPr>
        <sz val="11"/>
        <color theme="1"/>
        <rFont val="WenQuanYi Zen Hei"/>
        <family val="2"/>
      </rPr>
      <t xml:space="preserve">含（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自租／自建混合，租賃費用在其成本內）</t>
    </r>
  </si>
  <si>
    <r>
      <rPr>
        <sz val="11"/>
        <color theme="1"/>
        <rFont val="WenQuanYi Zen Hei"/>
        <family val="2"/>
      </rPr>
      <t xml:space="preserve">含；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調整後營業利益率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營業虧損 </t>
    </r>
    <r>
      <rPr>
        <sz val="11"/>
        <color theme="1"/>
        <rFont val="Calibri"/>
        <family val="2"/>
        <charset val="1"/>
      </rPr>
      <t xml:space="preserve">$89M</t>
    </r>
  </si>
  <si>
    <t xml:space="preserve">包含新容量爬坡期（電已通但尚未計費）→ 營收偏低；承諾使用量不明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</si>
  <si>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為主＋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爬坡（推測，未揭露）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</si>
  <si>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（營收、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為公司揭露）；平均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</si>
  <si>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中低：全公司彙總、混合世代、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為期初期末平均</t>
    </r>
  </si>
  <si>
    <t xml:space="preserve">E4–E5</t>
  </si>
  <si>
    <t xml:space="preserve">X2b</t>
  </si>
  <si>
    <r>
      <rPr>
        <sz val="11"/>
        <color theme="1"/>
        <rFont val="WenQuanYi Zen Hei"/>
        <family val="2"/>
      </rPr>
      <t xml:space="preserve">同上，若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為設施口徑，換成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÷PUE 1.2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</si>
  <si>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（由設施換算；假設）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</si>
  <si>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X2a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</si>
  <si>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（口徑假設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</si>
  <si>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中低：僅用於區間上端</t>
  </si>
  <si>
    <t xml:space="preserve">X3</t>
  </si>
  <si>
    <r>
      <rPr>
        <sz val="11"/>
        <color theme="1"/>
        <rFont val="Calibri"/>
        <family val="2"/>
        <charset val="1"/>
      </rPr>
      <t xml:space="preserve">Nebius–Microsoft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年；基本 </t>
    </r>
    <r>
      <rPr>
        <sz val="11"/>
        <color theme="1"/>
        <rFont val="Calibri"/>
        <family val="2"/>
        <charset val="1"/>
      </rPr>
      <t xml:space="preserve">$17.4B</t>
    </r>
    <r>
      <rPr>
        <sz val="11"/>
        <color theme="1"/>
        <rFont val="WenQuanYi Zen Hei"/>
        <family val="2"/>
      </rPr>
      <t xml:space="preserve">，含選擇權 </t>
    </r>
    <r>
      <rPr>
        <sz val="11"/>
        <color theme="1"/>
        <rFont val="Calibri"/>
        <family val="2"/>
        <charset val="1"/>
      </rPr>
      <t xml:space="preserve">$19.4B</t>
    </r>
    <r>
      <rPr>
        <sz val="11"/>
        <color theme="1"/>
        <rFont val="WenQuanYi Zen Hei"/>
        <family val="2"/>
      </rPr>
      <t xml:space="preserve">）— 下界</t>
    </r>
  </si>
  <si>
    <r>
      <rPr>
        <sz val="11"/>
        <color theme="1"/>
        <rFont val="WenQuanYi Zen Hei"/>
        <family val="2"/>
      </rPr>
      <t xml:space="preserve">未明（</t>
    </r>
    <r>
      <rPr>
        <sz val="11"/>
        <color theme="1"/>
        <rFont val="Calibri"/>
        <family val="2"/>
        <charset val="1"/>
      </rPr>
      <t xml:space="preserve">Vineland </t>
    </r>
    <r>
      <rPr>
        <sz val="11"/>
        <color theme="1"/>
        <rFont val="WenQuanYi Zen Hei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WenQuanYi Zen Hei"/>
        <family val="2"/>
      </rPr>
      <t xml:space="preserve">，單一來源 </t>
    </r>
    <r>
      <rPr>
        <sz val="11"/>
        <color theme="1"/>
        <rFont val="Calibri"/>
        <family val="2"/>
        <charset val="1"/>
      </rPr>
      <t xml:space="preserve">GCN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</si>
  <si>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欄；世代未揭露）</t>
    </r>
  </si>
  <si>
    <t xml:space="preserve">不明</t>
  </si>
  <si>
    <r>
      <rPr>
        <sz val="11"/>
        <color theme="1"/>
        <rFont val="WenQuanYi Zen Hei"/>
        <family val="2"/>
      </rPr>
      <t xml:space="preserve">不明（專屬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容量）</t>
    </r>
  </si>
  <si>
    <r>
      <rPr>
        <sz val="11"/>
        <color theme="1"/>
        <rFont val="WenQuanYi Zen Hei"/>
        <family val="2"/>
      </rPr>
      <t xml:space="preserve">分階段 </t>
    </r>
    <r>
      <rPr>
        <sz val="11"/>
        <color theme="1"/>
        <rFont val="Calibri"/>
        <family val="2"/>
        <charset val="1"/>
      </rPr>
      <t xml:space="preserve">2025–2026 </t>
    </r>
    <r>
      <rPr>
        <sz val="11"/>
        <color theme="1"/>
        <rFont val="WenQuanYi Zen Hei"/>
        <family val="2"/>
      </rPr>
      <t xml:space="preserve">上線，分子含未上線期間</t>
    </r>
  </si>
  <si>
    <t xml:space="preserve">未揭露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</si>
  <si>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公告／媒體）</t>
    </r>
  </si>
  <si>
    <r>
      <rPr>
        <sz val="11"/>
        <color theme="1"/>
        <rFont val="WenQuanYi Zen Hei"/>
        <family val="2"/>
      </rPr>
      <t xml:space="preserve">只是下界：合約容量 ≤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WenQuanYi Zen Hei"/>
        <family val="2"/>
      </rPr>
      <t xml:space="preserve">且未計爬坡；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WenQuanYi Zen Hei"/>
        <family val="2"/>
      </rPr>
      <t xml:space="preserve">只見單一來源。不進分布。</t>
    </r>
  </si>
  <si>
    <t xml:space="preserve">E6</t>
  </si>
  <si>
    <t xml:space="preserve">X4a</t>
  </si>
  <si>
    <r>
      <rPr>
        <sz val="11"/>
        <color theme="1"/>
        <rFont val="Calibri"/>
        <family val="2"/>
        <charset val="1"/>
      </rPr>
      <t xml:space="preserve">Nebius 2026Q2 </t>
    </r>
    <r>
      <rPr>
        <sz val="11"/>
        <color theme="1"/>
        <rFont val="WenQuanYi Zen Hei"/>
        <family val="2"/>
      </rPr>
      <t xml:space="preserve">新簽四筆合約收益率（營收認列基礎）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</si>
  <si>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</si>
  <si>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未明（每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或設施）</t>
    </r>
  </si>
  <si>
    <t xml:space="preserve">不明（全含雲服務）</t>
  </si>
  <si>
    <r>
      <rPr>
        <sz val="11"/>
        <color theme="1"/>
        <rFont val="WenQuanYi Zen Hei"/>
        <family val="2"/>
      </rPr>
      <t xml:space="preserve">不明；客戶為 </t>
    </r>
    <r>
      <rPr>
        <sz val="11"/>
        <color theme="1"/>
        <rFont val="Calibri"/>
        <family val="2"/>
        <charset val="1"/>
      </rPr>
      <t xml:space="preserve">Reflection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 </t>
    </r>
    <r>
      <rPr>
        <sz val="11"/>
        <color theme="1"/>
        <rFont val="WenQuanYi Zen Hei"/>
        <family val="2"/>
      </rPr>
      <t xml:space="preserve">等非 </t>
    </r>
    <r>
      <rPr>
        <sz val="11"/>
        <color theme="1"/>
        <rFont val="Calibri"/>
        <family val="2"/>
        <charset val="1"/>
      </rPr>
      <t xml:space="preserve">hyperscaler</t>
    </r>
    <r>
      <rPr>
        <sz val="11"/>
        <color theme="1"/>
        <rFont val="WenQuanYi Zen Hei"/>
        <family val="2"/>
      </rPr>
      <t xml:space="preserve">，信用風險溢價</t>
    </r>
  </si>
  <si>
    <r>
      <rPr>
        <sz val="11"/>
        <color theme="1"/>
        <rFont val="WenQuanYi Zen Hei"/>
        <family val="2"/>
      </rPr>
      <t xml:space="preserve">預付款涵蓋 </t>
    </r>
    <r>
      <rPr>
        <sz val="11"/>
        <color theme="1"/>
        <rFont val="Calibri"/>
        <family val="2"/>
        <charset val="1"/>
      </rPr>
      <t xml:space="preserve">capex 50–60%</t>
    </r>
    <r>
      <rPr>
        <sz val="11"/>
        <color theme="1"/>
        <rFont val="WenQuanYi Zen Hei"/>
        <family val="2"/>
      </rPr>
      <t xml:space="preserve">（不計入營收認列）</t>
    </r>
  </si>
  <si>
    <r>
      <rPr>
        <sz val="11"/>
        <color theme="1"/>
        <rFont val="WenQuanYi Zen Hei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簽）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</si>
  <si>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（管理層電話會議；二手轉述）</t>
    </r>
  </si>
  <si>
    <r>
      <rPr>
        <sz val="11"/>
        <color theme="1"/>
        <rFont val="WenQuanYi Zen Hei"/>
        <family val="2"/>
      </rPr>
      <t xml:space="preserve">不可直接比：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年定價、非投資級客戶、含預付款融資。顯示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年定價已高於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年合約。</t>
    </r>
  </si>
  <si>
    <t xml:space="preserve">E7</t>
  </si>
  <si>
    <t xml:space="preserve">X4b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</si>
  <si>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短期（≤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個月）議價中的收益率</t>
    </r>
  </si>
  <si>
    <t xml:space="preserve">未明</t>
  </si>
  <si>
    <r>
      <rPr>
        <sz val="11"/>
        <color theme="1"/>
        <rFont val="WenQuanYi Zen Hei"/>
        <family val="2"/>
      </rPr>
      <t xml:space="preserve">短約，非 </t>
    </r>
    <r>
      <rPr>
        <sz val="11"/>
        <color theme="1"/>
        <rFont val="Calibri"/>
        <family val="2"/>
        <charset val="1"/>
      </rPr>
      <t xml:space="preserve">take-or-pay </t>
    </r>
    <r>
      <rPr>
        <sz val="11"/>
        <color theme="1"/>
        <rFont val="WenQuanYi Zen Hei"/>
        <family val="2"/>
      </rPr>
      <t xml:space="preserve">長約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</si>
  <si>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（管理層；「議價中」非已簽）</t>
    </r>
  </si>
  <si>
    <t xml:space="preserve">僅作現貨端參考；非合約價。</t>
  </si>
  <si>
    <t xml:space="preserve">X5a</t>
  </si>
  <si>
    <r>
      <rPr>
        <sz val="11"/>
        <color theme="1"/>
        <rFont val="Calibri"/>
        <family val="2"/>
        <charset val="1"/>
      </rPr>
      <t xml:space="preserve">Oracle–OpenAI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WenQuanYi Zen Hei"/>
        <family val="2"/>
      </rPr>
      <t xml:space="preserve">轉述：約 </t>
    </r>
    <r>
      <rPr>
        <sz val="11"/>
        <color theme="1"/>
        <rFont val="Calibri"/>
        <family val="2"/>
        <charset val="1"/>
      </rPr>
      <t xml:space="preserve">$300B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起）— 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當設施口徑，換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</si>
  <si>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WenQuanYi Zen Hei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4.5GW ÷ PUE 1.2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</si>
  <si>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欄；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起交付世代，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</si>
  <si>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含（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轉租整套設施）</t>
    </r>
  </si>
  <si>
    <r>
      <rPr>
        <sz val="11"/>
        <color theme="1"/>
        <rFont val="WenQuanYi Zen Hei"/>
        <family val="2"/>
      </rPr>
      <t xml:space="preserve">含；</t>
    </r>
    <r>
      <rPr>
        <sz val="11"/>
        <color theme="1"/>
        <rFont val="Calibri"/>
        <family val="2"/>
        <charset val="1"/>
      </rPr>
      <t xml:space="preserve">Oracle AI </t>
    </r>
    <r>
      <rPr>
        <sz val="11"/>
        <color theme="1"/>
        <rFont val="WenQuanYi Zen Hei"/>
        <family val="2"/>
      </rPr>
      <t xml:space="preserve">雲毛利「極薄」（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WenQuanYi Zen Hei"/>
        <family val="2"/>
      </rPr>
      <t xml:space="preserve">年代報導 ≈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WenQuanYi Zen Hei"/>
        <family val="2"/>
      </rPr>
      <t xml:space="preserve">，單一轉述，見 </t>
    </r>
    <r>
      <rPr>
        <sz val="11"/>
        <color theme="1"/>
        <rFont val="Calibri"/>
        <family val="2"/>
        <charset val="1"/>
      </rPr>
      <t xml:space="preserve">20261020 </t>
    </r>
    <r>
      <rPr>
        <sz val="11"/>
        <color theme="1"/>
        <rFont val="WenQuanYi Zen Hei"/>
        <family val="2"/>
      </rPr>
      <t xml:space="preserve">筆記）</t>
    </r>
  </si>
  <si>
    <r>
      <rPr>
        <sz val="11"/>
        <color theme="1"/>
        <rFont val="WenQuanYi Zen Hei"/>
        <family val="2"/>
      </rPr>
      <t xml:space="preserve">合約總額含爬坡與選擇權不明；非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WenQuanYi Zen Hei"/>
        <family val="2"/>
      </rPr>
      <t xml:space="preserve">具約束揭露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</si>
  <si>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起；世代未揭露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</si>
  <si>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（匿名消息；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未逐項確認）</t>
    </r>
  </si>
  <si>
    <r>
      <rPr>
        <sz val="11"/>
        <color theme="1"/>
        <rFont val="WenQuanYi Zen Hei"/>
        <family val="2"/>
      </rPr>
      <t xml:space="preserve">低：口徑（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／設施）與爬坡未明；</t>
    </r>
    <r>
      <rPr>
        <sz val="11"/>
        <color theme="1"/>
        <rFont val="Calibri"/>
        <family val="2"/>
        <charset val="1"/>
      </rPr>
      <t xml:space="preserve">$60B</t>
    </r>
    <r>
      <rPr>
        <sz val="11"/>
        <color theme="1"/>
        <rFont val="WenQuanYi Zen Hei"/>
        <family val="2"/>
      </rPr>
      <t xml:space="preserve">／年是除法，非揭露數字。</t>
    </r>
  </si>
  <si>
    <t xml:space="preserve">E8</t>
  </si>
  <si>
    <t xml:space="preserve">X5b</t>
  </si>
  <si>
    <r>
      <rPr>
        <sz val="11"/>
        <color theme="1"/>
        <rFont val="WenQuanYi Zen Hei"/>
        <family val="2"/>
      </rPr>
      <t xml:space="preserve">同上，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當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</t>
    </r>
  </si>
  <si>
    <t xml:space="preserve">IT</t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</si>
  <si>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欄）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</si>
  <si>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X5a</t>
    </r>
  </si>
  <si>
    <t xml:space="preserve">Interested-party</t>
  </si>
  <si>
    <t xml:space="preserve">X5c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</si>
  <si>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WenQuanYi Zen Hei"/>
        <family val="2"/>
      </rPr>
      <t xml:space="preserve">早期報導：年約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X5a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$60B</t>
    </r>
    <r>
      <rPr>
        <sz val="11"/>
        <color theme="1"/>
        <rFont val="WenQuanYi Zen Hei"/>
        <family val="2"/>
      </rPr>
      <t xml:space="preserve">／年互相矛盾，未解）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</si>
  <si>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／年</t>
    </r>
  </si>
  <si>
    <r>
      <rPr>
        <sz val="11"/>
        <color theme="1"/>
        <rFont val="WenQuanYi Zen Hei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PUE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</si>
  <si>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欄；與規格一致，世代實際未揭露）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</si>
  <si>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為主（推測）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</si>
  <si>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（匿名消息）</t>
    </r>
  </si>
  <si>
    <r>
      <rPr>
        <sz val="11"/>
        <color theme="1"/>
        <rFont val="WenQuanYi Zen Hei"/>
        <family val="2"/>
      </rPr>
      <t xml:space="preserve">低：與 </t>
    </r>
    <r>
      <rPr>
        <sz val="11"/>
        <color theme="1"/>
        <rFont val="Calibri"/>
        <family val="2"/>
        <charset val="1"/>
      </rPr>
      <t xml:space="preserve">X5a </t>
    </r>
    <r>
      <rPr>
        <sz val="11"/>
        <color theme="1"/>
        <rFont val="WenQuanYi Zen Hei"/>
        <family val="2"/>
      </rPr>
      <t xml:space="preserve">差一倍，哪個為真未知；列出僅為完整。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</si>
  <si>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支出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機隊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WenQuanYi Zen Hei"/>
        <family val="2"/>
      </rPr>
      <t xml:space="preserve">型（不是價格）</t>
    </r>
  </si>
  <si>
    <t xml:space="preserve">X6a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</si>
  <si>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雲端算力支出 </t>
    </r>
    <r>
      <rPr>
        <sz val="11"/>
        <color theme="1"/>
        <rFont val="Calibri"/>
        <family val="2"/>
        <charset val="1"/>
      </rPr>
      <t xml:space="preserve">$16.3B ÷ 1.25GW</t>
    </r>
    <r>
      <rPr>
        <sz val="11"/>
        <color theme="1"/>
        <rFont val="WenQuanYi Zen Hei"/>
        <family val="2"/>
      </rPr>
      <t xml:space="preserve">（使用者算式；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WenQuanYi Zen Hei"/>
        <family val="2"/>
      </rPr>
      <t xml:space="preserve">來源未知）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</si>
  <si>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／年（研究＋訓練＋推論）</t>
    </r>
  </si>
  <si>
    <r>
      <rPr>
        <sz val="11"/>
        <color theme="1"/>
        <rFont val="WenQuanYi Zen Hei"/>
        <family val="2"/>
      </rPr>
      <t xml:space="preserve">未明（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資料集口徑未確認）</t>
    </r>
  </si>
  <si>
    <t xml:space="preserve">視供應商</t>
  </si>
  <si>
    <r>
      <rPr>
        <sz val="11"/>
        <color theme="1"/>
        <rFont val="WenQuanYi Zen Hei"/>
        <family val="2"/>
      </rPr>
      <t xml:space="preserve">視供應商；含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授予的非現金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額度（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WenQuanYi Zen Hei"/>
        <family val="2"/>
      </rPr>
      <t xml:space="preserve">提醒）</t>
    </r>
  </si>
  <si>
    <t xml:space="preserve">支出不等於已用容量；含預留與預付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</si>
  <si>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</si>
  <si>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（二手；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內部文件轉述）</t>
    </r>
  </si>
  <si>
    <r>
      <rPr>
        <sz val="11"/>
        <color theme="1"/>
        <rFont val="WenQuanYi Zen Hei"/>
        <family val="2"/>
      </rPr>
      <t xml:space="preserve">低：這是「花多少」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「平均多少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」，不是單價；分母與分子時間窗不一定一致。低／高欄為分母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WenQuanYi Zen Hei"/>
        <family val="2"/>
      </rPr>
      <t xml:space="preserve">的敏感度（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）。</t>
    </r>
  </si>
  <si>
    <t xml:space="preserve">E9</t>
  </si>
  <si>
    <t xml:space="preserve">X6b</t>
  </si>
  <si>
    <r>
      <rPr>
        <sz val="11"/>
        <color theme="1"/>
        <rFont val="WenQuanYi Zen Hei"/>
        <family val="2"/>
      </rPr>
      <t xml:space="preserve">同上，分母改用模型 </t>
    </r>
    <r>
      <rPr>
        <sz val="11"/>
        <color theme="1"/>
        <rFont val="Calibri"/>
        <family val="2"/>
        <charset val="1"/>
      </rPr>
      <t xml:space="preserve">AL_FleetGW25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，指數內插 </t>
    </r>
    <r>
      <rPr>
        <sz val="11"/>
        <color theme="1"/>
        <rFont val="Calibri"/>
        <family val="2"/>
        <charset val="1"/>
      </rPr>
      <t xml:space="preserve">0.6→1.9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</si>
  <si>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Cap_In!C331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</si>
  <si>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X6a</t>
    </r>
  </si>
  <si>
    <r>
      <rPr>
        <sz val="11"/>
        <color theme="1"/>
        <rFont val="WenQuanYi Zen Hei"/>
        <family val="2"/>
      </rPr>
      <t xml:space="preserve">低：與 </t>
    </r>
    <r>
      <rPr>
        <sz val="11"/>
        <color theme="1"/>
        <rFont val="Calibri"/>
        <family val="2"/>
        <charset val="1"/>
      </rPr>
      <t xml:space="preserve">X6a </t>
    </r>
    <r>
      <rPr>
        <sz val="11"/>
        <color theme="1"/>
        <rFont val="WenQuanYi Zen Hei"/>
        <family val="2"/>
      </rPr>
      <t xml:space="preserve">同。</t>
    </r>
  </si>
  <si>
    <t xml:space="preserve">X6c</t>
  </si>
  <si>
    <r>
      <rPr>
        <sz val="11"/>
        <color theme="1"/>
        <rFont val="WenQuanYi Zen Hei"/>
        <family val="2"/>
      </rPr>
      <t xml:space="preserve">（對照，不是價格）</t>
    </r>
    <r>
      <rPr>
        <sz val="11"/>
        <color theme="1"/>
        <rFont val="Calibri"/>
        <family val="2"/>
        <charset val="1"/>
      </rPr>
      <t xml:space="preserve">Epoch Abilene </t>
    </r>
    <r>
      <rPr>
        <sz val="11"/>
        <color theme="1"/>
        <rFont val="WenQuanYi Zen Hei"/>
        <family val="2"/>
      </rPr>
      <t xml:space="preserve">資本成本 </t>
    </r>
    <r>
      <rPr>
        <sz val="11"/>
        <color theme="1"/>
        <rFont val="Calibri"/>
        <family val="2"/>
        <charset val="1"/>
      </rPr>
      <t xml:space="preserve">$15.9B ÷ 421MW IT → $M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IT</t>
    </r>
  </si>
  <si>
    <r>
      <rPr>
        <sz val="11"/>
        <color theme="1"/>
        <rFont val="Calibri"/>
        <family val="2"/>
        <charset val="1"/>
      </rPr>
      <t xml:space="preserve">$B </t>
    </r>
    <r>
      <rPr>
        <sz val="11"/>
        <color theme="1"/>
        <rFont val="WenQuanYi Zen Hei"/>
        <family val="2"/>
      </rPr>
      <t xml:space="preserve">資本成本（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</si>
  <si>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頁面未精確定義 </t>
    </r>
    <r>
      <rPr>
        <sz val="11"/>
        <color theme="1"/>
        <rFont val="Calibri"/>
        <family val="2"/>
        <charset val="1"/>
      </rPr>
      <t xml:space="preserve">IT power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</si>
  <si>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GB200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WenQuanYi Zen Hei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）</t>
    </r>
  </si>
  <si>
    <t xml:space="preserve">—</t>
  </si>
  <si>
    <r>
      <rPr>
        <sz val="11"/>
        <color theme="1"/>
        <rFont val="WenQuanYi Zen Hei"/>
        <family val="2"/>
      </rPr>
      <t xml:space="preserve">含（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資本成本口徑未詳）</t>
    </r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</si>
  <si>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</si>
  <si>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（衛星影像＋冷卻模型的估計）</t>
    </r>
  </si>
  <si>
    <r>
      <rPr>
        <sz val="11"/>
        <color theme="1"/>
        <rFont val="WenQuanYi Zen Hei"/>
        <family val="2"/>
      </rPr>
      <t xml:space="preserve">此列單位是 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，不是年價；用來檢查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資本支出，不進價格倍數。⚠ 與 </t>
    </r>
    <r>
      <rPr>
        <sz val="11"/>
        <color theme="1"/>
        <rFont val="Calibri"/>
        <family val="2"/>
        <charset val="1"/>
      </rPr>
      <t xml:space="preserve">X6a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$16B </t>
    </r>
    <r>
      <rPr>
        <sz val="11"/>
        <color theme="1"/>
        <rFont val="WenQuanYi Zen Hei"/>
        <family val="2"/>
      </rPr>
      <t xml:space="preserve">是兩個不同的量。</t>
    </r>
  </si>
  <si>
    <t xml:space="preserve">E10</t>
  </si>
  <si>
    <r>
      <rPr>
        <b val="true"/>
        <sz val="11"/>
        <rFont val="Cambria"/>
        <family val="0"/>
        <charset val="1"/>
      </rPr>
      <t xml:space="preserve">C. GPU </t>
    </r>
    <r>
      <rPr>
        <b val="true"/>
        <sz val="11"/>
        <rFont val="WenQuanYi Zen Hei"/>
        <family val="2"/>
      </rPr>
      <t xml:space="preserve">小時價 → 每 </t>
    </r>
    <r>
      <rPr>
        <b val="true"/>
        <sz val="11"/>
        <rFont val="Cambria"/>
        <family val="0"/>
        <charset val="1"/>
      </rPr>
      <t xml:space="preserve">IT-GW·</t>
    </r>
    <r>
      <rPr>
        <b val="true"/>
        <sz val="11"/>
        <rFont val="WenQuanYi Zen Hei"/>
        <family val="2"/>
      </rPr>
      <t xml:space="preserve">年（價格 </t>
    </r>
    <r>
      <rPr>
        <b val="true"/>
        <sz val="11"/>
        <rFont val="Cambria"/>
        <family val="0"/>
        <charset val="1"/>
      </rPr>
      <t xml:space="preserve">× TK </t>
    </r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GPU </t>
    </r>
    <r>
      <rPr>
        <b val="true"/>
        <sz val="11"/>
        <rFont val="WenQuanYi Zen Hei"/>
        <family val="2"/>
      </rPr>
      <t xml:space="preserve">數 </t>
    </r>
    <r>
      <rPr>
        <b val="true"/>
        <sz val="11"/>
        <rFont val="Cambria"/>
        <family val="0"/>
        <charset val="1"/>
      </rPr>
      <t xml:space="preserve">× 8760 ×</t>
    </r>
    <r>
      <rPr>
        <b val="true"/>
        <sz val="11"/>
        <rFont val="WenQuanYi Zen Hei"/>
        <family val="2"/>
      </rPr>
      <t xml:space="preserve">利用率）</t>
    </r>
  </si>
  <si>
    <t xml:space="preserve">X7a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</si>
  <si>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WenQuanYi Zen Hei"/>
        <family val="2"/>
      </rPr>
      <t xml:space="preserve">新雲指數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</si>
  <si>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IT-GW GPU </t>
    </r>
    <r>
      <rPr>
        <sz val="11"/>
        <color theme="1"/>
        <rFont val="WenQuanYi Zen Hei"/>
        <family val="2"/>
      </rPr>
      <t xml:space="preserve">數（見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拆解第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</si>
  <si>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欄）</t>
    </r>
  </si>
  <si>
    <t xml:space="preserve">不明（零售／指數價）</t>
  </si>
  <si>
    <t xml:space="preserve">含出租方利潤</t>
  </si>
  <si>
    <r>
      <rPr>
        <sz val="11"/>
        <color theme="1"/>
        <rFont val="WenQuanYi Zen Hei"/>
        <family val="2"/>
      </rPr>
      <t xml:space="preserve">低／高＝利用率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</si>
  <si>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（指數商）</t>
    </r>
  </si>
  <si>
    <r>
      <rPr>
        <sz val="11"/>
        <color theme="1"/>
        <rFont val="WenQuanYi Zen Hei"/>
        <family val="2"/>
      </rPr>
      <t xml:space="preserve">中：跨供應商標準化現貨型指數，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年同期較低（報導 </t>
    </r>
    <r>
      <rPr>
        <sz val="11"/>
        <color theme="1"/>
        <rFont val="Calibri"/>
        <family val="2"/>
        <charset val="1"/>
      </rPr>
      <t xml:space="preserve">2025-10→2026-03 </t>
    </r>
    <r>
      <rPr>
        <sz val="11"/>
        <color theme="1"/>
        <rFont val="WenQuanYi Zen Hei"/>
        <family val="2"/>
      </rPr>
      <t xml:space="preserve">漲約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）</t>
    </r>
  </si>
  <si>
    <t xml:space="preserve">E11</t>
  </si>
  <si>
    <t xml:space="preserve">X7b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</si>
  <si>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Ornn OCPI </t>
    </r>
    <r>
      <rPr>
        <sz val="11"/>
        <color theme="1"/>
        <rFont val="WenQuanYi Zen Hei"/>
        <family val="2"/>
      </rPr>
      <t xml:space="preserve">成交結算價 </t>
    </r>
    <r>
      <rPr>
        <sz val="11"/>
        <color theme="1"/>
        <rFont val="Calibri"/>
        <family val="2"/>
        <charset val="1"/>
      </rPr>
      <t xml:space="preserve">2026-10-22</t>
    </r>
  </si>
  <si>
    <t xml:space="preserve">中：成交價，但單日、短約</t>
  </si>
  <si>
    <t xml:space="preserve">X7c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</si>
  <si>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公開牌價 </t>
    </r>
    <r>
      <rPr>
        <sz val="11"/>
        <color theme="1"/>
        <rFont val="Calibri"/>
        <family val="2"/>
        <charset val="1"/>
      </rPr>
      <t xml:space="preserve">HGX H100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</si>
  <si>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（賣方牌價）</t>
    </r>
  </si>
  <si>
    <t xml:space="preserve">低：牌價；大客戶多簽多年約，不付牌價</t>
  </si>
  <si>
    <t xml:space="preserve">E12</t>
  </si>
  <si>
    <t xml:space="preserve">X7d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</si>
  <si>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WenQuanYi Zen Hei"/>
        <family val="2"/>
      </rPr>
      <t xml:space="preserve">隨選</t>
    </r>
  </si>
  <si>
    <r>
      <rPr>
        <sz val="11"/>
        <color theme="1"/>
        <rFont val="WenQuanYi Zen Hei"/>
        <family val="2"/>
      </rPr>
      <t xml:space="preserve">低：牌價（另一來源 </t>
    </r>
    <r>
      <rPr>
        <sz val="11"/>
        <color theme="1"/>
        <rFont val="Calibri"/>
        <family val="2"/>
        <charset val="1"/>
      </rPr>
      <t xml:space="preserve">$3.99</t>
    </r>
    <r>
      <rPr>
        <sz val="11"/>
        <color theme="1"/>
        <rFont val="WenQuanYi Zen Hei"/>
        <family val="2"/>
      </rPr>
      <t xml:space="preserve">）</t>
    </r>
  </si>
  <si>
    <t xml:space="preserve">X7e</t>
  </si>
  <si>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$42/4 GPU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</si>
  <si>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欄）</t>
    </r>
  </si>
  <si>
    <t xml:space="preserve">低：牌價</t>
  </si>
  <si>
    <t xml:space="preserve">X7f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</si>
  <si>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Bitdeer 3 </t>
    </r>
    <r>
      <rPr>
        <sz val="11"/>
        <color theme="1"/>
        <rFont val="WenQuanYi Zen Hei"/>
        <family val="2"/>
      </rPr>
      <t xml:space="preserve">年預留（彙整站列價）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</si>
  <si>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（彙整站，未對照原頁）</t>
    </r>
  </si>
  <si>
    <t xml:space="preserve">低：單一彙整站列價</t>
  </si>
  <si>
    <t xml:space="preserve">E13</t>
  </si>
  <si>
    <t xml:space="preserve">X7g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</si>
  <si>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Nscale–Microsoft Narvik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$6.2B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年／</t>
    </r>
    <r>
      <rPr>
        <sz val="11"/>
        <color theme="1"/>
        <rFont val="Calibri"/>
        <family val="2"/>
        <charset val="1"/>
      </rPr>
      <t xml:space="preserve">52,000 GPU</t>
    </r>
    <r>
      <rPr>
        <sz val="11"/>
        <color theme="1"/>
        <rFont val="WenQuanYi Zen Hei"/>
        <family val="2"/>
      </rPr>
      <t xml:space="preserve">（第三方推算）</t>
    </r>
  </si>
  <si>
    <r>
      <rPr>
        <sz val="11"/>
        <color theme="1"/>
        <rFont val="WenQuanYi Zen Hei"/>
        <family val="2"/>
      </rPr>
      <t xml:space="preserve">不明；含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長約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</si>
  <si>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 Research Substack </t>
    </r>
    <r>
      <rPr>
        <sz val="11"/>
        <color theme="1"/>
        <rFont val="WenQuanYi Zen Hei"/>
        <family val="2"/>
      </rPr>
      <t xml:space="preserve">推算；合約價非原文）</t>
    </r>
  </si>
  <si>
    <r>
      <rPr>
        <sz val="11"/>
        <color theme="1"/>
        <rFont val="WenQuanYi Zen Hei"/>
        <family val="2"/>
      </rPr>
      <t xml:space="preserve">低中：單一第二手；用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WenQuanYi Zen Hei"/>
        <family val="2"/>
      </rPr>
      <t xml:space="preserve">數換算，若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不同則偏</t>
    </r>
  </si>
  <si>
    <t xml:space="preserve">E14</t>
  </si>
  <si>
    <t xml:space="preserve">X7h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</si>
  <si>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STN 3 </t>
    </r>
    <r>
      <rPr>
        <sz val="11"/>
        <color theme="1"/>
        <rFont val="WenQuanYi Zen Hei"/>
        <family val="2"/>
      </rPr>
      <t xml:space="preserve">年預留（彙整站列價）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</si>
  <si>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（彙整站）</t>
    </r>
  </si>
  <si>
    <r>
      <rPr>
        <sz val="11"/>
        <color theme="1"/>
        <rFont val="WenQuanYi Zen Hei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單卡價（</t>
    </r>
    <r>
      <rPr>
        <sz val="11"/>
        <color theme="1"/>
        <rFont val="Calibri"/>
        <family val="2"/>
        <charset val="1"/>
      </rPr>
      <t xml:space="preserve">Silicon Data 5.93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6.71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Ornn 9.32</t>
    </r>
    <r>
      <rPr>
        <sz val="11"/>
        <color theme="1"/>
        <rFont val="WenQuanYi Zen Hei"/>
        <family val="2"/>
      </rPr>
      <t xml:space="preserve">）未換算，因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世代欄位為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WenQuanYi Zen Hei"/>
        <family val="2"/>
      </rPr>
      <t xml:space="preserve">機架且 </t>
    </r>
    <r>
      <rPr>
        <sz val="11"/>
        <color theme="1"/>
        <rFont val="Calibri"/>
        <family val="2"/>
        <charset val="1"/>
      </rPr>
      <t xml:space="preserve">B200 HGX </t>
    </r>
    <r>
      <rPr>
        <sz val="11"/>
        <color theme="1"/>
        <rFont val="WenQuanYi Zen Hei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WenQuanYi Zen Hei"/>
        <family val="2"/>
      </rPr>
      <t xml:space="preserve">數不同（缺 </t>
    </r>
    <r>
      <rPr>
        <sz val="11"/>
        <color theme="1"/>
        <rFont val="Calibri"/>
        <family val="2"/>
        <charset val="1"/>
      </rPr>
      <t xml:space="preserve">B200 HGX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WenQuanYi Zen Hei"/>
        <family val="2"/>
      </rPr>
      <t xml:space="preserve">／機架輸入）。</t>
    </r>
  </si>
  <si>
    <r>
      <rPr>
        <sz val="11"/>
        <color theme="1"/>
        <rFont val="WenQuanYi Zen Hei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X7 </t>
    </r>
    <r>
      <rPr>
        <sz val="11"/>
        <color theme="1"/>
        <rFont val="WenQuanYi Zen Hei"/>
        <family val="2"/>
      </rPr>
      <t xml:space="preserve">列的「低／高」＝利用率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。長約 </t>
    </r>
    <r>
      <rPr>
        <sz val="11"/>
        <color theme="1"/>
        <rFont val="Calibri"/>
        <family val="2"/>
        <charset val="1"/>
      </rPr>
      <t xml:space="preserve">take-or-pay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WenQuanYi Zen Hei"/>
        <family val="2"/>
      </rPr>
      <t xml:space="preserve">為宜；隨選／現貨應打折。</t>
    </r>
  </si>
  <si>
    <r>
      <rPr>
        <b val="true"/>
        <sz val="13"/>
        <rFont val="WenQuanYi Zen Hei"/>
        <family val="2"/>
      </rPr>
      <t xml:space="preserve">對帳：</t>
    </r>
    <r>
      <rPr>
        <b val="true"/>
        <sz val="13"/>
        <rFont val="Cambria"/>
        <family val="0"/>
        <charset val="1"/>
      </rPr>
      <t xml:space="preserve">TK </t>
    </r>
    <r>
      <rPr>
        <b val="true"/>
        <sz val="13"/>
        <rFont val="WenQuanYi Zen Hei"/>
        <family val="2"/>
      </rPr>
      <t xml:space="preserve">拆解項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外部價格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</si>
  <si>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唯一可逐項拆開的外部價格：</t>
    </r>
    <r>
      <rPr>
        <b val="true"/>
        <sz val="11"/>
        <rFont val="Cambria"/>
        <family val="0"/>
        <charset val="1"/>
      </rPr>
      <t xml:space="preserve">IREN–Microsoft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GB300</t>
    </r>
    <r>
      <rPr>
        <b val="true"/>
        <sz val="11"/>
        <rFont val="WenQuanYi Zen Hei"/>
        <family val="2"/>
      </rPr>
      <t xml:space="preserve">）對 </t>
    </r>
    <r>
      <rPr>
        <b val="true"/>
        <sz val="11"/>
        <rFont val="Cambria"/>
        <family val="0"/>
        <charset val="1"/>
      </rPr>
      <t xml:space="preserve">TK GB300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$B/GW IT·</t>
    </r>
    <r>
      <rPr>
        <b val="true"/>
        <sz val="11"/>
        <rFont val="WenQuanYi Zen Hei"/>
        <family val="2"/>
      </rPr>
      <t xml:space="preserve">年）</t>
    </r>
  </si>
  <si>
    <t xml:space="preserve">TK GB300</t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</si>
  <si>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隱含</t>
    </r>
  </si>
  <si>
    <r>
      <rPr>
        <b val="true"/>
        <sz val="11"/>
        <rFont val="WenQuanYi Zen Hei"/>
        <family val="2"/>
      </rPr>
      <t xml:space="preserve">差（</t>
    </r>
    <r>
      <rPr>
        <b val="true"/>
        <sz val="11"/>
        <rFont val="Cambria"/>
        <family val="0"/>
        <charset val="1"/>
      </rPr>
      <t xml:space="preserve">IREN − TK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</si>
  <si>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比（</t>
    </r>
    <r>
      <rPr>
        <b val="true"/>
        <sz val="11"/>
        <rFont val="Cambria"/>
        <family val="0"/>
        <charset val="1"/>
      </rPr>
      <t xml:space="preserve">IREN ÷ TK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</si>
  <si>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輸入／推導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</si>
  <si>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年租金（每 </t>
    </r>
    <r>
      <rPr>
        <sz val="11"/>
        <color theme="1"/>
        <rFont val="Calibri"/>
        <family val="2"/>
        <charset val="1"/>
      </rPr>
      <t xml:space="preserve">IT-GW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</si>
  <si>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</si>
  <si>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$5.8B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＋輔助設備）</t>
    </r>
    <r>
      <rPr>
        <sz val="11"/>
        <color theme="1"/>
        <rFont val="Calibri"/>
        <family val="2"/>
        <charset val="1"/>
      </rPr>
      <t xml:space="preserve">÷ 0.2 GW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</si>
  <si>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（公司公告）</t>
    </r>
  </si>
  <si>
    <r>
      <rPr>
        <sz val="11"/>
        <color theme="1"/>
        <rFont val="WenQuanYi Zen Hei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</si>
  <si>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公司簡報「資料中心基礎設施 </t>
    </r>
    <r>
      <rPr>
        <sz val="11"/>
        <color theme="1"/>
        <rFont val="Calibri"/>
        <family val="2"/>
        <charset val="1"/>
      </rPr>
      <t xml:space="preserve">$14–16M/MW</t>
    </r>
    <r>
      <rPr>
        <sz val="11"/>
        <color theme="1"/>
        <rFont val="WenQuanYi Zen Hei"/>
        <family val="2"/>
      </rPr>
      <t xml:space="preserve">」（二手轉述）→ 取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</si>
  <si>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／口徑待確認</t>
    </r>
  </si>
  <si>
    <r>
      <rPr>
        <sz val="11"/>
        <color theme="1"/>
        <rFont val="WenQuanYi Zen Hei"/>
        <family val="2"/>
      </rPr>
      <t xml:space="preserve">搜尋摘要同時出現「</t>
    </r>
    <r>
      <rPr>
        <sz val="11"/>
        <color theme="1"/>
        <rFont val="Calibri"/>
        <family val="2"/>
        <charset val="1"/>
      </rPr>
      <t xml:space="preserve">all-in $14–16M/MW</t>
    </r>
    <r>
      <rPr>
        <sz val="11"/>
        <color theme="1"/>
        <rFont val="WenQuanYi Zen Hei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$9–11M </t>
    </r>
    <r>
      <rPr>
        <sz val="11"/>
        <color theme="1"/>
        <rFont val="WenQuanYi Zen Hei"/>
        <family val="2"/>
      </rPr>
      <t xml:space="preserve">為資料中心」兩句，口徑未能對上原簡報；因 </t>
    </r>
    <r>
      <rPr>
        <sz val="11"/>
        <color theme="1"/>
        <rFont val="Calibri"/>
        <family val="2"/>
        <charset val="1"/>
      </rPr>
      <t xml:space="preserve">$14–16M×200MW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$2.8–3.2B</t>
    </r>
    <r>
      <rPr>
        <sz val="11"/>
        <color theme="1"/>
        <rFont val="WenQuanYi Zen Hei"/>
        <family val="2"/>
      </rPr>
      <t xml:space="preserve">，與第三方估計吻合，本頁採 </t>
    </r>
    <r>
      <rPr>
        <sz val="11"/>
        <color theme="1"/>
        <rFont val="Calibri"/>
        <family val="2"/>
        <charset val="1"/>
      </rPr>
      <t xml:space="preserve">14–16 </t>
    </r>
    <r>
      <rPr>
        <sz val="11"/>
        <color theme="1"/>
        <rFont val="WenQuanYi Zen Hei"/>
        <family val="2"/>
      </rPr>
      <t xml:space="preserve">為資料中心基礎設施。</t>
    </r>
  </si>
  <si>
    <r>
      <rPr>
        <sz val="11"/>
        <color theme="1"/>
        <rFont val="WenQuanYi Zen Hei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WenQuanYi Zen Hei"/>
        <family val="2"/>
      </rPr>
      <t xml:space="preserve">）</t>
    </r>
  </si>
  <si>
    <t xml:space="preserve">營運費用（不含資本）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</si>
  <si>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×(1−85%)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WenQuanYi Zen Hei"/>
        <family val="2"/>
      </rPr>
      <t xml:space="preserve">＝公司估計專案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WenQuanYi Zen Hei"/>
        <family val="2"/>
      </rPr>
      <t xml:space="preserve">率（扣電力、維修、直接營運成本，未扣公司管理費與融資）</t>
    </r>
  </si>
  <si>
    <r>
      <rPr>
        <sz val="11"/>
        <color theme="1"/>
        <rFont val="WenQuanYi Zen Hei"/>
        <family val="2"/>
      </rPr>
      <t xml:space="preserve">是下界：</t>
    </r>
    <r>
      <rPr>
        <sz val="11"/>
        <color theme="1"/>
        <rFont val="Calibri"/>
        <family val="2"/>
        <charset val="1"/>
      </rPr>
      <t xml:space="preserve">85% </t>
    </r>
    <r>
      <rPr>
        <sz val="11"/>
        <color theme="1"/>
        <rFont val="WenQuanYi Zen Hei"/>
        <family val="2"/>
      </rPr>
      <t xml:space="preserve">是公司對專案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WenQuanYi Zen Hei"/>
        <family val="2"/>
      </rPr>
      <t xml:space="preserve">率的估計（偏樂觀的上限），實際營運費用可能更高。</t>
    </r>
  </si>
  <si>
    <t xml:space="preserve">資本回收（租金 − 營運）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</si>
  <si>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隱含＝租金 − 營運費用</t>
    </r>
  </si>
  <si>
    <t xml:space="preserve">租金差額拆解：營運費用貢獻</t>
  </si>
  <si>
    <r>
      <rPr>
        <sz val="11"/>
        <color theme="1"/>
        <rFont val="WenQuanYi Zen Hei"/>
        <family val="2"/>
      </rPr>
      <t xml:space="preserve">負值＝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隱含營運費用低於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WenQuanYi Zen Hei"/>
        <family val="2"/>
      </rPr>
      <t xml:space="preserve">；占總差額比例見右欄</t>
    </r>
  </si>
  <si>
    <t xml:space="preserve">租金差額拆解：資本回收貢獻</t>
  </si>
  <si>
    <r>
      <rPr>
        <sz val="11"/>
        <color theme="1"/>
        <rFont val="WenQuanYi Zen Hei"/>
        <family val="2"/>
      </rPr>
      <t xml:space="preserve">檢查：兩項貢獻合計 − 總差額（應為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</si>
  <si>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資本回收口徑：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年租金是否足以回收其 </t>
    </r>
    <r>
      <rPr>
        <b val="true"/>
        <sz val="11"/>
        <rFont val="Cambria"/>
        <family val="0"/>
        <charset val="1"/>
      </rPr>
      <t xml:space="preserve">capex</t>
    </r>
    <r>
      <rPr>
        <b val="true"/>
        <sz val="11"/>
        <rFont val="WenQuanYi Zen Hei"/>
        <family val="2"/>
      </rPr>
      <t xml:space="preserve">？（以 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隱含資本回收與總 </t>
    </r>
    <r>
      <rPr>
        <b val="true"/>
        <sz val="11"/>
        <rFont val="Cambria"/>
        <family val="0"/>
        <charset val="1"/>
      </rPr>
      <t xml:space="preserve">capex </t>
    </r>
    <r>
      <rPr>
        <b val="true"/>
        <sz val="11"/>
        <rFont val="WenQuanYi Zen Hei"/>
        <family val="2"/>
      </rPr>
      <t xml:space="preserve">估算）</t>
    </r>
  </si>
  <si>
    <t xml:space="preserve">折現率</t>
  </si>
  <si>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年淨租金現值 </t>
    </r>
    <r>
      <rPr>
        <b val="true"/>
        <sz val="11"/>
        <rFont val="Cambria"/>
        <family val="0"/>
        <charset val="1"/>
      </rPr>
      <t xml:space="preserve">($B/GW)</t>
    </r>
  </si>
  <si>
    <r>
      <rPr>
        <b val="true"/>
        <sz val="11"/>
        <rFont val="WenQuanYi Zen Hei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 ($B/GW)</t>
    </r>
  </si>
  <si>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年末所需殘值／重新出租價值現值之外 </t>
    </r>
    <r>
      <rPr>
        <b val="true"/>
        <sz val="11"/>
        <rFont val="Cambria"/>
        <family val="0"/>
        <charset val="1"/>
      </rPr>
      <t xml:space="preserve">($B</t>
    </r>
    <r>
      <rPr>
        <b val="true"/>
        <sz val="11"/>
        <rFont val="WenQuanYi Zen Hei"/>
        <family val="2"/>
      </rPr>
      <t xml:space="preserve">，年末價值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</si>
  <si>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殘值占總 </t>
    </r>
    <r>
      <rPr>
        <b val="true"/>
        <sz val="11"/>
        <rFont val="Cambria"/>
        <family val="0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</si>
  <si>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3.31%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IREN GPU </t>
    </r>
    <r>
      <rPr>
        <sz val="11"/>
        <color theme="1"/>
        <rFont val="WenQuanYi Zen Hei"/>
        <family val="2"/>
      </rPr>
      <t xml:space="preserve">融資平均成本）</t>
    </r>
  </si>
  <si>
    <r>
      <rPr>
        <sz val="11"/>
        <color theme="1"/>
        <rFont val="WenQuanYi Zen Hei"/>
        <family val="2"/>
      </rPr>
      <t xml:space="preserve">殘值＝第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年末資產仍須有的價值（含續約租金或轉售），才能在該折現率下回本。</t>
    </r>
  </si>
  <si>
    <r>
      <rPr>
        <sz val="11"/>
        <color theme="1"/>
        <rFont val="WenQuanYi Zen Hei"/>
        <family val="2"/>
      </rPr>
      <t xml:space="preserve">廠房取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時（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）所需殘值 </t>
    </r>
    <r>
      <rPr>
        <sz val="11"/>
        <color theme="1"/>
        <rFont val="Calibri"/>
        <family val="2"/>
        <charset val="1"/>
      </rPr>
      <t xml:space="preserve">18.9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22.1</t>
    </r>
    <r>
      <rPr>
        <sz val="11"/>
        <color theme="1"/>
        <rFont val="WenQuanYi Zen Hei"/>
        <family val="2"/>
      </rPr>
      <t xml:space="preserve">；（</t>
    </r>
    <r>
      <rPr>
        <sz val="11"/>
        <color theme="1"/>
        <rFont val="Calibri"/>
        <family val="2"/>
        <charset val="1"/>
      </rPr>
      <t xml:space="preserve">3.31%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6.6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8.9 $B/GW</t>
    </r>
    <r>
      <rPr>
        <sz val="11"/>
        <color theme="1"/>
        <rFont val="WenQuanYi Zen Hei"/>
        <family val="2"/>
      </rPr>
      <t xml:space="preserve">。</t>
    </r>
  </si>
  <si>
    <t xml:space="preserve">6%</t>
  </si>
  <si>
    <t xml:space="preserve">8%</t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</si>
  <si>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WACC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</si>
  <si>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10% </t>
    </r>
    <r>
      <rPr>
        <sz val="11"/>
        <color theme="1"/>
        <rFont val="WenQuanYi Zen Hei"/>
        <family val="2"/>
      </rPr>
      <t xml:space="preserve">下需約一半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年末價值；廠房（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WenQuanYi Zen Hei"/>
        <family val="2"/>
      </rPr>
      <t xml:space="preserve">年壽命）本身就能承擔一部分，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（已用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年）承擔有限。→ 租金低於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持有成本，主要是「出租方折現率較低＋把廠房後段價值算在合約外」，而非成本結構相異。</t>
    </r>
  </si>
  <si>
    <t xml:space="preserve">13%</t>
  </si>
  <si>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WenQuanYi Zen Hei"/>
        <family val="2"/>
      </rPr>
      <t xml:space="preserve">（使 </t>
    </r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WenQuanYi Zen Hei"/>
        <family val="2"/>
      </rPr>
      <t xml:space="preserve">持有成本＝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租金 </t>
    </r>
    <r>
      <rPr>
        <sz val="11"/>
        <color theme="1"/>
        <rFont val="Calibri"/>
        <family val="2"/>
        <charset val="1"/>
      </rPr>
      <t xml:space="preserve">9.70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）：</t>
    </r>
  </si>
  <si>
    <r>
      <rPr>
        <sz val="11"/>
        <color theme="1"/>
        <rFont val="WenQuanYi Zen Hei"/>
        <family val="2"/>
      </rPr>
      <t xml:space="preserve">依序：</t>
    </r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WenQuanYi Zen Hei"/>
        <family val="2"/>
      </rPr>
      <t xml:space="preserve">年＋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營運費；</t>
    </r>
    <r>
      <rPr>
        <sz val="11"/>
        <color theme="1"/>
        <rFont val="Calibri"/>
        <family val="2"/>
        <charset val="1"/>
      </rPr>
      <t xml:space="preserve">IT 5 </t>
    </r>
    <r>
      <rPr>
        <sz val="11"/>
        <color theme="1"/>
        <rFont val="WenQuanYi Zen Hei"/>
        <family val="2"/>
      </rPr>
      <t xml:space="preserve">年＋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營運費；</t>
    </r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WenQuanYi Zen Hei"/>
        <family val="2"/>
      </rPr>
      <t xml:space="preserve">年＋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隱含營運費；</t>
    </r>
    <r>
      <rPr>
        <sz val="11"/>
        <color theme="1"/>
        <rFont val="Calibri"/>
        <family val="2"/>
        <charset val="1"/>
      </rPr>
      <t xml:space="preserve">IT 5 </t>
    </r>
    <r>
      <rPr>
        <sz val="11"/>
        <color theme="1"/>
        <rFont val="WenQuanYi Zen Hei"/>
        <family val="2"/>
      </rPr>
      <t xml:space="preserve">年＋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隱含營運費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</si>
  <si>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其他外部價格：能對到哪一項、差額多少、不可分離之處</t>
    </r>
  </si>
  <si>
    <t xml:space="preserve">外部價格</t>
  </si>
  <si>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IT-GW·</t>
    </r>
    <r>
      <rPr>
        <b val="true"/>
        <sz val="11"/>
        <rFont val="WenQuanYi Zen Hei"/>
        <family val="2"/>
      </rPr>
      <t xml:space="preserve">年（點估）</t>
    </r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</si>
  <si>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對照（同世代）</t>
    </r>
  </si>
  <si>
    <r>
      <rPr>
        <b val="true"/>
        <sz val="11"/>
        <rFont val="WenQuanYi Zen Hei"/>
        <family val="2"/>
      </rPr>
      <t xml:space="preserve">差額 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WenQuanYi Zen Hei"/>
        <family val="2"/>
      </rPr>
      <t xml:space="preserve">（外部−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WenQuanYi Zen Hei"/>
        <family val="2"/>
      </rPr>
      <t xml:space="preserve">）</t>
    </r>
  </si>
  <si>
    <t xml:space="preserve">倍數</t>
  </si>
  <si>
    <r>
      <rPr>
        <b val="true"/>
        <sz val="11"/>
        <rFont val="WenQuanYi Zen Hei"/>
        <family val="2"/>
      </rPr>
      <t xml:space="preserve">可歸因到的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拆解項</t>
    </r>
  </si>
  <si>
    <t xml:space="preserve">不可分離的部分</t>
  </si>
  <si>
    <t xml:space="preserve">缺哪個輸入</t>
  </si>
  <si>
    <r>
      <rPr>
        <sz val="11"/>
        <color theme="1"/>
        <rFont val="Calibri"/>
        <family val="2"/>
        <charset val="1"/>
      </rPr>
      <t xml:space="preserve">X2a CoreWeave 2025Q4 </t>
    </r>
    <r>
      <rPr>
        <sz val="11"/>
        <color theme="1"/>
        <rFont val="WenQuanYi Zen Hei"/>
        <family val="2"/>
      </rPr>
      <t xml:space="preserve">彙總</t>
    </r>
  </si>
  <si>
    <r>
      <rPr>
        <sz val="11"/>
        <color theme="1"/>
        <rFont val="WenQuanYi Zen Hei"/>
        <family val="2"/>
      </rPr>
      <t xml:space="preserve">無法歸因到單項。可知：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調整後營業利益率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），表示營收約等於含折舊與利息前的成本；但折舊、利息、租賃費沒有在搜尋摘要中。</t>
    </r>
  </si>
  <si>
    <r>
      <rPr>
        <sz val="11"/>
        <color theme="1"/>
        <rFont val="WenQuanYi Zen Hei"/>
        <family val="2"/>
      </rPr>
      <t xml:space="preserve">世代組合、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或設施、爬坡中容量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</si>
  <si>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cost of revenue</t>
    </r>
    <r>
      <rPr>
        <sz val="11"/>
        <color theme="1"/>
        <rFont val="WenQuanYi Zen Hei"/>
        <family val="2"/>
      </rPr>
      <t xml:space="preserve">／折舊／租賃費；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定義；分世代營收</t>
    </r>
  </si>
  <si>
    <r>
      <rPr>
        <sz val="11"/>
        <color theme="1"/>
        <rFont val="Calibri"/>
        <family val="2"/>
        <charset val="1"/>
      </rPr>
      <t xml:space="preserve">X3 Nebius–Microsoft</t>
    </r>
    <r>
      <rPr>
        <sz val="11"/>
        <color theme="1"/>
        <rFont val="WenQuanYi Zen Hei"/>
        <family val="2"/>
      </rPr>
      <t xml:space="preserve">（下界）</t>
    </r>
  </si>
  <si>
    <r>
      <rPr>
        <sz val="11"/>
        <color theme="1"/>
        <rFont val="WenQuanYi Zen Hei"/>
        <family val="2"/>
      </rPr>
      <t xml:space="preserve">只能說 ≥ 此值；若容量全用上，倍數 ≥ 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WenQuanYi Zen Hei"/>
        <family val="2"/>
      </rPr>
      <t xml:space="preserve">（對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</si>
  <si>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WenQuanYi Zen Hei"/>
        <family val="2"/>
      </rPr>
      <t xml:space="preserve">容量實際分配、爬坡、世代、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口徑</t>
    </r>
  </si>
  <si>
    <r>
      <rPr>
        <sz val="11"/>
        <color theme="1"/>
        <rFont val="WenQuanYi Zen Hei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WenQuanYi Zen Hei"/>
        <family val="2"/>
      </rPr>
      <t xml:space="preserve">、各階段上線日、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世代</t>
    </r>
  </si>
  <si>
    <r>
      <rPr>
        <sz val="11"/>
        <color theme="1"/>
        <rFont val="Calibri"/>
        <family val="2"/>
        <charset val="1"/>
      </rPr>
      <t xml:space="preserve">X4a Nebius 2026Q2 </t>
    </r>
    <r>
      <rPr>
        <sz val="11"/>
        <color theme="1"/>
        <rFont val="WenQuanYi Zen Hei"/>
        <family val="2"/>
      </rPr>
      <t xml:space="preserve">新約（低）</t>
    </r>
  </si>
  <si>
    <r>
      <rPr>
        <sz val="11"/>
        <color theme="1"/>
        <rFont val="WenQuanYi Zen Hei"/>
        <family val="2"/>
      </rPr>
      <t xml:space="preserve">不可分離：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定價、信用溢價、預付融資三者疊加。</t>
    </r>
  </si>
  <si>
    <r>
      <rPr>
        <sz val="11"/>
        <color theme="1"/>
        <rFont val="WenQuanYi Zen Hei"/>
        <family val="2"/>
      </rPr>
      <t xml:space="preserve">定價趨勢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客戶信用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預付款</t>
    </r>
  </si>
  <si>
    <r>
      <rPr>
        <sz val="11"/>
        <color theme="1"/>
        <rFont val="WenQuanYi Zen Hei"/>
        <family val="2"/>
      </rPr>
      <t xml:space="preserve">每筆合約的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口徑、世代、年期、預付金額</t>
    </r>
  </si>
  <si>
    <r>
      <rPr>
        <sz val="11"/>
        <color theme="1"/>
        <rFont val="Calibri"/>
        <family val="2"/>
        <charset val="1"/>
      </rPr>
      <t xml:space="preserve">X5a Oracle</t>
    </r>
    <r>
      <rPr>
        <sz val="11"/>
        <color theme="1"/>
        <rFont val="WenQuanYi Zen Hei"/>
        <family val="2"/>
      </rPr>
      <t xml:space="preserve">（設施→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</si>
  <si>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持有成本相比差距小（見倍數）；差額可能來自爬坡平均、選擇權與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毛利。</t>
    </r>
  </si>
  <si>
    <t xml:space="preserve">爬坡與選擇權、毛利、世代</t>
  </si>
  <si>
    <r>
      <rPr>
        <sz val="11"/>
        <color theme="1"/>
        <rFont val="WenQuanYi Zen Hei"/>
        <family val="2"/>
      </rPr>
      <t xml:space="preserve">合約逐年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與金額、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該合約毛利</t>
    </r>
  </si>
  <si>
    <r>
      <rPr>
        <sz val="11"/>
        <color theme="1"/>
        <rFont val="Calibri"/>
        <family val="2"/>
        <charset val="1"/>
      </rPr>
      <t xml:space="preserve">X5b Oracle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口徑）</t>
    </r>
  </si>
  <si>
    <t xml:space="preserve">同上</t>
  </si>
  <si>
    <r>
      <rPr>
        <sz val="11"/>
        <color theme="1"/>
        <rFont val="Calibri"/>
        <family val="2"/>
        <charset val="1"/>
      </rPr>
      <t xml:space="preserve">X6b </t>
    </r>
    <r>
      <rPr>
        <sz val="11"/>
        <color theme="1"/>
        <rFont val="WenQuanYi Zen Hei"/>
        <family val="2"/>
      </rPr>
      <t xml:space="preserve">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</si>
  <si>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WenQuanYi Zen Hei"/>
        <family val="2"/>
      </rPr>
      <t xml:space="preserve">不可分離：分子為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全部雲端支出（含研究、訓練、預留與非現金額度），分母為模型內插值。</t>
    </r>
  </si>
  <si>
    <r>
      <rPr>
        <sz val="11"/>
        <color theme="1"/>
        <rFont val="WenQuanYi Zen Hei"/>
        <family val="2"/>
      </rPr>
      <t xml:space="preserve">訓練／研究／推論用量、額度、預付、機隊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時間序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</si>
  <si>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GPU-hour </t>
    </r>
    <r>
      <rPr>
        <sz val="11"/>
        <color theme="1"/>
        <rFont val="WenQuanYi Zen Hei"/>
        <family val="2"/>
      </rPr>
      <t xml:space="preserve">或各供應商實際上線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的月度序列</t>
    </r>
  </si>
  <si>
    <r>
      <rPr>
        <sz val="11"/>
        <color theme="1"/>
        <rFont val="Calibri"/>
        <family val="2"/>
        <charset val="1"/>
      </rPr>
      <t xml:space="preserve">X7a H100 Silicon Data </t>
    </r>
    <r>
      <rPr>
        <sz val="11"/>
        <color theme="1"/>
        <rFont val="WenQuanYi Zen Hei"/>
        <family val="2"/>
      </rPr>
      <t xml:space="preserve">現貨型（</t>
    </r>
    <r>
      <rPr>
        <sz val="11"/>
        <color theme="1"/>
        <rFont val="Calibri"/>
        <family val="2"/>
        <charset val="1"/>
      </rPr>
      <t xml:space="preserve">u=1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</si>
  <si>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現貨價高於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長約價；</t>
    </r>
    <r>
      <rPr>
        <sz val="11"/>
        <color theme="1"/>
        <rFont val="Calibri"/>
        <family val="2"/>
        <charset val="1"/>
      </rPr>
      <t xml:space="preserve">TK Hopper </t>
    </r>
    <r>
      <rPr>
        <sz val="11"/>
        <color theme="1"/>
        <rFont val="WenQuanYi Zen Hei"/>
        <family val="2"/>
      </rPr>
      <t xml:space="preserve">持有成本代表「持有」，不含出租方利潤與稀缺租金。</t>
    </r>
  </si>
  <si>
    <r>
      <rPr>
        <sz val="11"/>
        <color theme="1"/>
        <rFont val="WenQuanYi Zen Hei"/>
        <family val="2"/>
      </rPr>
      <t xml:space="preserve">出租方利潤、稀缺租金、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差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</si>
  <si>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年同口徑現貨序列、利用率</t>
    </r>
  </si>
  <si>
    <r>
      <rPr>
        <sz val="11"/>
        <color theme="1"/>
        <rFont val="Calibri"/>
        <family val="2"/>
        <charset val="1"/>
      </rPr>
      <t xml:space="preserve">X7g Nscale 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u=1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</si>
  <si>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$2.7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隱含值同量級。</t>
    </r>
  </si>
  <si>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</si>
  <si>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Nscale Narvik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</si>
  <si>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世代對齊：同一個外部價，分別除以不同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世代（說明「</t>
    </r>
    <r>
      <rPr>
        <b val="true"/>
        <sz val="11"/>
        <rFont val="Cambria"/>
        <family val="0"/>
        <charset val="1"/>
      </rPr>
      <t xml:space="preserve">12–12.8 </t>
    </r>
    <r>
      <rPr>
        <b val="true"/>
        <sz val="11"/>
        <rFont val="WenQuanYi Zen Hei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9.35</t>
    </r>
    <r>
      <rPr>
        <b val="true"/>
        <sz val="11"/>
        <rFont val="WenQuanYi Zen Hei"/>
        <family val="2"/>
      </rPr>
      <t xml:space="preserve">」與「</t>
    </r>
    <r>
      <rPr>
        <b val="true"/>
        <sz val="11"/>
        <rFont val="Cambria"/>
        <family val="0"/>
        <charset val="1"/>
      </rPr>
      <t xml:space="preserve">0.9 </t>
    </r>
    <r>
      <rPr>
        <b val="true"/>
        <sz val="11"/>
        <rFont val="WenQuanYi Zen Hei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10.89</t>
    </r>
    <r>
      <rPr>
        <b val="true"/>
        <sz val="11"/>
        <rFont val="WenQuanYi Zen Hei"/>
        <family val="2"/>
      </rPr>
      <t xml:space="preserve">」為何方向相反）</t>
    </r>
  </si>
  <si>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IT-GW·</t>
    </r>
    <r>
      <rPr>
        <b val="true"/>
        <sz val="11"/>
        <rFont val="WenQuanYi Zen Hei"/>
        <family val="2"/>
      </rPr>
      <t xml:space="preserve">年</t>
    </r>
  </si>
  <si>
    <t xml:space="preserve">÷ Hopper</t>
  </si>
  <si>
    <t xml:space="preserve">÷ GB200</t>
  </si>
  <si>
    <t xml:space="preserve">÷ GB300</t>
  </si>
  <si>
    <t xml:space="preserve">÷ VR200</t>
  </si>
  <si>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WenQuanYi Zen Hei"/>
        <family val="2"/>
      </rPr>
      <t xml:space="preserve">組合 </t>
    </r>
    <r>
      <rPr>
        <b val="true"/>
        <sz val="11"/>
        <rFont val="Cambria"/>
        <family val="0"/>
        <charset val="1"/>
      </rPr>
      <t xml:space="preserve">0.6/0.4</t>
    </r>
  </si>
  <si>
    <r>
      <rPr>
        <sz val="11"/>
        <color theme="1"/>
        <rFont val="Calibri"/>
        <family val="2"/>
        <charset val="1"/>
      </rPr>
      <t xml:space="preserve">X1 IREN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實簽）</t>
    </r>
  </si>
  <si>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GB300 0.89</t>
    </r>
    <r>
      <rPr>
        <sz val="11"/>
        <color theme="1"/>
        <rFont val="WenQuanYi Zen Hei"/>
        <family val="2"/>
      </rPr>
      <t xml:space="preserve">；對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WenQuanYi Zen Hei"/>
        <family val="2"/>
      </rPr>
      <t xml:space="preserve">（因組合偏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，持有成本較低）。</t>
    </r>
  </si>
  <si>
    <r>
      <rPr>
        <sz val="11"/>
        <color theme="1"/>
        <rFont val="Calibri"/>
        <family val="2"/>
        <charset val="1"/>
      </rPr>
      <t xml:space="preserve">X5a Oracle </t>
    </r>
    <r>
      <rPr>
        <sz val="11"/>
        <color theme="1"/>
        <rFont val="WenQuanYi Zen Hei"/>
        <family val="2"/>
      </rPr>
      <t xml:space="preserve">設施→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</si>
  <si>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Oracle 2027 </t>
    </r>
    <r>
      <rPr>
        <sz val="11"/>
        <color theme="1"/>
        <rFont val="WenQuanYi Zen Hei"/>
        <family val="2"/>
      </rPr>
      <t xml:space="preserve">起的合約若交付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世代，倍數 </t>
    </r>
    <r>
      <rPr>
        <sz val="11"/>
        <color theme="1"/>
        <rFont val="Calibri"/>
        <family val="2"/>
        <charset val="1"/>
      </rPr>
      <t xml:space="preserve">1.1–1.5</t>
    </r>
    <r>
      <rPr>
        <sz val="11"/>
        <color theme="1"/>
        <rFont val="WenQuanYi Zen Hei"/>
        <family val="2"/>
      </rPr>
      <t xml:space="preserve">；拿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當分母會被放大到 </t>
    </r>
    <r>
      <rPr>
        <sz val="11"/>
        <color theme="1"/>
        <rFont val="Calibri"/>
        <family val="2"/>
        <charset val="1"/>
      </rPr>
      <t xml:space="preserve">1.4–1.7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</si>
  <si>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X5b Oracle IT </t>
    </r>
    <r>
      <rPr>
        <sz val="11"/>
        <color theme="1"/>
        <rFont val="WenQuanYi Zen Hei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</si>
  <si>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X6a </t>
    </r>
    <r>
      <rPr>
        <sz val="11"/>
        <color theme="1"/>
        <rFont val="WenQuanYi Zen Hei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÷1.25GW</t>
    </r>
    <r>
      <rPr>
        <sz val="11"/>
        <color theme="1"/>
        <rFont val="WenQuanYi Zen Hei"/>
        <family val="2"/>
      </rPr>
      <t xml:space="preserve">（使用者算式）</t>
    </r>
  </si>
  <si>
    <r>
      <rPr>
        <sz val="11"/>
        <color theme="1"/>
        <rFont val="WenQuanYi Zen Hei"/>
        <family val="2"/>
      </rPr>
      <t xml:space="preserve">分母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年舊世代組合；若同一支出對應的是更新世代，倍數降低。</t>
    </r>
  </si>
  <si>
    <r>
      <rPr>
        <sz val="11"/>
        <color theme="1"/>
        <rFont val="Calibri"/>
        <family val="2"/>
        <charset val="1"/>
      </rPr>
      <t xml:space="preserve">X6b </t>
    </r>
    <r>
      <rPr>
        <sz val="11"/>
        <color theme="1"/>
        <rFont val="WenQuanYi Zen Hei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GW</t>
    </r>
  </si>
  <si>
    <t xml:space="preserve">X2a CoreWeave 2025Q4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</si>
  <si>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結論用區間（同口徑＝外部價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同世代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持有成本；公式引用上方各列）</t>
    </r>
  </si>
  <si>
    <t xml:space="preserve">類別</t>
  </si>
  <si>
    <t xml:space="preserve">納入項目</t>
  </si>
  <si>
    <t xml:space="preserve">是否同口徑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</si>
  <si>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已簽長約、已上線資產（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年份）</t>
    </r>
  </si>
  <si>
    <r>
      <rPr>
        <sz val="11"/>
        <color theme="1"/>
        <rFont val="Calibri"/>
        <family val="2"/>
        <charset val="1"/>
      </rPr>
      <t xml:space="preserve">X1 IREN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X2a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CoreWeave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X7g Nscale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u=1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</si>
  <si>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WenQuanYi Zen Hei"/>
        <family val="2"/>
      </rPr>
      <t xml:space="preserve">；世代對齊）</t>
    </r>
  </si>
  <si>
    <r>
      <rPr>
        <sz val="11"/>
        <color theme="1"/>
        <rFont val="WenQuanYi Zen Hei"/>
        <family val="2"/>
      </rPr>
      <t xml:space="preserve">同口徑長約倍數集中在 </t>
    </r>
    <r>
      <rPr>
        <sz val="11"/>
        <color theme="1"/>
        <rFont val="Calibri"/>
        <family val="2"/>
        <charset val="1"/>
      </rPr>
      <t xml:space="preserve">0.9–1.1</t>
    </r>
    <r>
      <rPr>
        <sz val="11"/>
        <color theme="1"/>
        <rFont val="WenQuanYi Zen Hei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TK 10% WACC </t>
    </r>
    <r>
      <rPr>
        <sz val="11"/>
        <color theme="1"/>
        <rFont val="WenQuanYi Zen Hei"/>
        <family val="2"/>
      </rPr>
      <t xml:space="preserve">的持有成本大致相符，不支持「市場價 ≈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WenQuanYi Zen Hei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WenQuanYi Zen Hei"/>
        <family val="2"/>
      </rPr>
      <t xml:space="preserve">」。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</si>
  <si>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遠期大合約（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起，世代未揭露）對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</si>
  <si>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X5a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Oracle</t>
    </r>
  </si>
  <si>
    <t xml:space="preserve">部分（口徑與世代均為假設）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</si>
  <si>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現貨／短約（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WenQuanYi Zen Hei"/>
        <family val="2"/>
      </rPr>
      <t xml:space="preserve">）對 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</si>
  <si>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X7a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X7b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 0.7–1.0</t>
    </r>
    <r>
      <rPr>
        <sz val="11"/>
        <color theme="1"/>
        <rFont val="WenQuanYi Zen Hei"/>
        <family val="2"/>
      </rPr>
      <t xml:space="preserve">）</t>
    </r>
  </si>
  <si>
    <t xml:space="preserve">否（時點、期限不同）</t>
  </si>
  <si>
    <r>
      <rPr>
        <sz val="11"/>
        <color theme="1"/>
        <rFont val="WenQuanYi Zen Hei"/>
        <family val="2"/>
      </rPr>
      <t xml:space="preserve">現貨與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年新約高於長約是時點與稀缺性，不等於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年持有成本偏低。</t>
    </r>
  </si>
  <si>
    <r>
      <rPr>
        <sz val="11"/>
        <color theme="1"/>
        <rFont val="Calibri"/>
        <family val="2"/>
        <charset val="1"/>
      </rPr>
      <t xml:space="preserve">4 2026 </t>
    </r>
    <r>
      <rPr>
        <sz val="11"/>
        <color theme="1"/>
        <rFont val="WenQuanYi Zen Hei"/>
        <family val="2"/>
      </rPr>
      <t xml:space="preserve">年新簽（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WenQuanYi Zen Hei"/>
        <family val="2"/>
      </rPr>
      <t xml:space="preserve">）對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</si>
  <si>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X4a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</si>
  <si>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否（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口徑未明）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</si>
  <si>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÷GW</t>
    </r>
    <r>
      <rPr>
        <sz val="11"/>
        <color theme="1"/>
        <rFont val="WenQuanYi Zen Hei"/>
        <family val="2"/>
      </rPr>
      <t xml:space="preserve">（非價格）</t>
    </r>
  </si>
  <si>
    <r>
      <rPr>
        <sz val="11"/>
        <color theme="1"/>
        <rFont val="Calibri"/>
        <family val="2"/>
        <charset val="1"/>
      </rPr>
      <t xml:space="preserve">X6a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</si>
  <si>
    <t xml:space="preserve">否</t>
  </si>
  <si>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12–12.8</t>
    </r>
    <r>
      <rPr>
        <sz val="11"/>
        <color theme="1"/>
        <rFont val="WenQuanYi Zen Hei"/>
        <family val="2"/>
      </rPr>
      <t xml:space="preserve">」型數字屬第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類或第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類；它們用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當分母才顯得高。</t>
    </r>
  </si>
  <si>
    <t xml:space="preserve">事實（含原文／數字）</t>
  </si>
  <si>
    <r>
      <rPr>
        <b val="true"/>
        <sz val="11"/>
        <rFont val="WenQuanYi Zen Hei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URL</t>
    </r>
  </si>
  <si>
    <t xml:space="preserve">日期／存取</t>
  </si>
  <si>
    <t xml:space="preserve">搜尋狀態</t>
  </si>
  <si>
    <t xml:space="preserve">限制</t>
  </si>
  <si>
    <t xml:space="preserve">E1</t>
  </si>
  <si>
    <r>
      <rPr>
        <sz val="11"/>
        <color theme="1"/>
        <rFont val="Calibri"/>
        <family val="2"/>
        <charset val="1"/>
      </rPr>
      <t xml:space="preserve">IREN–Microsoft </t>
    </r>
    <r>
      <rPr>
        <sz val="11"/>
        <color theme="1"/>
        <rFont val="WenQuanYi Zen Hei"/>
        <family val="2"/>
      </rPr>
      <t xml:space="preserve">條款</t>
    </r>
  </si>
  <si>
    <r>
      <rPr>
        <sz val="11"/>
        <color theme="1"/>
        <rFont val="WenQuanYi Zen Hei"/>
        <family val="2"/>
      </rPr>
      <t xml:space="preserve">總額約 </t>
    </r>
    <r>
      <rPr>
        <sz val="11"/>
        <color theme="1"/>
        <rFont val="Calibri"/>
        <family val="2"/>
        <charset val="1"/>
      </rPr>
      <t xml:space="preserve">$9.7B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年（至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預付款於各批交付前支付並於第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WenQuanYi Zen Hei"/>
        <family val="2"/>
      </rPr>
      <t xml:space="preserve">年抵扣；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裝於 </t>
    </r>
    <r>
      <rPr>
        <sz val="11"/>
        <color theme="1"/>
        <rFont val="Calibri"/>
        <family val="2"/>
        <charset val="1"/>
      </rPr>
      <t xml:space="preserve">Childress Horizon 1–4</t>
    </r>
    <r>
      <rPr>
        <sz val="11"/>
        <color theme="1"/>
        <rFont val="WenQuanYi Zen Hei"/>
        <family val="2"/>
      </rPr>
      <t xml:space="preserve">，合計約 </t>
    </r>
    <r>
      <rPr>
        <sz val="11"/>
        <color theme="1"/>
        <rFont val="Calibri"/>
        <family val="2"/>
        <charset val="1"/>
      </rPr>
      <t xml:space="preserve">200MW IT load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年交付；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WenQuanYi Zen Hei"/>
        <family val="2"/>
      </rPr>
      <t xml:space="preserve">購買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與輔助設備約 </t>
    </r>
    <r>
      <rPr>
        <sz val="11"/>
        <color theme="1"/>
        <rFont val="Calibri"/>
        <family val="2"/>
        <charset val="1"/>
      </rPr>
      <t xml:space="preserve">$5.8B</t>
    </r>
    <r>
      <rPr>
        <sz val="11"/>
        <color theme="1"/>
        <rFont val="WenQuanYi Zen Hei"/>
        <family val="2"/>
      </rPr>
      <t xml:space="preserve">。</t>
    </r>
  </si>
  <si>
    <t xml:space="preserve">https://www.sec.gov/Archives/edgar/data/1878848/000114036125040072/ef20058139_8k.htm</t>
  </si>
  <si>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WenQuanYi Zen Hei"/>
        <family val="2"/>
      </rPr>
      <t xml:space="preserve">；搜尋摘要（本環境直接抓取被擋）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</si>
  <si>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／新聞稿）；賣方＝利害關係人</t>
    </r>
  </si>
  <si>
    <t xml:space="preserve">已找到（摘要）；原文未直接讀</t>
  </si>
  <si>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網站在本環境 </t>
    </r>
    <r>
      <rPr>
        <sz val="11"/>
        <color theme="1"/>
        <rFont val="Calibri"/>
        <family val="2"/>
        <charset val="1"/>
      </rPr>
      <t xml:space="preserve">ENOTFOUND</t>
    </r>
    <r>
      <rPr>
        <sz val="11"/>
        <color theme="1"/>
        <rFont val="WenQuanYi Zen Hei"/>
        <family val="2"/>
      </rPr>
      <t xml:space="preserve">，只能引用搜尋摘要。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顆數搜尋未找到（「</t>
    </r>
    <r>
      <rPr>
        <sz val="11"/>
        <color theme="1"/>
        <rFont val="Calibri"/>
        <family val="2"/>
        <charset val="1"/>
      </rPr>
      <t xml:space="preserve">76,000</t>
    </r>
    <r>
      <rPr>
        <sz val="11"/>
        <color theme="1"/>
        <rFont val="WenQuanYi Zen Hei"/>
        <family val="2"/>
      </rPr>
      <t xml:space="preserve">」查無來源）。</t>
    </r>
  </si>
  <si>
    <t xml:space="preserve">E2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</si>
  <si>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專案經濟</t>
    </r>
  </si>
  <si>
    <r>
      <rPr>
        <sz val="11"/>
        <color theme="1"/>
        <rFont val="WenQuanYi Zen Hei"/>
        <family val="2"/>
      </rPr>
      <t xml:space="preserve">預期年化營收 </t>
    </r>
    <r>
      <rPr>
        <sz val="11"/>
        <color theme="1"/>
        <rFont val="Calibri"/>
        <family val="2"/>
        <charset val="1"/>
      </rPr>
      <t xml:space="preserve">$1.94B</t>
    </r>
    <r>
      <rPr>
        <sz val="11"/>
        <color theme="1"/>
        <rFont val="WenQuanYi Zen Hei"/>
        <family val="2"/>
      </rPr>
      <t xml:space="preserve">；公司估計專案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WenQuanYi Zen Hei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WenQuanYi Zen Hei"/>
        <family val="2"/>
      </rPr>
      <t xml:space="preserve">（扣電力、維修、直接營運成本；未扣公司管理費與融資）；資料中心基礎設施約 </t>
    </r>
    <r>
      <rPr>
        <sz val="11"/>
        <color theme="1"/>
        <rFont val="Calibri"/>
        <family val="2"/>
        <charset val="1"/>
      </rPr>
      <t xml:space="preserve">$14–16M/MW IT</t>
    </r>
    <r>
      <rPr>
        <sz val="11"/>
        <color theme="1"/>
        <rFont val="WenQuanYi Zen Hei"/>
        <family val="2"/>
      </rPr>
      <t xml:space="preserve">（簡報，二手轉述）；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融資：</t>
    </r>
    <r>
      <rPr>
        <sz val="11"/>
        <color theme="1"/>
        <rFont val="Calibri"/>
        <family val="2"/>
        <charset val="1"/>
      </rPr>
      <t xml:space="preserve">$3.65B </t>
    </r>
    <r>
      <rPr>
        <sz val="11"/>
        <color theme="1"/>
        <rFont val="WenQuanYi Zen Hei"/>
        <family val="2"/>
      </rPr>
      <t xml:space="preserve">設施涵蓋 </t>
    </r>
    <r>
      <rPr>
        <sz val="11"/>
        <color theme="1"/>
        <rFont val="Calibri"/>
        <family val="2"/>
        <charset val="1"/>
      </rPr>
      <t xml:space="preserve">$5.81B GPU capex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WenQuanYi Zen Hei"/>
        <family val="2"/>
      </rPr>
      <t xml:space="preserve">，平均成本 </t>
    </r>
    <r>
      <rPr>
        <sz val="11"/>
        <color theme="1"/>
        <rFont val="Calibri"/>
        <family val="2"/>
        <charset val="1"/>
      </rPr>
      <t xml:space="preserve">3.31%</t>
    </r>
    <r>
      <rPr>
        <sz val="11"/>
        <color theme="1"/>
        <rFont val="WenQuanYi Zen Hei"/>
        <family val="2"/>
      </rPr>
      <t xml:space="preserve">。</t>
    </r>
  </si>
  <si>
    <t xml:space="preserve">https://iren.gcs-web.com/static-files/a421bb34-0156-4687-be7d-19f53a5236e5</t>
  </si>
  <si>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WenQuanYi Zen Hei"/>
        <family val="2"/>
      </rPr>
      <t xml:space="preserve">融資新聞</t>
    </r>
  </si>
  <si>
    <t xml:space="preserve">已找到（搜尋摘要）</t>
  </si>
  <si>
    <r>
      <rPr>
        <sz val="11"/>
        <color theme="1"/>
        <rFont val="Calibri"/>
        <family val="2"/>
        <charset val="1"/>
      </rPr>
      <t xml:space="preserve">$14–16M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$9–11M </t>
    </r>
    <r>
      <rPr>
        <sz val="11"/>
        <color theme="1"/>
        <rFont val="WenQuanYi Zen Hei"/>
        <family val="2"/>
      </rPr>
      <t xml:space="preserve">兩個數字在摘要中口徑混在一起；以 </t>
    </r>
    <r>
      <rPr>
        <sz val="11"/>
        <color theme="1"/>
        <rFont val="Calibri"/>
        <family val="2"/>
        <charset val="1"/>
      </rPr>
      <t xml:space="preserve">$14–16M×200MW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$2.8–3.2B </t>
    </r>
    <r>
      <rPr>
        <sz val="11"/>
        <color theme="1"/>
        <rFont val="WenQuanYi Zen Hei"/>
        <family val="2"/>
      </rPr>
      <t xml:space="preserve">與第三方估計吻合而採用。</t>
    </r>
  </si>
  <si>
    <t xml:space="preserve">E3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</si>
  <si>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交付進度</t>
    </r>
  </si>
  <si>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50MW critical IT</t>
    </r>
    <r>
      <rPr>
        <sz val="11"/>
        <color theme="1"/>
        <rFont val="WenQuanYi Zen Hei"/>
        <family val="2"/>
      </rPr>
      <t xml:space="preserve">）已交付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WenQuanYi Zen Hei"/>
        <family val="2"/>
      </rPr>
      <t xml:space="preserve">，共四個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年交付。</t>
    </r>
  </si>
  <si>
    <t xml:space="preserve">https://finance.yahoo.com/technology/ai/articles/iren-delivers-first-50mw-microsoft-133130586.html</t>
  </si>
  <si>
    <t xml:space="preserve">2026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</si>
  <si>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（二手轉述公司公告）</t>
    </r>
  </si>
  <si>
    <t xml:space="preserve">已找到</t>
  </si>
  <si>
    <t xml:space="preserve">E4</t>
  </si>
  <si>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active power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</si>
  <si>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$1,572M</t>
    </r>
    <r>
      <rPr>
        <sz val="11"/>
        <color theme="1"/>
        <rFont val="WenQuanYi Zen Hei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110%</t>
    </r>
    <r>
      <rPr>
        <sz val="11"/>
        <color theme="1"/>
        <rFont val="WenQuanYi Zen Hei"/>
        <family val="2"/>
      </rPr>
      <t xml:space="preserve">）；調整後營業利益 </t>
    </r>
    <r>
      <rPr>
        <sz val="11"/>
        <color theme="1"/>
        <rFont val="Calibri"/>
        <family val="2"/>
        <charset val="1"/>
      </rPr>
      <t xml:space="preserve">$88M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營業虧損 </t>
    </r>
    <r>
      <rPr>
        <sz val="11"/>
        <color theme="1"/>
        <rFont val="Calibri"/>
        <family val="2"/>
        <charset val="1"/>
      </rPr>
      <t xml:space="preserve">$89M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新增約 </t>
    </r>
    <r>
      <rPr>
        <sz val="11"/>
        <color theme="1"/>
        <rFont val="Calibri"/>
        <family val="2"/>
        <charset val="1"/>
      </rPr>
      <t xml:space="preserve">260MW active power</t>
    </r>
    <r>
      <rPr>
        <sz val="11"/>
        <color theme="1"/>
        <rFont val="WenQuanYi Zen Hei"/>
        <family val="2"/>
      </rPr>
      <t xml:space="preserve">，期末 </t>
    </r>
    <r>
      <rPr>
        <sz val="11"/>
        <color theme="1"/>
        <rFont val="Calibri"/>
        <family val="2"/>
        <charset val="1"/>
      </rPr>
      <t xml:space="preserve">&gt;850MW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contracted power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backlog $66.8B</t>
    </r>
    <r>
      <rPr>
        <sz val="11"/>
        <color theme="1"/>
        <rFont val="WenQuanYi Zen Hei"/>
        <family val="2"/>
      </rPr>
      <t xml:space="preserve">。</t>
    </r>
  </si>
  <si>
    <t xml:space="preserve">https://www.businesswire.com/news/home/20260226281661/en/CoreWeave-Reports-Strong-Fourth-Quarter-and-Fiscal-Year-2025-Results</t>
  </si>
  <si>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WenQuanYi Zen Hei"/>
        <family val="2"/>
      </rPr>
      <t xml:space="preserve">；搜尋摘要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</si>
  <si>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（公司揭露）</t>
    </r>
  </si>
  <si>
    <t xml:space="preserve">已找到（摘要）</t>
  </si>
  <si>
    <r>
      <rPr>
        <sz val="11"/>
        <color theme="1"/>
        <rFont val="WenQuanYi Zen Hei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590MW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850−260 </t>
    </r>
    <r>
      <rPr>
        <sz val="11"/>
        <color theme="1"/>
        <rFont val="WenQuanYi Zen Hei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cost of revenue</t>
    </r>
    <r>
      <rPr>
        <sz val="11"/>
        <color theme="1"/>
        <rFont val="WenQuanYi Zen Hei"/>
        <family val="2"/>
      </rPr>
      <t xml:space="preserve">、折舊、租賃費未找到。</t>
    </r>
  </si>
  <si>
    <t xml:space="preserve">E5</t>
  </si>
  <si>
    <r>
      <rPr>
        <sz val="11"/>
        <color theme="1"/>
        <rFont val="Calibri"/>
        <family val="2"/>
        <charset val="1"/>
      </rPr>
      <t xml:space="preserve">CoreWeave active power </t>
    </r>
    <r>
      <rPr>
        <sz val="11"/>
        <color theme="1"/>
        <rFont val="WenQuanYi Zen Hei"/>
        <family val="2"/>
      </rPr>
      <t xml:space="preserve">定義</t>
    </r>
  </si>
  <si>
    <r>
      <rPr>
        <sz val="11"/>
        <color theme="1"/>
        <rFont val="WenQuanYi Zen Hei"/>
        <family val="2"/>
      </rPr>
      <t xml:space="preserve">公司正式定義未找到；第三方描述為「已通電、可跑營收工作負載的資料中心電力容量」，是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或設施未明。</t>
    </r>
    <r>
      <rPr>
        <sz val="11"/>
        <color theme="1"/>
        <rFont val="Calibri"/>
        <family val="2"/>
        <charset val="1"/>
      </rPr>
      <t xml:space="preserve">State of AI </t>
    </r>
    <r>
      <rPr>
        <sz val="11"/>
        <color theme="1"/>
        <rFont val="WenQuanYi Zen Hei"/>
        <family val="2"/>
      </rPr>
      <t xml:space="preserve">報告指出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WenQuanYi Zen Hei"/>
        <family val="2"/>
      </rPr>
      <t xml:space="preserve">重疊、非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數。</t>
    </r>
  </si>
  <si>
    <t xml:space="preserve">https://www.stateof.ai/2026-explore/data/compute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</si>
  <si>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／二手</t>
    </r>
  </si>
  <si>
    <t xml:space="preserve">已搜尋，未找到（一手定義）</t>
  </si>
  <si>
    <r>
      <rPr>
        <sz val="11"/>
        <color theme="1"/>
        <rFont val="WenQuanYi Zen Hei"/>
        <family val="2"/>
      </rPr>
      <t xml:space="preserve">這決定 </t>
    </r>
    <r>
      <rPr>
        <sz val="11"/>
        <color theme="1"/>
        <rFont val="Calibri"/>
        <family val="2"/>
        <charset val="1"/>
      </rPr>
      <t xml:space="preserve">X2a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X2b </t>
    </r>
    <r>
      <rPr>
        <sz val="11"/>
        <color theme="1"/>
        <rFont val="WenQuanYi Zen Hei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。</t>
    </r>
  </si>
  <si>
    <t xml:space="preserve">Nebius–Microsoft</t>
  </si>
  <si>
    <r>
      <rPr>
        <sz val="11"/>
        <color theme="1"/>
        <rFont val="WenQuanYi Zen Hei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$17.4B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年（至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WenQuanYi Zen Hei"/>
        <family val="2"/>
      </rPr>
      <t xml:space="preserve">），選擇權可至約 </t>
    </r>
    <r>
      <rPr>
        <sz val="11"/>
        <color theme="1"/>
        <rFont val="Calibri"/>
        <family val="2"/>
        <charset val="1"/>
      </rPr>
      <t xml:space="preserve">$19.4B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Vineland NJ</t>
    </r>
    <r>
      <rPr>
        <sz val="11"/>
        <color theme="1"/>
        <rFont val="WenQuanYi Zen Hei"/>
        <family val="2"/>
      </rPr>
      <t xml:space="preserve">，分階段 </t>
    </r>
    <r>
      <rPr>
        <sz val="11"/>
        <color theme="1"/>
        <rFont val="Calibri"/>
        <family val="2"/>
        <charset val="1"/>
      </rPr>
      <t xml:space="preserve">2025–2026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GCN </t>
    </r>
    <r>
      <rPr>
        <sz val="11"/>
        <color theme="1"/>
        <rFont val="WenQuanYi Zen Hei"/>
        <family val="2"/>
      </rPr>
      <t xml:space="preserve">一處提及（引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目標）。</t>
    </r>
  </si>
  <si>
    <t xml:space="preserve">https://www.verdict.co.uk/nebius-agreement-microsoft-gpu-services/</t>
  </si>
  <si>
    <t xml:space="preserve">2025-09</t>
  </si>
  <si>
    <t xml:space="preserve">已找到；容量單一來源</t>
  </si>
  <si>
    <t xml:space="preserve">容量實際分配未揭露，只用於下界。</t>
  </si>
  <si>
    <r>
      <rPr>
        <sz val="11"/>
        <color theme="1"/>
        <rFont val="Calibri"/>
        <family val="2"/>
        <charset val="1"/>
      </rPr>
      <t xml:space="preserve">Nebius 2026Q2 </t>
    </r>
    <r>
      <rPr>
        <sz val="11"/>
        <color theme="1"/>
        <rFont val="WenQuanYi Zen Hei"/>
        <family val="2"/>
      </rPr>
      <t xml:space="preserve">電話會議</t>
    </r>
  </si>
  <si>
    <r>
      <rPr>
        <sz val="11"/>
        <color theme="1"/>
        <rFont val="WenQuanYi Zen Hei"/>
        <family val="2"/>
      </rPr>
      <t xml:space="preserve">四筆新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雲合約平均 </t>
    </r>
    <r>
      <rPr>
        <sz val="11"/>
        <color theme="1"/>
        <rFont val="Calibri"/>
        <family val="2"/>
        <charset val="1"/>
      </rPr>
      <t xml:space="preserve">&gt;$1B</t>
    </r>
    <r>
      <rPr>
        <sz val="11"/>
        <color theme="1"/>
        <rFont val="WenQuanYi Zen Hei"/>
        <family val="2"/>
      </rPr>
      <t xml:space="preserve">，收益率 </t>
    </r>
    <r>
      <rPr>
        <sz val="11"/>
        <color theme="1"/>
        <rFont val="Calibri"/>
        <family val="2"/>
        <charset val="1"/>
      </rPr>
      <t xml:space="preserve">$20–25M/MW</t>
    </r>
    <r>
      <rPr>
        <sz val="11"/>
        <color theme="1"/>
        <rFont val="WenQuanYi Zen Hei"/>
        <family val="2"/>
      </rPr>
      <t xml:space="preserve">（營收認列基礎，不含預付款），預付款涵蓋 </t>
    </r>
    <r>
      <rPr>
        <sz val="11"/>
        <color theme="1"/>
        <rFont val="Calibri"/>
        <family val="2"/>
        <charset val="1"/>
      </rPr>
      <t xml:space="preserve">capex 50–60%</t>
    </r>
    <r>
      <rPr>
        <sz val="11"/>
        <color theme="1"/>
        <rFont val="WenQuanYi Zen Hei"/>
        <family val="2"/>
      </rPr>
      <t xml:space="preserve">；短約（≤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個月）議價 </t>
    </r>
    <r>
      <rPr>
        <sz val="11"/>
        <color theme="1"/>
        <rFont val="Calibri"/>
        <family val="2"/>
        <charset val="1"/>
      </rPr>
      <t xml:space="preserve">$40–50M/MW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$582M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ARR $3B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2026 capex $20–25B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contracted power </t>
    </r>
    <r>
      <rPr>
        <sz val="11"/>
        <color theme="1"/>
        <rFont val="WenQuanYi Zen Hei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connected 800MW–1GW</t>
    </r>
    <r>
      <rPr>
        <sz val="11"/>
        <color theme="1"/>
        <rFont val="WenQuanYi Zen Hei"/>
        <family val="2"/>
      </rPr>
      <t xml:space="preserve">。</t>
    </r>
  </si>
  <si>
    <t xml:space="preserve">https://www.marketbeat.com/instant-alerts/nebius-group-q2-earnings-call-highlights-2026-08-12/</t>
  </si>
  <si>
    <t xml:space="preserve">2026-08-12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</si>
  <si>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（管理層）</t>
    </r>
  </si>
  <si>
    <t xml:space="preserve">已找到（二手摘要）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</si>
  <si>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還是設施、世代皆未說明。</t>
    </r>
  </si>
  <si>
    <t xml:space="preserve">Oracle–OpenAI</t>
  </si>
  <si>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WenQuanYi Zen Hei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$300B</t>
    </r>
    <r>
      <rPr>
        <sz val="11"/>
        <color theme="1"/>
        <rFont val="WenQuanYi Zen Hei"/>
        <family val="2"/>
      </rPr>
      <t xml:space="preserve">／約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年、需約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$60B</t>
    </r>
    <r>
      <rPr>
        <sz val="11"/>
        <color theme="1"/>
        <rFont val="WenQuanYi Zen Hei"/>
        <family val="2"/>
      </rPr>
      <t xml:space="preserve">／年是除法。較早（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WenQuanYi Zen Hei"/>
        <family val="2"/>
      </rPr>
      <t xml:space="preserve">）報導「年約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WenQuanYi Zen Hei"/>
        <family val="2"/>
      </rPr>
      <t xml:space="preserve">」。均為匿名消息，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未逐項確認；</t>
    </r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WenQuanYi Zen Hei"/>
        <family val="2"/>
      </rPr>
      <t xml:space="preserve">稱「非鐵板釘釘的第一天數字」。</t>
    </r>
    <r>
      <rPr>
        <sz val="11"/>
        <color theme="1"/>
        <rFont val="Calibri"/>
        <family val="2"/>
        <charset val="1"/>
      </rPr>
      <t xml:space="preserve">Oracle RPO $664B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WenQuanYi Zen Hei"/>
        <family val="2"/>
      </rPr>
      <t xml:space="preserve">底）。</t>
    </r>
  </si>
  <si>
    <t xml:space="preserve">https://www.techmeme.com/250910/p43</t>
  </si>
  <si>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</si>
  <si>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已找到；口徑（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／設施）未找到</t>
    </r>
  </si>
  <si>
    <r>
      <rPr>
        <sz val="11"/>
        <color theme="1"/>
        <rFont val="WenQuanYi Zen Hei"/>
        <family val="2"/>
      </rPr>
      <t xml:space="preserve">使用者提到的「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算術 </t>
    </r>
    <r>
      <rPr>
        <sz val="11"/>
        <color theme="1"/>
        <rFont val="Calibri"/>
        <family val="2"/>
        <charset val="1"/>
      </rPr>
      <t xml:space="preserve">12–12.8</t>
    </r>
    <r>
      <rPr>
        <sz val="11"/>
        <color theme="1"/>
        <rFont val="WenQuanYi Zen Hei"/>
        <family val="2"/>
      </rPr>
      <t xml:space="preserve">」我複算不出：</t>
    </r>
    <r>
      <rPr>
        <sz val="11"/>
        <color theme="1"/>
        <rFont val="Calibri"/>
        <family val="2"/>
        <charset val="1"/>
      </rPr>
      <t xml:space="preserve">$60B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WenQuanYi Zen Hei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為設施、換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</si>
  <si>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雲端算力支出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</si>
  <si>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方法頁引用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雲端算力支出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$6.8B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$16.3B</t>
    </r>
    <r>
      <rPr>
        <sz val="11"/>
        <color theme="1"/>
        <rFont val="WenQuanYi Zen Hei"/>
        <family val="2"/>
      </rPr>
      <t xml:space="preserve">（亦有「</t>
    </r>
    <r>
      <rPr>
        <sz val="11"/>
        <color theme="1"/>
        <rFont val="Calibri"/>
        <family val="2"/>
        <charset val="1"/>
      </rPr>
      <t xml:space="preserve">&gt;$15B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$16B</t>
    </r>
    <r>
      <rPr>
        <sz val="11"/>
        <color theme="1"/>
        <rFont val="WenQuanYi Zen Hei"/>
        <family val="2"/>
      </rPr>
      <t xml:space="preserve">」不同說法）；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$8.4B</t>
    </r>
    <r>
      <rPr>
        <sz val="11"/>
        <color theme="1"/>
        <rFont val="WenQuanYi Zen Hei"/>
        <family val="2"/>
      </rPr>
      <t xml:space="preserve">。</t>
    </r>
  </si>
  <si>
    <t xml:space="preserve">https://epoch.ai/data/ai-chip-users-documentation/methodology</t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</si>
  <si>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WenQuanYi Zen Hei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</si>
  <si>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／二手</t>
    </r>
  </si>
  <si>
    <r>
      <rPr>
        <sz val="11"/>
        <color theme="1"/>
        <rFont val="WenQuanYi Zen Hei"/>
        <family val="2"/>
      </rPr>
      <t xml:space="preserve">這是「全部雲端支出」，不是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單價；「</t>
    </r>
    <r>
      <rPr>
        <sz val="11"/>
        <color theme="1"/>
        <rFont val="Calibri"/>
        <family val="2"/>
        <charset val="1"/>
      </rPr>
      <t xml:space="preserve">1.25GW</t>
    </r>
    <r>
      <rPr>
        <sz val="11"/>
        <color theme="1"/>
        <rFont val="WenQuanYi Zen Hei"/>
        <family val="2"/>
      </rPr>
      <t xml:space="preserve">」分母的來源我沒找到。</t>
    </r>
  </si>
  <si>
    <r>
      <rPr>
        <sz val="11"/>
        <color theme="1"/>
        <rFont val="Calibri"/>
        <family val="2"/>
        <charset val="1"/>
      </rPr>
      <t xml:space="preserve">Epoch Abilene </t>
    </r>
    <r>
      <rPr>
        <sz val="11"/>
        <color theme="1"/>
        <rFont val="WenQuanYi Zen Hei"/>
        <family val="2"/>
      </rPr>
      <t xml:space="preserve">資本成本</t>
    </r>
  </si>
  <si>
    <r>
      <rPr>
        <sz val="11"/>
        <color theme="1"/>
        <rFont val="WenQuanYi Zen Hei"/>
        <family val="2"/>
      </rPr>
      <t xml:space="preserve">現況（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IT power 421MW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H100e 509k</t>
    </r>
    <r>
      <rPr>
        <sz val="11"/>
        <color theme="1"/>
        <rFont val="WenQuanYi Zen Hei"/>
        <family val="2"/>
      </rPr>
      <t xml:space="preserve">、資本成本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WenQuanYi Zen Hei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$31.9B</t>
    </r>
    <r>
      <rPr>
        <sz val="11"/>
        <color theme="1"/>
        <rFont val="WenQuanYi Zen Hei"/>
        <family val="2"/>
      </rPr>
      <t xml:space="preserve">。估計值，</t>
    </r>
    <r>
      <rPr>
        <sz val="11"/>
        <color theme="1"/>
        <rFont val="Calibri"/>
        <family val="2"/>
        <charset val="1"/>
      </rPr>
      <t xml:space="preserve">IT power </t>
    </r>
    <r>
      <rPr>
        <sz val="11"/>
        <color theme="1"/>
        <rFont val="WenQuanYi Zen Hei"/>
        <family val="2"/>
      </rPr>
      <t xml:space="preserve">未精確定義；晶片估為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WenQuanYi Zen Hei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。</t>
    </r>
  </si>
  <si>
    <t xml:space="preserve">https://epoch.ai/data/data-centers/satellite-explorer/OpenAIStargateAbilene</t>
  </si>
  <si>
    <t xml:space="preserve">2026-07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</si>
  <si>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估計）</t>
    </r>
  </si>
  <si>
    <t xml:space="preserve">已找到（原頁讀到）</t>
  </si>
  <si>
    <r>
      <rPr>
        <sz val="11"/>
        <color theme="1"/>
        <rFont val="Calibri"/>
        <family val="2"/>
        <charset val="1"/>
      </rPr>
      <t xml:space="preserve">$15.9B </t>
    </r>
    <r>
      <rPr>
        <sz val="11"/>
        <color theme="1"/>
        <rFont val="WenQuanYi Zen Hei"/>
        <family val="2"/>
      </rPr>
      <t xml:space="preserve">是資本成本，不是年租；與 </t>
    </r>
    <r>
      <rPr>
        <sz val="11"/>
        <color theme="1"/>
        <rFont val="Calibri"/>
        <family val="2"/>
        <charset val="1"/>
      </rPr>
      <t xml:space="preserve">X6a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$16.3B </t>
    </r>
    <r>
      <rPr>
        <sz val="11"/>
        <color theme="1"/>
        <rFont val="WenQuanYi Zen Hei"/>
        <family val="2"/>
      </rPr>
      <t xml:space="preserve">是不同的量，兩者數字相近，需防混淆。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</si>
  <si>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WenQuanYi Zen Hei"/>
        <family val="2"/>
      </rPr>
      <t xml:space="preserve">租價指數</t>
    </r>
  </si>
  <si>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WenQuanYi Zen Hei"/>
        <family val="2"/>
      </rPr>
      <t xml:space="preserve">新雲指數 </t>
    </r>
    <r>
      <rPr>
        <sz val="11"/>
        <color theme="1"/>
        <rFont val="Calibri"/>
        <family val="2"/>
        <charset val="1"/>
      </rPr>
      <t xml:space="preserve">$2.53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；另報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$2.81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Ornn OCPI </t>
    </r>
    <r>
      <rPr>
        <sz val="11"/>
        <color theme="1"/>
        <rFont val="WenQuanYi Zen Hei"/>
        <family val="2"/>
      </rPr>
      <t xml:space="preserve">成交結算 </t>
    </r>
    <r>
      <rPr>
        <sz val="11"/>
        <color theme="1"/>
        <rFont val="Calibri"/>
        <family val="2"/>
        <charset val="1"/>
      </rPr>
      <t xml:space="preserve">H100 SXM $3.15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B200 $9.32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）。報導稱 </t>
    </r>
    <r>
      <rPr>
        <sz val="11"/>
        <color theme="1"/>
        <rFont val="Calibri"/>
        <family val="2"/>
        <charset val="1"/>
      </rPr>
      <t xml:space="preserve">2025-10→2026-03 </t>
    </r>
    <r>
      <rPr>
        <sz val="11"/>
        <color theme="1"/>
        <rFont val="WenQuanYi Zen Hei"/>
        <family val="2"/>
      </rPr>
      <t xml:space="preserve">租價漲約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$1.70→$2.35</t>
    </r>
    <r>
      <rPr>
        <sz val="11"/>
        <color theme="1"/>
        <rFont val="WenQuanYi Zen Hei"/>
        <family val="2"/>
      </rPr>
      <t xml:space="preserve">）。</t>
    </r>
  </si>
  <si>
    <t xml:space="preserve">https://www.silicondata.com/products/silicon-index/h100</t>
  </si>
  <si>
    <t xml:space="preserve">2026-10-22</t>
  </si>
  <si>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價格儀表板未採用（付費牆、且不得為單一來源）。</t>
    </r>
  </si>
  <si>
    <t xml:space="preserve">賣方牌價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</si>
  <si>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牌價：</t>
    </r>
    <r>
      <rPr>
        <sz val="11"/>
        <color theme="1"/>
        <rFont val="Calibri"/>
        <family val="2"/>
        <charset val="1"/>
      </rPr>
      <t xml:space="preserve">HGX H100 $6.16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H200 $6.31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B200 $8.60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NVL72 $10.50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GPU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Lambda H100 $3.29–3.99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B200 $6.69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卡）。</t>
    </r>
  </si>
  <si>
    <t xml:space="preserve">https://www.spheron.network/blog/coreweave-gpu-pricing-2026/</t>
  </si>
  <si>
    <t xml:space="preserve">已找到（彙整部落格）</t>
  </si>
  <si>
    <t xml:space="preserve">牌價非實付價；大客戶多年約不付牌價。</t>
  </si>
  <si>
    <t xml:space="preserve">預留價彙整</t>
  </si>
  <si>
    <r>
      <rPr>
        <sz val="11"/>
        <color theme="1"/>
        <rFont val="Calibri"/>
        <family val="2"/>
        <charset val="1"/>
      </rPr>
      <t xml:space="preserve">Bitdeer GB200 3 </t>
    </r>
    <r>
      <rPr>
        <sz val="11"/>
        <color theme="1"/>
        <rFont val="WenQuanYi Zen Hei"/>
        <family val="2"/>
      </rPr>
      <t xml:space="preserve">年預留從 </t>
    </r>
    <r>
      <rPr>
        <sz val="11"/>
        <color theme="1"/>
        <rFont val="Calibri"/>
        <family val="2"/>
        <charset val="1"/>
      </rPr>
      <t xml:space="preserve">$5.00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$6.04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STN GB300 3 </t>
    </r>
    <r>
      <rPr>
        <sz val="11"/>
        <color theme="1"/>
        <rFont val="WenQuanYi Zen Hei"/>
        <family val="2"/>
      </rPr>
      <t xml:space="preserve">年預留從 </t>
    </r>
    <r>
      <rPr>
        <sz val="11"/>
        <color theme="1"/>
        <rFont val="Calibri"/>
        <family val="2"/>
        <charset val="1"/>
      </rPr>
      <t xml:space="preserve">$7.15</t>
    </r>
    <r>
      <rPr>
        <sz val="11"/>
        <color theme="1"/>
        <rFont val="WenQuanYi Zen Hei"/>
        <family val="2"/>
      </rPr>
      <t xml:space="preserve">；彙整站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雲價從 </t>
    </r>
    <r>
      <rPr>
        <sz val="11"/>
        <color theme="1"/>
        <rFont val="Calibri"/>
        <family val="2"/>
        <charset val="1"/>
      </rPr>
      <t xml:space="preserve">$6.50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Oct 2026</t>
    </r>
    <r>
      <rPr>
        <sz val="11"/>
        <color theme="1"/>
        <rFont val="WenQuanYi Zen Hei"/>
        <family val="2"/>
      </rPr>
      <t xml:space="preserve">）。</t>
    </r>
  </si>
  <si>
    <t xml:space="preserve">https://www.amcompute.com/gpu-cloud-prices/gb200</t>
  </si>
  <si>
    <t xml:space="preserve">2026-10</t>
  </si>
  <si>
    <t xml:space="preserve">已找到（單一彙整站）</t>
  </si>
  <si>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WenQuanYi Zen Hei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$2.3–2.7 </t>
    </r>
    <r>
      <rPr>
        <sz val="11"/>
        <color theme="1"/>
        <rFont val="WenQuanYi Zen Hei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WenQuanYi Zen Hei"/>
        <family val="2"/>
      </rPr>
      <t xml:space="preserve">倍：零售與批發不同層。</t>
    </r>
  </si>
  <si>
    <r>
      <rPr>
        <sz val="11"/>
        <color theme="1"/>
        <rFont val="Calibri"/>
        <family val="2"/>
        <charset val="1"/>
      </rPr>
      <t xml:space="preserve">Nscale–Microsoft Narvik </t>
    </r>
    <r>
      <rPr>
        <sz val="11"/>
        <color theme="1"/>
        <rFont val="WenQuanYi Zen Hei"/>
        <family val="2"/>
      </rPr>
      <t xml:space="preserve">隱含價</t>
    </r>
  </si>
  <si>
    <r>
      <rPr>
        <sz val="11"/>
        <color theme="1"/>
        <rFont val="Calibri"/>
        <family val="2"/>
        <charset val="1"/>
      </rPr>
      <t xml:space="preserve">$6.2B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年／約 </t>
    </r>
    <r>
      <rPr>
        <sz val="11"/>
        <color theme="1"/>
        <rFont val="Calibri"/>
        <family val="2"/>
        <charset val="1"/>
      </rPr>
      <t xml:space="preserve">52,000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 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$2.72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（第三方推算）。</t>
    </r>
  </si>
  <si>
    <t xml:space="preserve">https://cvresearch.substack.com/p/nscale-deep-dive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</si>
  <si>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（單一第二手）</t>
    </r>
  </si>
  <si>
    <t xml:space="preserve">不入分布，僅作旁證。</t>
  </si>
  <si>
    <t xml:space="preserve">E15</t>
  </si>
  <si>
    <r>
      <rPr>
        <sz val="11"/>
        <color theme="1"/>
        <rFont val="WenQuanYi Zen Hei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小時實付價</t>
    </r>
  </si>
  <si>
    <r>
      <rPr>
        <sz val="11"/>
        <color theme="1"/>
        <rFont val="WenQuanYi Zen Hei"/>
        <family val="2"/>
      </rPr>
      <t xml:space="preserve">已搜尋（沿用 </t>
    </r>
    <r>
      <rPr>
        <sz val="11"/>
        <color theme="1"/>
        <rFont val="Calibri"/>
        <family val="2"/>
        <charset val="1"/>
      </rPr>
      <t xml:space="preserve">20261020_</t>
    </r>
    <r>
      <rPr>
        <sz val="11"/>
        <color theme="1"/>
        <rFont val="WenQuanYi Zen Hei"/>
        <family val="2"/>
      </rPr>
      <t xml:space="preserve">回本側證據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 筆記），未找到公開報導。≠ 不存在。</t>
    </r>
  </si>
  <si>
    <r>
      <rPr>
        <sz val="11"/>
        <color theme="1"/>
        <rFont val="Calibri"/>
        <family val="2"/>
        <charset val="1"/>
      </rPr>
      <t xml:space="preserve">docs/reports/20261020_</t>
    </r>
    <r>
      <rPr>
        <sz val="11"/>
        <color theme="1"/>
        <rFont val="WenQuanYi Zen Hei"/>
        <family val="2"/>
      </rPr>
      <t xml:space="preserve">回本側證據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查證筆記</t>
    </r>
    <r>
      <rPr>
        <sz val="11"/>
        <color theme="1"/>
        <rFont val="Calibri"/>
        <family val="2"/>
        <charset val="1"/>
      </rPr>
      <t xml:space="preserve">.md</t>
    </r>
  </si>
  <si>
    <t xml:space="preserve">2026-10-20</t>
  </si>
  <si>
    <t xml:space="preserve">已搜尋，未找到</t>
  </si>
  <si>
    <t xml:space="preserve">E16</t>
  </si>
  <si>
    <r>
      <rPr>
        <sz val="11"/>
        <color theme="1"/>
        <rFont val="WenQuanYi Zen Hei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世代的容量與金額同時揭露的合約</t>
    </r>
  </si>
  <si>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20261020 </t>
    </r>
    <r>
      <rPr>
        <sz val="11"/>
        <color theme="1"/>
        <rFont val="WenQuanYi Zen Hei"/>
        <family val="2"/>
      </rPr>
      <t xml:space="preserve">筆記：找不到。</t>
    </r>
  </si>
  <si>
    <t xml:space="preserve">E17</t>
  </si>
  <si>
    <r>
      <rPr>
        <sz val="11"/>
        <color theme="1"/>
        <rFont val="WenQuanYi Zen Hei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WenQuanYi Zen Hei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1.25GW</t>
    </r>
    <r>
      <rPr>
        <sz val="11"/>
        <color theme="1"/>
        <rFont val="WenQuanYi Zen Hei"/>
        <family val="2"/>
      </rPr>
      <t xml:space="preserve">」的原始出處</t>
    </r>
  </si>
  <si>
    <r>
      <rPr>
        <sz val="11"/>
        <color theme="1"/>
        <rFont val="WenQuanYi Zen Hei"/>
        <family val="2"/>
      </rPr>
      <t xml:space="preserve">本次搜尋找到 </t>
    </r>
    <r>
      <rPr>
        <sz val="11"/>
        <color theme="1"/>
        <rFont val="Calibri"/>
        <family val="2"/>
        <charset val="1"/>
      </rPr>
      <t xml:space="preserve">$16.3B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雲端支出）與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WenQuanYi Zen Hei"/>
        <family val="2"/>
      </rPr>
      <t xml:space="preserve">資本成本），但沒有找到「</t>
    </r>
    <r>
      <rPr>
        <sz val="11"/>
        <color theme="1"/>
        <rFont val="Calibri"/>
        <family val="2"/>
        <charset val="1"/>
      </rPr>
      <t xml:space="preserve">1.25GW</t>
    </r>
    <r>
      <rPr>
        <sz val="11"/>
        <color theme="1"/>
        <rFont val="WenQuanYi Zen Hei"/>
        <family val="2"/>
      </rPr>
      <t xml:space="preserve">」與此配對的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頁面。</t>
    </r>
  </si>
  <si>
    <t xml:space="preserve">2026-10-23</t>
  </si>
  <si>
    <t xml:space="preserve">請使用者提供出處以確認分母。</t>
  </si>
  <si>
    <t xml:space="preserve">E18</t>
  </si>
  <si>
    <t xml:space="preserve">環境限制</t>
  </si>
  <si>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businesswire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網站、</t>
    </r>
    <r>
      <rPr>
        <sz val="11"/>
        <color theme="1"/>
        <rFont val="Calibri"/>
        <family val="2"/>
        <charset val="1"/>
      </rPr>
      <t xml:space="preserve">rcrwireless </t>
    </r>
    <r>
      <rPr>
        <sz val="11"/>
        <color theme="1"/>
        <rFont val="WenQuanYi Zen Hei"/>
        <family val="2"/>
      </rPr>
      <t xml:space="preserve">等直接抓取 </t>
    </r>
    <r>
      <rPr>
        <sz val="11"/>
        <color theme="1"/>
        <rFont val="Calibri"/>
        <family val="2"/>
        <charset val="1"/>
      </rPr>
      <t xml:space="preserve">ENOTFOUND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proxy</t>
    </r>
    <r>
      <rPr>
        <sz val="11"/>
        <color theme="1"/>
        <rFont val="WenQuanYi Zen Hei"/>
        <family val="2"/>
      </rPr>
      <t xml:space="preserve">）；僅 </t>
    </r>
    <r>
      <rPr>
        <sz val="11"/>
        <color theme="1"/>
        <rFont val="Calibri"/>
        <family val="2"/>
        <charset val="1"/>
      </rPr>
      <t xml:space="preserve">epoch.ai </t>
    </r>
    <r>
      <rPr>
        <sz val="11"/>
        <color theme="1"/>
        <rFont val="WenQuanYi Zen Hei"/>
        <family val="2"/>
      </rPr>
      <t xml:space="preserve">可抓。所有其他數字來自搜尋摘要，建議人工開原頁複核關鍵數字（</t>
    </r>
    <r>
      <rPr>
        <sz val="11"/>
        <color theme="1"/>
        <rFont val="Calibri"/>
        <family val="2"/>
        <charset val="1"/>
      </rPr>
      <t xml:space="preserve">E1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E7</t>
    </r>
    <r>
      <rPr>
        <sz val="11"/>
        <color theme="1"/>
        <rFont val="WenQuanYi Zen Hei"/>
        <family val="2"/>
      </rPr>
      <t xml:space="preserve">）。</t>
    </r>
  </si>
  <si>
    <t xml:space="preserve">#</t>
  </si>
  <si>
    <t xml:space="preserve">問題</t>
  </si>
  <si>
    <t xml:space="preserve">預設（建議）</t>
  </si>
  <si>
    <t xml:space="preserve">替代</t>
  </si>
  <si>
    <t xml:space="preserve">影響</t>
  </si>
  <si>
    <t xml:space="preserve">依據</t>
  </si>
  <si>
    <r>
      <rPr>
        <sz val="11"/>
        <color theme="1"/>
        <rFont val="WenQuanYi Zen Hei"/>
        <family val="2"/>
      </rPr>
      <t xml:space="preserve">「計價倍數」的基準：以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口徑、同世代對比，還是用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機隊組合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當通用分母？</t>
    </r>
  </si>
  <si>
    <r>
      <rPr>
        <sz val="11"/>
        <color theme="1"/>
        <rFont val="WenQuanYi Zen Hei"/>
        <family val="2"/>
      </rPr>
      <t xml:space="preserve">同世代對比（</t>
    </r>
    <r>
      <rPr>
        <sz val="11"/>
        <color theme="1"/>
        <rFont val="Calibri"/>
        <family val="2"/>
        <charset val="1"/>
      </rPr>
      <t xml:space="preserve">IREN→GB300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Oracle→VR200</t>
    </r>
    <r>
      <rPr>
        <sz val="11"/>
        <color theme="1"/>
        <rFont val="WenQuanYi Zen Hei"/>
        <family val="2"/>
      </rPr>
      <t xml:space="preserve">）；機隊層級才用 </t>
    </r>
    <r>
      <rPr>
        <sz val="11"/>
        <color theme="1"/>
        <rFont val="Calibri"/>
        <family val="2"/>
        <charset val="1"/>
      </rPr>
      <t xml:space="preserve">9.35</t>
    </r>
  </si>
  <si>
    <r>
      <rPr>
        <sz val="11"/>
        <color theme="1"/>
        <rFont val="WenQuanYi Zen Hei"/>
        <family val="2"/>
      </rPr>
      <t xml:space="preserve">一律用 </t>
    </r>
    <r>
      <rPr>
        <sz val="11"/>
        <color theme="1"/>
        <rFont val="Calibri"/>
        <family val="2"/>
        <charset val="1"/>
      </rPr>
      <t xml:space="preserve">9.35</t>
    </r>
  </si>
  <si>
    <r>
      <rPr>
        <sz val="11"/>
        <color theme="1"/>
        <rFont val="WenQuanYi Zen Hei"/>
        <family val="2"/>
      </rPr>
      <t xml:space="preserve">使用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WenQuanYi Zen Hei"/>
        <family val="2"/>
      </rPr>
      <t xml:space="preserve">／支出</t>
    </r>
    <r>
      <rPr>
        <sz val="11"/>
        <color theme="1"/>
        <rFont val="Calibri"/>
        <family val="2"/>
        <charset val="1"/>
      </rPr>
      <t xml:space="preserve">÷GW </t>
    </r>
    <r>
      <rPr>
        <sz val="11"/>
        <color theme="1"/>
        <rFont val="WenQuanYi Zen Hei"/>
        <family val="2"/>
      </rPr>
      <t xml:space="preserve">倍數虛高 </t>
    </r>
    <r>
      <rPr>
        <sz val="11"/>
        <color theme="1"/>
        <rFont val="Calibri"/>
        <family val="2"/>
        <charset val="1"/>
      </rPr>
      <t xml:space="preserve">1.1–1.4 </t>
    </r>
    <r>
      <rPr>
        <sz val="11"/>
        <color theme="1"/>
        <rFont val="WenQuanYi Zen Hei"/>
        <family val="2"/>
      </rPr>
      <t xml:space="preserve">倍（見對帳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節）</t>
    </r>
  </si>
  <si>
    <r>
      <rPr>
        <sz val="11"/>
        <color theme="1"/>
        <rFont val="WenQuanYi Zen Hei"/>
        <family val="2"/>
      </rPr>
      <t xml:space="preserve">對帳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</si>
  <si>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WenQuanYi Zen Hei"/>
        <family val="2"/>
      </rPr>
      <t xml:space="preserve">是否應下調或分「持有者」？</t>
    </r>
  </si>
  <si>
    <r>
      <rPr>
        <sz val="11"/>
        <color theme="1"/>
        <rFont val="WenQuanYi Zen Hei"/>
        <family val="2"/>
      </rPr>
      <t xml:space="preserve">不改模型；在報告區分「經濟持有成本（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）」與「出租方折現率（</t>
    </r>
    <r>
      <rPr>
        <sz val="11"/>
        <color theme="1"/>
        <rFont val="Calibri"/>
        <family val="2"/>
        <charset val="1"/>
      </rPr>
      <t xml:space="preserve">3–8%</t>
    </r>
    <r>
      <rPr>
        <sz val="11"/>
        <color theme="1"/>
        <rFont val="WenQuanYi Zen Hei"/>
        <family val="2"/>
      </rPr>
      <t xml:space="preserve">）」，倍數同時以兩個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呈現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</si>
  <si>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</si>
  <si>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拆解敏感度：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WACC 8% </t>
    </r>
    <r>
      <rPr>
        <sz val="11"/>
        <color theme="1"/>
        <rFont val="WenQuanYi Zen Hei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WenQuanYi Zen Hei"/>
        <family val="2"/>
      </rPr>
      <t xml:space="preserve">；在 </t>
    </r>
    <r>
      <rPr>
        <sz val="11"/>
        <color theme="1"/>
        <rFont val="Calibri"/>
        <family val="2"/>
        <charset val="1"/>
      </rPr>
      <t xml:space="preserve">3.31% </t>
    </r>
    <r>
      <rPr>
        <sz val="11"/>
        <color theme="1"/>
        <rFont val="WenQuanYi Zen Hei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2.7</t>
    </r>
    <r>
      <rPr>
        <sz val="11"/>
        <color theme="1"/>
        <rFont val="WenQuanYi Zen Hei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拆解第</t>
    </r>
    <r>
      <rPr>
        <sz val="11"/>
        <color theme="1"/>
        <rFont val="Calibri"/>
        <family val="2"/>
        <charset val="1"/>
      </rPr>
      <t xml:space="preserve">79</t>
    </r>
    <r>
      <rPr>
        <sz val="11"/>
        <color theme="1"/>
        <rFont val="WenQuanYi Zen Hei"/>
        <family val="2"/>
      </rPr>
      <t xml:space="preserve">列起）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</si>
  <si>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融資成本 </t>
    </r>
    <r>
      <rPr>
        <sz val="11"/>
        <color theme="1"/>
        <rFont val="Calibri"/>
        <family val="2"/>
        <charset val="1"/>
      </rPr>
      <t xml:space="preserve">3.31%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</si>
  <si>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隱含營運費用（≥</t>
    </r>
    <r>
      <rPr>
        <sz val="11"/>
        <color theme="1"/>
        <rFont val="Calibri"/>
        <family val="2"/>
        <charset val="1"/>
      </rPr>
      <t xml:space="preserve">1.46</t>
    </r>
    <r>
      <rPr>
        <sz val="11"/>
        <color theme="1"/>
        <rFont val="WenQuanYi Zen Hei"/>
        <family val="2"/>
      </rPr>
      <t xml:space="preserve">，下界）低於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1.98</t>
    </r>
    <r>
      <rPr>
        <sz val="11"/>
        <color theme="1"/>
        <rFont val="WenQuanYi Zen Hei"/>
        <family val="2"/>
      </rPr>
      <t xml:space="preserve">）：以誰為準？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</si>
  <si>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不動；列入待查，要求取得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的分項營運費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</si>
  <si>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營運費下調 </t>
    </r>
    <r>
      <rPr>
        <sz val="11"/>
        <color theme="1"/>
        <rFont val="Calibri"/>
        <family val="2"/>
        <charset val="1"/>
      </rPr>
      <t xml:space="preserve">0.3–0.5</t>
    </r>
  </si>
  <si>
    <r>
      <rPr>
        <sz val="11"/>
        <color theme="1"/>
        <rFont val="WenQuanYi Zen Hei"/>
        <family val="2"/>
      </rPr>
      <t xml:space="preserve">影響約 −</t>
    </r>
    <r>
      <rPr>
        <sz val="11"/>
        <color theme="1"/>
        <rFont val="Calibri"/>
        <family val="2"/>
        <charset val="1"/>
      </rPr>
      <t xml:space="preserve">0.5 $B/GW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</si>
  <si>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對帳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</si>
  <si>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TK 12.67 $M/MW </t>
    </r>
    <r>
      <rPr>
        <sz val="11"/>
        <color theme="1"/>
        <rFont val="WenQuanYi Zen Hei"/>
        <family val="2"/>
      </rPr>
      <t xml:space="preserve">是否偏低（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14–16</t>
    </r>
    <r>
      <rPr>
        <sz val="11"/>
        <color theme="1"/>
        <rFont val="WenQuanYi Zen Hei"/>
        <family val="2"/>
      </rPr>
      <t xml:space="preserve">）？</t>
    </r>
  </si>
  <si>
    <t xml:space="preserve">列為「可能偏低」，不改；先確認簡報原口徑</t>
  </si>
  <si>
    <r>
      <rPr>
        <sz val="11"/>
        <color theme="1"/>
        <rFont val="WenQuanYi Zen Hei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14–16</t>
    </r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</si>
  <si>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+1 $M/MW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+0.12 $B/GW·</t>
    </r>
    <r>
      <rPr>
        <sz val="11"/>
        <color theme="1"/>
        <rFont val="WenQuanYi Zen Hei"/>
        <family val="2"/>
      </rPr>
      <t xml:space="preserve">年（含預備費攤銷）</t>
    </r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</si>
  <si>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WenQuanYi Zen Hei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1.25GW</t>
    </r>
    <r>
      <rPr>
        <sz val="11"/>
        <color theme="1"/>
        <rFont val="WenQuanYi Zen Hei"/>
        <family val="2"/>
      </rPr>
      <t xml:space="preserve">」是否採用為市場價？</t>
    </r>
  </si>
  <si>
    <r>
      <rPr>
        <sz val="11"/>
        <color theme="1"/>
        <rFont val="WenQuanYi Zen Hei"/>
        <family val="2"/>
      </rPr>
      <t xml:space="preserve">不採用為價格，只作「支出</t>
    </r>
    <r>
      <rPr>
        <sz val="11"/>
        <color theme="1"/>
        <rFont val="Calibri"/>
        <family val="2"/>
        <charset val="1"/>
      </rPr>
      <t xml:space="preserve">÷GW</t>
    </r>
    <r>
      <rPr>
        <sz val="11"/>
        <color theme="1"/>
        <rFont val="WenQuanYi Zen Hei"/>
        <family val="2"/>
      </rPr>
      <t xml:space="preserve">」的對照；請使用者提供 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WenQuanYi Zen Hei"/>
        <family val="2"/>
      </rPr>
      <t xml:space="preserve">出處</t>
    </r>
  </si>
  <si>
    <r>
      <rPr>
        <sz val="11"/>
        <color theme="1"/>
        <rFont val="WenQuanYi Zen Hei"/>
        <family val="2"/>
      </rPr>
      <t xml:space="preserve">採用並與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並列</t>
    </r>
  </si>
  <si>
    <r>
      <rPr>
        <sz val="11"/>
        <color theme="1"/>
        <rFont val="WenQuanYi Zen Hei"/>
        <family val="2"/>
      </rPr>
      <t xml:space="preserve">若採用，倍數 </t>
    </r>
    <r>
      <rPr>
        <sz val="11"/>
        <color theme="1"/>
        <rFont val="Calibri"/>
        <family val="2"/>
        <charset val="1"/>
      </rPr>
      <t xml:space="preserve">1.4–1.6</t>
    </r>
    <r>
      <rPr>
        <sz val="11"/>
        <color theme="1"/>
        <rFont val="WenQuanYi Zen Hei"/>
        <family val="2"/>
      </rPr>
      <t xml:space="preserve">，與同口徑長約相反</t>
    </r>
  </si>
  <si>
    <r>
      <rPr>
        <sz val="11"/>
        <color theme="1"/>
        <rFont val="WenQuanYi Zen Hei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E9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E10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E17</t>
    </r>
  </si>
  <si>
    <r>
      <rPr>
        <sz val="11"/>
        <color theme="1"/>
        <rFont val="Calibri"/>
        <family val="2"/>
        <charset val="1"/>
      </rPr>
      <t xml:space="preserve">Oracle 12–12.8 </t>
    </r>
    <r>
      <rPr>
        <sz val="11"/>
        <color theme="1"/>
        <rFont val="WenQuanYi Zen Hei"/>
        <family val="2"/>
      </rPr>
      <t xml:space="preserve">的算式我複算不出（</t>
    </r>
    <r>
      <rPr>
        <sz val="11"/>
        <color theme="1"/>
        <rFont val="Calibri"/>
        <family val="2"/>
        <charset val="1"/>
      </rPr>
      <t xml:space="preserve">13.3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</si>
  <si>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WenQuanYi Zen Hei"/>
        <family val="2"/>
      </rPr>
      <t xml:space="preserve">請使用者提供算式；暫用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4.5GW=IT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WenQuanYi Zen Hei"/>
        <family val="2"/>
      </rPr>
      <t xml:space="preserve">（設施）兩種</t>
    </r>
  </si>
  <si>
    <r>
      <rPr>
        <sz val="11"/>
        <color theme="1"/>
        <rFont val="WenQuanYi Zen Hei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13.3</t>
    </r>
  </si>
  <si>
    <r>
      <rPr>
        <sz val="11"/>
        <color theme="1"/>
        <rFont val="WenQuanYi Zen Hei"/>
        <family val="2"/>
      </rPr>
      <t xml:space="preserve">不影響結論：對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1.1–1.3 </t>
    </r>
    <r>
      <rPr>
        <sz val="11"/>
        <color theme="1"/>
        <rFont val="WenQuanYi Zen Hei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</si>
  <si>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WenQuanYi Zen Hei"/>
        <family val="2"/>
      </rPr>
      <t xml:space="preserve">現貨與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新約高於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長約：是否視為「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年持有成本偏低」的證據？</t>
    </r>
  </si>
  <si>
    <r>
      <rPr>
        <sz val="11"/>
        <color theme="1"/>
        <rFont val="WenQuanYi Zen Hei"/>
        <family val="2"/>
      </rPr>
      <t xml:space="preserve">否：屬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年稀缺租金與期限差異；另取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年同口徑現貨序列再議</t>
    </r>
  </si>
  <si>
    <t xml:space="preserve">是</t>
  </si>
  <si>
    <r>
      <rPr>
        <sz val="11"/>
        <color theme="1"/>
        <rFont val="WenQuanYi Zen Hei"/>
        <family val="2"/>
      </rPr>
      <t xml:space="preserve">若是，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持有成本應上調約 </t>
    </r>
    <r>
      <rPr>
        <sz val="11"/>
        <color theme="1"/>
        <rFont val="Calibri"/>
        <family val="2"/>
        <charset val="1"/>
      </rPr>
      <t xml:space="preserve">1.3–2 </t>
    </r>
    <r>
      <rPr>
        <sz val="11"/>
        <color theme="1"/>
        <rFont val="WenQuanYi Zen Hei"/>
        <family val="2"/>
      </rPr>
      <t xml:space="preserve">倍，與 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長約矛盾</t>
    </r>
  </si>
  <si>
    <r>
      <rPr>
        <sz val="11"/>
        <color theme="1"/>
        <rFont val="WenQuanYi Zen Hei"/>
        <family val="2"/>
      </rPr>
      <t xml:space="preserve">對帳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</si>
  <si>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下一步（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段）是否取得原始文件（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CoreWeave 10-Q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6-K</t>
    </r>
    <r>
      <rPr>
        <sz val="11"/>
        <color theme="1"/>
        <rFont val="WenQuanYi Zen Hei"/>
        <family val="2"/>
      </rPr>
      <t xml:space="preserve">）？</t>
    </r>
  </si>
  <si>
    <r>
      <rPr>
        <sz val="11"/>
        <color theme="1"/>
        <rFont val="WenQuanYi Zen Hei"/>
        <family val="2"/>
      </rPr>
      <t xml:space="preserve">是：以可連線環境取原文，補 </t>
    </r>
    <r>
      <rPr>
        <sz val="11"/>
        <color theme="1"/>
        <rFont val="Calibri"/>
        <family val="2"/>
        <charset val="1"/>
      </rPr>
      <t xml:space="preserve">cost of revenue</t>
    </r>
    <r>
      <rPr>
        <sz val="11"/>
        <color theme="1"/>
        <rFont val="WenQuanYi Zen Hei"/>
        <family val="2"/>
      </rPr>
      <t xml:space="preserve">／折舊／租賃費、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</t>
    </r>
  </si>
  <si>
    <t xml:space="preserve">維持二手摘要</t>
  </si>
  <si>
    <r>
      <rPr>
        <sz val="11"/>
        <color theme="1"/>
        <rFont val="WenQuanYi Zen Hei"/>
        <family val="2"/>
      </rPr>
      <t xml:space="preserve">可把「不可分離」項減少至少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項</t>
    </r>
  </si>
  <si>
    <r>
      <rPr>
        <sz val="11"/>
        <color theme="1"/>
        <rFont val="WenQuanYi Zen Hei"/>
        <family val="2"/>
      </rPr>
      <t xml:space="preserve">證據 </t>
    </r>
    <r>
      <rPr>
        <sz val="11"/>
        <color theme="1"/>
        <rFont val="Calibri"/>
        <family val="2"/>
        <charset val="1"/>
      </rPr>
      <t xml:space="preserve">E18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</si>
</sst>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General"/>
    <numFmt numFmtId="167" formatCode="0"/>
    <numFmt numFmtId="168" formatCode="0.00%"/>
    <numFmt numFmtId="169" formatCode="0.0"/>
    <numFmt numFmtId="170" formatCode="0.000"/>
    <numFmt numFmtId="171" formatCode="0.0000%"/>
    <numFmt numFmtId="172" formatCode="#,##0"/>
    <numFmt numFmtId="173" formatCode="0.0000"/>
    <numFmt numFmtId="174" formatCode="0.0E+00"/>
    <numFmt numFmtId="175" formatCode="0.0%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WenQuanYi Zen Hei"/>
      <family val="2"/>
    </font>
    <font>
      <sz val="11"/>
      <color theme="1"/>
      <name val="WenQuanYi Zen Hei"/>
      <family val="2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34"/>
    <col collapsed="false" customWidth="true" hidden="false" outlineLevel="0" max="9" min="9" style="0" width="22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5" t="s">
        <v>12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2" t="s">
        <v>13</v>
      </c>
      <c r="B6" s="0" t="s">
        <v>14</v>
      </c>
      <c r="C6" s="7" t="n">
        <v>0.6</v>
      </c>
      <c r="D6" s="7" t="n">
        <v>0.4</v>
      </c>
      <c r="E6" s="7" t="n">
        <v>0</v>
      </c>
      <c r="F6" s="7" t="n">
        <v>0</v>
      </c>
      <c r="G6" s="8" t="n">
        <f aca="false">SUM(C6:F6)</f>
        <v>1</v>
      </c>
      <c r="H6" s="8" t="s">
        <v>15</v>
      </c>
      <c r="I6" s="8" t="s">
        <v>16</v>
      </c>
      <c r="J6" s="8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9" t="n">
        <v>1000</v>
      </c>
      <c r="D7" s="10" t="n">
        <f aca="false">$C7</f>
        <v>1000</v>
      </c>
      <c r="E7" s="10" t="n">
        <f aca="false">$C7</f>
        <v>1000</v>
      </c>
      <c r="F7" s="10" t="n">
        <f aca="false">$C7</f>
        <v>1000</v>
      </c>
      <c r="H7" s="8" t="s">
        <v>20</v>
      </c>
      <c r="I7" s="8" t="s">
        <v>21</v>
      </c>
    </row>
    <row r="8" customFormat="false" ht="15" hidden="false" customHeight="false" outlineLevel="0" collapsed="false">
      <c r="A8" s="2" t="s">
        <v>22</v>
      </c>
      <c r="B8" s="0" t="s">
        <v>14</v>
      </c>
      <c r="C8" s="7" t="n">
        <v>0.08</v>
      </c>
      <c r="D8" s="11" t="n">
        <f aca="false">$C8</f>
        <v>0.08</v>
      </c>
      <c r="E8" s="11" t="n">
        <f aca="false">$C8</f>
        <v>0.08</v>
      </c>
      <c r="F8" s="11" t="n">
        <f aca="false">$C8</f>
        <v>0.08</v>
      </c>
      <c r="H8" s="8" t="s">
        <v>23</v>
      </c>
      <c r="I8" s="8" t="s">
        <v>24</v>
      </c>
    </row>
    <row r="9" customFormat="false" ht="15" hidden="false" customHeight="false" outlineLevel="0" collapsed="false">
      <c r="A9" s="0" t="s">
        <v>25</v>
      </c>
      <c r="B9" s="0" t="s">
        <v>26</v>
      </c>
      <c r="C9" s="7" t="n">
        <v>1.2</v>
      </c>
      <c r="D9" s="11" t="n">
        <f aca="false">$C9</f>
        <v>1.2</v>
      </c>
      <c r="E9" s="11" t="n">
        <f aca="false">$C9</f>
        <v>1.2</v>
      </c>
      <c r="F9" s="11" t="n">
        <f aca="false">$C9</f>
        <v>1.2</v>
      </c>
      <c r="H9" s="8" t="s">
        <v>27</v>
      </c>
      <c r="I9" s="8" t="s">
        <v>28</v>
      </c>
    </row>
    <row r="10" customFormat="false" ht="15" hidden="false" customHeight="false" outlineLevel="0" collapsed="false">
      <c r="A10" s="0" t="s">
        <v>29</v>
      </c>
      <c r="B10" s="0" t="s">
        <v>14</v>
      </c>
      <c r="C10" s="12" t="n">
        <v>0.1</v>
      </c>
      <c r="D10" s="13" t="n">
        <f aca="false">$C10</f>
        <v>0.1</v>
      </c>
      <c r="E10" s="13" t="n">
        <f aca="false">$C10</f>
        <v>0.1</v>
      </c>
      <c r="F10" s="13" t="n">
        <f aca="false">$C10</f>
        <v>0.1</v>
      </c>
      <c r="H10" s="8" t="s">
        <v>30</v>
      </c>
      <c r="I10" s="8" t="s">
        <v>31</v>
      </c>
    </row>
    <row r="11" customFormat="false" ht="15" hidden="false" customHeight="false" outlineLevel="0" collapsed="false">
      <c r="A11" s="0" t="s">
        <v>32</v>
      </c>
      <c r="B11" s="2" t="s">
        <v>33</v>
      </c>
      <c r="C11" s="9" t="n">
        <v>6</v>
      </c>
      <c r="D11" s="10" t="n">
        <f aca="false">$C11</f>
        <v>6</v>
      </c>
      <c r="E11" s="10" t="n">
        <f aca="false">$C11</f>
        <v>6</v>
      </c>
      <c r="F11" s="10" t="n">
        <f aca="false">$C11</f>
        <v>6</v>
      </c>
      <c r="H11" s="8" t="s">
        <v>34</v>
      </c>
      <c r="I11" s="8" t="s">
        <v>35</v>
      </c>
    </row>
    <row r="12" customFormat="false" ht="15" hidden="false" customHeight="false" outlineLevel="0" collapsed="false">
      <c r="A12" s="2" t="s">
        <v>36</v>
      </c>
      <c r="B12" s="0" t="s">
        <v>37</v>
      </c>
      <c r="C12" s="9" t="n">
        <v>41</v>
      </c>
      <c r="D12" s="9" t="n">
        <v>132</v>
      </c>
      <c r="E12" s="9" t="n">
        <v>136</v>
      </c>
      <c r="F12" s="9" t="n">
        <v>227</v>
      </c>
      <c r="H12" s="8" t="s">
        <v>38</v>
      </c>
      <c r="I12" s="8" t="s">
        <v>39</v>
      </c>
    </row>
    <row r="13" customFormat="false" ht="15" hidden="false" customHeight="false" outlineLevel="0" collapsed="false">
      <c r="A13" s="0" t="s">
        <v>40</v>
      </c>
      <c r="B13" s="2" t="s">
        <v>41</v>
      </c>
      <c r="C13" s="9" t="n">
        <v>32</v>
      </c>
      <c r="D13" s="9" t="n">
        <v>72</v>
      </c>
      <c r="E13" s="9" t="n">
        <v>72</v>
      </c>
      <c r="F13" s="9" t="n">
        <v>72</v>
      </c>
      <c r="H13" s="8" t="s">
        <v>42</v>
      </c>
      <c r="I13" s="8" t="s">
        <v>43</v>
      </c>
    </row>
    <row r="14" customFormat="false" ht="15" hidden="false" customHeight="false" outlineLevel="0" collapsed="false">
      <c r="A14" s="2" t="s">
        <v>44</v>
      </c>
      <c r="B14" s="0" t="s">
        <v>45</v>
      </c>
      <c r="C14" s="14" t="n">
        <v>1.1</v>
      </c>
      <c r="D14" s="14" t="n">
        <v>3.1</v>
      </c>
      <c r="E14" s="14" t="n">
        <v>4.3</v>
      </c>
      <c r="F14" s="14" t="n">
        <v>8.4</v>
      </c>
      <c r="H14" s="8" t="s">
        <v>46</v>
      </c>
      <c r="I14" s="8" t="s">
        <v>47</v>
      </c>
    </row>
    <row r="15" customFormat="false" ht="15" hidden="false" customHeight="false" outlineLevel="0" collapsed="false">
      <c r="A15" s="0" t="s">
        <v>48</v>
      </c>
      <c r="B15" s="0" t="s">
        <v>14</v>
      </c>
      <c r="C15" s="7" t="n">
        <v>0.1</v>
      </c>
      <c r="D15" s="11" t="n">
        <f aca="false">$C15</f>
        <v>0.1</v>
      </c>
      <c r="E15" s="11" t="n">
        <f aca="false">$C15</f>
        <v>0.1</v>
      </c>
      <c r="F15" s="11" t="n">
        <f aca="false">$C15</f>
        <v>0.1</v>
      </c>
      <c r="H15" s="8" t="s">
        <v>49</v>
      </c>
      <c r="I15" s="8" t="s">
        <v>50</v>
      </c>
    </row>
    <row r="16" customFormat="false" ht="15" hidden="false" customHeight="false" outlineLevel="0" collapsed="false">
      <c r="A16" s="2" t="s">
        <v>51</v>
      </c>
      <c r="B16" s="0" t="s">
        <v>52</v>
      </c>
      <c r="C16" s="9" t="n">
        <v>500</v>
      </c>
      <c r="D16" s="10" t="n">
        <f aca="false">$C16</f>
        <v>500</v>
      </c>
      <c r="E16" s="10" t="n">
        <f aca="false">$C16</f>
        <v>500</v>
      </c>
      <c r="F16" s="10" t="n">
        <f aca="false">$C16</f>
        <v>500</v>
      </c>
      <c r="H16" s="8" t="s">
        <v>53</v>
      </c>
      <c r="I16" s="8" t="s">
        <v>54</v>
      </c>
    </row>
    <row r="17" customFormat="false" ht="15" hidden="false" customHeight="false" outlineLevel="0" collapsed="false">
      <c r="A17" s="2" t="s">
        <v>55</v>
      </c>
      <c r="B17" s="0" t="s">
        <v>14</v>
      </c>
      <c r="C17" s="7" t="n">
        <v>0.8</v>
      </c>
      <c r="D17" s="11" t="n">
        <f aca="false">$C17</f>
        <v>0.8</v>
      </c>
      <c r="E17" s="11" t="n">
        <f aca="false">$C17</f>
        <v>0.8</v>
      </c>
      <c r="F17" s="11" t="n">
        <f aca="false">$C17</f>
        <v>0.8</v>
      </c>
      <c r="H17" s="8" t="s">
        <v>56</v>
      </c>
      <c r="I17" s="8" t="s">
        <v>57</v>
      </c>
    </row>
    <row r="18" customFormat="false" ht="15" hidden="false" customHeight="false" outlineLevel="0" collapsed="false">
      <c r="A18" s="2" t="s">
        <v>58</v>
      </c>
      <c r="B18" s="0" t="s">
        <v>59</v>
      </c>
      <c r="C18" s="15" t="n">
        <v>0.08</v>
      </c>
      <c r="D18" s="16" t="n">
        <f aca="false">$C18</f>
        <v>0.08</v>
      </c>
      <c r="E18" s="16" t="n">
        <f aca="false">$C18</f>
        <v>0.08</v>
      </c>
      <c r="F18" s="16" t="n">
        <f aca="false">$C18</f>
        <v>0.08</v>
      </c>
      <c r="H18" s="8" t="s">
        <v>60</v>
      </c>
      <c r="I18" s="8" t="s">
        <v>39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17" t="n">
        <v>0.0157250107250107</v>
      </c>
      <c r="D19" s="18" t="n">
        <f aca="false">$C19</f>
        <v>0.0157250107250107</v>
      </c>
      <c r="E19" s="18" t="n">
        <f aca="false">$C19</f>
        <v>0.0157250107250107</v>
      </c>
      <c r="F19" s="18" t="n">
        <f aca="false">$C19</f>
        <v>0.0157250107250107</v>
      </c>
      <c r="H19" s="8" t="s">
        <v>63</v>
      </c>
      <c r="I19" s="8" t="s">
        <v>16</v>
      </c>
      <c r="J19" s="8" t="s">
        <v>64</v>
      </c>
    </row>
    <row r="20" customFormat="false" ht="15" hidden="false" customHeight="false" outlineLevel="0" collapsed="false">
      <c r="A20" s="2" t="s">
        <v>65</v>
      </c>
      <c r="B20" s="0" t="s">
        <v>62</v>
      </c>
      <c r="C20" s="12" t="n">
        <v>0.02</v>
      </c>
      <c r="D20" s="13" t="n">
        <f aca="false">$C20</f>
        <v>0.02</v>
      </c>
      <c r="E20" s="13" t="n">
        <f aca="false">$C20</f>
        <v>0.02</v>
      </c>
      <c r="F20" s="13" t="n">
        <f aca="false">$C20</f>
        <v>0.02</v>
      </c>
      <c r="H20" s="8" t="s">
        <v>66</v>
      </c>
      <c r="I20" s="8" t="s">
        <v>47</v>
      </c>
    </row>
    <row r="21" customFormat="false" ht="15" hidden="false" customHeight="false" outlineLevel="0" collapsed="false">
      <c r="A21" s="2" t="s">
        <v>67</v>
      </c>
      <c r="B21" s="0" t="s">
        <v>68</v>
      </c>
      <c r="C21" s="15" t="n">
        <v>0.325</v>
      </c>
      <c r="D21" s="16" t="n">
        <f aca="false">$C21</f>
        <v>0.325</v>
      </c>
      <c r="E21" s="16" t="n">
        <f aca="false">$C21</f>
        <v>0.325</v>
      </c>
      <c r="F21" s="16" t="n">
        <f aca="false">$C21</f>
        <v>0.325</v>
      </c>
      <c r="H21" s="8" t="s">
        <v>69</v>
      </c>
      <c r="I21" s="8" t="s">
        <v>24</v>
      </c>
      <c r="J21" s="2" t="s">
        <v>70</v>
      </c>
    </row>
    <row r="22" customFormat="false" ht="15" hidden="false" customHeight="false" outlineLevel="0" collapsed="false">
      <c r="A22" s="2" t="s">
        <v>71</v>
      </c>
      <c r="B22" s="0" t="s">
        <v>72</v>
      </c>
      <c r="C22" s="12" t="n">
        <v>0.005</v>
      </c>
      <c r="D22" s="13" t="n">
        <f aca="false">$C22</f>
        <v>0.005</v>
      </c>
      <c r="E22" s="13" t="n">
        <f aca="false">$C22</f>
        <v>0.005</v>
      </c>
      <c r="F22" s="13" t="n">
        <f aca="false">$C22</f>
        <v>0.005</v>
      </c>
      <c r="H22" s="8" t="s">
        <v>73</v>
      </c>
      <c r="I22" s="8" t="s">
        <v>47</v>
      </c>
    </row>
    <row r="23" customFormat="false" ht="15" hidden="false" customHeight="false" outlineLevel="0" collapsed="false">
      <c r="A23" s="2" t="s">
        <v>74</v>
      </c>
      <c r="B23" s="0" t="s">
        <v>75</v>
      </c>
      <c r="C23" s="15" t="n">
        <v>0.02</v>
      </c>
      <c r="D23" s="16" t="n">
        <f aca="false">$C23</f>
        <v>0.02</v>
      </c>
      <c r="E23" s="16" t="n">
        <f aca="false">$C23</f>
        <v>0.02</v>
      </c>
      <c r="F23" s="16" t="n">
        <f aca="false">$C23</f>
        <v>0.02</v>
      </c>
      <c r="H23" s="8" t="s">
        <v>76</v>
      </c>
      <c r="I23" s="8" t="s">
        <v>24</v>
      </c>
    </row>
    <row r="24" customFormat="false" ht="15" hidden="false" customHeight="false" outlineLevel="0" collapsed="false">
      <c r="A24" s="2" t="s">
        <v>77</v>
      </c>
      <c r="B24" s="0" t="s">
        <v>75</v>
      </c>
      <c r="C24" s="7" t="n">
        <v>3.6</v>
      </c>
      <c r="D24" s="11" t="n">
        <f aca="false">$C24</f>
        <v>3.6</v>
      </c>
      <c r="E24" s="11" t="n">
        <f aca="false">$C24</f>
        <v>3.6</v>
      </c>
      <c r="F24" s="11" t="n">
        <f aca="false">$C24</f>
        <v>3.6</v>
      </c>
      <c r="H24" s="8" t="s">
        <v>78</v>
      </c>
      <c r="I24" s="8" t="s">
        <v>79</v>
      </c>
    </row>
    <row r="25" customFormat="false" ht="15" hidden="false" customHeight="false" outlineLevel="0" collapsed="false">
      <c r="A25" s="2" t="s">
        <v>80</v>
      </c>
      <c r="B25" s="0" t="s">
        <v>75</v>
      </c>
      <c r="C25" s="7" t="n">
        <v>4.5</v>
      </c>
      <c r="D25" s="11" t="n">
        <f aca="false">$C25</f>
        <v>4.5</v>
      </c>
      <c r="E25" s="11" t="n">
        <f aca="false">$C25</f>
        <v>4.5</v>
      </c>
      <c r="F25" s="11" t="n">
        <f aca="false">$C25</f>
        <v>4.5</v>
      </c>
      <c r="H25" s="8" t="s">
        <v>81</v>
      </c>
      <c r="I25" s="8" t="s">
        <v>24</v>
      </c>
    </row>
    <row r="26" customFormat="false" ht="15" hidden="false" customHeight="false" outlineLevel="0" collapsed="false">
      <c r="A26" s="2" t="s">
        <v>82</v>
      </c>
      <c r="B26" s="0" t="s">
        <v>75</v>
      </c>
      <c r="C26" s="7" t="n">
        <v>2.5</v>
      </c>
      <c r="D26" s="11" t="n">
        <f aca="false">$C26</f>
        <v>2.5</v>
      </c>
      <c r="E26" s="11" t="n">
        <f aca="false">$C26</f>
        <v>2.5</v>
      </c>
      <c r="F26" s="11" t="n">
        <f aca="false">$C26</f>
        <v>2.5</v>
      </c>
      <c r="H26" s="8" t="s">
        <v>83</v>
      </c>
      <c r="I26" s="8" t="s">
        <v>24</v>
      </c>
    </row>
    <row r="27" customFormat="false" ht="15" hidden="false" customHeight="false" outlineLevel="0" collapsed="false">
      <c r="A27" s="2" t="s">
        <v>84</v>
      </c>
      <c r="B27" s="0" t="s">
        <v>75</v>
      </c>
      <c r="C27" s="7" t="n">
        <v>0.4</v>
      </c>
      <c r="D27" s="11" t="n">
        <f aca="false">$C27</f>
        <v>0.4</v>
      </c>
      <c r="E27" s="11" t="n">
        <f aca="false">$C27</f>
        <v>0.4</v>
      </c>
      <c r="F27" s="11" t="n">
        <f aca="false">$C27</f>
        <v>0.4</v>
      </c>
      <c r="H27" s="8" t="s">
        <v>85</v>
      </c>
      <c r="I27" s="8" t="s">
        <v>24</v>
      </c>
    </row>
    <row r="28" customFormat="false" ht="15" hidden="false" customHeight="false" outlineLevel="0" collapsed="false">
      <c r="A28" s="2" t="s">
        <v>86</v>
      </c>
      <c r="B28" s="0" t="s">
        <v>14</v>
      </c>
      <c r="C28" s="7" t="n">
        <v>0.15</v>
      </c>
      <c r="D28" s="11" t="n">
        <f aca="false">$C28</f>
        <v>0.15</v>
      </c>
      <c r="E28" s="11" t="n">
        <f aca="false">$C28</f>
        <v>0.15</v>
      </c>
      <c r="F28" s="11" t="n">
        <f aca="false">$C28</f>
        <v>0.15</v>
      </c>
      <c r="H28" s="8" t="s">
        <v>87</v>
      </c>
      <c r="I28" s="8" t="s">
        <v>24</v>
      </c>
    </row>
    <row r="29" customFormat="false" ht="15" hidden="false" customHeight="false" outlineLevel="0" collapsed="false">
      <c r="A29" s="2" t="s">
        <v>88</v>
      </c>
      <c r="B29" s="2" t="s">
        <v>33</v>
      </c>
      <c r="C29" s="9" t="n">
        <v>30</v>
      </c>
      <c r="D29" s="10" t="n">
        <f aca="false">$C29</f>
        <v>30</v>
      </c>
      <c r="E29" s="10" t="n">
        <f aca="false">$C29</f>
        <v>30</v>
      </c>
      <c r="F29" s="10" t="n">
        <f aca="false">$C29</f>
        <v>30</v>
      </c>
      <c r="H29" s="8" t="s">
        <v>89</v>
      </c>
      <c r="I29" s="8" t="s">
        <v>47</v>
      </c>
    </row>
    <row r="30" customFormat="false" ht="15" hidden="false" customHeight="false" outlineLevel="0" collapsed="false">
      <c r="A30" s="2" t="s">
        <v>90</v>
      </c>
      <c r="B30" s="2" t="s">
        <v>33</v>
      </c>
      <c r="C30" s="9" t="n">
        <v>20</v>
      </c>
      <c r="D30" s="10" t="n">
        <f aca="false">$C30</f>
        <v>20</v>
      </c>
      <c r="E30" s="10" t="n">
        <f aca="false">$C30</f>
        <v>20</v>
      </c>
      <c r="F30" s="10" t="n">
        <f aca="false">$C30</f>
        <v>20</v>
      </c>
      <c r="H30" s="8" t="s">
        <v>91</v>
      </c>
      <c r="I30" s="8" t="s">
        <v>47</v>
      </c>
    </row>
    <row r="31" customFormat="false" ht="15" hidden="false" customHeight="false" outlineLevel="0" collapsed="false">
      <c r="A31" s="2" t="s">
        <v>92</v>
      </c>
      <c r="B31" s="2" t="s">
        <v>33</v>
      </c>
      <c r="C31" s="9" t="n">
        <v>15</v>
      </c>
      <c r="D31" s="10" t="n">
        <f aca="false">$C31</f>
        <v>15</v>
      </c>
      <c r="E31" s="10" t="n">
        <f aca="false">$C31</f>
        <v>15</v>
      </c>
      <c r="F31" s="10" t="n">
        <f aca="false">$C31</f>
        <v>15</v>
      </c>
      <c r="H31" s="8" t="s">
        <v>93</v>
      </c>
      <c r="I31" s="8" t="s">
        <v>47</v>
      </c>
    </row>
    <row r="32" customFormat="false" ht="15" hidden="false" customHeight="false" outlineLevel="0" collapsed="false">
      <c r="A32" s="2" t="s">
        <v>94</v>
      </c>
      <c r="B32" s="2" t="s">
        <v>33</v>
      </c>
      <c r="C32" s="9" t="n">
        <v>10</v>
      </c>
      <c r="D32" s="10" t="n">
        <f aca="false">$C32</f>
        <v>10</v>
      </c>
      <c r="E32" s="10" t="n">
        <f aca="false">$C32</f>
        <v>10</v>
      </c>
      <c r="F32" s="10" t="n">
        <f aca="false">$C32</f>
        <v>10</v>
      </c>
      <c r="H32" s="8" t="s">
        <v>95</v>
      </c>
      <c r="I32" s="8" t="s">
        <v>47</v>
      </c>
    </row>
    <row r="33" customFormat="false" ht="15" hidden="false" customHeight="false" outlineLevel="0" collapsed="false">
      <c r="A33" s="5" t="s">
        <v>96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2" t="s">
        <v>97</v>
      </c>
      <c r="B34" s="2" t="s">
        <v>98</v>
      </c>
      <c r="C34" s="19" t="n">
        <f aca="false">FLOOR(C7*(1-C8)*1000/C12,1)</f>
        <v>22439</v>
      </c>
      <c r="D34" s="19" t="n">
        <f aca="false">FLOOR(D7*(1-D8)*1000/D12,1)</f>
        <v>6969</v>
      </c>
      <c r="E34" s="19" t="n">
        <f aca="false">FLOOR(E7*(1-E8)*1000/E12,1)</f>
        <v>6764</v>
      </c>
      <c r="F34" s="19" t="n">
        <f aca="false">FLOOR(F7*(1-F8)*1000/F12,1)</f>
        <v>4052</v>
      </c>
      <c r="G34" s="19" t="n">
        <f aca="false">SUMPRODUCT($C$6:$F$6,C34:F34)</f>
        <v>16251</v>
      </c>
      <c r="H34" s="8" t="s">
        <v>99</v>
      </c>
    </row>
    <row r="35" customFormat="false" ht="15" hidden="false" customHeight="false" outlineLevel="0" collapsed="false">
      <c r="A35" s="0" t="s">
        <v>100</v>
      </c>
      <c r="B35" s="2" t="s">
        <v>41</v>
      </c>
      <c r="C35" s="19" t="n">
        <f aca="false">C34*C13</f>
        <v>718048</v>
      </c>
      <c r="D35" s="19" t="n">
        <f aca="false">D34*D13</f>
        <v>501768</v>
      </c>
      <c r="E35" s="19" t="n">
        <f aca="false">E34*E13</f>
        <v>487008</v>
      </c>
      <c r="F35" s="19" t="n">
        <f aca="false">F34*F13</f>
        <v>291744</v>
      </c>
      <c r="G35" s="19" t="n">
        <f aca="false">SUMPRODUCT($C$6:$F$6,C35:F35)</f>
        <v>631536</v>
      </c>
      <c r="H35" s="8" t="s">
        <v>101</v>
      </c>
      <c r="J35" s="2" t="s">
        <v>102</v>
      </c>
    </row>
    <row r="36" customFormat="false" ht="15" hidden="false" customHeight="false" outlineLevel="0" collapsed="false">
      <c r="A36" s="2" t="s">
        <v>103</v>
      </c>
      <c r="B36" s="0" t="s">
        <v>104</v>
      </c>
      <c r="C36" s="20" t="n">
        <f aca="false">C34*C14/1000</f>
        <v>24.6829</v>
      </c>
      <c r="D36" s="20" t="n">
        <f aca="false">D34*D14/1000</f>
        <v>21.6039</v>
      </c>
      <c r="E36" s="20" t="n">
        <f aca="false">E34*E14/1000</f>
        <v>29.0852</v>
      </c>
      <c r="F36" s="20" t="n">
        <f aca="false">F34*F14/1000</f>
        <v>34.0368</v>
      </c>
      <c r="G36" s="20" t="n">
        <f aca="false">SUMPRODUCT($C$6:$F$6,C36:F36)</f>
        <v>23.4513</v>
      </c>
      <c r="H36" s="8" t="s">
        <v>105</v>
      </c>
    </row>
    <row r="37" customFormat="false" ht="15" hidden="false" customHeight="false" outlineLevel="0" collapsed="false">
      <c r="A37" s="0" t="s">
        <v>106</v>
      </c>
      <c r="B37" s="0" t="s">
        <v>104</v>
      </c>
      <c r="C37" s="20" t="n">
        <f aca="false">C36*C15</f>
        <v>2.46829</v>
      </c>
      <c r="D37" s="20" t="n">
        <f aca="false">D36*D15</f>
        <v>2.16039</v>
      </c>
      <c r="E37" s="20" t="n">
        <f aca="false">E36*E15</f>
        <v>2.90852</v>
      </c>
      <c r="F37" s="20" t="n">
        <f aca="false">F36*F15</f>
        <v>3.40368</v>
      </c>
      <c r="G37" s="20" t="n">
        <f aca="false">SUMPRODUCT($C$6:$F$6,C37:F37)</f>
        <v>2.34513</v>
      </c>
      <c r="H37" s="8" t="s">
        <v>107</v>
      </c>
    </row>
    <row r="38" customFormat="false" ht="15" hidden="false" customHeight="false" outlineLevel="0" collapsed="false">
      <c r="A38" s="2" t="s">
        <v>108</v>
      </c>
      <c r="B38" s="0" t="s">
        <v>104</v>
      </c>
      <c r="C38" s="20" t="n">
        <f aca="false">C35*C16/1000000000</f>
        <v>0.359024</v>
      </c>
      <c r="D38" s="20" t="n">
        <f aca="false">D35*D16/1000000000</f>
        <v>0.250884</v>
      </c>
      <c r="E38" s="20" t="n">
        <f aca="false">E35*E16/1000000000</f>
        <v>0.243504</v>
      </c>
      <c r="F38" s="20" t="n">
        <f aca="false">F35*F16/1000000000</f>
        <v>0.145872</v>
      </c>
      <c r="G38" s="20" t="n">
        <f aca="false">SUMPRODUCT($C$6:$F$6,C38:F38)</f>
        <v>0.315768</v>
      </c>
      <c r="H38" s="8" t="s">
        <v>109</v>
      </c>
    </row>
    <row r="39" customFormat="false" ht="15" hidden="false" customHeight="false" outlineLevel="0" collapsed="false">
      <c r="A39" s="0" t="s">
        <v>110</v>
      </c>
      <c r="B39" s="0" t="s">
        <v>104</v>
      </c>
      <c r="C39" s="20" t="n">
        <f aca="false">C36+C37+C38</f>
        <v>27.510214</v>
      </c>
      <c r="D39" s="20" t="n">
        <f aca="false">D36+D37+D38</f>
        <v>24.015174</v>
      </c>
      <c r="E39" s="20" t="n">
        <f aca="false">E36+E37+E38</f>
        <v>32.237224</v>
      </c>
      <c r="F39" s="20" t="n">
        <f aca="false">F36+F37+F38</f>
        <v>37.586352</v>
      </c>
      <c r="G39" s="20" t="n">
        <f aca="false">SUMPRODUCT($C$6:$F$6,C39:F39)</f>
        <v>26.112198</v>
      </c>
      <c r="H39" s="8" t="s">
        <v>111</v>
      </c>
    </row>
    <row r="40" customFormat="false" ht="15" hidden="false" customHeight="false" outlineLevel="0" collapsed="false">
      <c r="A40" s="2" t="s">
        <v>74</v>
      </c>
      <c r="B40" s="0" t="s">
        <v>104</v>
      </c>
      <c r="C40" s="20" t="n">
        <f aca="false">C7*C23/1000</f>
        <v>0.02</v>
      </c>
      <c r="D40" s="20" t="n">
        <f aca="false">D7*D23/1000</f>
        <v>0.02</v>
      </c>
      <c r="E40" s="20" t="n">
        <f aca="false">E7*E23/1000</f>
        <v>0.02</v>
      </c>
      <c r="F40" s="20" t="n">
        <f aca="false">F7*F23/1000</f>
        <v>0.02</v>
      </c>
      <c r="G40" s="20" t="n">
        <f aca="false">SUMPRODUCT($C$6:$F$6,C40:F40)</f>
        <v>0.02</v>
      </c>
      <c r="H40" s="8" t="s">
        <v>112</v>
      </c>
    </row>
    <row r="41" customFormat="false" ht="15" hidden="false" customHeight="false" outlineLevel="0" collapsed="false">
      <c r="A41" s="2" t="s">
        <v>77</v>
      </c>
      <c r="B41" s="0" t="s">
        <v>104</v>
      </c>
      <c r="C41" s="20" t="n">
        <f aca="false">C7*C24/1000</f>
        <v>3.6</v>
      </c>
      <c r="D41" s="20" t="n">
        <f aca="false">D7*D24/1000</f>
        <v>3.6</v>
      </c>
      <c r="E41" s="20" t="n">
        <f aca="false">E7*E24/1000</f>
        <v>3.6</v>
      </c>
      <c r="F41" s="20" t="n">
        <f aca="false">F7*F24/1000</f>
        <v>3.6</v>
      </c>
      <c r="G41" s="20" t="n">
        <f aca="false">SUMPRODUCT($C$6:$F$6,C41:F41)</f>
        <v>3.6</v>
      </c>
      <c r="H41" s="8" t="s">
        <v>113</v>
      </c>
    </row>
    <row r="42" customFormat="false" ht="15" hidden="false" customHeight="false" outlineLevel="0" collapsed="false">
      <c r="A42" s="2" t="s">
        <v>80</v>
      </c>
      <c r="B42" s="0" t="s">
        <v>104</v>
      </c>
      <c r="C42" s="20" t="n">
        <f aca="false">C7*C25/1000</f>
        <v>4.5</v>
      </c>
      <c r="D42" s="20" t="n">
        <f aca="false">D7*D25/1000</f>
        <v>4.5</v>
      </c>
      <c r="E42" s="20" t="n">
        <f aca="false">E7*E25/1000</f>
        <v>4.5</v>
      </c>
      <c r="F42" s="20" t="n">
        <f aca="false">F7*F25/1000</f>
        <v>4.5</v>
      </c>
      <c r="G42" s="20" t="n">
        <f aca="false">SUMPRODUCT($C$6:$F$6,C42:F42)</f>
        <v>4.5</v>
      </c>
      <c r="H42" s="8" t="s">
        <v>114</v>
      </c>
    </row>
    <row r="43" customFormat="false" ht="15" hidden="false" customHeight="false" outlineLevel="0" collapsed="false">
      <c r="A43" s="2" t="s">
        <v>82</v>
      </c>
      <c r="B43" s="0" t="s">
        <v>104</v>
      </c>
      <c r="C43" s="20" t="n">
        <f aca="false">C7*C26/1000</f>
        <v>2.5</v>
      </c>
      <c r="D43" s="20" t="n">
        <f aca="false">D7*D26/1000</f>
        <v>2.5</v>
      </c>
      <c r="E43" s="20" t="n">
        <f aca="false">E7*E26/1000</f>
        <v>2.5</v>
      </c>
      <c r="F43" s="20" t="n">
        <f aca="false">F7*F26/1000</f>
        <v>2.5</v>
      </c>
      <c r="G43" s="20" t="n">
        <f aca="false">SUMPRODUCT($C$6:$F$6,C43:F43)</f>
        <v>2.5</v>
      </c>
      <c r="H43" s="8" t="s">
        <v>115</v>
      </c>
    </row>
    <row r="44" customFormat="false" ht="15" hidden="false" customHeight="false" outlineLevel="0" collapsed="false">
      <c r="A44" s="2" t="s">
        <v>116</v>
      </c>
      <c r="B44" s="0" t="s">
        <v>104</v>
      </c>
      <c r="C44" s="20" t="n">
        <f aca="false">C7*C27/1000</f>
        <v>0.4</v>
      </c>
      <c r="D44" s="20" t="n">
        <f aca="false">D7*D27/1000</f>
        <v>0.4</v>
      </c>
      <c r="E44" s="20" t="n">
        <f aca="false">E7*E27/1000</f>
        <v>0.4</v>
      </c>
      <c r="F44" s="20" t="n">
        <f aca="false">F7*F27/1000</f>
        <v>0.4</v>
      </c>
      <c r="G44" s="20" t="n">
        <f aca="false">SUMPRODUCT($C$6:$F$6,C44:F44)</f>
        <v>0.4</v>
      </c>
      <c r="H44" s="8" t="s">
        <v>117</v>
      </c>
    </row>
    <row r="45" customFormat="false" ht="15" hidden="false" customHeight="false" outlineLevel="0" collapsed="false">
      <c r="A45" s="2" t="s">
        <v>118</v>
      </c>
      <c r="B45" s="0" t="s">
        <v>104</v>
      </c>
      <c r="C45" s="20" t="n">
        <f aca="false">(C41+C42+C43+C44)*C28</f>
        <v>1.65</v>
      </c>
      <c r="D45" s="20" t="n">
        <f aca="false">(D41+D42+D43+D44)*D28</f>
        <v>1.65</v>
      </c>
      <c r="E45" s="20" t="n">
        <f aca="false">(E41+E42+E43+E44)*E28</f>
        <v>1.65</v>
      </c>
      <c r="F45" s="20" t="n">
        <f aca="false">(F41+F42+F43+F44)*F28</f>
        <v>1.65</v>
      </c>
      <c r="G45" s="20" t="n">
        <f aca="false">SUMPRODUCT($C$6:$F$6,C45:F45)</f>
        <v>1.65</v>
      </c>
      <c r="H45" s="8" t="s">
        <v>119</v>
      </c>
    </row>
    <row r="46" customFormat="false" ht="15" hidden="false" customHeight="false" outlineLevel="0" collapsed="false">
      <c r="A46" s="2" t="s">
        <v>120</v>
      </c>
      <c r="B46" s="0" t="s">
        <v>104</v>
      </c>
      <c r="C46" s="20" t="n">
        <f aca="false">SUM(C40:C45)</f>
        <v>12.67</v>
      </c>
      <c r="D46" s="20" t="n">
        <f aca="false">SUM(D40:D45)</f>
        <v>12.67</v>
      </c>
      <c r="E46" s="20" t="n">
        <f aca="false">SUM(E40:E45)</f>
        <v>12.67</v>
      </c>
      <c r="F46" s="20" t="n">
        <f aca="false">SUM(F40:F45)</f>
        <v>12.67</v>
      </c>
      <c r="G46" s="20" t="n">
        <f aca="false">SUMPRODUCT($C$6:$F$6,C46:F46)</f>
        <v>12.67</v>
      </c>
      <c r="H46" s="8" t="s">
        <v>121</v>
      </c>
    </row>
    <row r="47" customFormat="false" ht="15" hidden="false" customHeight="false" outlineLevel="0" collapsed="false">
      <c r="A47" s="2" t="s">
        <v>122</v>
      </c>
      <c r="B47" s="0" t="s">
        <v>104</v>
      </c>
      <c r="C47" s="20" t="n">
        <f aca="false">C39+C46</f>
        <v>40.180214</v>
      </c>
      <c r="D47" s="20" t="n">
        <f aca="false">D39+D46</f>
        <v>36.685174</v>
      </c>
      <c r="E47" s="20" t="n">
        <f aca="false">E39+E46</f>
        <v>44.907224</v>
      </c>
      <c r="F47" s="20" t="n">
        <f aca="false">F39+F46</f>
        <v>50.256352</v>
      </c>
      <c r="G47" s="20" t="n">
        <f aca="false">SUMPRODUCT($C$6:$F$6,C47:F47)</f>
        <v>38.782198</v>
      </c>
      <c r="H47" s="8" t="s">
        <v>123</v>
      </c>
    </row>
    <row r="48" customFormat="false" ht="15" hidden="false" customHeight="false" outlineLevel="0" collapsed="false">
      <c r="A48" s="2" t="s">
        <v>124</v>
      </c>
      <c r="B48" s="0" t="s">
        <v>75</v>
      </c>
      <c r="C48" s="11" t="n">
        <f aca="false">C47*1000/C7</f>
        <v>40.180214</v>
      </c>
      <c r="D48" s="11" t="n">
        <f aca="false">D47*1000/D7</f>
        <v>36.685174</v>
      </c>
      <c r="E48" s="11" t="n">
        <f aca="false">E47*1000/E7</f>
        <v>44.907224</v>
      </c>
      <c r="F48" s="11" t="n">
        <f aca="false">F47*1000/F7</f>
        <v>50.256352</v>
      </c>
      <c r="G48" s="11" t="n">
        <f aca="false">SUMPRODUCT($C$6:$F$6,C48:F48)</f>
        <v>38.782198</v>
      </c>
      <c r="H48" s="8" t="s">
        <v>125</v>
      </c>
      <c r="J48" s="2" t="s">
        <v>126</v>
      </c>
    </row>
    <row r="49" customFormat="false" ht="15" hidden="false" customHeight="false" outlineLevel="0" collapsed="false">
      <c r="A49" s="5" t="s">
        <v>127</v>
      </c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0" t="s">
        <v>128</v>
      </c>
      <c r="B50" s="0" t="s">
        <v>104</v>
      </c>
      <c r="C50" s="20" t="n">
        <f aca="false">C39*C10/(1-(1+C10)^(-C11))</f>
        <v>6.31654816975637</v>
      </c>
      <c r="D50" s="20" t="n">
        <f aca="false">D39*D10/(1-(1+D10)^(-D11))</f>
        <v>5.51406119109364</v>
      </c>
      <c r="E50" s="20" t="n">
        <f aca="false">E39*E10/(1-(1+E10)^(-E11))</f>
        <v>7.4019045528045</v>
      </c>
      <c r="F50" s="20" t="n">
        <f aca="false">F39*F10/(1-(1+F10)^(-F11))</f>
        <v>8.6301038201091</v>
      </c>
      <c r="G50" s="20" t="n">
        <f aca="false">SUMPRODUCT($C$6:$F$6,C50:F50)</f>
        <v>5.99555337829128</v>
      </c>
      <c r="H50" s="8" t="s">
        <v>129</v>
      </c>
    </row>
    <row r="51" customFormat="false" ht="15" hidden="false" customHeight="false" outlineLevel="0" collapsed="false">
      <c r="A51" s="2" t="s">
        <v>130</v>
      </c>
      <c r="B51" s="0" t="s">
        <v>104</v>
      </c>
      <c r="C51" s="20" t="n">
        <f aca="false">C36*C10/(1-(1+C10)^(-C11))</f>
        <v>5.66737600875368</v>
      </c>
      <c r="D51" s="20" t="n">
        <f aca="false">D36*D10/(1-(1+D10)^(-D11))</f>
        <v>4.96041488461703</v>
      </c>
      <c r="E51" s="20" t="n">
        <f aca="false">E36*E10/(1-(1+E10)^(-E11))</f>
        <v>6.67817657932425</v>
      </c>
      <c r="F51" s="20" t="n">
        <f aca="false">F36*F10/(1-(1+F10)^(-F11))</f>
        <v>7.81510048392803</v>
      </c>
      <c r="G51" s="20" t="n">
        <f aca="false">SUMPRODUCT($C$6:$F$6,C51:F51)</f>
        <v>5.38459155909902</v>
      </c>
    </row>
    <row r="52" customFormat="false" ht="15" hidden="false" customHeight="false" outlineLevel="0" collapsed="false">
      <c r="A52" s="2" t="s">
        <v>131</v>
      </c>
      <c r="B52" s="0" t="s">
        <v>104</v>
      </c>
      <c r="C52" s="20" t="n">
        <f aca="false">C37*C10/(1-(1+C10)^(-C11))</f>
        <v>0.566737600875368</v>
      </c>
      <c r="D52" s="20" t="n">
        <f aca="false">D37*D10/(1-(1+D10)^(-D11))</f>
        <v>0.496041488461703</v>
      </c>
      <c r="E52" s="20" t="n">
        <f aca="false">E37*E10/(1-(1+E10)^(-E11))</f>
        <v>0.667817657932425</v>
      </c>
      <c r="F52" s="20" t="n">
        <f aca="false">F37*F10/(1-(1+F10)^(-F11))</f>
        <v>0.781510048392803</v>
      </c>
      <c r="G52" s="20" t="n">
        <f aca="false">SUMPRODUCT($C$6:$F$6,C52:F52)</f>
        <v>0.538459155909902</v>
      </c>
    </row>
    <row r="53" customFormat="false" ht="15" hidden="false" customHeight="false" outlineLevel="0" collapsed="false">
      <c r="A53" s="2" t="s">
        <v>132</v>
      </c>
      <c r="B53" s="0" t="s">
        <v>104</v>
      </c>
      <c r="C53" s="20" t="n">
        <f aca="false">C38*C10/(1-(1+C10)^(-C11))</f>
        <v>0.0824345601273262</v>
      </c>
      <c r="D53" s="20" t="n">
        <f aca="false">D38*D10/(1-(1+D10)^(-D11))</f>
        <v>0.0576048180149074</v>
      </c>
      <c r="E53" s="20" t="n">
        <f aca="false">E38*E10/(1-(1+E10)^(-E11))</f>
        <v>0.0559103155478309</v>
      </c>
      <c r="F53" s="20" t="n">
        <f aca="false">F38*F10/(1-(1+F10)^(-F11))</f>
        <v>0.033493287788263</v>
      </c>
      <c r="G53" s="20" t="n">
        <f aca="false">SUMPRODUCT($C$6:$F$6,C53:F53)</f>
        <v>0.0725026632823587</v>
      </c>
    </row>
    <row r="54" customFormat="false" ht="15" hidden="false" customHeight="false" outlineLevel="0" collapsed="false">
      <c r="A54" s="2" t="s">
        <v>133</v>
      </c>
      <c r="B54" s="0" t="s">
        <v>104</v>
      </c>
      <c r="C54" s="20" t="n">
        <f aca="false">C41*C10/(1-(1+C10)^(-C29))*(1+C28)+C42*C10/(1-(1+C10)^(-C30))*(1+C28)+C43*C10/(1-(1+C10)^(-C31))*(1+C28)+C44*C10/(1-(1+C10)^(-C32))*(1+C28)+C40*C10</f>
        <v>1.50187163616098</v>
      </c>
      <c r="D54" s="20" t="n">
        <f aca="false">D41*D10/(1-(1+D10)^(-D29))*(1+D28)+D42*D10/(1-(1+D10)^(-D30))*(1+D28)+D43*D10/(1-(1+D10)^(-D31))*(1+D28)+D44*D10/(1-(1+D10)^(-D32))*(1+D28)+D40*D10</f>
        <v>1.50187163616098</v>
      </c>
      <c r="E54" s="20" t="n">
        <f aca="false">E41*E10/(1-(1+E10)^(-E29))*(1+E28)+E42*E10/(1-(1+E10)^(-E30))*(1+E28)+E43*E10/(1-(1+E10)^(-E31))*(1+E28)+E44*E10/(1-(1+E10)^(-E32))*(1+E28)+E40*E10</f>
        <v>1.50187163616098</v>
      </c>
      <c r="F54" s="20" t="n">
        <f aca="false">F41*F10/(1-(1+F10)^(-F29))*(1+F28)+F42*F10/(1-(1+F10)^(-F30))*(1+F28)+F43*F10/(1-(1+F10)^(-F31))*(1+F28)+F44*F10/(1-(1+F10)^(-F32))*(1+F28)+F40*F10</f>
        <v>1.50187163616098</v>
      </c>
      <c r="G54" s="20" t="n">
        <f aca="false">SUMPRODUCT($C$6:$F$6,C54:F54)</f>
        <v>1.50187163616098</v>
      </c>
      <c r="H54" s="8" t="s">
        <v>134</v>
      </c>
    </row>
    <row r="55" customFormat="false" ht="15" hidden="false" customHeight="false" outlineLevel="0" collapsed="false">
      <c r="A55" s="2" t="s">
        <v>135</v>
      </c>
      <c r="B55" s="0" t="s">
        <v>104</v>
      </c>
      <c r="C55" s="20" t="n">
        <f aca="false">C41*C10/(1-(1+C10)^(-C29))*(1+C28)</f>
        <v>0.439168087765904</v>
      </c>
      <c r="D55" s="20" t="n">
        <f aca="false">D41*D10/(1-(1+D10)^(-D29))*(1+D28)</f>
        <v>0.439168087765904</v>
      </c>
      <c r="E55" s="20" t="n">
        <f aca="false">E41*E10/(1-(1+E10)^(-E29))*(1+E28)</f>
        <v>0.439168087765904</v>
      </c>
      <c r="F55" s="20" t="n">
        <f aca="false">F41*F10/(1-(1+F10)^(-F29))*(1+F28)</f>
        <v>0.439168087765904</v>
      </c>
      <c r="G55" s="20" t="n">
        <f aca="false">SUMPRODUCT($C$6:$F$6,C55:F55)</f>
        <v>0.439168087765904</v>
      </c>
    </row>
    <row r="56" customFormat="false" ht="15" hidden="false" customHeight="false" outlineLevel="0" collapsed="false">
      <c r="A56" s="2" t="s">
        <v>136</v>
      </c>
      <c r="B56" s="0" t="s">
        <v>104</v>
      </c>
      <c r="C56" s="20" t="n">
        <f aca="false">C42*C10/(1-(1+C10)^(-C30))*(1+C28)</f>
        <v>0.607853558197924</v>
      </c>
      <c r="D56" s="20" t="n">
        <f aca="false">D42*D10/(1-(1+D10)^(-D30))*(1+D28)</f>
        <v>0.607853558197924</v>
      </c>
      <c r="E56" s="20" t="n">
        <f aca="false">E42*E10/(1-(1+E10)^(-E30))*(1+E28)</f>
        <v>0.607853558197924</v>
      </c>
      <c r="F56" s="20" t="n">
        <f aca="false">F42*F10/(1-(1+F10)^(-F30))*(1+F28)</f>
        <v>0.607853558197924</v>
      </c>
      <c r="G56" s="20" t="n">
        <f aca="false">SUMPRODUCT($C$6:$F$6,C56:F56)</f>
        <v>0.607853558197924</v>
      </c>
    </row>
    <row r="57" customFormat="false" ht="15" hidden="false" customHeight="false" outlineLevel="0" collapsed="false">
      <c r="A57" s="2" t="s">
        <v>137</v>
      </c>
      <c r="B57" s="0" t="s">
        <v>104</v>
      </c>
      <c r="C57" s="20" t="n">
        <f aca="false">C43*C10/(1-(1+C10)^(-C31))*(1+C28)</f>
        <v>0.377987108551195</v>
      </c>
      <c r="D57" s="20" t="n">
        <f aca="false">D43*D10/(1-(1+D10)^(-D31))*(1+D28)</f>
        <v>0.377987108551195</v>
      </c>
      <c r="E57" s="20" t="n">
        <f aca="false">E43*E10/(1-(1+E10)^(-E31))*(1+E28)</f>
        <v>0.377987108551195</v>
      </c>
      <c r="F57" s="20" t="n">
        <f aca="false">F43*F10/(1-(1+F10)^(-F31))*(1+F28)</f>
        <v>0.377987108551195</v>
      </c>
      <c r="G57" s="20" t="n">
        <f aca="false">SUMPRODUCT($C$6:$F$6,C57:F57)</f>
        <v>0.377987108551195</v>
      </c>
    </row>
    <row r="58" customFormat="false" ht="15" hidden="false" customHeight="false" outlineLevel="0" collapsed="false">
      <c r="A58" s="2" t="s">
        <v>138</v>
      </c>
      <c r="B58" s="0" t="s">
        <v>104</v>
      </c>
      <c r="C58" s="20" t="n">
        <f aca="false">C44*C10/(1-(1+C10)^(-C32))*(1+C28)</f>
        <v>0.0748628816459553</v>
      </c>
      <c r="D58" s="20" t="n">
        <f aca="false">D44*D10/(1-(1+D10)^(-D32))*(1+D28)</f>
        <v>0.0748628816459553</v>
      </c>
      <c r="E58" s="20" t="n">
        <f aca="false">E44*E10/(1-(1+E10)^(-E32))*(1+E28)</f>
        <v>0.0748628816459553</v>
      </c>
      <c r="F58" s="20" t="n">
        <f aca="false">F44*F10/(1-(1+F10)^(-F32))*(1+F28)</f>
        <v>0.0748628816459553</v>
      </c>
      <c r="G58" s="20" t="n">
        <f aca="false">SUMPRODUCT($C$6:$F$6,C58:F58)</f>
        <v>0.0748628816459553</v>
      </c>
    </row>
    <row r="59" customFormat="false" ht="15" hidden="false" customHeight="false" outlineLevel="0" collapsed="false">
      <c r="A59" s="2" t="s">
        <v>139</v>
      </c>
      <c r="B59" s="0" t="s">
        <v>104</v>
      </c>
      <c r="C59" s="20" t="n">
        <f aca="false">C40*C10</f>
        <v>0.002</v>
      </c>
      <c r="D59" s="20" t="n">
        <f aca="false">D40*D10</f>
        <v>0.002</v>
      </c>
      <c r="E59" s="20" t="n">
        <f aca="false">E40*E10</f>
        <v>0.002</v>
      </c>
      <c r="F59" s="20" t="n">
        <f aca="false">F40*F10</f>
        <v>0.002</v>
      </c>
      <c r="G59" s="20" t="n">
        <f aca="false">SUMPRODUCT($C$6:$F$6,C59:F59)</f>
        <v>0.002</v>
      </c>
    </row>
    <row r="60" customFormat="false" ht="15" hidden="false" customHeight="false" outlineLevel="0" collapsed="false">
      <c r="A60" s="2" t="s">
        <v>140</v>
      </c>
      <c r="B60" s="0" t="s">
        <v>104</v>
      </c>
      <c r="C60" s="20" t="n">
        <f aca="false">C7*1000*C17*C9*8760*C18/1000000000</f>
        <v>0.672768</v>
      </c>
      <c r="D60" s="20" t="n">
        <f aca="false">D7*1000*D17*D9*8760*D18/1000000000</f>
        <v>0.672768</v>
      </c>
      <c r="E60" s="20" t="n">
        <f aca="false">E7*1000*E17*E9*8760*E18/1000000000</f>
        <v>0.672768</v>
      </c>
      <c r="F60" s="20" t="n">
        <f aca="false">F7*1000*F17*F9*8760*F18/1000000000</f>
        <v>0.672768</v>
      </c>
      <c r="G60" s="20" t="n">
        <f aca="false">SUMPRODUCT($C$6:$F$6,C60:F60)</f>
        <v>0.672768</v>
      </c>
      <c r="H60" s="8" t="s">
        <v>141</v>
      </c>
      <c r="J60" s="2" t="s">
        <v>142</v>
      </c>
    </row>
    <row r="61" customFormat="false" ht="15" hidden="false" customHeight="false" outlineLevel="0" collapsed="false">
      <c r="A61" s="0" t="s">
        <v>143</v>
      </c>
      <c r="B61" s="0" t="s">
        <v>104</v>
      </c>
      <c r="C61" s="20" t="n">
        <f aca="false">C39*C19</f>
        <v>0.432598410197339</v>
      </c>
      <c r="D61" s="20" t="n">
        <f aca="false">D39*D19</f>
        <v>0.377638868712998</v>
      </c>
      <c r="E61" s="20" t="n">
        <f aca="false">E39*E19</f>
        <v>0.506930693144572</v>
      </c>
      <c r="F61" s="20" t="n">
        <f aca="false">F39*F19</f>
        <v>0.591045788314027</v>
      </c>
      <c r="G61" s="20" t="n">
        <f aca="false">SUMPRODUCT($C$6:$F$6,C61:F61)</f>
        <v>0.410614593603603</v>
      </c>
      <c r="H61" s="8" t="s">
        <v>144</v>
      </c>
    </row>
    <row r="62" customFormat="false" ht="15" hidden="false" customHeight="false" outlineLevel="0" collapsed="false">
      <c r="A62" s="2" t="s">
        <v>145</v>
      </c>
      <c r="B62" s="0" t="s">
        <v>104</v>
      </c>
      <c r="C62" s="20" t="n">
        <f aca="false">C46*C20</f>
        <v>0.2534</v>
      </c>
      <c r="D62" s="20" t="n">
        <f aca="false">D46*D20</f>
        <v>0.2534</v>
      </c>
      <c r="E62" s="20" t="n">
        <f aca="false">E46*E20</f>
        <v>0.2534</v>
      </c>
      <c r="F62" s="20" t="n">
        <f aca="false">F46*F20</f>
        <v>0.2534</v>
      </c>
      <c r="G62" s="20" t="n">
        <f aca="false">SUMPRODUCT($C$6:$F$6,C62:F62)</f>
        <v>0.2534</v>
      </c>
      <c r="H62" s="8" t="s">
        <v>146</v>
      </c>
    </row>
    <row r="63" customFormat="false" ht="15" hidden="false" customHeight="false" outlineLevel="0" collapsed="false">
      <c r="A63" s="2" t="s">
        <v>147</v>
      </c>
      <c r="B63" s="0" t="s">
        <v>104</v>
      </c>
      <c r="C63" s="20" t="n">
        <f aca="false">C21</f>
        <v>0.325</v>
      </c>
      <c r="D63" s="20" t="n">
        <f aca="false">D21</f>
        <v>0.325</v>
      </c>
      <c r="E63" s="20" t="n">
        <f aca="false">E21</f>
        <v>0.325</v>
      </c>
      <c r="F63" s="20" t="n">
        <f aca="false">F21</f>
        <v>0.325</v>
      </c>
      <c r="G63" s="20" t="n">
        <f aca="false">SUMPRODUCT($C$6:$F$6,C63:F63)</f>
        <v>0.325</v>
      </c>
      <c r="H63" s="8" t="s">
        <v>148</v>
      </c>
    </row>
    <row r="64" customFormat="false" ht="15" hidden="false" customHeight="false" outlineLevel="0" collapsed="false">
      <c r="A64" s="2" t="s">
        <v>149</v>
      </c>
      <c r="B64" s="0" t="s">
        <v>104</v>
      </c>
      <c r="C64" s="20" t="n">
        <f aca="false">C47*C22</f>
        <v>0.20090107</v>
      </c>
      <c r="D64" s="20" t="n">
        <f aca="false">D47*D22</f>
        <v>0.18342587</v>
      </c>
      <c r="E64" s="20" t="n">
        <f aca="false">E47*E22</f>
        <v>0.22453612</v>
      </c>
      <c r="F64" s="20" t="n">
        <f aca="false">F47*F22</f>
        <v>0.25128176</v>
      </c>
      <c r="G64" s="20" t="n">
        <f aca="false">SUMPRODUCT($C$6:$F$6,C64:F64)</f>
        <v>0.19391099</v>
      </c>
      <c r="H64" s="8" t="s">
        <v>150</v>
      </c>
    </row>
    <row r="65" customFormat="false" ht="15" hidden="false" customHeight="false" outlineLevel="0" collapsed="false">
      <c r="A65" s="2" t="s">
        <v>151</v>
      </c>
      <c r="B65" s="0" t="s">
        <v>104</v>
      </c>
      <c r="C65" s="20" t="n">
        <f aca="false">SUM(C60:C64)</f>
        <v>1.88466748019734</v>
      </c>
      <c r="D65" s="20" t="n">
        <f aca="false">SUM(D60:D64)</f>
        <v>1.812232738713</v>
      </c>
      <c r="E65" s="20" t="n">
        <f aca="false">SUM(E60:E64)</f>
        <v>1.98263481314457</v>
      </c>
      <c r="F65" s="20" t="n">
        <f aca="false">SUM(F60:F64)</f>
        <v>2.09349554831403</v>
      </c>
      <c r="G65" s="20" t="n">
        <f aca="false">SUMPRODUCT($C$6:$F$6,C65:F65)</f>
        <v>1.8556935836036</v>
      </c>
      <c r="H65" s="8" t="s">
        <v>152</v>
      </c>
    </row>
    <row r="66" customFormat="false" ht="15" hidden="false" customHeight="false" outlineLevel="0" collapsed="false">
      <c r="A66" s="2" t="s">
        <v>153</v>
      </c>
      <c r="B66" s="0" t="s">
        <v>68</v>
      </c>
      <c r="C66" s="21" t="n">
        <f aca="false">C50+C54+C65</f>
        <v>9.70308728611469</v>
      </c>
      <c r="D66" s="21" t="n">
        <f aca="false">D50+D54+D65</f>
        <v>8.82816556596761</v>
      </c>
      <c r="E66" s="21" t="n">
        <f aca="false">E50+E54+E65</f>
        <v>10.8864110021101</v>
      </c>
      <c r="F66" s="21" t="n">
        <f aca="false">F50+F54+F65</f>
        <v>12.2254710045841</v>
      </c>
      <c r="G66" s="21" t="n">
        <f aca="false">SUMPRODUCT($C$6:$F$6,C66:F66)</f>
        <v>9.35311859805586</v>
      </c>
      <c r="H66" s="8" t="s">
        <v>154</v>
      </c>
    </row>
    <row r="67" customFormat="false" ht="15" hidden="false" customHeight="false" outlineLevel="0" collapsed="false">
      <c r="A67" s="2" t="s">
        <v>155</v>
      </c>
      <c r="B67" s="0" t="s">
        <v>68</v>
      </c>
      <c r="C67" s="22" t="n">
        <v>9.70308728611469</v>
      </c>
      <c r="D67" s="22" t="n">
        <v>8.82816556596761</v>
      </c>
      <c r="E67" s="22" t="n">
        <v>10.8864110021101</v>
      </c>
      <c r="F67" s="22" t="n">
        <v>12.2254710045841</v>
      </c>
      <c r="G67" s="22" t="n">
        <v>9.35311859805586</v>
      </c>
      <c r="H67" s="8" t="s">
        <v>156</v>
      </c>
      <c r="I67" s="8" t="s">
        <v>157</v>
      </c>
    </row>
    <row r="68" customFormat="false" ht="15" hidden="false" customHeight="false" outlineLevel="0" collapsed="false">
      <c r="A68" s="2" t="s">
        <v>158</v>
      </c>
      <c r="B68" s="0" t="s">
        <v>104</v>
      </c>
      <c r="C68" s="23" t="n">
        <f aca="false">C66-C67</f>
        <v>0</v>
      </c>
      <c r="D68" s="23" t="n">
        <f aca="false">D66-D67</f>
        <v>0</v>
      </c>
      <c r="E68" s="23" t="n">
        <f aca="false">E66-E67</f>
        <v>-4.44089209850063E-014</v>
      </c>
      <c r="F68" s="23" t="n">
        <f aca="false">F66-F67</f>
        <v>0</v>
      </c>
      <c r="G68" s="23" t="n">
        <f aca="false">G66-G67</f>
        <v>0</v>
      </c>
      <c r="J68" s="2" t="s">
        <v>159</v>
      </c>
    </row>
    <row r="69" customFormat="false" ht="15" hidden="false" customHeight="false" outlineLevel="0" collapsed="false">
      <c r="A69" s="5" t="s">
        <v>160</v>
      </c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5" hidden="false" customHeight="false" outlineLevel="0" collapsed="false">
      <c r="A70" s="0" t="s">
        <v>161</v>
      </c>
      <c r="B70" s="0" t="s">
        <v>14</v>
      </c>
      <c r="C70" s="24" t="n">
        <f aca="false">C50/C66</f>
        <v>0.650983339992775</v>
      </c>
      <c r="D70" s="24" t="n">
        <f aca="false">D50/D66</f>
        <v>0.624598751562864</v>
      </c>
      <c r="E70" s="24" t="n">
        <f aca="false">E50/E66</f>
        <v>0.679921468275434</v>
      </c>
      <c r="F70" s="24" t="n">
        <f aca="false">F50/F66</f>
        <v>0.705911765434078</v>
      </c>
      <c r="G70" s="24" t="n">
        <f aca="false">G50/G66</f>
        <v>0.641021849069412</v>
      </c>
    </row>
    <row r="71" customFormat="false" ht="15" hidden="false" customHeight="false" outlineLevel="0" collapsed="false">
      <c r="A71" s="2" t="s">
        <v>162</v>
      </c>
      <c r="B71" s="0" t="s">
        <v>14</v>
      </c>
      <c r="C71" s="24" t="n">
        <f aca="false">C54/C66</f>
        <v>0.154782863626321</v>
      </c>
      <c r="D71" s="24" t="n">
        <f aca="false">D54/D66</f>
        <v>0.170122731040598</v>
      </c>
      <c r="E71" s="24" t="n">
        <f aca="false">E54/E66</f>
        <v>0.137958380945739</v>
      </c>
      <c r="F71" s="24" t="n">
        <f aca="false">F54/F66</f>
        <v>0.122847752499501</v>
      </c>
      <c r="G71" s="24" t="n">
        <f aca="false">G54/G66</f>
        <v>0.160574424499777</v>
      </c>
    </row>
    <row r="72" customFormat="false" ht="15" hidden="false" customHeight="false" outlineLevel="0" collapsed="false">
      <c r="A72" s="2" t="s">
        <v>163</v>
      </c>
      <c r="B72" s="0" t="s">
        <v>14</v>
      </c>
      <c r="C72" s="24" t="n">
        <f aca="false">C60/C66</f>
        <v>0.0693354578972761</v>
      </c>
      <c r="D72" s="24" t="n">
        <f aca="false">D60/D66</f>
        <v>0.0762069984950788</v>
      </c>
      <c r="E72" s="24" t="n">
        <f aca="false">E60/E66</f>
        <v>0.0617988793432106</v>
      </c>
      <c r="F72" s="24" t="n">
        <f aca="false">F60/F66</f>
        <v>0.0550300270433537</v>
      </c>
      <c r="G72" s="24" t="n">
        <f aca="false">G60/G66</f>
        <v>0.0719298053314369</v>
      </c>
    </row>
    <row r="73" customFormat="false" ht="15" hidden="false" customHeight="false" outlineLevel="0" collapsed="false">
      <c r="A73" s="2" t="s">
        <v>164</v>
      </c>
      <c r="B73" s="0" t="s">
        <v>14</v>
      </c>
      <c r="C73" s="24" t="n">
        <f aca="false">(C61+C62)/C66</f>
        <v>0.0706989837326329</v>
      </c>
      <c r="D73" s="24" t="n">
        <f aca="false">(D61+D62)/D66</f>
        <v>0.0714801805649907</v>
      </c>
      <c r="E73" s="24" t="n">
        <f aca="false">(E61+E62)/E66</f>
        <v>0.0698421815047403</v>
      </c>
      <c r="F73" s="24" t="n">
        <f aca="false">(F61+F62)/F66</f>
        <v>0.0690726588773055</v>
      </c>
      <c r="G73" s="24" t="n">
        <f aca="false">(G61+G62)/G66</f>
        <v>0.0709939242876301</v>
      </c>
    </row>
    <row r="74" customFormat="false" ht="15" hidden="false" customHeight="false" outlineLevel="0" collapsed="false">
      <c r="A74" s="2" t="s">
        <v>165</v>
      </c>
      <c r="B74" s="0" t="s">
        <v>14</v>
      </c>
      <c r="C74" s="24" t="n">
        <f aca="false">(C63+C64)/C66</f>
        <v>0.054199354750995</v>
      </c>
      <c r="D74" s="24" t="n">
        <f aca="false">(D63+D64)/D66</f>
        <v>0.0575913383364683</v>
      </c>
      <c r="E74" s="24" t="n">
        <f aca="false">(E63+E64)/E66</f>
        <v>0.0504790899308768</v>
      </c>
      <c r="F74" s="24" t="n">
        <f aca="false">(F63+F64)/F66</f>
        <v>0.0471377961457612</v>
      </c>
      <c r="G74" s="24" t="n">
        <f aca="false">(G63+G64)/G66</f>
        <v>0.0554799968117437</v>
      </c>
    </row>
    <row r="75" customFormat="false" ht="15" hidden="false" customHeight="false" outlineLevel="0" collapsed="false">
      <c r="A75" s="2" t="s">
        <v>166</v>
      </c>
      <c r="B75" s="0" t="s">
        <v>14</v>
      </c>
      <c r="C75" s="24" t="n">
        <f aca="false">(C50+C54)/C66</f>
        <v>0.805766203619096</v>
      </c>
      <c r="D75" s="24" t="n">
        <f aca="false">(D50+D54)/D66</f>
        <v>0.794721482603462</v>
      </c>
      <c r="E75" s="24" t="n">
        <f aca="false">(E50+E54)/E66</f>
        <v>0.817879849221172</v>
      </c>
      <c r="F75" s="24" t="n">
        <f aca="false">(F50+F54)/F66</f>
        <v>0.82875951793358</v>
      </c>
      <c r="G75" s="24" t="n">
        <f aca="false">(G50+G54)/G66</f>
        <v>0.801596273569189</v>
      </c>
    </row>
    <row r="76" customFormat="false" ht="15" hidden="false" customHeight="false" outlineLevel="0" collapsed="false">
      <c r="A76" s="2" t="s">
        <v>167</v>
      </c>
      <c r="B76" s="0" t="s">
        <v>168</v>
      </c>
      <c r="C76" s="16" t="n">
        <f aca="false">C66*1000000000/(C35*8760)</f>
        <v>1.54259654785589</v>
      </c>
      <c r="D76" s="16" t="n">
        <f aca="false">D66*1000000000/(D35*8760)</f>
        <v>2.00846099652078</v>
      </c>
      <c r="E76" s="16" t="n">
        <f aca="false">E66*1000000000/(E35*8760)</f>
        <v>2.55178761329595</v>
      </c>
      <c r="F76" s="16" t="n">
        <f aca="false">F66*1000000000/(F35*8760)</f>
        <v>4.78365180724219</v>
      </c>
      <c r="G76" s="16" t="n">
        <f aca="false">G66*1000000000/(G35*8760)</f>
        <v>1.69065200165595</v>
      </c>
      <c r="J76" s="2" t="s">
        <v>169</v>
      </c>
    </row>
    <row r="77" customFormat="false" ht="15" hidden="false" customHeight="false" outlineLevel="0" collapsed="false">
      <c r="A77" s="5" t="s">
        <v>170</v>
      </c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5" hidden="false" customHeight="false" outlineLevel="0" collapsed="false">
      <c r="A78" s="3" t="s">
        <v>171</v>
      </c>
      <c r="B78" s="3"/>
      <c r="C78" s="4" t="s">
        <v>172</v>
      </c>
      <c r="D78" s="4" t="s">
        <v>173</v>
      </c>
      <c r="E78" s="4" t="s">
        <v>174</v>
      </c>
      <c r="F78" s="4" t="s">
        <v>175</v>
      </c>
      <c r="G78" s="3" t="s">
        <v>176</v>
      </c>
      <c r="H78" s="3"/>
      <c r="I78" s="4" t="s">
        <v>29</v>
      </c>
      <c r="J78" s="4" t="s">
        <v>177</v>
      </c>
    </row>
    <row r="79" customFormat="false" ht="15" hidden="false" customHeight="false" outlineLevel="0" collapsed="false">
      <c r="A79" s="0" t="s">
        <v>178</v>
      </c>
      <c r="B79" s="0" t="s">
        <v>68</v>
      </c>
      <c r="C79" s="16" t="n">
        <f aca="false">C39*$I79/(1-(1+$I79)^(-$J79))+C41*$I79/(1-(1+$I79)^(-C29))*(1+C28)+C42*$I79/(1-(1+$I79)^(-C30))*(1+C28)+C43*$I79/(1-(1+$I79)^(-C31))*(1+C28)+C44*$I79/(1-(1+$I79)^(-C32))*(1+C28)+C40*$I79+C65</f>
        <v>7.89464794089206</v>
      </c>
      <c r="D79" s="16" t="n">
        <f aca="false">D39*$I79/(1-(1+$I79)^(-$J79))+D41*$I79/(1-(1+$I79)^(-D29))*(1+D28)+D42*$I79/(1-(1+$I79)^(-D30))*(1+D28)+D43*$I79/(1-(1+$I79)^(-D31))*(1+D28)+D44*$I79/(1-(1+$I79)^(-D32))*(1+D28)+D40*$I79+D65</f>
        <v>7.17039305788348</v>
      </c>
      <c r="E79" s="16" t="n">
        <f aca="false">E39*$I79/(1-(1+$I79)^(-$J79))+E41*$I79/(1-(1+$I79)^(-E29))*(1+E28)+E42*$I79/(1-(1+$I79)^(-E30))*(1+E28)+E43*$I79/(1-(1+$I79)^(-E31))*(1+E28)+E44*$I79/(1-(1+$I79)^(-E32))*(1+E28)+E40*$I79+E65</f>
        <v>8.87419612189441</v>
      </c>
      <c r="F79" s="16" t="n">
        <f aca="false">F39*$I79/(1-(1+$I79)^(-$J79))+F41*$I79/(1-(1+$I79)^(-F29))*(1+F28)+F42*$I79/(1-(1+$I79)^(-F30))*(1+F28)+F43*$I79/(1-(1+$I79)^(-F31))*(1+F28)+F44*$I79/(1-(1+$I79)^(-F32))*(1+F28)+F40*$I79+F65</f>
        <v>9.98266185442907</v>
      </c>
      <c r="G79" s="16" t="n">
        <f aca="false">SUMPRODUCT($C$6:$F$6,C79:F79)</f>
        <v>7.60494598768863</v>
      </c>
      <c r="I79" s="12" t="n">
        <v>0.0331</v>
      </c>
      <c r="J79" s="25" t="n">
        <v>6</v>
      </c>
    </row>
    <row r="80" customFormat="false" ht="15" hidden="false" customHeight="false" outlineLevel="0" collapsed="false">
      <c r="A80" s="0" t="s">
        <v>179</v>
      </c>
      <c r="B80" s="0" t="s">
        <v>68</v>
      </c>
      <c r="C80" s="16" t="n">
        <f aca="false">C39*$I80/(1-(1+$I80)^(-$J80))+C41*$I80/(1-(1+$I80)^(-C29))*(1+C28)+C42*$I80/(1-(1+$I80)^(-C30))*(1+C28)+C43*$I80/(1-(1+$I80)^(-C31))*(1+C28)+C44*$I80/(1-(1+$I80)^(-C32))*(1+C28)+C40*$I80+C65</f>
        <v>8.32678470095165</v>
      </c>
      <c r="D80" s="16" t="n">
        <f aca="false">D39*$I80/(1-(1+$I80)^(-$J80))+D41*$I80/(1-(1+$I80)^(-D29))*(1+D28)+D42*$I80/(1-(1+$I80)^(-D30))*(1+D28)+D43*$I80/(1-(1+$I80)^(-D31))*(1+D28)+D44*$I80/(1-(1+$I80)^(-D32))*(1+D28)+D40*$I80+D65</f>
        <v>7.56576602772348</v>
      </c>
      <c r="E80" s="16" t="n">
        <f aca="false">E39*$I80/(1-(1+$I80)^(-$J80))+E41*$I80/(1-(1+$I80)^(-E29))*(1+E28)+E42*$I80/(1-(1+$I80)^(-E30))*(1+E28)+E43*$I80/(1-(1+$I80)^(-E31))*(1+E28)+E44*$I80/(1-(1+$I80)^(-E32))*(1+E28)+E40*$I80+E65</f>
        <v>9.35605557583043</v>
      </c>
      <c r="F80" s="16" t="n">
        <f aca="false">F39*$I80/(1-(1+$I80)^(-$J80))+F41*$I80/(1-(1+$I80)^(-F29))*(1+F28)+F42*$I80/(1-(1+$I80)^(-F30))*(1+F28)+F43*$I80/(1-(1+$I80)^(-F31))*(1+F28)+F44*$I80/(1-(1+$I80)^(-F32))*(1+F28)+F40*$I80+F65</f>
        <v>10.5207879661572</v>
      </c>
      <c r="G80" s="16" t="n">
        <f aca="false">SUMPRODUCT($C$6:$F$6,C80:F80)</f>
        <v>8.02237723166038</v>
      </c>
      <c r="I80" s="12" t="n">
        <v>0.05</v>
      </c>
      <c r="J80" s="25" t="n">
        <v>6</v>
      </c>
    </row>
    <row r="81" customFormat="false" ht="15" hidden="false" customHeight="false" outlineLevel="0" collapsed="false">
      <c r="A81" s="0" t="s">
        <v>180</v>
      </c>
      <c r="B81" s="0" t="s">
        <v>68</v>
      </c>
      <c r="C81" s="16" t="n">
        <f aca="false">C39*$I81/(1-(1+$I81)^(-$J81))+C41*$I81/(1-(1+$I81)^(-C29))*(1+C28)+C42*$I81/(1-(1+$I81)^(-C30))*(1+C28)+C43*$I81/(1-(1+$I81)^(-C31))*(1+C28)+C44*$I81/(1-(1+$I81)^(-C32))*(1+C28)+C40*$I81+C65</f>
        <v>9.13641930822487</v>
      </c>
      <c r="D81" s="16" t="n">
        <f aca="false">D39*$I81/(1-(1+$I81)^(-$J81))+D41*$I81/(1-(1+$I81)^(-D29))*(1+D28)+D42*$I81/(1-(1+$I81)^(-D30))*(1+D28)+D43*$I81/(1-(1+$I81)^(-D31))*(1+D28)+D44*$I81/(1-(1+$I81)^(-D32))*(1+D28)+D40*$I81+D65</f>
        <v>8.30795363925469</v>
      </c>
      <c r="E81" s="16" t="n">
        <f aca="false">E39*$I81/(1-(1+$I81)^(-$J81))+E41*$I81/(1-(1+$I81)^(-E29))*(1+E28)+E42*$I81/(1-(1+$I81)^(-E30))*(1+E28)+E43*$I81/(1-(1+$I81)^(-E31))*(1+E28)+E44*$I81/(1-(1+$I81)^(-E32))*(1+E28)+E40*$I81+E65</f>
        <v>10.2569116350305</v>
      </c>
      <c r="F81" s="16" t="n">
        <f aca="false">F39*$I81/(1-(1+$I81)^(-$J81))+F41*$I81/(1-(1+$I81)^(-F29))*(1+F28)+F42*$I81/(1-(1+$I81)^(-F30))*(1+F28)+F43*$I81/(1-(1+$I81)^(-F31))*(1+F28)+F44*$I81/(1-(1+$I81)^(-F32))*(1+F28)+F40*$I81+F65</f>
        <v>11.5248710595084</v>
      </c>
      <c r="G81" s="16" t="n">
        <f aca="false">SUMPRODUCT($C$6:$F$6,C81:F81)</f>
        <v>8.8050330406368</v>
      </c>
      <c r="I81" s="12" t="n">
        <v>0.08</v>
      </c>
      <c r="J81" s="25" t="n">
        <v>6</v>
      </c>
    </row>
    <row r="82" customFormat="false" ht="15" hidden="false" customHeight="false" outlineLevel="0" collapsed="false">
      <c r="A82" s="0" t="s">
        <v>181</v>
      </c>
      <c r="B82" s="0" t="s">
        <v>68</v>
      </c>
      <c r="C82" s="16" t="n">
        <f aca="false">C39*$I82/(1-(1+$I82)^(-$J82))+C41*$I82/(1-(1+$I82)^(-C29))*(1+C28)+C42*$I82/(1-(1+$I82)^(-C30))*(1+C28)+C43*$I82/(1-(1+$I82)^(-C31))*(1+C28)+C44*$I82/(1-(1+$I82)^(-C32))*(1+C28)+C40*$I82+C65</f>
        <v>9.70308728611469</v>
      </c>
      <c r="D82" s="16" t="n">
        <f aca="false">D39*$I82/(1-(1+$I82)^(-$J82))+D41*$I82/(1-(1+$I82)^(-D29))*(1+D28)+D42*$I82/(1-(1+$I82)^(-D30))*(1+D28)+D43*$I82/(1-(1+$I82)^(-D31))*(1+D28)+D44*$I82/(1-(1+$I82)^(-D32))*(1+D28)+D40*$I82+D65</f>
        <v>8.82816556596761</v>
      </c>
      <c r="E82" s="16" t="n">
        <f aca="false">E39*$I82/(1-(1+$I82)^(-$J82))+E41*$I82/(1-(1+$I82)^(-E29))*(1+E28)+E42*$I82/(1-(1+$I82)^(-E30))*(1+E28)+E43*$I82/(1-(1+$I82)^(-E31))*(1+E28)+E44*$I82/(1-(1+$I82)^(-E32))*(1+E28)+E40*$I82+E65</f>
        <v>10.8864110021101</v>
      </c>
      <c r="F82" s="16" t="n">
        <f aca="false">F39*$I82/(1-(1+$I82)^(-$J82))+F41*$I82/(1-(1+$I82)^(-F29))*(1+F28)+F42*$I82/(1-(1+$I82)^(-F30))*(1+F28)+F43*$I82/(1-(1+$I82)^(-F31))*(1+F28)+F44*$I82/(1-(1+$I82)^(-F32))*(1+F28)+F40*$I82+F65</f>
        <v>12.2254710045841</v>
      </c>
      <c r="G82" s="16" t="n">
        <f aca="false">SUMPRODUCT($C$6:$F$6,C82:F82)</f>
        <v>9.35311859805586</v>
      </c>
      <c r="I82" s="12" t="n">
        <v>0.1</v>
      </c>
      <c r="J82" s="25" t="n">
        <v>6</v>
      </c>
    </row>
    <row r="83" customFormat="false" ht="15" hidden="false" customHeight="false" outlineLevel="0" collapsed="false">
      <c r="A83" s="0" t="s">
        <v>182</v>
      </c>
      <c r="B83" s="0" t="s">
        <v>68</v>
      </c>
      <c r="C83" s="16" t="n">
        <f aca="false">C39*$I83/(1-(1+$I83)^(-$J83))+C41*$I83/(1-(1+$I83)^(-C29))*(1+C28)+C42*$I83/(1-(1+$I83)^(-C30))*(1+C28)+C43*$I83/(1-(1+$I83)^(-C31))*(1+C28)+C44*$I83/(1-(1+$I83)^(-C32))*(1+C28)+C40*$I83+C65</f>
        <v>10.5876931865163</v>
      </c>
      <c r="D83" s="16" t="n">
        <f aca="false">D39*$I83/(1-(1+$I83)^(-$J83))+D41*$I83/(1-(1+$I83)^(-D29))*(1+D28)+D42*$I83/(1-(1+$I83)^(-D30))*(1+D28)+D43*$I83/(1-(1+$I83)^(-D31))*(1+D28)+D44*$I83/(1-(1+$I83)^(-D32))*(1+D28)+D40*$I83+D65</f>
        <v>9.64096289288191</v>
      </c>
      <c r="E83" s="16" t="n">
        <f aca="false">E39*$I83/(1-(1+$I83)^(-$J83))+E41*$I83/(1-(1+$I83)^(-E29))*(1+E28)+E42*$I83/(1-(1+$I83)^(-E30))*(1+E28)+E43*$I83/(1-(1+$I83)^(-E31))*(1+E28)+E44*$I83/(1-(1+$I83)^(-E32))*(1+E28)+E40*$I83+E65</f>
        <v>11.8681373489044</v>
      </c>
      <c r="F83" s="16" t="n">
        <f aca="false">F39*$I83/(1-(1+$I83)^(-$J83))+F41*$I83/(1-(1+$I83)^(-F29))*(1+F28)+F42*$I83/(1-(1+$I83)^(-F30))*(1+F28)+F43*$I83/(1-(1+$I83)^(-F31))*(1+F28)+F44*$I83/(1-(1+$I83)^(-F32))*(1+F28)+F40*$I83+F65</f>
        <v>13.3170997419322</v>
      </c>
      <c r="G83" s="16" t="n">
        <f aca="false">SUMPRODUCT($C$6:$F$6,C83:F83)</f>
        <v>10.2090010690626</v>
      </c>
      <c r="I83" s="12" t="n">
        <v>0.13</v>
      </c>
      <c r="J83" s="25" t="n">
        <v>6</v>
      </c>
    </row>
    <row r="84" customFormat="false" ht="15" hidden="false" customHeight="false" outlineLevel="0" collapsed="false">
      <c r="A84" s="0" t="s">
        <v>183</v>
      </c>
      <c r="B84" s="0" t="s">
        <v>68</v>
      </c>
      <c r="C84" s="16" t="n">
        <f aca="false">C39*$I84/(1-(1+$I84)^(-$J84))+C41*$I84/(1-(1+$I84)^(-C29))*(1+C28)+C42*$I84/(1-(1+$I84)^(-C30))*(1+C28)+C43*$I84/(1-(1+$I84)^(-C31))*(1+C28)+C44*$I84/(1-(1+$I84)^(-C32))*(1+C28)+C40*$I84+C65</f>
        <v>10.6436642656827</v>
      </c>
      <c r="D84" s="16" t="n">
        <f aca="false">D39*$I84/(1-(1+$I84)^(-$J84))+D41*$I84/(1-(1+$I84)^(-D29))*(1+D28)+D42*$I84/(1-(1+$I84)^(-D30))*(1+D28)+D43*$I84/(1-(1+$I84)^(-D31))*(1+D28)+D44*$I84/(1-(1+$I84)^(-D32))*(1+D28)+D40*$I84+D65</f>
        <v>9.64924677692144</v>
      </c>
      <c r="E84" s="16" t="n">
        <f aca="false">E39*$I84/(1-(1+$I84)^(-$J84))+E41*$I84/(1-(1+$I84)^(-E29))*(1+E28)+E42*$I84/(1-(1+$I84)^(-E30))*(1+E28)+E43*$I84/(1-(1+$I84)^(-E31))*(1+E28)+E44*$I84/(1-(1+$I84)^(-E32))*(1+E28)+E40*$I84+E65</f>
        <v>11.9886049283215</v>
      </c>
      <c r="F84" s="16" t="n">
        <f aca="false">F39*$I84/(1-(1+$I84)^(-$J84))+F41*$I84/(1-(1+$I84)^(-F29))*(1+F28)+F42*$I84/(1-(1+$I84)^(-F30))*(1+F28)+F43*$I84/(1-(1+$I84)^(-F31))*(1+F28)+F44*$I84/(1-(1+$I84)^(-F32))*(1+F28)+F40*$I84+F65</f>
        <v>13.5105521543395</v>
      </c>
      <c r="G84" s="16" t="n">
        <f aca="false">SUMPRODUCT($C$6:$F$6,C84:F84)</f>
        <v>10.2458972701782</v>
      </c>
      <c r="I84" s="12" t="n">
        <v>0.1</v>
      </c>
      <c r="J84" s="25" t="n">
        <v>5</v>
      </c>
    </row>
    <row r="85" customFormat="false" ht="15" hidden="false" customHeight="false" outlineLevel="0" collapsed="false">
      <c r="A85" s="0" t="s">
        <v>184</v>
      </c>
      <c r="B85" s="0" t="s">
        <v>68</v>
      </c>
      <c r="C85" s="16" t="n">
        <f aca="false">C39*$I85/(1-(1+$I85)^(-$J85))+C41*$I85/(1-(1+$I85)^(-C29))*(1+C28)+C42*$I85/(1-(1+$I85)^(-C30))*(1+C28)+C43*$I85/(1-(1+$I85)^(-C31))*(1+C28)+C44*$I85/(1-(1+$I85)^(-C32))*(1+C28)+C40*$I85+C65</f>
        <v>10.0756474043871</v>
      </c>
      <c r="D85" s="16" t="n">
        <f aca="false">D39*$I85/(1-(1+$I85)^(-$J85))+D41*$I85/(1-(1+$I85)^(-D29))*(1+D28)+D42*$I85/(1-(1+$I85)^(-D30))*(1+D28)+D43*$I85/(1-(1+$I85)^(-D31))*(1+D28)+D44*$I85/(1-(1+$I85)^(-D32))*(1+D28)+D40*$I85+D65</f>
        <v>9.1278573359335</v>
      </c>
      <c r="E85" s="16" t="n">
        <f aca="false">E39*$I85/(1-(1+$I85)^(-$J85))+E41*$I85/(1-(1+$I85)^(-E29))*(1+E28)+E42*$I85/(1-(1+$I85)^(-E30))*(1+E28)+E43*$I85/(1-(1+$I85)^(-E31))*(1+E28)+E44*$I85/(1-(1+$I85)^(-E32))*(1+E28)+E40*$I85+E65</f>
        <v>11.3575249026363</v>
      </c>
      <c r="F85" s="16" t="n">
        <f aca="false">F39*$I85/(1-(1+$I85)^(-$J85))+F41*$I85/(1-(1+$I85)^(-F29))*(1+F28)+F42*$I85/(1-(1+$I85)^(-F30))*(1+F28)+F43*$I85/(1-(1+$I85)^(-F31))*(1+F28)+F44*$I85/(1-(1+$I85)^(-F32))*(1+F28)+F40*$I85+F65</f>
        <v>12.80810927171</v>
      </c>
      <c r="G85" s="16" t="n">
        <f aca="false">SUMPRODUCT($C$6:$F$6,C85:F85)</f>
        <v>9.69653137700566</v>
      </c>
      <c r="I85" s="12" t="n">
        <v>0.08</v>
      </c>
      <c r="J85" s="25" t="n">
        <v>5</v>
      </c>
    </row>
    <row r="86" customFormat="false" ht="15" hidden="false" customHeight="false" outlineLevel="0" collapsed="false">
      <c r="A86" s="0" t="s">
        <v>185</v>
      </c>
      <c r="B86" s="0" t="s">
        <v>68</v>
      </c>
      <c r="C86" s="16" t="n">
        <f aca="false">C39*$I86/(1-(1+$I86)^(-$J86))+C41*$I86/(1-(1+$I86)^(-C29))*(1+C28)+C42*$I86/(1-(1+$I86)^(-C30))*(1+C28)+C43*$I86/(1-(1+$I86)^(-C31))*(1+C28)+C44*$I86/(1-(1+$I86)^(-C32))*(1+C28)+C40*$I86+C65</f>
        <v>8.82428211319624</v>
      </c>
      <c r="D86" s="16" t="n">
        <f aca="false">D39*$I86/(1-(1+$I86)^(-$J86))+D41*$I86/(1-(1+$I86)^(-D29))*(1+D28)+D42*$I86/(1-(1+$I86)^(-D30))*(1+D28)+D43*$I86/(1-(1+$I86)^(-D31))*(1+D28)+D44*$I86/(1-(1+$I86)^(-D32))*(1+D28)+D40*$I86+D65</f>
        <v>7.98192169245646</v>
      </c>
      <c r="E86" s="16" t="n">
        <f aca="false">E39*$I86/(1-(1+$I86)^(-$J86))+E41*$I86/(1-(1+$I86)^(-E29))*(1+E28)+E42*$I86/(1-(1+$I86)^(-E30))*(1+E28)+E43*$I86/(1-(1+$I86)^(-E31))*(1+E28)+E44*$I86/(1-(1+$I86)^(-E32))*(1+E28)+E40*$I86+E65</f>
        <v>9.96356696614244</v>
      </c>
      <c r="F86" s="16" t="n">
        <f aca="false">F39*$I86/(1-(1+$I86)^(-$J86))+F41*$I86/(1-(1+$I86)^(-F29))*(1+F28)+F42*$I86/(1-(1+$I86)^(-F30))*(1+F28)+F43*$I86/(1-(1+$I86)^(-F31))*(1+F28)+F44*$I86/(1-(1+$I86)^(-F32))*(1+F28)+F40*$I86+F65</f>
        <v>11.2527921860744</v>
      </c>
      <c r="G86" s="16" t="n">
        <f aca="false">SUMPRODUCT($C$6:$F$6,C86:F86)</f>
        <v>8.48733794490033</v>
      </c>
      <c r="I86" s="12" t="n">
        <v>0.0331</v>
      </c>
      <c r="J86" s="2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8"/>
    <col collapsed="false" customWidth="true" hidden="false" outlineLevel="0" max="12" min="12" style="0" width="24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8" min="17" style="0" width="34"/>
    <col collapsed="false" customWidth="true" hidden="false" outlineLevel="0" max="19" min="19" style="0" width="26"/>
    <col collapsed="false" customWidth="true" hidden="false" outlineLevel="0" max="20" min="20" style="0" width="1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8"/>
    <col collapsed="false" customWidth="true" hidden="false" outlineLevel="0" max="24" min="24" style="0" width="22"/>
    <col collapsed="false" customWidth="true" hidden="false" outlineLevel="0" max="25" min="25" style="0" width="44"/>
    <col collapsed="false" customWidth="true" hidden="false" outlineLevel="0" max="26" min="26" style="0" width="8"/>
  </cols>
  <sheetData>
    <row r="1" customFormat="false" ht="17.15" hidden="false" customHeight="false" outlineLevel="0" collapsed="false">
      <c r="A1" s="26" t="s">
        <v>186</v>
      </c>
    </row>
    <row r="2" customFormat="false" ht="15" hidden="false" customHeight="false" outlineLevel="0" collapsed="false">
      <c r="A2" s="2" t="s">
        <v>187</v>
      </c>
    </row>
    <row r="4" customFormat="false" ht="41.75" hidden="false" customHeight="false" outlineLevel="0" collapsed="false">
      <c r="A4" s="4" t="s">
        <v>188</v>
      </c>
      <c r="B4" s="3" t="s">
        <v>2</v>
      </c>
      <c r="C4" s="3" t="s">
        <v>189</v>
      </c>
      <c r="D4" s="3" t="s">
        <v>3</v>
      </c>
      <c r="E4" s="3" t="s">
        <v>190</v>
      </c>
      <c r="F4" s="3" t="s">
        <v>191</v>
      </c>
      <c r="G4" s="3" t="s">
        <v>192</v>
      </c>
      <c r="H4" s="3" t="s">
        <v>193</v>
      </c>
      <c r="I4" s="3" t="s">
        <v>194</v>
      </c>
      <c r="J4" s="3" t="s">
        <v>195</v>
      </c>
      <c r="K4" s="3" t="s">
        <v>196</v>
      </c>
      <c r="L4" s="3" t="s">
        <v>197</v>
      </c>
      <c r="M4" s="4" t="s">
        <v>198</v>
      </c>
      <c r="N4" s="3" t="s">
        <v>199</v>
      </c>
      <c r="O4" s="3" t="s">
        <v>200</v>
      </c>
      <c r="P4" s="3" t="s">
        <v>201</v>
      </c>
      <c r="Q4" s="3" t="s">
        <v>140</v>
      </c>
      <c r="R4" s="3" t="s">
        <v>202</v>
      </c>
      <c r="S4" s="3" t="s">
        <v>203</v>
      </c>
      <c r="T4" s="3" t="s">
        <v>204</v>
      </c>
      <c r="U4" s="3" t="s">
        <v>205</v>
      </c>
      <c r="V4" s="3" t="s">
        <v>206</v>
      </c>
      <c r="W4" s="4" t="s">
        <v>207</v>
      </c>
      <c r="X4" s="3" t="s">
        <v>10</v>
      </c>
      <c r="Y4" s="3" t="s">
        <v>208</v>
      </c>
      <c r="Z4" s="3" t="s">
        <v>209</v>
      </c>
    </row>
    <row r="5" customFormat="false" ht="15" hidden="false" customHeight="false" outlineLevel="0" collapsed="false">
      <c r="A5" s="5" t="s">
        <v>210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41.75" hidden="false" customHeight="false" outlineLevel="0" collapsed="false">
      <c r="A6" s="27" t="s">
        <v>211</v>
      </c>
      <c r="B6" s="27" t="s">
        <v>212</v>
      </c>
      <c r="C6" s="28" t="n">
        <v>9.7</v>
      </c>
      <c r="D6" s="27" t="s">
        <v>213</v>
      </c>
      <c r="E6" s="28" t="n">
        <v>5</v>
      </c>
      <c r="F6" s="28" t="n">
        <v>0.2</v>
      </c>
      <c r="G6" s="27" t="s">
        <v>214</v>
      </c>
      <c r="H6" s="29" t="n">
        <f aca="false">C6/E6</f>
        <v>1.94</v>
      </c>
      <c r="I6" s="29" t="n">
        <f aca="false">H6/F6</f>
        <v>9.7</v>
      </c>
      <c r="J6" s="29" t="n">
        <f aca="false">I6</f>
        <v>9.7</v>
      </c>
      <c r="K6" s="29" t="n">
        <f aca="false">I6</f>
        <v>9.7</v>
      </c>
      <c r="L6" s="27" t="s">
        <v>215</v>
      </c>
      <c r="M6" s="29" t="n">
        <f aca="false">'TK 拆解'!E66</f>
        <v>10.8864110021101</v>
      </c>
      <c r="N6" s="29" t="n">
        <f aca="false">I6/M6</f>
        <v>0.891019087752603</v>
      </c>
      <c r="O6" s="29" t="n">
        <f aca="false">J6/M6</f>
        <v>0.891019087752603</v>
      </c>
      <c r="P6" s="29" t="n">
        <f aca="false">K6/M6</f>
        <v>0.891019087752603</v>
      </c>
      <c r="Q6" s="30" t="s">
        <v>216</v>
      </c>
      <c r="R6" s="30" t="s">
        <v>217</v>
      </c>
      <c r="S6" s="30" t="s">
        <v>218</v>
      </c>
      <c r="T6" s="30" t="s">
        <v>219</v>
      </c>
      <c r="U6" s="30" t="s">
        <v>220</v>
      </c>
      <c r="V6" s="27" t="s">
        <v>221</v>
      </c>
      <c r="W6" s="27" t="s">
        <v>174</v>
      </c>
      <c r="X6" s="27" t="s">
        <v>222</v>
      </c>
      <c r="Y6" s="30" t="s">
        <v>223</v>
      </c>
      <c r="Z6" s="27" t="s">
        <v>224</v>
      </c>
    </row>
    <row r="7" customFormat="false" ht="41.75" hidden="false" customHeight="false" outlineLevel="0" collapsed="false">
      <c r="A7" s="27" t="s">
        <v>225</v>
      </c>
      <c r="B7" s="27" t="s">
        <v>226</v>
      </c>
      <c r="C7" s="28" t="n">
        <v>1.572</v>
      </c>
      <c r="D7" s="27" t="s">
        <v>227</v>
      </c>
      <c r="E7" s="28" t="n">
        <v>4</v>
      </c>
      <c r="F7" s="27" t="n">
        <f aca="false">(590+850)/2/1000</f>
        <v>0.72</v>
      </c>
      <c r="G7" s="30" t="s">
        <v>228</v>
      </c>
      <c r="H7" s="29" t="n">
        <f aca="false">C7*E7</f>
        <v>6.288</v>
      </c>
      <c r="I7" s="29" t="n">
        <f aca="false">H7/F7</f>
        <v>8.73333333333333</v>
      </c>
      <c r="J7" s="29" t="n">
        <f aca="false">I7</f>
        <v>8.73333333333333</v>
      </c>
      <c r="K7" s="29" t="n">
        <f aca="false">I7</f>
        <v>8.73333333333333</v>
      </c>
      <c r="L7" s="27" t="s">
        <v>229</v>
      </c>
      <c r="M7" s="29" t="n">
        <f aca="false">'TK 拆解'!G66</f>
        <v>9.35311859805586</v>
      </c>
      <c r="N7" s="29" t="n">
        <f aca="false">I7/M7</f>
        <v>0.933734907964136</v>
      </c>
      <c r="O7" s="29" t="n">
        <f aca="false">J7/M7</f>
        <v>0.933734907964136</v>
      </c>
      <c r="P7" s="29" t="n">
        <f aca="false">K7/M7</f>
        <v>0.933734907964136</v>
      </c>
      <c r="Q7" s="30" t="s">
        <v>219</v>
      </c>
      <c r="R7" s="30" t="s">
        <v>230</v>
      </c>
      <c r="S7" s="30" t="s">
        <v>219</v>
      </c>
      <c r="T7" s="30" t="s">
        <v>219</v>
      </c>
      <c r="U7" s="30" t="s">
        <v>231</v>
      </c>
      <c r="V7" s="30" t="s">
        <v>232</v>
      </c>
      <c r="W7" s="27" t="s">
        <v>233</v>
      </c>
      <c r="X7" s="27" t="s">
        <v>234</v>
      </c>
      <c r="Y7" s="30" t="s">
        <v>235</v>
      </c>
      <c r="Z7" s="27" t="s">
        <v>236</v>
      </c>
    </row>
    <row r="8" customFormat="false" ht="28.35" hidden="false" customHeight="false" outlineLevel="0" collapsed="false">
      <c r="A8" s="27" t="s">
        <v>237</v>
      </c>
      <c r="B8" s="30" t="s">
        <v>238</v>
      </c>
      <c r="C8" s="28" t="n">
        <v>1.572</v>
      </c>
      <c r="D8" s="27" t="s">
        <v>227</v>
      </c>
      <c r="E8" s="28" t="n">
        <v>4</v>
      </c>
      <c r="F8" s="27" t="n">
        <f aca="false">(590+850)/2/1000/'TK 拆解'!C9</f>
        <v>0.6</v>
      </c>
      <c r="G8" s="27" t="s">
        <v>239</v>
      </c>
      <c r="H8" s="29" t="n">
        <f aca="false">C8*E8</f>
        <v>6.288</v>
      </c>
      <c r="I8" s="29" t="n">
        <f aca="false">H8/F8</f>
        <v>10.48</v>
      </c>
      <c r="J8" s="29" t="n">
        <f aca="false">I8</f>
        <v>10.48</v>
      </c>
      <c r="K8" s="29" t="n">
        <f aca="false">I8</f>
        <v>10.48</v>
      </c>
      <c r="L8" s="27" t="s">
        <v>229</v>
      </c>
      <c r="M8" s="29" t="n">
        <f aca="false">'TK 拆解'!G66</f>
        <v>9.35311859805586</v>
      </c>
      <c r="N8" s="29" t="n">
        <f aca="false">I8/M8</f>
        <v>1.12048188955696</v>
      </c>
      <c r="O8" s="29" t="n">
        <f aca="false">J8/M8</f>
        <v>1.12048188955696</v>
      </c>
      <c r="P8" s="29" t="n">
        <f aca="false">K8/M8</f>
        <v>1.12048188955696</v>
      </c>
      <c r="Q8" s="30" t="s">
        <v>240</v>
      </c>
      <c r="R8" s="30" t="s">
        <v>240</v>
      </c>
      <c r="S8" s="30" t="s">
        <v>240</v>
      </c>
      <c r="T8" s="30" t="s">
        <v>240</v>
      </c>
      <c r="U8" s="30" t="s">
        <v>240</v>
      </c>
      <c r="V8" s="30" t="s">
        <v>240</v>
      </c>
      <c r="W8" s="30" t="s">
        <v>240</v>
      </c>
      <c r="X8" s="27" t="s">
        <v>241</v>
      </c>
      <c r="Y8" s="30" t="s">
        <v>242</v>
      </c>
      <c r="Z8" s="27" t="s">
        <v>236</v>
      </c>
    </row>
    <row r="9" customFormat="false" ht="41.75" hidden="false" customHeight="false" outlineLevel="0" collapsed="false">
      <c r="A9" s="27" t="s">
        <v>243</v>
      </c>
      <c r="B9" s="27" t="s">
        <v>244</v>
      </c>
      <c r="C9" s="28" t="n">
        <v>17.4</v>
      </c>
      <c r="D9" s="27" t="s">
        <v>213</v>
      </c>
      <c r="E9" s="28" t="n">
        <v>5</v>
      </c>
      <c r="F9" s="28" t="n">
        <v>0.3</v>
      </c>
      <c r="G9" s="30" t="s">
        <v>245</v>
      </c>
      <c r="H9" s="29" t="n">
        <f aca="false">C9/E9</f>
        <v>3.48</v>
      </c>
      <c r="I9" s="29" t="n">
        <f aca="false">H9/F9</f>
        <v>11.6</v>
      </c>
      <c r="J9" s="29" t="n">
        <f aca="false">I9</f>
        <v>11.6</v>
      </c>
      <c r="K9" s="29" t="n">
        <f aca="false">I9*19.4/17.4</f>
        <v>12.9333333333333</v>
      </c>
      <c r="L9" s="27" t="s">
        <v>246</v>
      </c>
      <c r="M9" s="29" t="n">
        <f aca="false">'TK 拆解'!E66</f>
        <v>10.8864110021101</v>
      </c>
      <c r="N9" s="29" t="n">
        <f aca="false">I9/M9</f>
        <v>1.06554859978662</v>
      </c>
      <c r="O9" s="29" t="n">
        <f aca="false">J9/M9</f>
        <v>1.06554859978662</v>
      </c>
      <c r="P9" s="29" t="n">
        <f aca="false">K9/M9</f>
        <v>1.1880254503368</v>
      </c>
      <c r="Q9" s="30" t="s">
        <v>247</v>
      </c>
      <c r="R9" s="30" t="s">
        <v>247</v>
      </c>
      <c r="S9" s="30" t="s">
        <v>248</v>
      </c>
      <c r="T9" s="30" t="s">
        <v>247</v>
      </c>
      <c r="U9" s="30" t="s">
        <v>247</v>
      </c>
      <c r="V9" s="30" t="s">
        <v>249</v>
      </c>
      <c r="W9" s="30" t="s">
        <v>250</v>
      </c>
      <c r="X9" s="27" t="s">
        <v>251</v>
      </c>
      <c r="Y9" s="30" t="s">
        <v>252</v>
      </c>
      <c r="Z9" s="27" t="s">
        <v>253</v>
      </c>
    </row>
    <row r="10" customFormat="false" ht="41.75" hidden="false" customHeight="false" outlineLevel="0" collapsed="false">
      <c r="A10" s="27" t="s">
        <v>254</v>
      </c>
      <c r="B10" s="27" t="s">
        <v>255</v>
      </c>
      <c r="C10" s="28" t="n">
        <v>20</v>
      </c>
      <c r="D10" s="27" t="s">
        <v>256</v>
      </c>
      <c r="E10" s="28" t="n">
        <v>1</v>
      </c>
      <c r="F10" s="28" t="n">
        <v>0.001</v>
      </c>
      <c r="G10" s="30" t="s">
        <v>257</v>
      </c>
      <c r="H10" s="29" t="n">
        <f aca="false">C10*E10/1000</f>
        <v>0.02</v>
      </c>
      <c r="I10" s="29" t="n">
        <f aca="false">H10/F10</f>
        <v>20</v>
      </c>
      <c r="J10" s="29" t="n">
        <f aca="false">C10</f>
        <v>20</v>
      </c>
      <c r="K10" s="29" t="n">
        <f aca="false">25</f>
        <v>25</v>
      </c>
      <c r="L10" s="27" t="s">
        <v>215</v>
      </c>
      <c r="M10" s="29" t="n">
        <f aca="false">'TK 拆解'!E66</f>
        <v>10.8864110021101</v>
      </c>
      <c r="N10" s="29" t="n">
        <f aca="false">I10/M10</f>
        <v>1.83715275825279</v>
      </c>
      <c r="O10" s="29" t="n">
        <f aca="false">J10/M10</f>
        <v>1.83715275825279</v>
      </c>
      <c r="P10" s="29" t="n">
        <f aca="false">K10/M10</f>
        <v>2.29644094781599</v>
      </c>
      <c r="Q10" s="30" t="s">
        <v>247</v>
      </c>
      <c r="R10" s="30" t="s">
        <v>247</v>
      </c>
      <c r="S10" s="30" t="s">
        <v>258</v>
      </c>
      <c r="T10" s="30" t="s">
        <v>247</v>
      </c>
      <c r="U10" s="30" t="s">
        <v>259</v>
      </c>
      <c r="V10" s="30" t="s">
        <v>260</v>
      </c>
      <c r="W10" s="30" t="s">
        <v>261</v>
      </c>
      <c r="X10" s="27" t="s">
        <v>262</v>
      </c>
      <c r="Y10" s="30" t="s">
        <v>263</v>
      </c>
      <c r="Z10" s="27" t="s">
        <v>264</v>
      </c>
    </row>
    <row r="11" customFormat="false" ht="41.75" hidden="false" customHeight="false" outlineLevel="0" collapsed="false">
      <c r="A11" s="27" t="s">
        <v>265</v>
      </c>
      <c r="B11" s="27" t="s">
        <v>266</v>
      </c>
      <c r="C11" s="28" t="n">
        <v>40</v>
      </c>
      <c r="D11" s="27" t="s">
        <v>256</v>
      </c>
      <c r="E11" s="28" t="n">
        <v>1</v>
      </c>
      <c r="F11" s="28" t="n">
        <v>0.001</v>
      </c>
      <c r="G11" s="30" t="s">
        <v>267</v>
      </c>
      <c r="H11" s="29" t="n">
        <f aca="false">C11*E11/1000</f>
        <v>0.04</v>
      </c>
      <c r="I11" s="29" t="n">
        <f aca="false">H11/F11</f>
        <v>40</v>
      </c>
      <c r="J11" s="29" t="n">
        <f aca="false">C11</f>
        <v>40</v>
      </c>
      <c r="K11" s="29" t="n">
        <f aca="false">50</f>
        <v>50</v>
      </c>
      <c r="L11" s="27" t="s">
        <v>215</v>
      </c>
      <c r="M11" s="29" t="n">
        <f aca="false">'TK 拆解'!E66</f>
        <v>10.8864110021101</v>
      </c>
      <c r="N11" s="29" t="n">
        <f aca="false">I11/M11</f>
        <v>3.67430551650558</v>
      </c>
      <c r="O11" s="29" t="n">
        <f aca="false">J11/M11</f>
        <v>3.67430551650558</v>
      </c>
      <c r="P11" s="29" t="n">
        <f aca="false">K11/M11</f>
        <v>4.59288189563197</v>
      </c>
      <c r="Q11" s="30" t="s">
        <v>247</v>
      </c>
      <c r="R11" s="30" t="s">
        <v>247</v>
      </c>
      <c r="S11" s="30" t="s">
        <v>247</v>
      </c>
      <c r="T11" s="30" t="s">
        <v>247</v>
      </c>
      <c r="U11" s="30" t="s">
        <v>247</v>
      </c>
      <c r="V11" s="30" t="s">
        <v>268</v>
      </c>
      <c r="W11" s="30" t="s">
        <v>250</v>
      </c>
      <c r="X11" s="27" t="s">
        <v>269</v>
      </c>
      <c r="Y11" s="30" t="s">
        <v>270</v>
      </c>
      <c r="Z11" s="27" t="s">
        <v>264</v>
      </c>
    </row>
    <row r="12" customFormat="false" ht="41.75" hidden="false" customHeight="false" outlineLevel="0" collapsed="false">
      <c r="A12" s="27" t="s">
        <v>271</v>
      </c>
      <c r="B12" s="27" t="s">
        <v>272</v>
      </c>
      <c r="C12" s="28" t="n">
        <v>300</v>
      </c>
      <c r="D12" s="27" t="s">
        <v>213</v>
      </c>
      <c r="E12" s="28" t="n">
        <v>5</v>
      </c>
      <c r="F12" s="27" t="n">
        <f aca="false">4.5/'TK 拆解'!C9</f>
        <v>3.75</v>
      </c>
      <c r="G12" s="30" t="s">
        <v>273</v>
      </c>
      <c r="H12" s="29" t="n">
        <f aca="false">C12/E12</f>
        <v>60</v>
      </c>
      <c r="I12" s="29" t="n">
        <f aca="false">H12/F12</f>
        <v>16</v>
      </c>
      <c r="J12" s="29" t="n">
        <f aca="false">C12/E12/4.5</f>
        <v>13.3333333333333</v>
      </c>
      <c r="K12" s="29" t="n">
        <f aca="false">I12</f>
        <v>16</v>
      </c>
      <c r="L12" s="27" t="s">
        <v>274</v>
      </c>
      <c r="M12" s="29" t="n">
        <f aca="false">'TK 拆解'!F66</f>
        <v>12.2254710045841</v>
      </c>
      <c r="N12" s="29" t="n">
        <f aca="false">I12/M12</f>
        <v>1.30874303280426</v>
      </c>
      <c r="O12" s="29" t="n">
        <f aca="false">J12/M12</f>
        <v>1.09061919400355</v>
      </c>
      <c r="P12" s="29" t="n">
        <f aca="false">K12/M12</f>
        <v>1.30874303280426</v>
      </c>
      <c r="Q12" s="30" t="s">
        <v>275</v>
      </c>
      <c r="R12" s="30" t="s">
        <v>219</v>
      </c>
      <c r="S12" s="30" t="s">
        <v>219</v>
      </c>
      <c r="T12" s="30" t="s">
        <v>219</v>
      </c>
      <c r="U12" s="30" t="s">
        <v>276</v>
      </c>
      <c r="V12" s="30" t="s">
        <v>277</v>
      </c>
      <c r="W12" s="27" t="s">
        <v>278</v>
      </c>
      <c r="X12" s="27" t="s">
        <v>279</v>
      </c>
      <c r="Y12" s="30" t="s">
        <v>280</v>
      </c>
      <c r="Z12" s="27" t="s">
        <v>281</v>
      </c>
    </row>
    <row r="13" customFormat="false" ht="15" hidden="false" customHeight="false" outlineLevel="0" collapsed="false">
      <c r="A13" s="27" t="s">
        <v>282</v>
      </c>
      <c r="B13" s="30" t="s">
        <v>283</v>
      </c>
      <c r="C13" s="28" t="n">
        <v>300</v>
      </c>
      <c r="D13" s="27" t="s">
        <v>213</v>
      </c>
      <c r="E13" s="28" t="n">
        <v>5</v>
      </c>
      <c r="F13" s="28" t="n">
        <v>4.5</v>
      </c>
      <c r="G13" s="27" t="s">
        <v>284</v>
      </c>
      <c r="H13" s="29" t="n">
        <f aca="false">C13/E13</f>
        <v>60</v>
      </c>
      <c r="I13" s="29" t="n">
        <f aca="false">H13/F13</f>
        <v>13.3333333333333</v>
      </c>
      <c r="J13" s="29" t="n">
        <f aca="false">I13</f>
        <v>13.3333333333333</v>
      </c>
      <c r="K13" s="29" t="n">
        <f aca="false">I13</f>
        <v>13.3333333333333</v>
      </c>
      <c r="L13" s="27" t="s">
        <v>285</v>
      </c>
      <c r="M13" s="29" t="n">
        <f aca="false">'TK 拆解'!F66</f>
        <v>12.2254710045841</v>
      </c>
      <c r="N13" s="29" t="n">
        <f aca="false">I13/M13</f>
        <v>1.09061919400355</v>
      </c>
      <c r="O13" s="29" t="n">
        <f aca="false">J13/M13</f>
        <v>1.09061919400355</v>
      </c>
      <c r="P13" s="29" t="n">
        <f aca="false">K13/M13</f>
        <v>1.09061919400355</v>
      </c>
      <c r="Q13" s="30" t="s">
        <v>286</v>
      </c>
      <c r="R13" s="30" t="s">
        <v>286</v>
      </c>
      <c r="S13" s="30" t="s">
        <v>286</v>
      </c>
      <c r="T13" s="30" t="s">
        <v>286</v>
      </c>
      <c r="U13" s="30" t="s">
        <v>286</v>
      </c>
      <c r="V13" s="30" t="s">
        <v>286</v>
      </c>
      <c r="W13" s="30" t="s">
        <v>286</v>
      </c>
      <c r="X13" s="27" t="s">
        <v>287</v>
      </c>
      <c r="Y13" s="30" t="s">
        <v>195</v>
      </c>
      <c r="Z13" s="27" t="s">
        <v>281</v>
      </c>
    </row>
    <row r="14" customFormat="false" ht="28.35" hidden="false" customHeight="false" outlineLevel="0" collapsed="false">
      <c r="A14" s="27" t="s">
        <v>288</v>
      </c>
      <c r="B14" s="27" t="s">
        <v>289</v>
      </c>
      <c r="C14" s="28" t="n">
        <v>30</v>
      </c>
      <c r="D14" s="27" t="s">
        <v>290</v>
      </c>
      <c r="E14" s="28" t="n">
        <v>1</v>
      </c>
      <c r="F14" s="27" t="n">
        <f aca="false">4.5/'TK 拆解'!C9</f>
        <v>3.75</v>
      </c>
      <c r="G14" s="30" t="s">
        <v>291</v>
      </c>
      <c r="H14" s="29" t="n">
        <f aca="false">C14/E14</f>
        <v>30</v>
      </c>
      <c r="I14" s="29" t="n">
        <f aca="false">H14/F14</f>
        <v>8</v>
      </c>
      <c r="J14" s="29" t="n">
        <f aca="false">C14/4.5</f>
        <v>6.66666666666667</v>
      </c>
      <c r="K14" s="29" t="n">
        <f aca="false">H14/F14</f>
        <v>8</v>
      </c>
      <c r="L14" s="27" t="s">
        <v>292</v>
      </c>
      <c r="M14" s="29" t="n">
        <f aca="false">'TK 拆解'!F66</f>
        <v>12.2254710045841</v>
      </c>
      <c r="N14" s="29" t="n">
        <f aca="false">I14/M14</f>
        <v>0.654371516402132</v>
      </c>
      <c r="O14" s="29" t="n">
        <f aca="false">J14/M14</f>
        <v>0.545309597001777</v>
      </c>
      <c r="P14" s="29" t="n">
        <f aca="false">K14/M14</f>
        <v>0.654371516402132</v>
      </c>
      <c r="Q14" s="30" t="s">
        <v>219</v>
      </c>
      <c r="R14" s="30" t="s">
        <v>219</v>
      </c>
      <c r="S14" s="30" t="s">
        <v>219</v>
      </c>
      <c r="T14" s="30" t="s">
        <v>219</v>
      </c>
      <c r="U14" s="30" t="s">
        <v>219</v>
      </c>
      <c r="V14" s="30" t="s">
        <v>286</v>
      </c>
      <c r="W14" s="27" t="s">
        <v>293</v>
      </c>
      <c r="X14" s="27" t="s">
        <v>294</v>
      </c>
      <c r="Y14" s="30" t="s">
        <v>295</v>
      </c>
      <c r="Z14" s="27" t="s">
        <v>281</v>
      </c>
    </row>
    <row r="15" customFormat="false" ht="15" hidden="false" customHeight="false" outlineLevel="0" collapsed="false">
      <c r="A15" s="5" t="s">
        <v>296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41.75" hidden="false" customHeight="false" outlineLevel="0" collapsed="false">
      <c r="A16" s="27" t="s">
        <v>297</v>
      </c>
      <c r="B16" s="27" t="s">
        <v>298</v>
      </c>
      <c r="C16" s="28" t="n">
        <v>16.3</v>
      </c>
      <c r="D16" s="27" t="s">
        <v>299</v>
      </c>
      <c r="E16" s="28" t="n">
        <v>1</v>
      </c>
      <c r="F16" s="28" t="n">
        <v>1.25</v>
      </c>
      <c r="G16" s="30" t="s">
        <v>300</v>
      </c>
      <c r="H16" s="29" t="n">
        <f aca="false">C16/E16</f>
        <v>16.3</v>
      </c>
      <c r="I16" s="29" t="n">
        <f aca="false">H16/F16</f>
        <v>13.04</v>
      </c>
      <c r="J16" s="29" t="n">
        <f aca="false">H16/1.5</f>
        <v>10.8666666666667</v>
      </c>
      <c r="K16" s="29" t="n">
        <f aca="false">H16/1</f>
        <v>16.3</v>
      </c>
      <c r="L16" s="27" t="s">
        <v>229</v>
      </c>
      <c r="M16" s="29" t="n">
        <f aca="false">'TK 拆解'!G66</f>
        <v>9.35311859805586</v>
      </c>
      <c r="N16" s="29" t="n">
        <f aca="false">I16/M16</f>
        <v>1.39418738929607</v>
      </c>
      <c r="O16" s="29" t="n">
        <f aca="false">J16/M16</f>
        <v>1.16182282441339</v>
      </c>
      <c r="P16" s="29" t="n">
        <f aca="false">K16/M16</f>
        <v>1.74273423662009</v>
      </c>
      <c r="Q16" s="30" t="s">
        <v>301</v>
      </c>
      <c r="R16" s="30" t="s">
        <v>301</v>
      </c>
      <c r="S16" s="30" t="s">
        <v>301</v>
      </c>
      <c r="T16" s="30" t="s">
        <v>301</v>
      </c>
      <c r="U16" s="30" t="s">
        <v>302</v>
      </c>
      <c r="V16" s="30" t="s">
        <v>303</v>
      </c>
      <c r="W16" s="27" t="s">
        <v>304</v>
      </c>
      <c r="X16" s="27" t="s">
        <v>305</v>
      </c>
      <c r="Y16" s="30" t="s">
        <v>306</v>
      </c>
      <c r="Z16" s="27" t="s">
        <v>307</v>
      </c>
    </row>
    <row r="17" customFormat="false" ht="28.35" hidden="false" customHeight="false" outlineLevel="0" collapsed="false">
      <c r="A17" s="27" t="s">
        <v>308</v>
      </c>
      <c r="B17" s="30" t="s">
        <v>309</v>
      </c>
      <c r="C17" s="28" t="n">
        <v>16.3</v>
      </c>
      <c r="D17" s="27" t="s">
        <v>290</v>
      </c>
      <c r="E17" s="28" t="n">
        <v>1</v>
      </c>
      <c r="F17" s="28" t="n">
        <v>1.12780698259266</v>
      </c>
      <c r="G17" s="30" t="s">
        <v>310</v>
      </c>
      <c r="H17" s="29" t="n">
        <f aca="false">C17/E17</f>
        <v>16.3</v>
      </c>
      <c r="I17" s="29" t="n">
        <f aca="false">H17/F17</f>
        <v>14.4528277015352</v>
      </c>
      <c r="J17" s="29" t="n">
        <f aca="false">I17</f>
        <v>14.4528277015352</v>
      </c>
      <c r="K17" s="29" t="n">
        <f aca="false">I17</f>
        <v>14.4528277015352</v>
      </c>
      <c r="L17" s="27" t="s">
        <v>229</v>
      </c>
      <c r="M17" s="29" t="n">
        <f aca="false">'TK 拆解'!G66</f>
        <v>9.35311859805586</v>
      </c>
      <c r="N17" s="29" t="n">
        <f aca="false">I17/M17</f>
        <v>1.54524157370776</v>
      </c>
      <c r="O17" s="29" t="n">
        <f aca="false">J17/M17</f>
        <v>1.54524157370776</v>
      </c>
      <c r="P17" s="29" t="n">
        <f aca="false">K17/M17</f>
        <v>1.54524157370776</v>
      </c>
      <c r="Q17" s="30" t="s">
        <v>311</v>
      </c>
      <c r="R17" s="30" t="s">
        <v>311</v>
      </c>
      <c r="S17" s="30" t="s">
        <v>311</v>
      </c>
      <c r="T17" s="30" t="s">
        <v>311</v>
      </c>
      <c r="U17" s="30" t="s">
        <v>311</v>
      </c>
      <c r="V17" s="30" t="s">
        <v>311</v>
      </c>
      <c r="W17" s="30" t="s">
        <v>311</v>
      </c>
      <c r="X17" s="27" t="s">
        <v>16</v>
      </c>
      <c r="Y17" s="30" t="s">
        <v>312</v>
      </c>
      <c r="Z17" s="27" t="s">
        <v>307</v>
      </c>
    </row>
    <row r="18" customFormat="false" ht="41.75" hidden="false" customHeight="false" outlineLevel="0" collapsed="false">
      <c r="A18" s="27" t="s">
        <v>313</v>
      </c>
      <c r="B18" s="30" t="s">
        <v>314</v>
      </c>
      <c r="C18" s="28" t="n">
        <v>15.9</v>
      </c>
      <c r="D18" s="27" t="s">
        <v>315</v>
      </c>
      <c r="E18" s="28" t="n">
        <v>1</v>
      </c>
      <c r="F18" s="28" t="n">
        <v>0.421</v>
      </c>
      <c r="G18" s="27" t="s">
        <v>316</v>
      </c>
      <c r="H18" s="29" t="n">
        <f aca="false">C18/E18</f>
        <v>15.9</v>
      </c>
      <c r="I18" s="29" t="n">
        <f aca="false">H18/F18</f>
        <v>37.7672209026128</v>
      </c>
      <c r="J18" s="29" t="n">
        <f aca="false">I18</f>
        <v>37.7672209026128</v>
      </c>
      <c r="K18" s="29" t="n">
        <f aca="false">I18</f>
        <v>37.7672209026128</v>
      </c>
      <c r="L18" s="27" t="s">
        <v>317</v>
      </c>
      <c r="M18" s="29" t="n">
        <f aca="false">'TK 拆解'!D48</f>
        <v>36.685174</v>
      </c>
      <c r="N18" s="29" t="n">
        <f aca="false">I18/M18</f>
        <v>1.02949548236061</v>
      </c>
      <c r="O18" s="29" t="n">
        <f aca="false">J18/M18</f>
        <v>1.02949548236061</v>
      </c>
      <c r="P18" s="29" t="n">
        <f aca="false">K18/M18</f>
        <v>1.02949548236061</v>
      </c>
      <c r="Q18" s="27" t="s">
        <v>318</v>
      </c>
      <c r="R18" s="30" t="s">
        <v>319</v>
      </c>
      <c r="S18" s="30" t="s">
        <v>219</v>
      </c>
      <c r="T18" s="27" t="s">
        <v>318</v>
      </c>
      <c r="U18" s="27" t="s">
        <v>318</v>
      </c>
      <c r="V18" s="27" t="s">
        <v>318</v>
      </c>
      <c r="W18" s="27" t="s">
        <v>320</v>
      </c>
      <c r="X18" s="27" t="s">
        <v>321</v>
      </c>
      <c r="Y18" s="30" t="s">
        <v>322</v>
      </c>
      <c r="Z18" s="27" t="s">
        <v>323</v>
      </c>
    </row>
    <row r="19" customFormat="false" ht="15" hidden="false" customHeight="false" outlineLevel="0" collapsed="false">
      <c r="A19" s="5" t="s">
        <v>324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41.75" hidden="false" customHeight="false" outlineLevel="0" collapsed="false">
      <c r="A20" s="27" t="s">
        <v>325</v>
      </c>
      <c r="B20" s="27" t="s">
        <v>326</v>
      </c>
      <c r="C20" s="28" t="n">
        <v>2.53</v>
      </c>
      <c r="D20" s="27" t="s">
        <v>168</v>
      </c>
      <c r="E20" s="28" t="n">
        <v>8760</v>
      </c>
      <c r="F20" s="31" t="n">
        <f aca="false">'TK 拆解'!C35/1000000000</f>
        <v>0.000718048</v>
      </c>
      <c r="G20" s="27" t="s">
        <v>327</v>
      </c>
      <c r="H20" s="29" t="n">
        <f aca="false">C20*E20*F20</f>
        <v>15.9139542144</v>
      </c>
      <c r="I20" s="29" t="n">
        <f aca="false">H20*1</f>
        <v>15.9139542144</v>
      </c>
      <c r="J20" s="29" t="n">
        <f aca="false">H20*0.7</f>
        <v>11.13976795008</v>
      </c>
      <c r="K20" s="29" t="n">
        <f aca="false">H20*1</f>
        <v>15.9139542144</v>
      </c>
      <c r="L20" s="27" t="s">
        <v>328</v>
      </c>
      <c r="M20" s="29" t="n">
        <f aca="false">'TK 拆解'!C66</f>
        <v>9.70308728611469</v>
      </c>
      <c r="N20" s="29" t="n">
        <f aca="false">I20/M20</f>
        <v>1.64009183316048</v>
      </c>
      <c r="O20" s="29" t="n">
        <f aca="false">J20/M20</f>
        <v>1.14806428321234</v>
      </c>
      <c r="P20" s="29" t="n">
        <f aca="false">K20/M20</f>
        <v>1.64009183316048</v>
      </c>
      <c r="Q20" s="30" t="s">
        <v>329</v>
      </c>
      <c r="R20" s="30" t="s">
        <v>329</v>
      </c>
      <c r="S20" s="30" t="s">
        <v>329</v>
      </c>
      <c r="T20" s="30" t="s">
        <v>329</v>
      </c>
      <c r="U20" s="30" t="s">
        <v>330</v>
      </c>
      <c r="V20" s="30" t="s">
        <v>331</v>
      </c>
      <c r="W20" s="27"/>
      <c r="X20" s="27" t="s">
        <v>332</v>
      </c>
      <c r="Y20" s="30" t="s">
        <v>333</v>
      </c>
      <c r="Z20" s="27" t="s">
        <v>334</v>
      </c>
    </row>
    <row r="21" customFormat="false" ht="28.35" hidden="false" customHeight="false" outlineLevel="0" collapsed="false">
      <c r="A21" s="27" t="s">
        <v>335</v>
      </c>
      <c r="B21" s="27" t="s">
        <v>336</v>
      </c>
      <c r="C21" s="28" t="n">
        <v>3.15</v>
      </c>
      <c r="D21" s="27" t="s">
        <v>168</v>
      </c>
      <c r="E21" s="28" t="n">
        <v>8760</v>
      </c>
      <c r="F21" s="31" t="n">
        <f aca="false">'TK 拆解'!C35/1000000000</f>
        <v>0.000718048</v>
      </c>
      <c r="G21" s="27" t="s">
        <v>327</v>
      </c>
      <c r="H21" s="29" t="n">
        <f aca="false">C21*E21*F21</f>
        <v>19.813816512</v>
      </c>
      <c r="I21" s="29" t="n">
        <f aca="false">H21*1</f>
        <v>19.813816512</v>
      </c>
      <c r="J21" s="29" t="n">
        <f aca="false">H21*0.7</f>
        <v>13.8696715584</v>
      </c>
      <c r="K21" s="29" t="n">
        <f aca="false">H21*1</f>
        <v>19.813816512</v>
      </c>
      <c r="L21" s="27" t="s">
        <v>328</v>
      </c>
      <c r="M21" s="29" t="n">
        <f aca="false">'TK 拆解'!C66</f>
        <v>9.70308728611469</v>
      </c>
      <c r="N21" s="29" t="n">
        <f aca="false">I21/M21</f>
        <v>2.04201157093103</v>
      </c>
      <c r="O21" s="29" t="n">
        <f aca="false">J21/M21</f>
        <v>1.42940809965172</v>
      </c>
      <c r="P21" s="29" t="n">
        <f aca="false">K21/M21</f>
        <v>2.04201157093103</v>
      </c>
      <c r="Q21" s="30" t="s">
        <v>329</v>
      </c>
      <c r="R21" s="30" t="s">
        <v>329</v>
      </c>
      <c r="S21" s="30" t="s">
        <v>329</v>
      </c>
      <c r="T21" s="30" t="s">
        <v>329</v>
      </c>
      <c r="U21" s="30" t="s">
        <v>330</v>
      </c>
      <c r="V21" s="30" t="s">
        <v>331</v>
      </c>
      <c r="W21" s="27"/>
      <c r="X21" s="27" t="s">
        <v>332</v>
      </c>
      <c r="Y21" s="30" t="s">
        <v>337</v>
      </c>
      <c r="Z21" s="27" t="s">
        <v>334</v>
      </c>
    </row>
    <row r="22" customFormat="false" ht="28.35" hidden="false" customHeight="false" outlineLevel="0" collapsed="false">
      <c r="A22" s="27" t="s">
        <v>338</v>
      </c>
      <c r="B22" s="27" t="s">
        <v>339</v>
      </c>
      <c r="C22" s="28" t="n">
        <v>6.16</v>
      </c>
      <c r="D22" s="27" t="s">
        <v>168</v>
      </c>
      <c r="E22" s="28" t="n">
        <v>8760</v>
      </c>
      <c r="F22" s="31" t="n">
        <f aca="false">'TK 拆解'!C35/1000000000</f>
        <v>0.000718048</v>
      </c>
      <c r="G22" s="27" t="s">
        <v>327</v>
      </c>
      <c r="H22" s="29" t="n">
        <f aca="false">C22*E22*F22</f>
        <v>38.7470189568</v>
      </c>
      <c r="I22" s="29" t="n">
        <f aca="false">H22*1</f>
        <v>38.7470189568</v>
      </c>
      <c r="J22" s="29" t="n">
        <f aca="false">H22*0.7</f>
        <v>27.12291326976</v>
      </c>
      <c r="K22" s="29" t="n">
        <f aca="false">H22*1</f>
        <v>38.7470189568</v>
      </c>
      <c r="L22" s="27" t="s">
        <v>328</v>
      </c>
      <c r="M22" s="29" t="n">
        <f aca="false">'TK 拆解'!C66</f>
        <v>9.70308728611469</v>
      </c>
      <c r="N22" s="29" t="n">
        <f aca="false">I22/M22</f>
        <v>3.99326707204291</v>
      </c>
      <c r="O22" s="29" t="n">
        <f aca="false">J22/M22</f>
        <v>2.79528695043004</v>
      </c>
      <c r="P22" s="29" t="n">
        <f aca="false">K22/M22</f>
        <v>3.99326707204291</v>
      </c>
      <c r="Q22" s="30" t="s">
        <v>329</v>
      </c>
      <c r="R22" s="30" t="s">
        <v>329</v>
      </c>
      <c r="S22" s="30" t="s">
        <v>329</v>
      </c>
      <c r="T22" s="30" t="s">
        <v>329</v>
      </c>
      <c r="U22" s="30" t="s">
        <v>330</v>
      </c>
      <c r="V22" s="30" t="s">
        <v>331</v>
      </c>
      <c r="W22" s="27"/>
      <c r="X22" s="27" t="s">
        <v>340</v>
      </c>
      <c r="Y22" s="30" t="s">
        <v>341</v>
      </c>
      <c r="Z22" s="27" t="s">
        <v>342</v>
      </c>
    </row>
    <row r="23" customFormat="false" ht="28.35" hidden="false" customHeight="false" outlineLevel="0" collapsed="false">
      <c r="A23" s="27" t="s">
        <v>343</v>
      </c>
      <c r="B23" s="27" t="s">
        <v>344</v>
      </c>
      <c r="C23" s="28" t="n">
        <v>3.29</v>
      </c>
      <c r="D23" s="27" t="s">
        <v>168</v>
      </c>
      <c r="E23" s="28" t="n">
        <v>8760</v>
      </c>
      <c r="F23" s="31" t="n">
        <f aca="false">'TK 拆解'!C35/1000000000</f>
        <v>0.000718048</v>
      </c>
      <c r="G23" s="27" t="s">
        <v>327</v>
      </c>
      <c r="H23" s="29" t="n">
        <f aca="false">C23*E23*F23</f>
        <v>20.6944305792</v>
      </c>
      <c r="I23" s="29" t="n">
        <f aca="false">H23*1</f>
        <v>20.6944305792</v>
      </c>
      <c r="J23" s="29" t="n">
        <f aca="false">H23*0.7</f>
        <v>14.48610140544</v>
      </c>
      <c r="K23" s="29" t="n">
        <f aca="false">H23*1</f>
        <v>20.6944305792</v>
      </c>
      <c r="L23" s="27" t="s">
        <v>328</v>
      </c>
      <c r="M23" s="29" t="n">
        <f aca="false">'TK 拆解'!C66</f>
        <v>9.70308728611469</v>
      </c>
      <c r="N23" s="29" t="n">
        <f aca="false">I23/M23</f>
        <v>2.13276764075019</v>
      </c>
      <c r="O23" s="29" t="n">
        <f aca="false">J23/M23</f>
        <v>1.49293734852513</v>
      </c>
      <c r="P23" s="29" t="n">
        <f aca="false">K23/M23</f>
        <v>2.13276764075019</v>
      </c>
      <c r="Q23" s="30" t="s">
        <v>329</v>
      </c>
      <c r="R23" s="30" t="s">
        <v>329</v>
      </c>
      <c r="S23" s="30" t="s">
        <v>329</v>
      </c>
      <c r="T23" s="30" t="s">
        <v>329</v>
      </c>
      <c r="U23" s="30" t="s">
        <v>330</v>
      </c>
      <c r="V23" s="30" t="s">
        <v>331</v>
      </c>
      <c r="W23" s="27"/>
      <c r="X23" s="27" t="s">
        <v>340</v>
      </c>
      <c r="Y23" s="30" t="s">
        <v>345</v>
      </c>
      <c r="Z23" s="27" t="s">
        <v>342</v>
      </c>
    </row>
    <row r="24" customFormat="false" ht="28.35" hidden="false" customHeight="false" outlineLevel="0" collapsed="false">
      <c r="A24" s="27" t="s">
        <v>346</v>
      </c>
      <c r="B24" s="27" t="s">
        <v>347</v>
      </c>
      <c r="C24" s="28" t="n">
        <v>10.5</v>
      </c>
      <c r="D24" s="27" t="s">
        <v>168</v>
      </c>
      <c r="E24" s="28" t="n">
        <v>8760</v>
      </c>
      <c r="F24" s="31" t="n">
        <f aca="false">'TK 拆解'!D35/1000000000</f>
        <v>0.000501768</v>
      </c>
      <c r="G24" s="27" t="s">
        <v>327</v>
      </c>
      <c r="H24" s="29" t="n">
        <f aca="false">C24*E24*F24</f>
        <v>46.15262064</v>
      </c>
      <c r="I24" s="29" t="n">
        <f aca="false">H24*1</f>
        <v>46.15262064</v>
      </c>
      <c r="J24" s="29" t="n">
        <f aca="false">H24*0.7</f>
        <v>32.306834448</v>
      </c>
      <c r="K24" s="29" t="n">
        <f aca="false">H24*1</f>
        <v>46.15262064</v>
      </c>
      <c r="L24" s="27" t="s">
        <v>348</v>
      </c>
      <c r="M24" s="29" t="n">
        <f aca="false">'TK 拆解'!D66</f>
        <v>8.82816556596761</v>
      </c>
      <c r="N24" s="29" t="n">
        <f aca="false">I24/M24</f>
        <v>5.22788344816701</v>
      </c>
      <c r="O24" s="29" t="n">
        <f aca="false">J24/M24</f>
        <v>3.6595184137169</v>
      </c>
      <c r="P24" s="29" t="n">
        <f aca="false">K24/M24</f>
        <v>5.22788344816701</v>
      </c>
      <c r="Q24" s="30" t="s">
        <v>329</v>
      </c>
      <c r="R24" s="30" t="s">
        <v>329</v>
      </c>
      <c r="S24" s="30" t="s">
        <v>329</v>
      </c>
      <c r="T24" s="30" t="s">
        <v>329</v>
      </c>
      <c r="U24" s="30" t="s">
        <v>330</v>
      </c>
      <c r="V24" s="30" t="s">
        <v>331</v>
      </c>
      <c r="W24" s="27"/>
      <c r="X24" s="27" t="s">
        <v>340</v>
      </c>
      <c r="Y24" s="30" t="s">
        <v>349</v>
      </c>
      <c r="Z24" s="27" t="s">
        <v>342</v>
      </c>
    </row>
    <row r="25" customFormat="false" ht="28.35" hidden="false" customHeight="false" outlineLevel="0" collapsed="false">
      <c r="A25" s="27" t="s">
        <v>350</v>
      </c>
      <c r="B25" s="27" t="s">
        <v>351</v>
      </c>
      <c r="C25" s="28" t="n">
        <v>5</v>
      </c>
      <c r="D25" s="27" t="s">
        <v>168</v>
      </c>
      <c r="E25" s="28" t="n">
        <v>8760</v>
      </c>
      <c r="F25" s="31" t="n">
        <f aca="false">'TK 拆解'!D35/1000000000</f>
        <v>0.000501768</v>
      </c>
      <c r="G25" s="27" t="s">
        <v>327</v>
      </c>
      <c r="H25" s="29" t="n">
        <f aca="false">C25*E25*F25</f>
        <v>21.9774384</v>
      </c>
      <c r="I25" s="29" t="n">
        <f aca="false">H25*1</f>
        <v>21.9774384</v>
      </c>
      <c r="J25" s="29" t="n">
        <f aca="false">H25*0.7</f>
        <v>15.38420688</v>
      </c>
      <c r="K25" s="29" t="n">
        <f aca="false">H25*1</f>
        <v>21.9774384</v>
      </c>
      <c r="L25" s="27" t="s">
        <v>348</v>
      </c>
      <c r="M25" s="29" t="n">
        <f aca="false">'TK 拆解'!D66</f>
        <v>8.82816556596761</v>
      </c>
      <c r="N25" s="29" t="n">
        <f aca="false">I25/M25</f>
        <v>2.48946830865096</v>
      </c>
      <c r="O25" s="29" t="n">
        <f aca="false">J25/M25</f>
        <v>1.74262781605567</v>
      </c>
      <c r="P25" s="29" t="n">
        <f aca="false">K25/M25</f>
        <v>2.48946830865096</v>
      </c>
      <c r="Q25" s="30" t="s">
        <v>329</v>
      </c>
      <c r="R25" s="30" t="s">
        <v>329</v>
      </c>
      <c r="S25" s="30" t="s">
        <v>329</v>
      </c>
      <c r="T25" s="30" t="s">
        <v>329</v>
      </c>
      <c r="U25" s="30" t="s">
        <v>330</v>
      </c>
      <c r="V25" s="30" t="s">
        <v>331</v>
      </c>
      <c r="W25" s="27"/>
      <c r="X25" s="27" t="s">
        <v>352</v>
      </c>
      <c r="Y25" s="30" t="s">
        <v>353</v>
      </c>
      <c r="Z25" s="27" t="s">
        <v>354</v>
      </c>
    </row>
    <row r="26" customFormat="false" ht="41.75" hidden="false" customHeight="false" outlineLevel="0" collapsed="false">
      <c r="A26" s="27" t="s">
        <v>355</v>
      </c>
      <c r="B26" s="27" t="s">
        <v>356</v>
      </c>
      <c r="C26" s="27" t="n">
        <f aca="false">6200000000/5/52000/8760</f>
        <v>2.72216368106779</v>
      </c>
      <c r="D26" s="27" t="s">
        <v>168</v>
      </c>
      <c r="E26" s="28" t="n">
        <v>8760</v>
      </c>
      <c r="F26" s="31" t="n">
        <f aca="false">'TK 拆解'!E35/1000000000</f>
        <v>0.000487008</v>
      </c>
      <c r="G26" s="27" t="s">
        <v>327</v>
      </c>
      <c r="H26" s="29" t="n">
        <f aca="false">C26*E26*F26</f>
        <v>11.6132676923077</v>
      </c>
      <c r="I26" s="29" t="n">
        <f aca="false">H26*1</f>
        <v>11.6132676923077</v>
      </c>
      <c r="J26" s="29" t="n">
        <f aca="false">H26*0.7</f>
        <v>8.12928738461539</v>
      </c>
      <c r="K26" s="29" t="n">
        <f aca="false">H26*1</f>
        <v>11.6132676923077</v>
      </c>
      <c r="L26" s="27" t="s">
        <v>215</v>
      </c>
      <c r="M26" s="29" t="n">
        <f aca="false">'TK 拆解'!E66</f>
        <v>10.8864110021101</v>
      </c>
      <c r="N26" s="29" t="n">
        <f aca="false">I26/M26</f>
        <v>1.06676733866255</v>
      </c>
      <c r="O26" s="29" t="n">
        <f aca="false">J26/M26</f>
        <v>0.746737137063788</v>
      </c>
      <c r="P26" s="29" t="n">
        <f aca="false">K26/M26</f>
        <v>1.06676733866255</v>
      </c>
      <c r="Q26" s="30" t="s">
        <v>357</v>
      </c>
      <c r="R26" s="30" t="s">
        <v>357</v>
      </c>
      <c r="S26" s="30" t="s">
        <v>357</v>
      </c>
      <c r="T26" s="30" t="s">
        <v>357</v>
      </c>
      <c r="U26" s="30" t="s">
        <v>330</v>
      </c>
      <c r="V26" s="30" t="s">
        <v>331</v>
      </c>
      <c r="W26" s="27"/>
      <c r="X26" s="27" t="s">
        <v>358</v>
      </c>
      <c r="Y26" s="30" t="s">
        <v>359</v>
      </c>
      <c r="Z26" s="27" t="s">
        <v>360</v>
      </c>
    </row>
    <row r="27" customFormat="false" ht="28.35" hidden="false" customHeight="false" outlineLevel="0" collapsed="false">
      <c r="A27" s="27" t="s">
        <v>361</v>
      </c>
      <c r="B27" s="27" t="s">
        <v>362</v>
      </c>
      <c r="C27" s="28" t="n">
        <v>7.15</v>
      </c>
      <c r="D27" s="27" t="s">
        <v>168</v>
      </c>
      <c r="E27" s="28" t="n">
        <v>8760</v>
      </c>
      <c r="F27" s="31" t="n">
        <f aca="false">'TK 拆解'!E35/1000000000</f>
        <v>0.000487008</v>
      </c>
      <c r="G27" s="27" t="s">
        <v>327</v>
      </c>
      <c r="H27" s="29" t="n">
        <f aca="false">C27*E27*F27</f>
        <v>30.503259072</v>
      </c>
      <c r="I27" s="29" t="n">
        <f aca="false">H27*1</f>
        <v>30.503259072</v>
      </c>
      <c r="J27" s="29" t="n">
        <f aca="false">H27*0.7</f>
        <v>21.3522813504</v>
      </c>
      <c r="K27" s="29" t="n">
        <f aca="false">H27*1</f>
        <v>30.503259072</v>
      </c>
      <c r="L27" s="27" t="s">
        <v>215</v>
      </c>
      <c r="M27" s="29" t="n">
        <f aca="false">'TK 拆解'!E66</f>
        <v>10.8864110021101</v>
      </c>
      <c r="N27" s="29" t="n">
        <f aca="false">I27/M27</f>
        <v>2.80195732699121</v>
      </c>
      <c r="O27" s="29" t="n">
        <f aca="false">J27/M27</f>
        <v>1.96137012889385</v>
      </c>
      <c r="P27" s="29" t="n">
        <f aca="false">K27/M27</f>
        <v>2.80195732699121</v>
      </c>
      <c r="Q27" s="30" t="s">
        <v>329</v>
      </c>
      <c r="R27" s="30" t="s">
        <v>329</v>
      </c>
      <c r="S27" s="30" t="s">
        <v>329</v>
      </c>
      <c r="T27" s="30" t="s">
        <v>329</v>
      </c>
      <c r="U27" s="30" t="s">
        <v>330</v>
      </c>
      <c r="V27" s="30" t="s">
        <v>331</v>
      </c>
      <c r="W27" s="27"/>
      <c r="X27" s="27" t="s">
        <v>363</v>
      </c>
      <c r="Y27" s="30" t="s">
        <v>195</v>
      </c>
      <c r="Z27" s="27" t="s">
        <v>354</v>
      </c>
    </row>
    <row r="29" customFormat="false" ht="15" hidden="false" customHeight="false" outlineLevel="0" collapsed="false">
      <c r="A29" s="2" t="s">
        <v>364</v>
      </c>
    </row>
    <row r="30" customFormat="false" ht="15" hidden="false" customHeight="false" outlineLevel="0" collapsed="false">
      <c r="A30" s="2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26" t="s">
        <v>366</v>
      </c>
    </row>
    <row r="3" customFormat="false" ht="15" hidden="false" customHeight="false" outlineLevel="0" collapsed="false">
      <c r="A3" s="5" t="s">
        <v>367</v>
      </c>
      <c r="B3" s="6"/>
      <c r="C3" s="6"/>
      <c r="D3" s="6"/>
      <c r="E3" s="6"/>
      <c r="F3" s="6"/>
      <c r="G3" s="6"/>
      <c r="H3" s="6"/>
    </row>
    <row r="4" customFormat="false" ht="28.35" hidden="false" customHeight="false" outlineLevel="0" collapsed="false">
      <c r="A4" s="3" t="s">
        <v>2</v>
      </c>
      <c r="B4" s="4" t="s">
        <v>368</v>
      </c>
      <c r="C4" s="4" t="s">
        <v>369</v>
      </c>
      <c r="D4" s="3" t="s">
        <v>370</v>
      </c>
      <c r="E4" s="3" t="s">
        <v>371</v>
      </c>
      <c r="F4" s="4" t="s">
        <v>372</v>
      </c>
      <c r="G4" s="3" t="s">
        <v>10</v>
      </c>
      <c r="H4" s="3" t="s">
        <v>11</v>
      </c>
    </row>
    <row r="5" customFormat="false" ht="15" hidden="false" customHeight="false" outlineLevel="0" collapsed="false">
      <c r="A5" s="0" t="s">
        <v>373</v>
      </c>
      <c r="B5" s="11" t="n">
        <f aca="false">'TK 拆解'!E66</f>
        <v>10.8864110021101</v>
      </c>
      <c r="C5" s="11" t="n">
        <f aca="false">外部價格換算!I6</f>
        <v>9.7</v>
      </c>
      <c r="D5" s="11" t="n">
        <f aca="false">C5-B5</f>
        <v>-1.18641100211006</v>
      </c>
      <c r="E5" s="11" t="n">
        <f aca="false">C5/B5</f>
        <v>0.891019087752603</v>
      </c>
    </row>
    <row r="6" customFormat="false" ht="15" hidden="false" customHeight="false" outlineLevel="0" collapsed="false">
      <c r="A6" s="0" t="s">
        <v>374</v>
      </c>
      <c r="B6" s="11" t="n">
        <f aca="false">'TK 拆解'!E39</f>
        <v>32.237224</v>
      </c>
      <c r="C6" s="11" t="n">
        <f aca="false">5.8/0.2</f>
        <v>29</v>
      </c>
      <c r="D6" s="11" t="n">
        <f aca="false">C6-B6</f>
        <v>-3.237224</v>
      </c>
      <c r="E6" s="11" t="n">
        <f aca="false">C6/B6</f>
        <v>0.899581179818709</v>
      </c>
      <c r="F6" s="8" t="s">
        <v>375</v>
      </c>
      <c r="G6" s="8" t="s">
        <v>376</v>
      </c>
    </row>
    <row r="7" customFormat="false" ht="15" hidden="false" customHeight="false" outlineLevel="0" collapsed="false">
      <c r="A7" s="2" t="s">
        <v>377</v>
      </c>
      <c r="B7" s="11" t="n">
        <f aca="false">'TK 拆解'!E46</f>
        <v>12.67</v>
      </c>
      <c r="C7" s="11" t="n">
        <v>15</v>
      </c>
      <c r="D7" s="11" t="n">
        <f aca="false">C7-B7</f>
        <v>2.33</v>
      </c>
      <c r="E7" s="11" t="n">
        <f aca="false">C7/B7</f>
        <v>1.18389897395422</v>
      </c>
      <c r="F7" s="2" t="s">
        <v>378</v>
      </c>
      <c r="G7" s="8" t="s">
        <v>379</v>
      </c>
      <c r="H7" s="2" t="s">
        <v>380</v>
      </c>
    </row>
    <row r="8" customFormat="false" ht="15" hidden="false" customHeight="false" outlineLevel="0" collapsed="false">
      <c r="A8" s="2" t="s">
        <v>381</v>
      </c>
      <c r="B8" s="11" t="n">
        <f aca="false">'TK 拆解'!E47</f>
        <v>44.907224</v>
      </c>
      <c r="C8" s="11" t="n">
        <f aca="false">C6+C7</f>
        <v>44</v>
      </c>
      <c r="D8" s="11" t="n">
        <f aca="false">C8-B8</f>
        <v>-0.907223999999999</v>
      </c>
      <c r="E8" s="11" t="n">
        <f aca="false">C8/B8</f>
        <v>0.979797816048483</v>
      </c>
    </row>
    <row r="9" customFormat="false" ht="15" hidden="false" customHeight="false" outlineLevel="0" collapsed="false">
      <c r="A9" s="2" t="s">
        <v>382</v>
      </c>
      <c r="B9" s="11" t="n">
        <f aca="false">'TK 拆解'!E65</f>
        <v>1.98263481314457</v>
      </c>
      <c r="C9" s="11" t="n">
        <f aca="false">(1-0.85)*C5</f>
        <v>1.455</v>
      </c>
      <c r="D9" s="11" t="n">
        <f aca="false">C9-B9</f>
        <v>-0.527634813144572</v>
      </c>
      <c r="E9" s="11" t="n">
        <f aca="false">C9/B9</f>
        <v>0.733871911435009</v>
      </c>
      <c r="F9" s="2" t="s">
        <v>383</v>
      </c>
      <c r="G9" s="8" t="s">
        <v>287</v>
      </c>
      <c r="H9" s="2" t="s">
        <v>384</v>
      </c>
    </row>
    <row r="10" customFormat="false" ht="15" hidden="false" customHeight="false" outlineLevel="0" collapsed="false">
      <c r="A10" s="2" t="s">
        <v>385</v>
      </c>
      <c r="B10" s="11" t="n">
        <f aca="false">'TK 拆解'!E50+'TK 拆解'!E54</f>
        <v>8.90377618896548</v>
      </c>
      <c r="C10" s="11" t="n">
        <f aca="false">C5-C9</f>
        <v>8.245</v>
      </c>
      <c r="D10" s="11" t="n">
        <f aca="false">C10-B10</f>
        <v>-0.658776188965483</v>
      </c>
      <c r="E10" s="11" t="n">
        <f aca="false">C10/B10</f>
        <v>0.926011596093138</v>
      </c>
      <c r="F10" s="8" t="s">
        <v>386</v>
      </c>
      <c r="G10" s="8" t="s">
        <v>16</v>
      </c>
    </row>
    <row r="11" customFormat="false" ht="15" hidden="false" customHeight="false" outlineLevel="0" collapsed="false">
      <c r="A11" s="2" t="s">
        <v>387</v>
      </c>
      <c r="D11" s="11" t="n">
        <f aca="false">C9-B9</f>
        <v>-0.527634813144572</v>
      </c>
      <c r="E11" s="32" t="n">
        <f aca="false">D11/D5</f>
        <v>0.444731894938738</v>
      </c>
      <c r="H11" s="2" t="s">
        <v>388</v>
      </c>
    </row>
    <row r="12" customFormat="false" ht="15" hidden="false" customHeight="false" outlineLevel="0" collapsed="false">
      <c r="A12" s="2" t="s">
        <v>389</v>
      </c>
      <c r="D12" s="11" t="n">
        <f aca="false">C10-B10</f>
        <v>-0.658776188965483</v>
      </c>
      <c r="E12" s="32" t="n">
        <f aca="false">D12/D5</f>
        <v>0.555268105061261</v>
      </c>
    </row>
    <row r="13" customFormat="false" ht="15" hidden="false" customHeight="false" outlineLevel="0" collapsed="false">
      <c r="A13" s="2" t="s">
        <v>390</v>
      </c>
      <c r="D13" s="23" t="n">
        <f aca="false">D11+D12-D5</f>
        <v>0</v>
      </c>
    </row>
    <row r="15" customFormat="false" ht="15" hidden="false" customHeight="false" outlineLevel="0" collapsed="false">
      <c r="A15" s="5" t="s">
        <v>391</v>
      </c>
      <c r="B15" s="6"/>
      <c r="C15" s="6"/>
      <c r="D15" s="6"/>
      <c r="E15" s="6"/>
      <c r="F15" s="6"/>
      <c r="G15" s="6"/>
      <c r="H15" s="6"/>
    </row>
    <row r="16" customFormat="false" ht="55.2" hidden="false" customHeight="false" outlineLevel="0" collapsed="false">
      <c r="A16" s="3" t="s">
        <v>392</v>
      </c>
      <c r="B16" s="4" t="s">
        <v>393</v>
      </c>
      <c r="C16" s="3" t="s">
        <v>394</v>
      </c>
      <c r="D16" s="4" t="s">
        <v>395</v>
      </c>
      <c r="E16" s="3" t="s">
        <v>396</v>
      </c>
      <c r="F16" s="3" t="s">
        <v>11</v>
      </c>
      <c r="G16" s="2" t="s">
        <v>392</v>
      </c>
    </row>
    <row r="17" customFormat="false" ht="15" hidden="false" customHeight="false" outlineLevel="0" collapsed="false">
      <c r="A17" s="0" t="s">
        <v>397</v>
      </c>
      <c r="B17" s="11" t="n">
        <f aca="false">$C$10*(1-(1+G17)^(-5))/G17</f>
        <v>37.4277746234773</v>
      </c>
      <c r="C17" s="11" t="n">
        <f aca="false">$C$8</f>
        <v>44</v>
      </c>
      <c r="D17" s="11" t="n">
        <f aca="false">(C17-B17)*(1+G17)^5</f>
        <v>7.73435773836096</v>
      </c>
      <c r="E17" s="32" t="n">
        <f aca="false">D17/C17</f>
        <v>0.175780857690022</v>
      </c>
      <c r="F17" s="2" t="s">
        <v>398</v>
      </c>
      <c r="G17" s="12" t="n">
        <v>0.0331</v>
      </c>
      <c r="H17" s="2" t="s">
        <v>399</v>
      </c>
    </row>
    <row r="18" customFormat="false" ht="15" hidden="false" customHeight="false" outlineLevel="0" collapsed="false">
      <c r="A18" s="0" t="s">
        <v>400</v>
      </c>
      <c r="B18" s="11" t="n">
        <f aca="false">$C$10*(1-(1+G18)^(-5))/G18</f>
        <v>34.7309394119893</v>
      </c>
      <c r="C18" s="11" t="n">
        <f aca="false">$C$8</f>
        <v>44</v>
      </c>
      <c r="D18" s="11" t="n">
        <f aca="false">(C18-B18)*(1+G18)^5</f>
        <v>12.4040939592</v>
      </c>
      <c r="E18" s="32" t="n">
        <f aca="false">D18/C18</f>
        <v>0.281911226345454</v>
      </c>
      <c r="G18" s="12" t="n">
        <v>0.06</v>
      </c>
    </row>
    <row r="19" customFormat="false" ht="15" hidden="false" customHeight="false" outlineLevel="0" collapsed="false">
      <c r="A19" s="0" t="s">
        <v>401</v>
      </c>
      <c r="B19" s="11" t="n">
        <f aca="false">$C$10*(1-(1+G19)^(-5))/G19</f>
        <v>32.9198942557088</v>
      </c>
      <c r="C19" s="11" t="n">
        <f aca="false">$C$8</f>
        <v>44</v>
      </c>
      <c r="D19" s="11" t="n">
        <f aca="false">(C19-B19)*(1+G19)^5</f>
        <v>16.280310464</v>
      </c>
      <c r="E19" s="32" t="n">
        <f aca="false">D19/C19</f>
        <v>0.370007056</v>
      </c>
      <c r="G19" s="12" t="n">
        <v>0.08</v>
      </c>
    </row>
    <row r="20" customFormat="false" ht="15" hidden="false" customHeight="false" outlineLevel="0" collapsed="false">
      <c r="A20" s="0" t="s">
        <v>402</v>
      </c>
      <c r="B20" s="11" t="n">
        <f aca="false">$C$10*(1-(1+G20)^(-5))/G20</f>
        <v>31.2550369137727</v>
      </c>
      <c r="C20" s="11" t="n">
        <f aca="false">$C$8</f>
        <v>44</v>
      </c>
      <c r="D20" s="11" t="n">
        <f aca="false">(C20-B20)*(1+G20)^5</f>
        <v>20.5258905</v>
      </c>
      <c r="E20" s="32" t="n">
        <f aca="false">D20/C20</f>
        <v>0.466497511363636</v>
      </c>
      <c r="F20" s="8" t="s">
        <v>403</v>
      </c>
      <c r="G20" s="12" t="n">
        <v>0.1</v>
      </c>
    </row>
    <row r="21" customFormat="false" ht="15" hidden="false" customHeight="false" outlineLevel="0" collapsed="false">
      <c r="A21" s="0" t="s">
        <v>404</v>
      </c>
      <c r="B21" s="11" t="n">
        <f aca="false">$C$10*(1-(1+G21)^(-5))/G21</f>
        <v>28.9995717514196</v>
      </c>
      <c r="C21" s="11" t="n">
        <f aca="false">$C$8</f>
        <v>44</v>
      </c>
      <c r="D21" s="11" t="n">
        <f aca="false">(C21-B21)*(1+G21)^5</f>
        <v>27.63731670975</v>
      </c>
      <c r="E21" s="32" t="n">
        <f aca="false">D21/C21</f>
        <v>0.6281208343125</v>
      </c>
      <c r="G21" s="12" t="n">
        <v>0.13</v>
      </c>
    </row>
    <row r="22" customFormat="false" ht="15" hidden="false" customHeight="false" outlineLevel="0" collapsed="false">
      <c r="A22" s="2" t="s">
        <v>405</v>
      </c>
      <c r="B22" s="24" t="n">
        <v>0.0616740150304683</v>
      </c>
      <c r="C22" s="24" t="n">
        <v>0.0236781469784959</v>
      </c>
      <c r="D22" s="24" t="n">
        <v>0.0790525323734297</v>
      </c>
      <c r="E22" s="24" t="n">
        <v>0.0423379998661479</v>
      </c>
      <c r="F22" s="2" t="s">
        <v>406</v>
      </c>
    </row>
    <row r="23" customFormat="false" ht="15" hidden="false" customHeight="false" outlineLevel="0" collapsed="false">
      <c r="A23" s="5" t="s">
        <v>407</v>
      </c>
      <c r="B23" s="6"/>
      <c r="C23" s="6"/>
      <c r="D23" s="6"/>
      <c r="E23" s="6"/>
      <c r="F23" s="6"/>
      <c r="G23" s="6"/>
      <c r="H23" s="6"/>
    </row>
    <row r="24" customFormat="false" ht="28.35" hidden="false" customHeight="false" outlineLevel="0" collapsed="false">
      <c r="A24" s="3" t="s">
        <v>408</v>
      </c>
      <c r="B24" s="3" t="s">
        <v>409</v>
      </c>
      <c r="C24" s="4" t="s">
        <v>410</v>
      </c>
      <c r="D24" s="3" t="s">
        <v>411</v>
      </c>
      <c r="E24" s="3" t="s">
        <v>412</v>
      </c>
      <c r="F24" s="3" t="s">
        <v>413</v>
      </c>
      <c r="G24" s="3" t="s">
        <v>414</v>
      </c>
      <c r="H24" s="3" t="s">
        <v>415</v>
      </c>
    </row>
    <row r="25" customFormat="false" ht="41.75" hidden="false" customHeight="false" outlineLevel="0" collapsed="false">
      <c r="A25" s="0" t="s">
        <v>416</v>
      </c>
      <c r="B25" s="11" t="n">
        <f aca="false">外部價格換算!I7</f>
        <v>8.73333333333333</v>
      </c>
      <c r="C25" s="11" t="n">
        <f aca="false">'TK 拆解'!G66</f>
        <v>9.35311859805586</v>
      </c>
      <c r="D25" s="11" t="n">
        <f aca="false">B25-C25</f>
        <v>-0.619785264722527</v>
      </c>
      <c r="E25" s="11" t="n">
        <f aca="false">B25/C25</f>
        <v>0.933734907964136</v>
      </c>
      <c r="F25" s="30" t="s">
        <v>417</v>
      </c>
      <c r="G25" s="30" t="s">
        <v>418</v>
      </c>
      <c r="H25" s="27" t="s">
        <v>419</v>
      </c>
    </row>
    <row r="26" customFormat="false" ht="41.75" hidden="false" customHeight="false" outlineLevel="0" collapsed="false">
      <c r="A26" s="0" t="s">
        <v>420</v>
      </c>
      <c r="B26" s="11" t="n">
        <f aca="false">外部價格換算!I9</f>
        <v>11.6</v>
      </c>
      <c r="C26" s="11" t="n">
        <f aca="false">'TK 拆解'!E66</f>
        <v>10.8864110021101</v>
      </c>
      <c r="D26" s="11" t="n">
        <f aca="false">B26-C26</f>
        <v>0.713588997889945</v>
      </c>
      <c r="E26" s="11" t="n">
        <f aca="false">B26/C26</f>
        <v>1.06554859978662</v>
      </c>
      <c r="F26" s="30" t="s">
        <v>421</v>
      </c>
      <c r="G26" s="30" t="s">
        <v>422</v>
      </c>
      <c r="H26" s="30" t="s">
        <v>423</v>
      </c>
    </row>
    <row r="27" customFormat="false" ht="28.35" hidden="false" customHeight="false" outlineLevel="0" collapsed="false">
      <c r="A27" s="0" t="s">
        <v>424</v>
      </c>
      <c r="B27" s="11" t="n">
        <f aca="false">外部價格換算!I10</f>
        <v>20</v>
      </c>
      <c r="C27" s="11" t="n">
        <f aca="false">'TK 拆解'!E66</f>
        <v>10.8864110021101</v>
      </c>
      <c r="D27" s="11" t="n">
        <f aca="false">B27-C27</f>
        <v>9.11358899788995</v>
      </c>
      <c r="E27" s="11" t="n">
        <f aca="false">B27/C27</f>
        <v>1.83715275825279</v>
      </c>
      <c r="F27" s="30" t="s">
        <v>425</v>
      </c>
      <c r="G27" s="30" t="s">
        <v>426</v>
      </c>
      <c r="H27" s="30" t="s">
        <v>427</v>
      </c>
    </row>
    <row r="28" customFormat="false" ht="28.35" hidden="false" customHeight="false" outlineLevel="0" collapsed="false">
      <c r="A28" s="0" t="s">
        <v>428</v>
      </c>
      <c r="B28" s="11" t="n">
        <f aca="false">外部價格換算!I12</f>
        <v>16</v>
      </c>
      <c r="C28" s="11" t="n">
        <f aca="false">'TK 拆解'!F66</f>
        <v>12.2254710045841</v>
      </c>
      <c r="D28" s="11" t="n">
        <f aca="false">B28-C28</f>
        <v>3.7745289954159</v>
      </c>
      <c r="E28" s="11" t="n">
        <f aca="false">B28/C28</f>
        <v>1.30874303280426</v>
      </c>
      <c r="F28" s="30" t="s">
        <v>429</v>
      </c>
      <c r="G28" s="30" t="s">
        <v>430</v>
      </c>
      <c r="H28" s="30" t="s">
        <v>431</v>
      </c>
    </row>
    <row r="29" customFormat="false" ht="15" hidden="false" customHeight="false" outlineLevel="0" collapsed="false">
      <c r="A29" s="0" t="s">
        <v>432</v>
      </c>
      <c r="B29" s="11" t="n">
        <f aca="false">外部價格換算!I13</f>
        <v>13.3333333333333</v>
      </c>
      <c r="C29" s="11" t="n">
        <f aca="false">'TK 拆解'!F66</f>
        <v>12.2254710045841</v>
      </c>
      <c r="D29" s="11" t="n">
        <f aca="false">B29-C29</f>
        <v>1.10786232874923</v>
      </c>
      <c r="E29" s="11" t="n">
        <f aca="false">B29/C29</f>
        <v>1.09061919400355</v>
      </c>
      <c r="F29" s="30" t="s">
        <v>433</v>
      </c>
      <c r="G29" s="30" t="s">
        <v>433</v>
      </c>
      <c r="H29" s="30" t="s">
        <v>433</v>
      </c>
    </row>
    <row r="30" customFormat="false" ht="55.2" hidden="false" customHeight="false" outlineLevel="0" collapsed="false">
      <c r="A30" s="0" t="s">
        <v>434</v>
      </c>
      <c r="B30" s="11" t="n">
        <f aca="false">外部價格換算!I17</f>
        <v>14.4528277015352</v>
      </c>
      <c r="C30" s="11" t="n">
        <f aca="false">'TK 拆解'!G66</f>
        <v>9.35311859805586</v>
      </c>
      <c r="D30" s="11" t="n">
        <f aca="false">B30-C30</f>
        <v>5.09970910347932</v>
      </c>
      <c r="E30" s="11" t="n">
        <f aca="false">B30/C30</f>
        <v>1.54524157370776</v>
      </c>
      <c r="F30" s="30" t="s">
        <v>435</v>
      </c>
      <c r="G30" s="30" t="s">
        <v>436</v>
      </c>
      <c r="H30" s="27" t="s">
        <v>437</v>
      </c>
    </row>
    <row r="31" customFormat="false" ht="41.75" hidden="false" customHeight="false" outlineLevel="0" collapsed="false">
      <c r="A31" s="0" t="s">
        <v>438</v>
      </c>
      <c r="B31" s="11" t="n">
        <f aca="false">外部價格換算!I20</f>
        <v>15.9139542144</v>
      </c>
      <c r="C31" s="11" t="n">
        <f aca="false">'TK 拆解'!C66</f>
        <v>9.70308728611469</v>
      </c>
      <c r="D31" s="11" t="n">
        <f aca="false">B31-C31</f>
        <v>6.21086692828531</v>
      </c>
      <c r="E31" s="11" t="n">
        <f aca="false">B31/C31</f>
        <v>1.64009183316048</v>
      </c>
      <c r="F31" s="30" t="s">
        <v>439</v>
      </c>
      <c r="G31" s="30" t="s">
        <v>440</v>
      </c>
      <c r="H31" s="27" t="s">
        <v>441</v>
      </c>
    </row>
    <row r="32" customFormat="false" ht="28.35" hidden="false" customHeight="false" outlineLevel="0" collapsed="false">
      <c r="A32" s="0" t="s">
        <v>442</v>
      </c>
      <c r="B32" s="11" t="n">
        <f aca="false">外部價格換算!I26</f>
        <v>11.6132676923077</v>
      </c>
      <c r="C32" s="11" t="n">
        <f aca="false">'TK 拆解'!E66</f>
        <v>10.8864110021101</v>
      </c>
      <c r="D32" s="11" t="n">
        <f aca="false">B32-C32</f>
        <v>0.726856690197637</v>
      </c>
      <c r="E32" s="11" t="n">
        <f aca="false">B32/C32</f>
        <v>1.06676733866255</v>
      </c>
      <c r="F32" s="30" t="s">
        <v>443</v>
      </c>
      <c r="G32" s="27" t="s">
        <v>444</v>
      </c>
      <c r="H32" s="27" t="s">
        <v>445</v>
      </c>
    </row>
    <row r="34" customFormat="false" ht="15" hidden="false" customHeight="false" outlineLevel="0" collapsed="false">
      <c r="A34" s="5" t="s">
        <v>446</v>
      </c>
      <c r="B34" s="6"/>
      <c r="C34" s="6"/>
      <c r="D34" s="6"/>
      <c r="E34" s="6"/>
      <c r="F34" s="6"/>
      <c r="G34" s="6"/>
      <c r="H34" s="6"/>
    </row>
    <row r="35" customFormat="false" ht="28.35" hidden="false" customHeight="false" outlineLevel="0" collapsed="false">
      <c r="A35" s="3" t="s">
        <v>408</v>
      </c>
      <c r="B35" s="3" t="s">
        <v>447</v>
      </c>
      <c r="C35" s="4" t="s">
        <v>448</v>
      </c>
      <c r="D35" s="4" t="s">
        <v>449</v>
      </c>
      <c r="E35" s="4" t="s">
        <v>450</v>
      </c>
      <c r="F35" s="4" t="s">
        <v>451</v>
      </c>
      <c r="G35" s="4" t="s">
        <v>452</v>
      </c>
      <c r="H35" s="3" t="s">
        <v>11</v>
      </c>
    </row>
    <row r="36" customFormat="false" ht="15" hidden="false" customHeight="false" outlineLevel="0" collapsed="false">
      <c r="A36" s="0" t="s">
        <v>453</v>
      </c>
      <c r="B36" s="11" t="n">
        <f aca="false">外部價格換算!I6</f>
        <v>9.7</v>
      </c>
      <c r="C36" s="11" t="n">
        <f aca="false">$B36/'TK 拆解'!C66</f>
        <v>0.999681824348925</v>
      </c>
      <c r="D36" s="11" t="n">
        <f aca="false">$B36/'TK 拆解'!D66</f>
        <v>1.09875601307176</v>
      </c>
      <c r="E36" s="11" t="n">
        <f aca="false">$B36/'TK 拆解'!E66</f>
        <v>0.891019087752603</v>
      </c>
      <c r="F36" s="11" t="n">
        <f aca="false">$B36/'TK 拆解'!F66</f>
        <v>0.793425463637585</v>
      </c>
      <c r="G36" s="11" t="n">
        <f aca="false">$B36/'TK 拆解'!G66</f>
        <v>1.0370872451052</v>
      </c>
      <c r="H36" s="2" t="s">
        <v>454</v>
      </c>
    </row>
    <row r="37" customFormat="false" ht="15" hidden="false" customHeight="false" outlineLevel="0" collapsed="false">
      <c r="A37" s="0" t="s">
        <v>455</v>
      </c>
      <c r="B37" s="11" t="n">
        <f aca="false">外部價格換算!I12</f>
        <v>16</v>
      </c>
      <c r="C37" s="11" t="n">
        <f aca="false">$B37/'TK 拆解'!C66</f>
        <v>1.64895971026627</v>
      </c>
      <c r="D37" s="11" t="n">
        <f aca="false">$B37/'TK 拆解'!D66</f>
        <v>1.81238105248951</v>
      </c>
      <c r="E37" s="11" t="n">
        <f aca="false">$B37/'TK 拆解'!E66</f>
        <v>1.46972220660223</v>
      </c>
      <c r="F37" s="11" t="n">
        <f aca="false">$B37/'TK 拆解'!F66</f>
        <v>1.30874303280426</v>
      </c>
      <c r="G37" s="11" t="n">
        <f aca="false">$B37/'TK 拆解'!G66</f>
        <v>1.71065937336941</v>
      </c>
      <c r="H37" s="8" t="s">
        <v>456</v>
      </c>
    </row>
    <row r="38" customFormat="false" ht="15" hidden="false" customHeight="false" outlineLevel="0" collapsed="false">
      <c r="A38" s="0" t="s">
        <v>457</v>
      </c>
      <c r="B38" s="11" t="n">
        <f aca="false">外部價格換算!I13</f>
        <v>13.3333333333333</v>
      </c>
      <c r="C38" s="11" t="n">
        <f aca="false">$B38/'TK 拆解'!C66</f>
        <v>1.37413309188856</v>
      </c>
      <c r="D38" s="11" t="n">
        <f aca="false">$B38/'TK 拆解'!D66</f>
        <v>1.51031754374126</v>
      </c>
      <c r="E38" s="11" t="n">
        <f aca="false">$B38/'TK 拆解'!E66</f>
        <v>1.22476850550186</v>
      </c>
      <c r="F38" s="11" t="n">
        <f aca="false">$B38/'TK 拆解'!F66</f>
        <v>1.09061919400355</v>
      </c>
      <c r="G38" s="11" t="n">
        <f aca="false">$B38/'TK 拆解'!G66</f>
        <v>1.42554947780784</v>
      </c>
    </row>
    <row r="39" customFormat="false" ht="15" hidden="false" customHeight="false" outlineLevel="0" collapsed="false">
      <c r="A39" s="0" t="s">
        <v>458</v>
      </c>
      <c r="B39" s="11" t="n">
        <f aca="false">外部價格換算!I16</f>
        <v>13.04</v>
      </c>
      <c r="C39" s="11" t="n">
        <f aca="false">$B39/'TK 拆解'!C66</f>
        <v>1.34390216386701</v>
      </c>
      <c r="D39" s="11" t="n">
        <f aca="false">$B39/'TK 拆解'!D66</f>
        <v>1.47709055777895</v>
      </c>
      <c r="E39" s="11" t="n">
        <f aca="false">$B39/'TK 拆解'!E66</f>
        <v>1.19782359838082</v>
      </c>
      <c r="F39" s="11" t="n">
        <f aca="false">$B39/'TK 拆解'!F66</f>
        <v>1.06662557173548</v>
      </c>
      <c r="G39" s="11" t="n">
        <f aca="false">$B39/'TK 拆解'!G66</f>
        <v>1.39418738929607</v>
      </c>
      <c r="H39" s="2" t="s">
        <v>459</v>
      </c>
    </row>
    <row r="40" customFormat="false" ht="15" hidden="false" customHeight="false" outlineLevel="0" collapsed="false">
      <c r="A40" s="0" t="s">
        <v>460</v>
      </c>
      <c r="B40" s="11" t="n">
        <f aca="false">外部價格換算!I17</f>
        <v>14.4528277015352</v>
      </c>
      <c r="C40" s="11" t="n">
        <f aca="false">$B40/'TK 拆解'!C66</f>
        <v>1.48950816120323</v>
      </c>
      <c r="D40" s="11" t="n">
        <f aca="false">$B40/'TK 拆解'!D66</f>
        <v>1.63712694257236</v>
      </c>
      <c r="E40" s="11" t="n">
        <f aca="false">$B40/'TK 拆解'!E66</f>
        <v>1.32760261382138</v>
      </c>
      <c r="F40" s="11" t="n">
        <f aca="false">$B40/'TK 拆解'!F66</f>
        <v>1.18218984741904</v>
      </c>
      <c r="G40" s="11" t="n">
        <f aca="false">$B40/'TK 拆解'!G66</f>
        <v>1.54524157370776</v>
      </c>
    </row>
    <row r="41" customFormat="false" ht="15" hidden="false" customHeight="false" outlineLevel="0" collapsed="false">
      <c r="A41" s="0" t="s">
        <v>461</v>
      </c>
      <c r="B41" s="11" t="n">
        <f aca="false">外部價格換算!I7</f>
        <v>8.73333333333333</v>
      </c>
      <c r="C41" s="11" t="n">
        <f aca="false">$B41/'TK 拆解'!C66</f>
        <v>0.900057175187005</v>
      </c>
      <c r="D41" s="11" t="n">
        <f aca="false">$B41/'TK 拆解'!D66</f>
        <v>0.989257991150522</v>
      </c>
      <c r="E41" s="11" t="n">
        <f aca="false">$B41/'TK 拆解'!E66</f>
        <v>0.802223371103718</v>
      </c>
      <c r="F41" s="11" t="n">
        <f aca="false">$B41/'TK 拆解'!F66</f>
        <v>0.714355572072328</v>
      </c>
      <c r="G41" s="11" t="n">
        <f aca="false">$B41/'TK 拆解'!G66</f>
        <v>0.933734907964136</v>
      </c>
    </row>
    <row r="43" customFormat="false" ht="15" hidden="false" customHeight="false" outlineLevel="0" collapsed="false">
      <c r="A43" s="5" t="s">
        <v>462</v>
      </c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3" t="s">
        <v>463</v>
      </c>
      <c r="B44" s="3" t="s">
        <v>195</v>
      </c>
      <c r="C44" s="3" t="s">
        <v>196</v>
      </c>
      <c r="D44" s="3" t="s">
        <v>464</v>
      </c>
      <c r="E44" s="3" t="s">
        <v>465</v>
      </c>
      <c r="F44" s="3" t="s">
        <v>11</v>
      </c>
    </row>
    <row r="45" customFormat="false" ht="15" hidden="false" customHeight="false" outlineLevel="0" collapsed="false">
      <c r="A45" s="0" t="s">
        <v>466</v>
      </c>
      <c r="B45" s="11" t="n">
        <f aca="false">MIN(外部價格換算!N6,外部價格換算!N7)</f>
        <v>0.891019087752603</v>
      </c>
      <c r="C45" s="11" t="n">
        <f aca="false">MAX(外部價格換算!N6,外部價格換算!N8,外部價格換算!N26*1)</f>
        <v>1.12048188955696</v>
      </c>
      <c r="D45" s="8" t="s">
        <v>467</v>
      </c>
      <c r="E45" s="2" t="s">
        <v>468</v>
      </c>
      <c r="F45" s="2" t="s">
        <v>469</v>
      </c>
    </row>
    <row r="46" customFormat="false" ht="15" hidden="false" customHeight="false" outlineLevel="0" collapsed="false">
      <c r="A46" s="0" t="s">
        <v>470</v>
      </c>
      <c r="B46" s="11" t="n">
        <f aca="false">MIN(外部價格換算!N12,外部價格換算!N13)</f>
        <v>1.09061919400355</v>
      </c>
      <c r="C46" s="11" t="n">
        <f aca="false">MAX(外部價格換算!N12,外部價格換算!N13)</f>
        <v>1.30874303280426</v>
      </c>
      <c r="D46" s="8" t="s">
        <v>471</v>
      </c>
      <c r="E46" s="2" t="s">
        <v>472</v>
      </c>
    </row>
    <row r="47" customFormat="false" ht="15" hidden="false" customHeight="false" outlineLevel="0" collapsed="false">
      <c r="A47" s="0" t="s">
        <v>473</v>
      </c>
      <c r="B47" s="11" t="n">
        <f aca="false">外部價格換算!O20</f>
        <v>1.14806428321234</v>
      </c>
      <c r="C47" s="11" t="n">
        <f aca="false">外部價格換算!P21</f>
        <v>2.04201157093103</v>
      </c>
      <c r="D47" s="8" t="s">
        <v>474</v>
      </c>
      <c r="E47" s="2" t="s">
        <v>475</v>
      </c>
      <c r="F47" s="2" t="s">
        <v>476</v>
      </c>
    </row>
    <row r="48" customFormat="false" ht="15" hidden="false" customHeight="false" outlineLevel="0" collapsed="false">
      <c r="A48" s="0" t="s">
        <v>477</v>
      </c>
      <c r="B48" s="11" t="n">
        <f aca="false">外部價格換算!N10</f>
        <v>1.83715275825279</v>
      </c>
      <c r="C48" s="11" t="n">
        <f aca="false">外部價格換算!P11</f>
        <v>4.59288189563197</v>
      </c>
      <c r="D48" s="8" t="s">
        <v>478</v>
      </c>
      <c r="E48" s="2" t="s">
        <v>479</v>
      </c>
    </row>
    <row r="49" customFormat="false" ht="15" hidden="false" customHeight="false" outlineLevel="0" collapsed="false">
      <c r="A49" s="0" t="s">
        <v>480</v>
      </c>
      <c r="B49" s="11" t="n">
        <f aca="false">MIN(外部價格換算!N17,外部價格換算!N16)</f>
        <v>1.39418738929607</v>
      </c>
      <c r="C49" s="11" t="n">
        <f aca="false">MAX(外部價格換算!N17,外部價格換算!N16)</f>
        <v>1.54524157370776</v>
      </c>
      <c r="D49" s="8" t="s">
        <v>481</v>
      </c>
      <c r="E49" s="2" t="s">
        <v>482</v>
      </c>
      <c r="F49" s="2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7" min="5" style="0" width="22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4" t="s">
        <v>188</v>
      </c>
      <c r="B1" s="3" t="s">
        <v>2</v>
      </c>
      <c r="C1" s="3" t="s">
        <v>484</v>
      </c>
      <c r="D1" s="3" t="s">
        <v>485</v>
      </c>
      <c r="E1" s="3" t="s">
        <v>486</v>
      </c>
      <c r="F1" s="3" t="s">
        <v>10</v>
      </c>
      <c r="G1" s="3" t="s">
        <v>487</v>
      </c>
      <c r="H1" s="3" t="s">
        <v>488</v>
      </c>
    </row>
    <row r="2" customFormat="false" ht="41.75" hidden="false" customHeight="false" outlineLevel="0" collapsed="false">
      <c r="A2" s="27" t="s">
        <v>489</v>
      </c>
      <c r="B2" s="27" t="s">
        <v>490</v>
      </c>
      <c r="C2" s="30" t="s">
        <v>491</v>
      </c>
      <c r="D2" s="27" t="s">
        <v>492</v>
      </c>
      <c r="E2" s="27" t="s">
        <v>493</v>
      </c>
      <c r="F2" s="27" t="s">
        <v>494</v>
      </c>
      <c r="G2" s="30" t="s">
        <v>495</v>
      </c>
      <c r="H2" s="27" t="s">
        <v>496</v>
      </c>
    </row>
    <row r="3" customFormat="false" ht="55.2" hidden="false" customHeight="false" outlineLevel="0" collapsed="false">
      <c r="A3" s="27" t="s">
        <v>497</v>
      </c>
      <c r="B3" s="27" t="s">
        <v>498</v>
      </c>
      <c r="C3" s="30" t="s">
        <v>499</v>
      </c>
      <c r="D3" s="27" t="s">
        <v>500</v>
      </c>
      <c r="E3" s="27" t="s">
        <v>501</v>
      </c>
      <c r="F3" s="27" t="s">
        <v>287</v>
      </c>
      <c r="G3" s="30" t="s">
        <v>502</v>
      </c>
      <c r="H3" s="27" t="s">
        <v>503</v>
      </c>
    </row>
    <row r="4" customFormat="false" ht="28.35" hidden="false" customHeight="false" outlineLevel="0" collapsed="false">
      <c r="A4" s="27" t="s">
        <v>504</v>
      </c>
      <c r="B4" s="27" t="s">
        <v>505</v>
      </c>
      <c r="C4" s="27" t="s">
        <v>506</v>
      </c>
      <c r="D4" s="27" t="s">
        <v>507</v>
      </c>
      <c r="E4" s="27" t="s">
        <v>508</v>
      </c>
      <c r="F4" s="27" t="s">
        <v>509</v>
      </c>
      <c r="G4" s="30" t="s">
        <v>510</v>
      </c>
      <c r="H4" s="27" t="s">
        <v>318</v>
      </c>
    </row>
    <row r="5" customFormat="false" ht="41.75" hidden="false" customHeight="false" outlineLevel="0" collapsed="false">
      <c r="A5" s="27" t="s">
        <v>511</v>
      </c>
      <c r="B5" s="27" t="s">
        <v>512</v>
      </c>
      <c r="C5" s="27" t="s">
        <v>513</v>
      </c>
      <c r="D5" s="27" t="s">
        <v>514</v>
      </c>
      <c r="E5" s="27" t="s">
        <v>515</v>
      </c>
      <c r="F5" s="27" t="s">
        <v>516</v>
      </c>
      <c r="G5" s="30" t="s">
        <v>517</v>
      </c>
      <c r="H5" s="30" t="s">
        <v>518</v>
      </c>
    </row>
    <row r="6" customFormat="false" ht="41.75" hidden="false" customHeight="false" outlineLevel="0" collapsed="false">
      <c r="A6" s="27" t="s">
        <v>519</v>
      </c>
      <c r="B6" s="27" t="s">
        <v>520</v>
      </c>
      <c r="C6" s="30" t="s">
        <v>521</v>
      </c>
      <c r="D6" s="27" t="s">
        <v>522</v>
      </c>
      <c r="E6" s="27" t="s">
        <v>508</v>
      </c>
      <c r="F6" s="27" t="s">
        <v>523</v>
      </c>
      <c r="G6" s="30" t="s">
        <v>524</v>
      </c>
      <c r="H6" s="30" t="s">
        <v>525</v>
      </c>
    </row>
    <row r="7" customFormat="false" ht="28.35" hidden="false" customHeight="false" outlineLevel="0" collapsed="false">
      <c r="A7" s="27" t="s">
        <v>253</v>
      </c>
      <c r="B7" s="27" t="s">
        <v>526</v>
      </c>
      <c r="C7" s="30" t="s">
        <v>527</v>
      </c>
      <c r="D7" s="27" t="s">
        <v>528</v>
      </c>
      <c r="E7" s="27" t="s">
        <v>529</v>
      </c>
      <c r="F7" s="27" t="s">
        <v>287</v>
      </c>
      <c r="G7" s="30" t="s">
        <v>530</v>
      </c>
      <c r="H7" s="30" t="s">
        <v>531</v>
      </c>
    </row>
    <row r="8" customFormat="false" ht="55.2" hidden="false" customHeight="false" outlineLevel="0" collapsed="false">
      <c r="A8" s="27" t="s">
        <v>264</v>
      </c>
      <c r="B8" s="27" t="s">
        <v>532</v>
      </c>
      <c r="C8" s="30" t="s">
        <v>533</v>
      </c>
      <c r="D8" s="27" t="s">
        <v>534</v>
      </c>
      <c r="E8" s="27" t="s">
        <v>535</v>
      </c>
      <c r="F8" s="27" t="s">
        <v>536</v>
      </c>
      <c r="G8" s="30" t="s">
        <v>537</v>
      </c>
      <c r="H8" s="27" t="s">
        <v>538</v>
      </c>
    </row>
    <row r="9" customFormat="false" ht="55.2" hidden="false" customHeight="false" outlineLevel="0" collapsed="false">
      <c r="A9" s="27" t="s">
        <v>281</v>
      </c>
      <c r="B9" s="27" t="s">
        <v>539</v>
      </c>
      <c r="C9" s="27" t="s">
        <v>540</v>
      </c>
      <c r="D9" s="27" t="s">
        <v>541</v>
      </c>
      <c r="E9" s="27" t="s">
        <v>542</v>
      </c>
      <c r="F9" s="27" t="s">
        <v>294</v>
      </c>
      <c r="G9" s="30" t="s">
        <v>543</v>
      </c>
      <c r="H9" s="30" t="s">
        <v>544</v>
      </c>
    </row>
    <row r="10" customFormat="false" ht="28.35" hidden="false" customHeight="false" outlineLevel="0" collapsed="false">
      <c r="A10" s="27" t="s">
        <v>307</v>
      </c>
      <c r="B10" s="27" t="s">
        <v>545</v>
      </c>
      <c r="C10" s="27" t="s">
        <v>546</v>
      </c>
      <c r="D10" s="27" t="s">
        <v>547</v>
      </c>
      <c r="E10" s="27" t="s">
        <v>548</v>
      </c>
      <c r="F10" s="27" t="s">
        <v>549</v>
      </c>
      <c r="G10" s="30" t="s">
        <v>510</v>
      </c>
      <c r="H10" s="30" t="s">
        <v>550</v>
      </c>
    </row>
    <row r="11" customFormat="false" ht="41.75" hidden="false" customHeight="false" outlineLevel="0" collapsed="false">
      <c r="A11" s="27" t="s">
        <v>323</v>
      </c>
      <c r="B11" s="27" t="s">
        <v>551</v>
      </c>
      <c r="C11" s="30" t="s">
        <v>552</v>
      </c>
      <c r="D11" s="27" t="s">
        <v>553</v>
      </c>
      <c r="E11" s="27" t="s">
        <v>554</v>
      </c>
      <c r="F11" s="27" t="s">
        <v>555</v>
      </c>
      <c r="G11" s="30" t="s">
        <v>556</v>
      </c>
      <c r="H11" s="27" t="s">
        <v>557</v>
      </c>
    </row>
    <row r="12" customFormat="false" ht="41.75" hidden="false" customHeight="false" outlineLevel="0" collapsed="false">
      <c r="A12" s="27" t="s">
        <v>334</v>
      </c>
      <c r="B12" s="27" t="s">
        <v>558</v>
      </c>
      <c r="C12" s="27" t="s">
        <v>559</v>
      </c>
      <c r="D12" s="27" t="s">
        <v>560</v>
      </c>
      <c r="E12" s="27" t="s">
        <v>561</v>
      </c>
      <c r="F12" s="27" t="s">
        <v>332</v>
      </c>
      <c r="G12" s="30" t="s">
        <v>502</v>
      </c>
      <c r="H12" s="27" t="s">
        <v>562</v>
      </c>
    </row>
    <row r="13" customFormat="false" ht="41.75" hidden="false" customHeight="false" outlineLevel="0" collapsed="false">
      <c r="A13" s="27" t="s">
        <v>342</v>
      </c>
      <c r="B13" s="30" t="s">
        <v>563</v>
      </c>
      <c r="C13" s="27" t="s">
        <v>564</v>
      </c>
      <c r="D13" s="27" t="s">
        <v>565</v>
      </c>
      <c r="E13" s="27" t="s">
        <v>508</v>
      </c>
      <c r="F13" s="27" t="s">
        <v>287</v>
      </c>
      <c r="G13" s="30" t="s">
        <v>566</v>
      </c>
      <c r="H13" s="30" t="s">
        <v>567</v>
      </c>
    </row>
    <row r="14" customFormat="false" ht="28.35" hidden="false" customHeight="false" outlineLevel="0" collapsed="false">
      <c r="A14" s="27" t="s">
        <v>354</v>
      </c>
      <c r="B14" s="30" t="s">
        <v>568</v>
      </c>
      <c r="C14" s="27" t="s">
        <v>569</v>
      </c>
      <c r="D14" s="27" t="s">
        <v>570</v>
      </c>
      <c r="E14" s="27" t="s">
        <v>571</v>
      </c>
      <c r="F14" s="27" t="s">
        <v>363</v>
      </c>
      <c r="G14" s="30" t="s">
        <v>572</v>
      </c>
      <c r="H14" s="30" t="s">
        <v>573</v>
      </c>
    </row>
    <row r="15" customFormat="false" ht="28.35" hidden="false" customHeight="false" outlineLevel="0" collapsed="false">
      <c r="A15" s="27" t="s">
        <v>360</v>
      </c>
      <c r="B15" s="27" t="s">
        <v>574</v>
      </c>
      <c r="C15" s="27" t="s">
        <v>575</v>
      </c>
      <c r="D15" s="27" t="s">
        <v>576</v>
      </c>
      <c r="E15" s="27" t="s">
        <v>508</v>
      </c>
      <c r="F15" s="27" t="s">
        <v>577</v>
      </c>
      <c r="G15" s="30" t="s">
        <v>510</v>
      </c>
      <c r="H15" s="30" t="s">
        <v>578</v>
      </c>
    </row>
    <row r="16" customFormat="false" ht="41.75" hidden="false" customHeight="false" outlineLevel="0" collapsed="false">
      <c r="A16" s="27" t="s">
        <v>579</v>
      </c>
      <c r="B16" s="30" t="s">
        <v>580</v>
      </c>
      <c r="C16" s="30" t="s">
        <v>581</v>
      </c>
      <c r="D16" s="27" t="s">
        <v>582</v>
      </c>
      <c r="E16" s="27" t="s">
        <v>583</v>
      </c>
      <c r="F16" s="27" t="s">
        <v>318</v>
      </c>
      <c r="G16" s="30" t="s">
        <v>584</v>
      </c>
      <c r="H16" s="27" t="s">
        <v>318</v>
      </c>
    </row>
    <row r="17" customFormat="false" ht="41.75" hidden="false" customHeight="false" outlineLevel="0" collapsed="false">
      <c r="A17" s="27" t="s">
        <v>585</v>
      </c>
      <c r="B17" s="30" t="s">
        <v>586</v>
      </c>
      <c r="C17" s="30" t="s">
        <v>587</v>
      </c>
      <c r="D17" s="30" t="s">
        <v>433</v>
      </c>
      <c r="E17" s="27" t="s">
        <v>583</v>
      </c>
      <c r="F17" s="27" t="s">
        <v>318</v>
      </c>
      <c r="G17" s="30" t="s">
        <v>584</v>
      </c>
      <c r="H17" s="27" t="s">
        <v>318</v>
      </c>
    </row>
    <row r="18" customFormat="false" ht="28.35" hidden="false" customHeight="false" outlineLevel="0" collapsed="false">
      <c r="A18" s="27" t="s">
        <v>588</v>
      </c>
      <c r="B18" s="30" t="s">
        <v>589</v>
      </c>
      <c r="C18" s="30" t="s">
        <v>590</v>
      </c>
      <c r="D18" s="27" t="s">
        <v>318</v>
      </c>
      <c r="E18" s="27" t="s">
        <v>591</v>
      </c>
      <c r="F18" s="27" t="s">
        <v>318</v>
      </c>
      <c r="G18" s="30" t="s">
        <v>584</v>
      </c>
      <c r="H18" s="30" t="s">
        <v>592</v>
      </c>
    </row>
    <row r="19" customFormat="false" ht="41.75" hidden="false" customHeight="false" outlineLevel="0" collapsed="false">
      <c r="A19" s="27" t="s">
        <v>593</v>
      </c>
      <c r="B19" s="30" t="s">
        <v>594</v>
      </c>
      <c r="C19" s="27" t="s">
        <v>595</v>
      </c>
      <c r="D19" s="27" t="s">
        <v>318</v>
      </c>
      <c r="E19" s="27" t="s">
        <v>591</v>
      </c>
      <c r="F19" s="27" t="s">
        <v>318</v>
      </c>
      <c r="G19" s="27" t="s">
        <v>318</v>
      </c>
      <c r="H19" s="27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50"/>
    <col collapsed="false" customWidth="true" hidden="false" outlineLevel="0" max="4" min="4" style="0" width="28"/>
    <col collapsed="false" customWidth="true" hidden="false" outlineLevel="0" max="5" min="5" style="0" width="4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4" t="s">
        <v>596</v>
      </c>
      <c r="B1" s="3" t="s">
        <v>597</v>
      </c>
      <c r="C1" s="3" t="s">
        <v>598</v>
      </c>
      <c r="D1" s="3" t="s">
        <v>599</v>
      </c>
      <c r="E1" s="3" t="s">
        <v>600</v>
      </c>
      <c r="F1" s="3" t="s">
        <v>601</v>
      </c>
    </row>
    <row r="2" customFormat="false" ht="28.35" hidden="false" customHeight="false" outlineLevel="0" collapsed="false">
      <c r="A2" s="27" t="n">
        <v>1</v>
      </c>
      <c r="B2" s="30" t="s">
        <v>602</v>
      </c>
      <c r="C2" s="30" t="s">
        <v>603</v>
      </c>
      <c r="D2" s="30" t="s">
        <v>604</v>
      </c>
      <c r="E2" s="30" t="s">
        <v>605</v>
      </c>
      <c r="F2" s="30" t="s">
        <v>606</v>
      </c>
    </row>
    <row r="3" customFormat="false" ht="41.75" hidden="false" customHeight="false" outlineLevel="0" collapsed="false">
      <c r="A3" s="27" t="n">
        <v>2</v>
      </c>
      <c r="B3" s="27" t="s">
        <v>607</v>
      </c>
      <c r="C3" s="30" t="s">
        <v>608</v>
      </c>
      <c r="D3" s="27" t="s">
        <v>609</v>
      </c>
      <c r="E3" s="27" t="s">
        <v>610</v>
      </c>
      <c r="F3" s="27" t="s">
        <v>611</v>
      </c>
    </row>
    <row r="4" customFormat="false" ht="28.35" hidden="false" customHeight="false" outlineLevel="0" collapsed="false">
      <c r="A4" s="27" t="n">
        <v>3</v>
      </c>
      <c r="B4" s="27" t="s">
        <v>612</v>
      </c>
      <c r="C4" s="27" t="s">
        <v>613</v>
      </c>
      <c r="D4" s="27" t="s">
        <v>614</v>
      </c>
      <c r="E4" s="30" t="s">
        <v>615</v>
      </c>
      <c r="F4" s="30" t="s">
        <v>616</v>
      </c>
    </row>
    <row r="5" customFormat="false" ht="28.35" hidden="false" customHeight="false" outlineLevel="0" collapsed="false">
      <c r="A5" s="27" t="n">
        <v>4</v>
      </c>
      <c r="B5" s="30" t="s">
        <v>617</v>
      </c>
      <c r="C5" s="30" t="s">
        <v>618</v>
      </c>
      <c r="D5" s="30" t="s">
        <v>619</v>
      </c>
      <c r="E5" s="30" t="s">
        <v>620</v>
      </c>
      <c r="F5" s="30" t="s">
        <v>616</v>
      </c>
    </row>
    <row r="6" customFormat="false" ht="28.35" hidden="false" customHeight="false" outlineLevel="0" collapsed="false">
      <c r="A6" s="27" t="n">
        <v>5</v>
      </c>
      <c r="B6" s="27" t="s">
        <v>621</v>
      </c>
      <c r="C6" s="30" t="s">
        <v>622</v>
      </c>
      <c r="D6" s="30" t="s">
        <v>623</v>
      </c>
      <c r="E6" s="30" t="s">
        <v>624</v>
      </c>
      <c r="F6" s="30" t="s">
        <v>625</v>
      </c>
    </row>
    <row r="7" customFormat="false" ht="28.35" hidden="false" customHeight="false" outlineLevel="0" collapsed="false">
      <c r="A7" s="27" t="n">
        <v>6</v>
      </c>
      <c r="B7" s="27" t="s">
        <v>626</v>
      </c>
      <c r="C7" s="30" t="s">
        <v>627</v>
      </c>
      <c r="D7" s="30" t="s">
        <v>628</v>
      </c>
      <c r="E7" s="30" t="s">
        <v>629</v>
      </c>
      <c r="F7" s="30" t="s">
        <v>606</v>
      </c>
    </row>
    <row r="8" customFormat="false" ht="28.35" hidden="false" customHeight="false" outlineLevel="0" collapsed="false">
      <c r="A8" s="27" t="n">
        <v>7</v>
      </c>
      <c r="B8" s="27" t="s">
        <v>630</v>
      </c>
      <c r="C8" s="30" t="s">
        <v>631</v>
      </c>
      <c r="D8" s="30" t="s">
        <v>632</v>
      </c>
      <c r="E8" s="30" t="s">
        <v>633</v>
      </c>
      <c r="F8" s="30" t="s">
        <v>634</v>
      </c>
    </row>
    <row r="9" customFormat="false" ht="28.35" hidden="false" customHeight="false" outlineLevel="0" collapsed="false">
      <c r="A9" s="27" t="n">
        <v>8</v>
      </c>
      <c r="B9" s="30" t="s">
        <v>635</v>
      </c>
      <c r="C9" s="30" t="s">
        <v>636</v>
      </c>
      <c r="D9" s="30" t="s">
        <v>637</v>
      </c>
      <c r="E9" s="30" t="s">
        <v>638</v>
      </c>
      <c r="F9" s="30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2026-10-23T05:41:41Z</dcterms:created>
  <dc:creator>openpyxl</dc:creator>
  <dc:description/>
  <dc:language>en-US</dc:language>
  <cp:lastModifiedBy/>
  <dcterms:modified xsi:type="dcterms:W3CDTF">2026-10-23T05:41:41Z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