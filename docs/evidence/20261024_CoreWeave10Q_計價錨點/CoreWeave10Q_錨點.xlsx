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錨點" sheetId="1" state="visible" r:id="rId3"/>
    <sheet name="輸入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<sst xmlns="http://schemas.openxmlformats.org/spreadsheetml/2006/main" count="88" uniqueCount="70">
  <si>
    <r>
      <rPr>
        <sz val="11"/>
        <color theme="1"/>
        <rFont val="Calibri"/>
        <family val="2"/>
        <charset val="1"/>
      </rPr>
      <t xml:space="preserve">CoreWeave 2026 Q2</t>
    </r>
    <r>
      <rPr>
        <sz val="11"/>
        <color theme="1"/>
        <rFont val="Noto Sans CJK SC"/>
        <family val="2"/>
      </rPr>
      <t xml:space="preserve">：每 </t>
    </r>
    <r>
      <rPr>
        <sz val="11"/>
        <color theme="1"/>
        <rFont val="Calibri"/>
        <family val="2"/>
        <charset val="1"/>
      </rPr>
      <t xml:space="preserve">active GW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÷ TK </t>
    </r>
    <r>
      <rPr>
        <sz val="11"/>
        <color theme="1"/>
        <rFont val="Noto Sans CJK SC"/>
        <family val="2"/>
      </rPr>
      <t xml:space="preserve">持有成本（出租方價格錨點）；以及由折舊推回的耐用年限</t>
    </r>
  </si>
  <si>
    <r>
      <rPr>
        <b val="true"/>
        <sz val="11"/>
        <rFont val="Cambria"/>
        <family val="0"/>
        <charset val="1"/>
      </rPr>
      <t xml:space="preserve">A. Q2 </t>
    </r>
    <r>
      <rPr>
        <b val="true"/>
        <sz val="11"/>
        <rFont val="Noto Sans CJK SC"/>
        <family val="2"/>
      </rPr>
      <t xml:space="preserve">平均 </t>
    </r>
    <r>
      <rPr>
        <b val="true"/>
        <sz val="11"/>
        <rFont val="Cambria"/>
        <family val="0"/>
        <charset val="1"/>
      </rPr>
      <t xml:space="preserve">active GW</t>
    </r>
  </si>
  <si>
    <t xml:space="preserve">值</t>
  </si>
  <si>
    <t xml:space="preserve">說明</t>
  </si>
  <si>
    <r>
      <rPr>
        <sz val="11"/>
        <color theme="1"/>
        <rFont val="Calibri"/>
        <family val="2"/>
        <charset val="1"/>
      </rPr>
      <t xml:space="preserve">3/31 active GW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6/30 − Q2 </t>
    </r>
    <r>
      <rPr>
        <sz val="11"/>
        <color theme="1"/>
        <rFont val="Noto Sans CJK SC"/>
        <family val="2"/>
      </rPr>
      <t xml:space="preserve">新增）</t>
    </r>
  </si>
  <si>
    <t xml:space="preserve">GW</t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</si>
  <si>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平均（線性）</t>
    </r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</si>
  <si>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；新增平均分布</t>
    </r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</si>
  <si>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月集中）</t>
    </r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</si>
  <si>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4–5 </t>
    </r>
    <r>
      <rPr>
        <sz val="11"/>
        <color theme="1"/>
        <rFont val="Noto Sans CJK SC"/>
        <family val="2"/>
      </rPr>
      <t xml:space="preserve">月新增計半季、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月新增計 </t>
    </r>
    <r>
      <rPr>
        <sz val="11"/>
        <color theme="1"/>
        <rFont val="Calibri"/>
        <family val="2"/>
        <charset val="1"/>
      </rPr>
      <t xml:space="preserve">1/6 </t>
    </r>
    <r>
      <rPr>
        <sz val="11"/>
        <color theme="1"/>
        <rFont val="Noto Sans CJK SC"/>
        <family val="2"/>
      </rPr>
      <t xml:space="preserve">季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</si>
  <si>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active GW </t>
    </r>
    <r>
      <rPr>
        <b val="true"/>
        <sz val="11"/>
        <rFont val="Noto Sans CJK SC"/>
        <family val="2"/>
      </rPr>
      <t xml:space="preserve">年營收（</t>
    </r>
    <r>
      <rPr>
        <b val="true"/>
        <sz val="11"/>
        <rFont val="Cambria"/>
        <family val="0"/>
        <charset val="1"/>
      </rPr>
      <t xml:space="preserve">$B/GW·</t>
    </r>
    <r>
      <rPr>
        <b val="true"/>
        <sz val="11"/>
        <rFont val="Noto Sans CJK SC"/>
        <family val="2"/>
      </rPr>
      <t xml:space="preserve">年）</t>
    </r>
  </si>
  <si>
    <t xml:space="preserve">線性</t>
  </si>
  <si>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月集中</t>
    </r>
  </si>
  <si>
    <r>
      <rPr>
        <sz val="11"/>
        <color theme="1"/>
        <rFont val="Calibri"/>
        <family val="2"/>
        <charset val="1"/>
      </rPr>
      <t xml:space="preserve">active power </t>
    </r>
    <r>
      <rPr>
        <sz val="11"/>
        <color theme="1"/>
        <rFont val="Noto Sans CJK SC"/>
        <family val="2"/>
      </rPr>
      <t xml:space="preserve">視為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</t>
    </r>
  </si>
  <si>
    <r>
      <rPr>
        <sz val="11"/>
        <color theme="1"/>
        <rFont val="Calibri"/>
        <family val="2"/>
        <charset val="1"/>
      </rPr>
      <t xml:space="preserve">active power </t>
    </r>
    <r>
      <rPr>
        <sz val="11"/>
        <color theme="1"/>
        <rFont val="Noto Sans CJK SC"/>
        <family val="2"/>
      </rPr>
      <t xml:space="preserve">視為設施電力（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＝設施 </t>
    </r>
    <r>
      <rPr>
        <sz val="11"/>
        <color theme="1"/>
        <rFont val="Calibri"/>
        <family val="2"/>
        <charset val="1"/>
      </rPr>
      <t xml:space="preserve">÷ PUE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PUE 1.2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</si>
  <si>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active power </t>
    </r>
    <r>
      <rPr>
        <sz val="11"/>
        <color theme="1"/>
        <rFont val="Noto Sans CJK SC"/>
        <family val="2"/>
      </rPr>
      <t xml:space="preserve">視為設施電力（</t>
    </r>
    <r>
      <rPr>
        <sz val="11"/>
        <color theme="1"/>
        <rFont val="Calibri"/>
        <family val="2"/>
        <charset val="1"/>
      </rPr>
      <t xml:space="preserve">PUE 1.4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</si>
  <si>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÷ TK </t>
    </r>
    <r>
      <rPr>
        <b val="true"/>
        <sz val="11"/>
        <rFont val="Noto Sans CJK SC"/>
        <family val="2"/>
      </rPr>
      <t xml:space="preserve">持有成本（</t>
    </r>
    <r>
      <rPr>
        <b val="true"/>
        <sz val="11"/>
        <rFont val="Cambria"/>
        <family val="0"/>
        <charset val="1"/>
      </rPr>
      <t xml:space="preserve">GB200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GB300</t>
    </r>
    <r>
      <rPr>
        <b val="true"/>
        <sz val="11"/>
        <rFont val="Noto Sans CJK SC"/>
        <family val="2"/>
      </rPr>
      <t xml:space="preserve">）</t>
    </r>
  </si>
  <si>
    <t xml:space="preserve">GB200</t>
  </si>
  <si>
    <t xml:space="preserve">GB300</t>
  </si>
  <si>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、線性</t>
    </r>
  </si>
  <si>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月集中</t>
    </r>
  </si>
  <si>
    <r>
      <rPr>
        <sz val="11"/>
        <color theme="1"/>
        <rFont val="Noto Sans CJK SC"/>
        <family val="2"/>
      </rPr>
      <t xml:space="preserve">設施 </t>
    </r>
    <r>
      <rPr>
        <sz val="11"/>
        <color theme="1"/>
        <rFont val="Calibri"/>
        <family val="2"/>
        <charset val="1"/>
      </rPr>
      <t xml:space="preserve">PUE 1.2</t>
    </r>
    <r>
      <rPr>
        <sz val="11"/>
        <color theme="1"/>
        <rFont val="Noto Sans CJK SC"/>
        <family val="2"/>
      </rPr>
      <t xml:space="preserve">、線性</t>
    </r>
  </si>
  <si>
    <r>
      <rPr>
        <sz val="11"/>
        <color theme="1"/>
        <rFont val="Noto Sans CJK SC"/>
        <family val="2"/>
      </rPr>
      <t xml:space="preserve">設施 </t>
    </r>
    <r>
      <rPr>
        <sz val="11"/>
        <color theme="1"/>
        <rFont val="Calibri"/>
        <family val="2"/>
        <charset val="1"/>
      </rPr>
      <t xml:space="preserve">PUE 1.4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月集中</t>
    </r>
  </si>
  <si>
    <t xml:space="preserve">最小</t>
  </si>
  <si>
    <t xml:space="preserve">最大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</si>
  <si>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由折舊推回耐用年限</t>
    </r>
  </si>
  <si>
    <r>
      <rPr>
        <sz val="11"/>
        <color theme="1"/>
        <rFont val="Calibri"/>
        <family val="2"/>
        <charset val="1"/>
      </rPr>
      <t xml:space="preserve">H1 </t>
    </r>
    <r>
      <rPr>
        <sz val="11"/>
        <color theme="1"/>
        <rFont val="Noto Sans CJK SC"/>
        <family val="2"/>
      </rPr>
      <t xml:space="preserve">平均折舊資產毛額</t>
    </r>
  </si>
  <si>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；簡單平均（資產集中在後段時偏高 → 年限偏長）</t>
    </r>
  </si>
  <si>
    <t xml:space="preserve">隱含平均耐用年限</t>
  </si>
  <si>
    <r>
      <rPr>
        <sz val="11"/>
        <color theme="1"/>
        <rFont val="Noto Sans CJK SC"/>
        <family val="2"/>
      </rPr>
      <t xml:space="preserve">年；對照 </t>
    </r>
    <r>
      <rPr>
        <sz val="11"/>
        <color theme="1"/>
        <rFont val="Calibri"/>
        <family val="2"/>
        <charset val="1"/>
      </rPr>
      <t xml:space="preserve">TK IF_DeprLifeIT 6</t>
    </r>
  </si>
  <si>
    <t xml:space="preserve">項目</t>
  </si>
  <si>
    <t xml:space="preserve">單位</t>
  </si>
  <si>
    <t xml:space="preserve">標記</t>
  </si>
  <si>
    <t xml:space="preserve">來源</t>
  </si>
  <si>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</si>
  <si>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／季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</si>
  <si>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</si>
  <si>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CoreWeave 10-Q 2026-06-30</t>
    </r>
    <r>
      <rPr>
        <sz val="11"/>
        <color theme="1"/>
        <rFont val="Noto Sans CJK SC"/>
        <family val="2"/>
      </rPr>
      <t xml:space="preserve">，損益表</t>
    </r>
  </si>
  <si>
    <r>
      <rPr>
        <sz val="11"/>
        <color theme="1"/>
        <rFont val="Calibri"/>
        <family val="2"/>
        <charset val="1"/>
      </rPr>
      <t xml:space="preserve">H1 2026 </t>
    </r>
    <r>
      <rPr>
        <sz val="11"/>
        <color theme="1"/>
        <rFont val="Noto Sans CJK SC"/>
        <family val="2"/>
      </rPr>
      <t xml:space="preserve">營收</t>
    </r>
  </si>
  <si>
    <t xml:space="preserve">$B</t>
  </si>
  <si>
    <t xml:space="preserve">同上</t>
  </si>
  <si>
    <t xml:space="preserve">6/30 active power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</si>
  <si>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新聞稿；口徑未定義）</t>
    </r>
  </si>
  <si>
    <r>
      <rPr>
        <sz val="11"/>
        <color theme="1"/>
        <rFont val="Calibri"/>
        <family val="2"/>
        <charset val="1"/>
      </rPr>
      <t xml:space="preserve">8-K 2026-08-11</t>
    </r>
    <r>
      <rPr>
        <sz val="11"/>
        <color theme="1"/>
        <rFont val="Noto Sans CJK SC"/>
        <family val="2"/>
      </rPr>
      <t xml:space="preserve">「約 </t>
    </r>
    <r>
      <rPr>
        <sz val="11"/>
        <color theme="1"/>
        <rFont val="Calibri"/>
        <family val="2"/>
        <charset val="1"/>
      </rPr>
      <t xml:space="preserve">1.5 GW</t>
    </r>
    <r>
      <rPr>
        <sz val="11"/>
        <color theme="1"/>
        <rFont val="Noto Sans CJK SC"/>
        <family val="2"/>
      </rPr>
      <t xml:space="preserve">」；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全文無 </t>
    </r>
    <r>
      <rPr>
        <sz val="11"/>
        <color theme="1"/>
        <rFont val="Calibri"/>
        <family val="2"/>
        <charset val="1"/>
      </rPr>
      <t xml:space="preserve">active power </t>
    </r>
    <r>
      <rPr>
        <sz val="11"/>
        <color theme="1"/>
        <rFont val="Noto Sans CJK SC"/>
        <family val="2"/>
      </rPr>
      <t xml:space="preserve">定義</t>
    </r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</si>
  <si>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active power</t>
    </r>
  </si>
  <si>
    <t xml:space="preserve">報導（法說摘要，二手）</t>
  </si>
  <si>
    <r>
      <rPr>
        <sz val="11"/>
        <color theme="1"/>
        <rFont val="Calibri"/>
        <family val="2"/>
        <charset val="1"/>
      </rPr>
      <t xml:space="preserve">MarketBeat 2026-08-11</t>
    </r>
    <r>
      <rPr>
        <sz val="11"/>
        <color theme="1"/>
        <rFont val="Noto Sans CJK SC"/>
        <family val="2"/>
      </rPr>
      <t xml:space="preserve">「近 </t>
    </r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</si>
  <si>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Noto Sans CJK SC"/>
        <family val="2"/>
      </rPr>
      <t xml:space="preserve">其中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月新增</t>
    </r>
  </si>
  <si>
    <t xml:space="preserve">報導（二手）</t>
  </si>
  <si>
    <r>
      <rPr>
        <sz val="11"/>
        <color theme="1"/>
        <rFont val="Noto Sans CJK SC"/>
        <family val="2"/>
      </rPr>
      <t xml:space="preserve">同上「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&gt;300MW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</si>
  <si>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AL_HoldGen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</si>
  <si>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$B/GW·</t>
    </r>
    <r>
      <rPr>
        <sz val="11"/>
        <color theme="1"/>
        <rFont val="Noto Sans CJK SC"/>
        <family val="2"/>
      </rPr>
      <t xml:space="preserve">年</t>
    </r>
  </si>
  <si>
    <t xml:space="preserve">Derived</t>
  </si>
  <si>
    <t xml:space="preserve">TK v21.2 Alloc!D39</t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</si>
  <si>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AL_HoldGen</t>
    </r>
    <r>
      <rPr>
        <sz val="11"/>
        <color theme="1"/>
        <rFont val="Noto Sans CJK SC"/>
        <family val="2"/>
      </rPr>
      <t xml:space="preserve">）</t>
    </r>
  </si>
  <si>
    <t xml:space="preserve">TK v21.2 Alloc!E39</t>
  </si>
  <si>
    <r>
      <rPr>
        <sz val="11"/>
        <color theme="1"/>
        <rFont val="Calibri"/>
        <family val="2"/>
        <charset val="1"/>
      </rPr>
      <t xml:space="preserve">PUE </t>
    </r>
    <r>
      <rPr>
        <sz val="11"/>
        <color theme="1"/>
        <rFont val="Noto Sans CJK SC"/>
        <family val="2"/>
      </rPr>
      <t xml:space="preserve">低（若 </t>
    </r>
    <r>
      <rPr>
        <sz val="11"/>
        <color theme="1"/>
        <rFont val="Calibri"/>
        <family val="2"/>
        <charset val="1"/>
      </rPr>
      <t xml:space="preserve">active power </t>
    </r>
    <r>
      <rPr>
        <sz val="11"/>
        <color theme="1"/>
        <rFont val="Noto Sans CJK SC"/>
        <family val="2"/>
      </rPr>
      <t xml:space="preserve">為設施電力）</t>
    </r>
  </si>
  <si>
    <t xml:space="preserve">x</t>
  </si>
  <si>
    <t xml:space="preserve">Assumed</t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</si>
  <si>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1.2–1.4</t>
    </r>
  </si>
  <si>
    <r>
      <rPr>
        <sz val="11"/>
        <color theme="1"/>
        <rFont val="Calibri"/>
        <family val="2"/>
        <charset val="1"/>
      </rPr>
      <t xml:space="preserve">PUE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</si>
  <si>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技術設備等折舊資產毛額 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毛額 − 在建）</t>
    </r>
  </si>
  <si>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33,941 − 9,376</t>
    </r>
  </si>
  <si>
    <r>
      <rPr>
        <sz val="11"/>
        <color theme="1"/>
        <rFont val="Noto Sans CJK SC"/>
        <family val="2"/>
      </rPr>
      <t xml:space="preserve">同上 </t>
    </r>
    <r>
      <rPr>
        <sz val="11"/>
        <color theme="1"/>
        <rFont val="Calibri"/>
        <family val="2"/>
        <charset val="1"/>
      </rPr>
      <t xml:space="preserve">2026-06-30</t>
    </r>
  </si>
  <si>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52,622 − 11,918</t>
    </r>
  </si>
  <si>
    <r>
      <rPr>
        <sz val="11"/>
        <color theme="1"/>
        <rFont val="Calibri"/>
        <family val="2"/>
        <charset val="1"/>
      </rPr>
      <t xml:space="preserve">H1 2026 PP&amp;E </t>
    </r>
    <r>
      <rPr>
        <sz val="11"/>
        <color theme="1"/>
        <rFont val="Noto Sans CJK SC"/>
        <family val="2"/>
      </rPr>
      <t xml:space="preserve">折舊攤銷</t>
    </r>
  </si>
  <si>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$2.5 billion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</si>
  <si>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Calibri"/>
        <family val="2"/>
        <charset val="1"/>
      </rPr>
      <t xml:space="preserve">TK IT </t>
    </r>
    <r>
      <rPr>
        <sz val="11"/>
        <color theme="1"/>
        <rFont val="Noto Sans CJK SC"/>
        <family val="2"/>
      </rPr>
      <t xml:space="preserve">折舊年限（</t>
    </r>
    <r>
      <rPr>
        <sz val="11"/>
        <color theme="1"/>
        <rFont val="Calibri"/>
        <family val="2"/>
        <charset val="1"/>
      </rPr>
      <t xml:space="preserve">IF_DeprLifeIT </t>
    </r>
    <r>
      <rPr>
        <sz val="11"/>
        <color theme="1"/>
        <rFont val="Noto Sans CJK SC"/>
        <family val="2"/>
      </rPr>
      <t xml:space="preserve">基準）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</si>
  <si>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</si>
  <si>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TK v21.2 Interface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219 </t>
    </r>
    <r>
      <rPr>
        <sz val="11"/>
        <color theme="1"/>
        <rFont val="Noto Sans CJK SC"/>
        <family val="2"/>
      </rPr>
      <t xml:space="preserve">列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</si>
</sst>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Noto Sans CJK SC"/>
      <family val="2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color rgb="FF0000FF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</cols>
  <sheetData>
    <row r="1" customFormat="false" ht="17.15" hidden="false" customHeight="false" outlineLevel="0" collapsed="false">
      <c r="A1" s="0" t="s">
        <v>0</v>
      </c>
    </row>
    <row r="3" customFormat="false" ht="17.15" hidden="false" customHeight="false" outlineLevel="0" collapsed="false">
      <c r="A3" s="1" t="s">
        <v>1</v>
      </c>
      <c r="B3" s="2" t="s">
        <v>2</v>
      </c>
      <c r="C3" s="2" t="s">
        <v>3</v>
      </c>
    </row>
    <row r="4" customFormat="false" ht="17.15" hidden="false" customHeight="false" outlineLevel="0" collapsed="false">
      <c r="A4" s="0" t="s">
        <v>4</v>
      </c>
      <c r="B4" s="3" t="n">
        <f aca="false">輸入!$B$4-輸入!$B$5</f>
        <v>1</v>
      </c>
      <c r="C4" s="4" t="s">
        <v>5</v>
      </c>
    </row>
    <row r="5" customFormat="false" ht="17.15" hidden="false" customHeight="false" outlineLevel="0" collapsed="false">
      <c r="A5" s="0" t="s">
        <v>6</v>
      </c>
      <c r="B5" s="3" t="n">
        <f aca="false">(B4+輸入!$B$4)/2</f>
        <v>1.25</v>
      </c>
      <c r="C5" s="4" t="s">
        <v>7</v>
      </c>
    </row>
    <row r="6" customFormat="false" ht="17.15" hidden="false" customHeight="false" outlineLevel="0" collapsed="false">
      <c r="A6" s="0" t="s">
        <v>8</v>
      </c>
      <c r="B6" s="3" t="n">
        <f aca="false">B4+(輸入!$B$5-輸入!$B$6)*0.5+輸入!$B$6*(1/6)</f>
        <v>1.15</v>
      </c>
      <c r="C6" s="4" t="s">
        <v>9</v>
      </c>
    </row>
    <row r="8" customFormat="false" ht="17.15" hidden="false" customHeight="false" outlineLevel="0" collapsed="false">
      <c r="A8" s="1" t="s">
        <v>10</v>
      </c>
      <c r="B8" s="2" t="s">
        <v>11</v>
      </c>
      <c r="C8" s="4" t="s">
        <v>12</v>
      </c>
    </row>
    <row r="9" customFormat="false" ht="17.15" hidden="false" customHeight="false" outlineLevel="0" collapsed="false">
      <c r="A9" s="0" t="s">
        <v>13</v>
      </c>
      <c r="B9" s="3" t="n">
        <f aca="false">輸入!$B$2*4/B5</f>
        <v>8.24</v>
      </c>
      <c r="C9" s="3" t="n">
        <f aca="false">輸入!$B$2*4/B6</f>
        <v>8.95652173913043</v>
      </c>
    </row>
    <row r="10" customFormat="false" ht="17.15" hidden="false" customHeight="false" outlineLevel="0" collapsed="false">
      <c r="A10" s="0" t="s">
        <v>14</v>
      </c>
      <c r="B10" s="3" t="n">
        <f aca="false">B9*輸入!$B$9</f>
        <v>9.888</v>
      </c>
      <c r="C10" s="3" t="n">
        <f aca="false">C9*輸入!$B$9</f>
        <v>10.7478260869565</v>
      </c>
    </row>
    <row r="11" customFormat="false" ht="17.15" hidden="false" customHeight="false" outlineLevel="0" collapsed="false">
      <c r="A11" s="0" t="s">
        <v>15</v>
      </c>
      <c r="B11" s="3" t="n">
        <f aca="false">B9*輸入!$B$10</f>
        <v>11.536</v>
      </c>
      <c r="C11" s="3" t="n">
        <f aca="false">C9*輸入!$B$10</f>
        <v>12.5391304347826</v>
      </c>
    </row>
    <row r="13" customFormat="false" ht="17.15" hidden="false" customHeight="false" outlineLevel="0" collapsed="false">
      <c r="A13" s="1" t="s">
        <v>16</v>
      </c>
      <c r="B13" s="4" t="s">
        <v>17</v>
      </c>
      <c r="C13" s="4" t="s">
        <v>18</v>
      </c>
    </row>
    <row r="14" customFormat="false" ht="17.15" hidden="false" customHeight="false" outlineLevel="0" collapsed="false">
      <c r="A14" s="0" t="s">
        <v>19</v>
      </c>
      <c r="B14" s="3" t="n">
        <f aca="false">B9/輸入!$B$7</f>
        <v>0.933376242032096</v>
      </c>
      <c r="C14" s="3" t="n">
        <f aca="false">B9/輸入!$B$8</f>
        <v>0.756906936400146</v>
      </c>
    </row>
    <row r="15" customFormat="false" ht="17.15" hidden="false" customHeight="false" outlineLevel="0" collapsed="false">
      <c r="A15" s="0" t="s">
        <v>20</v>
      </c>
      <c r="B15" s="3" t="n">
        <f aca="false">C9/輸入!$B$7</f>
        <v>1.01453939351315</v>
      </c>
      <c r="C15" s="3" t="n">
        <f aca="false">C9/輸入!$B$8</f>
        <v>0.822724930869724</v>
      </c>
    </row>
    <row r="16" customFormat="false" ht="17.15" hidden="false" customHeight="false" outlineLevel="0" collapsed="false">
      <c r="A16" s="2" t="s">
        <v>21</v>
      </c>
      <c r="B16" s="3" t="n">
        <f aca="false">B10/輸入!$B$7</f>
        <v>1.12005149043852</v>
      </c>
      <c r="C16" s="3" t="n">
        <f aca="false">B10/輸入!$B$8</f>
        <v>0.908288323680175</v>
      </c>
    </row>
    <row r="17" customFormat="false" ht="17.15" hidden="false" customHeight="false" outlineLevel="0" collapsed="false">
      <c r="A17" s="2" t="s">
        <v>22</v>
      </c>
      <c r="B17" s="3" t="n">
        <f aca="false">C11/輸入!$B$7</f>
        <v>1.42035515091841</v>
      </c>
      <c r="C17" s="3" t="n">
        <f aca="false">C11/輸入!$B$8</f>
        <v>1.15181490321761</v>
      </c>
    </row>
    <row r="18" customFormat="false" ht="15" hidden="false" customHeight="false" outlineLevel="0" collapsed="false">
      <c r="A18" s="2" t="s">
        <v>23</v>
      </c>
      <c r="B18" s="3" t="n">
        <f aca="false">MIN(B14:C17)</f>
        <v>0.756906936400146</v>
      </c>
    </row>
    <row r="19" customFormat="false" ht="15" hidden="false" customHeight="false" outlineLevel="0" collapsed="false">
      <c r="A19" s="2" t="s">
        <v>24</v>
      </c>
      <c r="B19" s="3" t="n">
        <f aca="false">MAX(B14:C17)</f>
        <v>1.42035515091841</v>
      </c>
    </row>
    <row r="21" customFormat="false" ht="17.15" hidden="false" customHeight="false" outlineLevel="0" collapsed="false">
      <c r="A21" s="1" t="s">
        <v>25</v>
      </c>
      <c r="B21" s="2" t="s">
        <v>2</v>
      </c>
      <c r="C21" s="2" t="s">
        <v>3</v>
      </c>
    </row>
    <row r="22" customFormat="false" ht="17.15" hidden="false" customHeight="false" outlineLevel="0" collapsed="false">
      <c r="A22" s="0" t="s">
        <v>26</v>
      </c>
      <c r="B22" s="3" t="n">
        <f aca="false">(輸入!$B$11+輸入!$B$12)/2</f>
        <v>32.6345</v>
      </c>
      <c r="C22" s="4" t="s">
        <v>27</v>
      </c>
    </row>
    <row r="23" customFormat="false" ht="17.15" hidden="false" customHeight="false" outlineLevel="0" collapsed="false">
      <c r="A23" s="2" t="s">
        <v>28</v>
      </c>
      <c r="B23" s="3" t="n">
        <f aca="false">B22/(輸入!$B$13*2)</f>
        <v>6.5269</v>
      </c>
      <c r="C23" s="2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5" style="0" width="60"/>
  </cols>
  <sheetData>
    <row r="1" customFormat="false" ht="15" hidden="false" customHeight="false" outlineLevel="0" collapsed="false">
      <c r="A1" s="5" t="s">
        <v>30</v>
      </c>
      <c r="B1" s="5" t="s">
        <v>2</v>
      </c>
      <c r="C1" s="5" t="s">
        <v>31</v>
      </c>
      <c r="D1" s="5" t="s">
        <v>32</v>
      </c>
      <c r="E1" s="5" t="s">
        <v>33</v>
      </c>
    </row>
    <row r="2" customFormat="false" ht="17.15" hidden="false" customHeight="false" outlineLevel="0" collapsed="false">
      <c r="A2" s="0" t="s">
        <v>34</v>
      </c>
      <c r="B2" s="6" t="n">
        <v>2.575</v>
      </c>
      <c r="C2" s="4" t="s">
        <v>35</v>
      </c>
      <c r="D2" s="4" t="s">
        <v>36</v>
      </c>
      <c r="E2" s="4" t="s">
        <v>37</v>
      </c>
    </row>
    <row r="3" customFormat="false" ht="17.15" hidden="false" customHeight="false" outlineLevel="0" collapsed="false">
      <c r="A3" s="0" t="s">
        <v>38</v>
      </c>
      <c r="B3" s="6" t="n">
        <v>4.653</v>
      </c>
      <c r="C3" s="4" t="s">
        <v>39</v>
      </c>
      <c r="D3" s="4" t="s">
        <v>36</v>
      </c>
      <c r="E3" s="2" t="s">
        <v>40</v>
      </c>
    </row>
    <row r="4" customFormat="false" ht="17.15" hidden="false" customHeight="false" outlineLevel="0" collapsed="false">
      <c r="A4" s="0" t="s">
        <v>41</v>
      </c>
      <c r="B4" s="6" t="n">
        <v>1.5</v>
      </c>
      <c r="C4" s="4" t="s">
        <v>5</v>
      </c>
      <c r="D4" s="4" t="s">
        <v>42</v>
      </c>
      <c r="E4" s="4" t="s">
        <v>43</v>
      </c>
    </row>
    <row r="5" customFormat="false" ht="17.15" hidden="false" customHeight="false" outlineLevel="0" collapsed="false">
      <c r="A5" s="0" t="s">
        <v>44</v>
      </c>
      <c r="B5" s="6" t="n">
        <v>0.5</v>
      </c>
      <c r="C5" s="4" t="s">
        <v>5</v>
      </c>
      <c r="D5" s="2" t="s">
        <v>45</v>
      </c>
      <c r="E5" s="4" t="s">
        <v>46</v>
      </c>
    </row>
    <row r="6" customFormat="false" ht="17.15" hidden="false" customHeight="false" outlineLevel="0" collapsed="false">
      <c r="A6" s="2" t="s">
        <v>47</v>
      </c>
      <c r="B6" s="6" t="n">
        <v>0.3</v>
      </c>
      <c r="C6" s="4" t="s">
        <v>5</v>
      </c>
      <c r="D6" s="2" t="s">
        <v>48</v>
      </c>
      <c r="E6" s="2" t="s">
        <v>49</v>
      </c>
    </row>
    <row r="7" customFormat="false" ht="17.15" hidden="false" customHeight="false" outlineLevel="0" collapsed="false">
      <c r="A7" s="0" t="s">
        <v>50</v>
      </c>
      <c r="B7" s="6" t="n">
        <v>8.82816556596761</v>
      </c>
      <c r="C7" s="4" t="s">
        <v>51</v>
      </c>
      <c r="D7" s="4" t="s">
        <v>52</v>
      </c>
      <c r="E7" s="4" t="s">
        <v>53</v>
      </c>
    </row>
    <row r="8" customFormat="false" ht="17.15" hidden="false" customHeight="false" outlineLevel="0" collapsed="false">
      <c r="A8" s="0" t="s">
        <v>54</v>
      </c>
      <c r="B8" s="6" t="n">
        <v>10.8864110021101</v>
      </c>
      <c r="C8" s="4" t="s">
        <v>51</v>
      </c>
      <c r="D8" s="4" t="s">
        <v>52</v>
      </c>
      <c r="E8" s="4" t="s">
        <v>55</v>
      </c>
    </row>
    <row r="9" customFormat="false" ht="17.15" hidden="false" customHeight="false" outlineLevel="0" collapsed="false">
      <c r="A9" s="0" t="s">
        <v>56</v>
      </c>
      <c r="B9" s="6" t="n">
        <v>1.2</v>
      </c>
      <c r="C9" s="4" t="s">
        <v>57</v>
      </c>
      <c r="D9" s="4" t="s">
        <v>58</v>
      </c>
      <c r="E9" s="2" t="s">
        <v>59</v>
      </c>
    </row>
    <row r="10" customFormat="false" ht="17.15" hidden="false" customHeight="false" outlineLevel="0" collapsed="false">
      <c r="A10" s="0" t="s">
        <v>60</v>
      </c>
      <c r="B10" s="6" t="n">
        <v>1.4</v>
      </c>
      <c r="C10" s="4" t="s">
        <v>57</v>
      </c>
      <c r="D10" s="4" t="s">
        <v>58</v>
      </c>
    </row>
    <row r="11" customFormat="false" ht="17.15" hidden="false" customHeight="false" outlineLevel="0" collapsed="false">
      <c r="A11" s="2" t="s">
        <v>61</v>
      </c>
      <c r="B11" s="6" t="n">
        <v>24.565</v>
      </c>
      <c r="C11" s="4" t="s">
        <v>39</v>
      </c>
      <c r="D11" s="4" t="s">
        <v>36</v>
      </c>
      <c r="E11" s="2" t="s">
        <v>62</v>
      </c>
    </row>
    <row r="12" customFormat="false" ht="17.15" hidden="false" customHeight="false" outlineLevel="0" collapsed="false">
      <c r="A12" s="2" t="s">
        <v>63</v>
      </c>
      <c r="B12" s="6" t="n">
        <v>40.704</v>
      </c>
      <c r="C12" s="4" t="s">
        <v>39</v>
      </c>
      <c r="D12" s="4" t="s">
        <v>36</v>
      </c>
      <c r="E12" s="2" t="s">
        <v>64</v>
      </c>
    </row>
    <row r="13" customFormat="false" ht="17.15" hidden="false" customHeight="false" outlineLevel="0" collapsed="false">
      <c r="A13" s="0" t="s">
        <v>65</v>
      </c>
      <c r="B13" s="6" t="n">
        <v>2.5</v>
      </c>
      <c r="C13" s="4" t="s">
        <v>39</v>
      </c>
      <c r="D13" s="4" t="s">
        <v>36</v>
      </c>
      <c r="E13" s="2" t="s">
        <v>66</v>
      </c>
    </row>
    <row r="14" customFormat="false" ht="17.15" hidden="false" customHeight="false" outlineLevel="0" collapsed="false">
      <c r="A14" s="0" t="s">
        <v>67</v>
      </c>
      <c r="B14" s="6" t="n">
        <v>6</v>
      </c>
      <c r="C14" s="2" t="s">
        <v>68</v>
      </c>
      <c r="D14" s="4" t="s">
        <v>52</v>
      </c>
      <c r="E14" s="4" t="s">
        <v>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2026-10-24T07:56:30Z</dcterms:created>
  <dc:creator>openpyxl</dc:creator>
  <dc:description/>
  <dc:language>en-US</dc:language>
  <cp:lastModifiedBy/>
  <dcterms:modified xsi:type="dcterms:W3CDTF">2026-10-24T07:56:30Z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