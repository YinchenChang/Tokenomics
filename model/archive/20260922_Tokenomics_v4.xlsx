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Config" sheetId="1" state="visible" r:id="rId3"/>
    <sheet name="TL_Param" sheetId="2" state="visible" r:id="rId4"/>
    <sheet name="WP_Param" sheetId="3" state="visible" r:id="rId5"/>
    <sheet name="DC_Cost_Model" sheetId="4" state="visible" r:id="rId6"/>
    <sheet name="Revenue_Model" sheetId="5" state="visible" r:id="rId7"/>
    <sheet name="OpenAI_Sim" sheetId="6" state="visible" r:id="rId8"/>
    <sheet name="FT_Sep2026" sheetId="7" state="visible" r:id="rId9"/>
    <sheet name="Claude Log" sheetId="8" state="visible" r:id="rId10"/>
    <sheet name="Audit_Report" sheetId="9" state="visible" r:id="rId11"/>
  </sheets>
  <definedNames>
    <definedName function="false" hidden="true" localSheetId="8" name="_xlnm._FilterDatabase" vbProcedure="false">Audit_Report!$A$9:$H$16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5" authorId="0">
      <text>
        <r>
          <rPr>
            <sz val="10"/>
            <rFont val="Arial"/>
            <family val="2"/>
          </rPr>
          <t xml:space="preserve">Yin-Chen Chang:
Dense=1.0, MoE=active/total. Scales FFN FLOPs — attention is always shared.</t>
        </r>
      </text>
    </comment>
    <comment ref="B36" authorId="0">
      <text>
        <r>
          <rPr>
            <sz val="10"/>
            <rFont val="Arial"/>
            <family val="2"/>
          </rPr>
          <t xml:space="preserve">Audit correction: MoE active parameters must retain shared attention parameters and scale only expert FFN parameters.
Previous: =IF(B32="Dense",B31,B31*B35)</t>
        </r>
      </text>
    </comment>
    <comment ref="B38" authorId="0">
      <text>
        <r>
          <rPr>
            <sz val="10"/>
            <rFont val="Arial"/>
            <family val="2"/>
          </rPr>
          <t xml:space="preserve">Yin-Chen Chang:
Auto-scaled: d_model = MROUND(aspect_ratio × n_layers, 128). Aspect ratio ~160 matches real architectures (LLaMA-405B: d/layers=130, GPT-3: d/layers=128).</t>
        </r>
      </text>
    </comment>
    <comment ref="B39" authorId="0">
      <text>
        <r>
          <rPr>
            <sz val="10"/>
            <rFont val="Arial"/>
            <family val="2"/>
          </rPr>
          <t xml:space="preserve">Yin-Chen Chang:
Auto-scaled: n_layers = (P / (12 × r²))^(1/3) where r=160 (aspect ratio). Derived from P = n_layers × 12 × d² assuming d_ff ≈ 8/3 × d_model (SwiGLU standard).</t>
        </r>
      </text>
    </comment>
    <comment ref="B40" authorId="0">
      <text>
        <r>
          <rPr>
            <sz val="10"/>
            <rFont val="Arial"/>
            <family val="2"/>
          </rPr>
          <t xml:space="preserve">Auto-scaled: n_heads = d_model / d_head (128). Always integer since d_model is MROUND'd to 128.</t>
        </r>
      </text>
    </comment>
    <comment ref="B41" authorId="0">
      <text>
        <r>
          <rPr>
            <sz val="10"/>
            <rFont val="Arial"/>
            <family val="2"/>
          </rPr>
          <t xml:space="preserve">Yin-Chen Chang:
Standard d_head = 128 (fixed constant used across modern architectures: LLaMA, GPT-4, Mistral).</t>
        </r>
      </text>
    </comment>
    <comment ref="B70" authorId="0">
      <text>
        <r>
          <rPr>
            <sz val="10"/>
            <rFont val="Arial"/>
            <family val="2"/>
          </rPr>
          <t xml:space="preserve">Yin-Chen Chang:
Source: NVIDIA, https://www.nvidia.com/en-us/networking/products/infiniband/quantum-x800/</t>
        </r>
      </text>
    </comment>
    <comment ref="B71" authorId="0">
      <text>
        <r>
          <rPr>
            <sz val="10"/>
            <rFont val="Arial"/>
            <family val="2"/>
          </rPr>
          <t xml:space="preserve">AUDIT FIX: Changed from ConnectX-8 to ConnectX-9. VR NVL72 uses ConnectX-9 at 1.6 Tb/s per GPU (CES 2026). ConnectX-8 is for GB200/GB300 at 800 Gb/s.
Source: NVIDIA, https://www.nvidia.com/en-us/data-center/vera-rubin-nvl72/</t>
        </r>
      </text>
    </comment>
    <comment ref="B72" authorId="0">
      <text>
        <r>
          <rPr>
            <sz val="10"/>
            <rFont val="Arial"/>
            <family val="2"/>
          </rPr>
          <t xml:space="preserve">AUDIT FIX: Changed from 800 to 1600 Gb/s. ConnectX-9 delivers 1.6 Tb/s per GPU for Vera Rubin NVL72.
Source: NVIDIA Vera Rubin NVL72 page, https://www.nvidia.com/en-us/data-center/vera-rubin-nvl72/</t>
        </r>
      </text>
    </comment>
    <comment ref="B75" authorId="0">
      <text>
        <r>
          <rPr>
            <sz val="10"/>
            <rFont val="Arial"/>
            <family val="2"/>
          </rPr>
          <t xml:space="preserve">Yin-Chen Chang:
Source: NVIDIA, https://www.nvidia.com/en-us/networking/products/infiniband/quantum-x800/</t>
        </r>
      </text>
    </comment>
    <comment ref="B82" authorId="0">
      <text>
        <r>
          <rPr>
            <sz val="10"/>
            <rFont val="Arial"/>
            <family val="2"/>
          </rPr>
          <t xml:space="preserve">Yin-Chen Chang:
Source: NVIDIA SHARP v4, https://nvidianews.nvidia.com/news/networking-switches-gpu-computing-ai</t>
        </r>
      </text>
    </comment>
    <comment ref="C24" authorId="0">
      <text>
        <r>
          <rPr>
            <sz val="10"/>
            <rFont val="Arial"/>
            <family val="2"/>
          </rPr>
          <t xml:space="preserve">Audit correction: Corrected stale preset row reference.
Previous: Auto-filled from dropdown; edit preset in F26/G26</t>
        </r>
      </text>
    </comment>
    <comment ref="C36" authorId="0">
      <text>
        <r>
          <rPr>
            <sz val="10"/>
            <rFont val="Arial"/>
            <family val="2"/>
          </rPr>
          <t xml:space="preserve">Audit correction: Clarified corrected MoE active-parameter definition.
Previous: Dense=total, MoE=total×ratio</t>
        </r>
      </text>
    </comment>
    <comment ref="F21" authorId="0">
      <text>
        <r>
          <rPr>
            <sz val="10"/>
            <rFont val="Arial"/>
            <family val="2"/>
          </rPr>
          <t xml:space="preserve">Yin-Chen Chang:
AUDIT FIX: Changed from 1260 to 1152 PFLOPS. Rubin GPU FP8 Dense = ~16 PFLOPS/GPU × 72 = 1152. Derived from NVIDIA GTC 2026 system spec: 1.2 FP8 ExaFLOPS / 72 GPUs ≈ 16 PFLOPS/GPU.
Source: NVIDIA GTC 2026 via Tom's Hardware, SemiAnalysis</t>
        </r>
      </text>
    </comment>
    <comment ref="F23" authorId="0">
      <text>
        <r>
          <rPr>
            <sz val="10"/>
            <rFont val="Arial"/>
            <family val="2"/>
          </rPr>
          <t xml:space="preserve">Yin-Chen Chang:
Source: NVIDIA GTC 2025 — Vera Rubin NVL72 rack TDP ~132 kW (estimated from GPU TDP 1000W×72 + CPU + networking + overhead, liquid-cooled)</t>
        </r>
      </text>
    </comment>
    <comment ref="F38" authorId="0">
      <text>
        <r>
          <rPr>
            <sz val="10"/>
            <rFont val="Arial"/>
            <family val="2"/>
          </rPr>
          <t xml:space="preserve">Yin-Chen Chang:
Source: OpenAI API pricing (openai.com/api/pricing), Anthropic Claude pricing (costgoat.com, tldl.io), March 2026. Tiers derived from: GPT-5 Nano ~20B ($0.05/$0.40), GPT-5 Mini ~70B ($0.25/$2), GPT-5 ~300B ($1.25/$10), GPT-4o ~1T ($2.50/$10), Claude Opus 4.6 &gt;1.5T ($5/$25).</t>
        </r>
      </text>
    </comment>
    <comment ref="G23" authorId="0">
      <text>
        <r>
          <rPr>
            <sz val="10"/>
            <rFont val="Arial"/>
            <family val="2"/>
          </rPr>
          <t xml:space="preserve">Yin-Chen Chang:
Source: NVIDIA — GB200 NVL72 rack power ~120 kW (72 GPUs × 1000W TDP + Grace CPUs + networking, liquid-cooled). ServeTheHome, Tom's Hardware estimates ~120-130 kW.</t>
        </r>
      </text>
    </comment>
    <comment ref="H15" authorId="0">
      <text>
        <r>
          <rPr>
            <sz val="10"/>
            <rFont val="Arial"/>
            <family val="2"/>
          </rPr>
          <t xml:space="preserve">Yin-Chen Chang:
Source: NVIDIA, https://www.nvidia.com/en-us/data-center/gb200-nvl72/</t>
        </r>
      </text>
    </comment>
    <comment ref="H16" authorId="0">
      <text>
        <r>
          <rPr>
            <sz val="10"/>
            <rFont val="Arial"/>
            <family val="2"/>
          </rPr>
          <t xml:space="preserve">Yin-Chen Chang:
Source: NVIDIA Developer Blog, https://developer.nvidia.com/blog/nvidia-gb200-nvl72-delivers-trillion-parameter-llm-training-and-real-time-inference/</t>
        </r>
      </text>
    </comment>
    <comment ref="H17" authorId="0">
      <text>
        <r>
          <rPr>
            <sz val="10"/>
            <rFont val="Arial"/>
            <family val="2"/>
          </rPr>
          <t xml:space="preserve">Yin-Chen Chang:
Source: NVIDIA, https://www.nvidia.com/en-us/data-center/gb200-nvl72/</t>
        </r>
      </text>
    </comment>
    <comment ref="H18" authorId="0">
      <text>
        <r>
          <rPr>
            <sz val="10"/>
            <rFont val="Arial"/>
            <family val="2"/>
          </rPr>
          <t xml:space="preserve">Yin-Chen Chang:
Source: NVIDIA Blackwell Datasheet, https://www.primeline-solutions.com/media/categories/server/nach-gpu/nvidia-hgx-h200/nvidia-blackwell-b200-datasheet.pdf</t>
        </r>
      </text>
    </comment>
    <comment ref="H19" authorId="0">
      <text>
        <r>
          <rPr>
            <sz val="10"/>
            <rFont val="Arial"/>
            <family val="2"/>
          </rPr>
          <t xml:space="preserve">Fix: Previously hardcoded as 2520 (=35/GPU × 72), which is the TRAINING spec. Correct inference spec is 50/GPU × 72 = 3600 PFLOPS. The 2520 figure belongs to FP4 Dense Training (row 20).</t>
        </r>
      </text>
    </comment>
    <comment ref="H20" authorId="0">
      <text>
        <r>
          <rPr>
            <sz val="10"/>
            <rFont val="Arial"/>
            <family val="2"/>
          </rPr>
          <t xml:space="preserve">Audit correction: Corrected note that contradicted the inference/training values.
Previous: Same as inference for dense (sparsity only boosts inference marketing)</t>
        </r>
      </text>
    </comment>
    <comment ref="H21" authorId="0">
      <text>
        <r>
          <rPr>
            <sz val="10"/>
            <rFont val="Arial"/>
            <family val="2"/>
          </rPr>
          <t xml:space="preserve">Source: Tom's Hardware — Rubin ~16 FP8 PFLOPS/GPU. B200: HGX B200 datasheet 72 PFLOPS sparse FP8 for 8 GPUs = 9 sparse → 4.5 dense per GPU.</t>
        </r>
      </text>
    </comment>
    <comment ref="H22" authorId="0">
      <text>
        <r>
          <rPr>
            <sz val="10"/>
            <rFont val="Arial"/>
            <family val="2"/>
          </rPr>
          <t xml:space="preserve">Source: SemiAnalysis — Rubin FP16 scales 1.6× over Blackwell. B200: HGX B200 datasheet 36 PFLOPS sparse FP16 for 8 GPUs = 4.5 sparse → 2.25 dense per GPU.</t>
        </r>
      </text>
    </comment>
    <comment ref="H27" authorId="0">
      <text>
        <r>
          <rPr>
            <sz val="10"/>
            <rFont val="Arial"/>
            <family val="2"/>
          </rPr>
          <t xml:space="preserve">Yin-Chen Chang:
Source: Industry estimates; GB200 NVL72 pricing ~$2-3M per rack per awesomeagents.ai analysis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2" authorId="0">
      <text>
        <r>
          <rPr>
            <sz val="10"/>
            <rFont val="Arial"/>
            <family val="2"/>
          </rPr>
          <t xml:space="preserve">Audit correction: Intra-rack base must exclude inter-rack overhead already integrated into C38 before scenario overhead is added.
Previous: =C38</t>
        </r>
      </text>
    </comment>
    <comment ref="D18" authorId="0">
      <text>
        <r>
          <rPr>
            <sz val="10"/>
            <rFont val="Arial"/>
            <family val="2"/>
          </rPr>
          <t xml:space="preserve">Audit correction: Optimized prefill duration omitted HBM time when HBM becomes slower than compute.
Previous: =F18+H18+I18</t>
        </r>
      </text>
    </comment>
    <comment ref="D19" authorId="0">
      <text>
        <r>
          <rPr>
            <sz val="10"/>
            <rFont val="Arial"/>
            <family val="2"/>
          </rPr>
          <t xml:space="preserve">Audit correction: Optimized first-token duration was hard-linked to HBM only and ignored a possible compute bottleneck.
Previous: =G19</t>
        </r>
      </text>
    </comment>
    <comment ref="D20" authorId="0">
      <text>
        <r>
          <rPr>
            <sz val="10"/>
            <rFont val="Arial"/>
            <family val="2"/>
          </rPr>
          <t xml:space="preserve">Audit correction: Optimized decode-all duration omitted compute time when compute becomes slower than HBM.
Previous: =G20+H20+I20</t>
        </r>
      </text>
    </comment>
    <comment ref="I4" authorId="0">
      <text>
        <r>
          <rPr>
            <sz val="10"/>
            <rFont val="Arial"/>
            <family val="2"/>
          </rPr>
          <t xml:space="preserve">Load balancer routing: one-way inter-rack latency (unchanged by model size)</t>
        </r>
      </text>
    </comment>
    <comment ref="I5" authorId="0">
      <text>
        <r>
          <rPr>
            <sz val="10"/>
            <rFont val="Arial"/>
            <family val="2"/>
          </rPr>
          <t xml:space="preserve">Prefill inter-rack: 0 if model fits in 1 rack, otherwise cross-rack TP activation exchange across all layers</t>
        </r>
      </text>
    </comment>
    <comment ref="I7" authorId="0">
      <text>
        <r>
          <rPr>
            <sz val="10"/>
            <rFont val="Arial"/>
            <family val="2"/>
          </rPr>
          <t xml:space="preserve">Baseline decode-all inter-rack: multi-rack TP overhead + token streaming (no overlap optimization)</t>
        </r>
      </text>
    </comment>
    <comment ref="I17" authorId="0">
      <text>
        <r>
          <rPr>
            <sz val="10"/>
            <rFont val="Arial"/>
            <family val="2"/>
          </rPr>
          <t xml:space="preserve">Load balancer routing: one-way inter-rack latency (unchanged by model size)</t>
        </r>
      </text>
    </comment>
    <comment ref="I18" authorId="0">
      <text>
        <r>
          <rPr>
            <sz val="10"/>
            <rFont val="Arial"/>
            <family val="2"/>
          </rPr>
          <t xml:space="preserve">Prefill inter-rack: 0 if model fits in 1 rack, otherwise cross-rack TP activation exchange across all layers</t>
        </r>
      </text>
    </comment>
    <comment ref="I20" authorId="0">
      <text>
        <r>
          <rPr>
            <sz val="10"/>
            <rFont val="Arial"/>
            <family val="2"/>
          </rPr>
          <t xml:space="preserve">Optimized decode-all inter-rack: multi-rack TP overhead + token streaming (both with compute-comm overlap)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41" authorId="0">
      <text>
        <r>
          <rPr>
            <sz val="10"/>
            <rFont val="Arial"/>
            <family val="2"/>
          </rPr>
          <t xml:space="preserve">Audit correction: Clarified that only one-way routing is added here.
Previous: Load Balancer + Return Overhead (s)</t>
        </r>
      </text>
    </comment>
    <comment ref="A242" authorId="0">
      <text>
        <r>
          <rPr>
            <sz val="10"/>
            <rFont val="Arial"/>
            <family val="2"/>
          </rPr>
          <t xml:space="preserve">Audit correction: Clarified optimized network components.
Previous: Token Streaming Overhead (all output tokens, s)</t>
        </r>
      </text>
    </comment>
    <comment ref="B42" authorId="0">
      <text>
        <r>
          <rPr>
            <sz val="10"/>
            <rFont val="Arial"/>
            <family val="2"/>
          </rPr>
          <t xml:space="preserve">Yin-Chen Chang:
Production memory: each concurrent request holds its own KV cache. Total = (KV_per_GPU × batch_size) + weights_per_GPU.</t>
        </r>
      </text>
    </comment>
    <comment ref="B54" authorId="0">
      <text>
        <r>
          <rPr>
            <sz val="10"/>
            <rFont val="Arial"/>
            <family val="2"/>
          </rPr>
          <t xml:space="preserve">FFN FLOPs × MoE FFN Compute Ratio. Dense: ×1. MoE: only active_experts/total_experts of FFN fires.</t>
        </r>
      </text>
    </comment>
    <comment ref="B108" authorId="0">
      <text>
        <r>
          <rPr>
            <sz val="10"/>
            <rFont val="Arial"/>
            <family val="2"/>
          </rPr>
          <t xml:space="preserve">FFN FLOPs × MoE FFN Compute Ratio. Dense: ×1. MoE: only active experts fire.</t>
        </r>
      </text>
    </comment>
    <comment ref="B126" authorId="0">
      <text>
        <r>
          <rPr>
            <sz val="10"/>
            <rFont val="Arial"/>
            <family val="2"/>
          </rPr>
          <t xml:space="preserve">HBM weight loading: att_params + FFN_params×MoE_ratio × bytes/param. Dense: full layer. MoE: only active expert weights loaded.</t>
        </r>
      </text>
    </comment>
    <comment ref="B240" authorId="0">
      <text>
        <r>
          <rPr>
            <sz val="10"/>
            <rFont val="Arial"/>
            <family val="2"/>
          </rPr>
          <t xml:space="preserve">Audit correction: Base latency should exclude integrated network terms.
Previous: =TL_Param!E21</t>
        </r>
      </text>
    </comment>
    <comment ref="B241" authorId="0">
      <text>
        <r>
          <rPr>
            <sz val="10"/>
            <rFont val="Arial"/>
            <family val="2"/>
          </rPr>
          <t xml:space="preserve">Audit correction: Use the same one-way routing term integrated in TL_Param.
Previous: =B233+B234</t>
        </r>
      </text>
    </comment>
    <comment ref="B242" authorId="0">
      <text>
        <r>
          <rPr>
            <sz val="10"/>
            <rFont val="Arial"/>
            <family val="2"/>
          </rPr>
          <t xml:space="preserve">Audit correction: Use optimized prefill/decode TP and streaming overhead exactly once.
Previous: =B235*B23</t>
        </r>
      </text>
    </comment>
    <comment ref="B246" authorId="0">
      <text>
        <r>
          <rPr>
            <sz val="10"/>
            <rFont val="Arial"/>
            <family val="2"/>
          </rPr>
          <t xml:space="preserve">Audit correction: Remove integrated prefill inter-rack term before adding disaggregated KV transfer.
Previous: =TL_Param!D18+TL_Param!D16</t>
        </r>
      </text>
    </comment>
    <comment ref="B248" authorId="0">
      <text>
        <r>
          <rPr>
            <sz val="10"/>
            <rFont val="Arial"/>
            <family val="2"/>
          </rPr>
          <t xml:space="preserve">Audit correction: Remove integrated decode inter-rack term before adding scenario-specific streaming.
Previous: =TL_Param!D19+TL_Param!D20+TL_Param!D21</t>
        </r>
      </text>
    </comment>
    <comment ref="B249" authorId="0">
      <text>
        <r>
          <rPr>
            <sz val="10"/>
            <rFont val="Arial"/>
            <family val="2"/>
          </rPr>
          <t xml:space="preserve">Audit correction: Apply configured inference communication overlap to token streaming.
Previous: =B242</t>
        </r>
      </text>
    </comment>
    <comment ref="B277" authorId="0">
      <text>
        <r>
          <rPr>
            <sz val="10"/>
            <rFont val="Arial"/>
            <family val="2"/>
          </rPr>
          <t xml:space="preserve">Yin-Chen Chang:
KV cache for all concurrent requests: KV_per_request × batch_size, converted to TB.</t>
        </r>
      </text>
    </comment>
    <comment ref="B282" authorId="0">
      <text>
        <r>
          <rPr>
            <sz val="10"/>
            <rFont val="Arial"/>
            <family val="2"/>
          </rPr>
          <t xml:space="preserve">Yin-Chen Chang:
FP16 activations: d_model × 2 bytes. TP all-reduce exchanges full activation vector each layer.</t>
        </r>
      </text>
    </comment>
    <comment ref="B283" authorId="0">
      <text>
        <r>
          <rPr>
            <sz val="10"/>
            <rFont val="Arial"/>
            <family val="2"/>
          </rPr>
          <t xml:space="preserve">Yin-Chen Chang:
Total rack NIC BW / TP racks. Each rack's share of the cross-rack bandwidth.</t>
        </r>
      </text>
    </comment>
    <comment ref="B284" authorId="0">
      <text>
        <r>
          <rPr>
            <sz val="10"/>
            <rFont val="Arial"/>
            <family val="2"/>
          </rPr>
          <t xml:space="preserve">Yin-Chen Chang:
2 cross-rack transfers per layer (all-gather + reduce-scatter in ring all-reduce).</t>
        </r>
      </text>
    </comment>
    <comment ref="B285" authorId="0">
      <text>
        <r>
          <rPr>
            <sz val="10"/>
            <rFont val="Arial"/>
            <family val="2"/>
          </rPr>
          <t xml:space="preserve">Yin-Chen Chang:
Same as decode but for all input tokens at once.</t>
        </r>
      </text>
    </comment>
    <comment ref="B288" authorId="0">
      <text>
        <r>
          <rPr>
            <sz val="10"/>
            <rFont val="Arial"/>
            <family val="2"/>
          </rPr>
          <t xml:space="preserve">Yin-Chen Chang:
Cross-rack TP activation exchange summed over all layers during prefill.</t>
        </r>
      </text>
    </comment>
    <comment ref="B289" authorId="0">
      <text>
        <r>
          <rPr>
            <sz val="10"/>
            <rFont val="Arial"/>
            <family val="2"/>
          </rPr>
          <t xml:space="preserve">Yin-Chen Chang:
Cross-rack TP activation exchange summed over all layers for one decode step.</t>
        </r>
      </text>
    </comment>
    <comment ref="B290" authorId="0">
      <text>
        <r>
          <rPr>
            <sz val="10"/>
            <rFont val="Arial"/>
            <family val="2"/>
          </rPr>
          <t xml:space="preserve">Yin-Chen Chang:
Total decode cross-rack overhead for all output tokens.</t>
        </r>
      </text>
    </comment>
    <comment ref="B294" authorId="0">
      <text>
        <r>
          <rPr>
            <sz val="10"/>
            <rFont val="Arial"/>
            <family val="2"/>
          </rPr>
          <t xml:space="preserve">Yin-Chen Chang:
If model fits in 1 rack, this is 0. Otherwise, cross-rack TP activation exchange during prefill.</t>
        </r>
      </text>
    </comment>
    <comment ref="B295" authorId="0">
      <text>
        <r>
          <rPr>
            <sz val="10"/>
            <rFont val="Arial"/>
            <family val="2"/>
          </rPr>
          <t xml:space="preserve">Yin-Chen Chang:
Multi-rack TP overhead + token streaming. No overlap optimization in baseline.</t>
        </r>
      </text>
    </comment>
    <comment ref="B296" authorId="0">
      <text>
        <r>
          <rPr>
            <sz val="10"/>
            <rFont val="Arial"/>
            <family val="2"/>
          </rPr>
          <t xml:space="preserve">Yin-Chen Chang:
Multi-rack TP overhead + token streaming, both with compute-communication overlap.</t>
        </r>
      </text>
    </comment>
    <comment ref="C16" authorId="0">
      <text>
        <r>
          <rPr>
            <sz val="10"/>
            <rFont val="Arial"/>
            <family val="2"/>
          </rPr>
          <t xml:space="preserve">Audit correction: Corrected stale note after FP8 rack performance audit.
Previous: 50/GPU</t>
        </r>
      </text>
    </comment>
    <comment ref="C240" authorId="0">
      <text>
        <r>
          <rPr>
            <sz val="10"/>
            <rFont val="Arial"/>
            <family val="2"/>
          </rPr>
          <t xml:space="preserve">Audit correction: Updated description to match formula.
Previous: From TL_Param (now includes inter-rack in steps 2,5)</t>
        </r>
      </text>
    </comment>
    <comment ref="C242" authorId="0">
      <text>
        <r>
          <rPr>
            <sz val="10"/>
            <rFont val="Arial"/>
            <family val="2"/>
          </rPr>
          <t xml:space="preserve">Audit correction: Updated description.
Previous: Per-token streaming overhead × output tokens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Linked from Config!B23 — auto-updates with rack dropdown</t>
        </r>
      </text>
    </comment>
    <comment ref="B19" authorId="0">
      <text>
        <r>
          <rPr>
            <sz val="10"/>
            <rFont val="Arial"/>
            <family val="2"/>
          </rPr>
          <t xml:space="preserve">Yin-Chen Chang:
Source: Industry estimate. Quantum-X800 IB / Spectrum-X Ethernet spine-leaf fabric, ConnectX-9 SuperNICs, BlueField-4 DPUs. ~$150K per rack for scale-out.</t>
        </r>
      </text>
    </comment>
    <comment ref="B25" authorId="0">
      <text>
        <r>
          <rPr>
            <sz val="10"/>
            <rFont val="Arial"/>
            <family val="2"/>
          </rPr>
          <t xml:space="preserve">Source: Industry estimate. ~$200K/acre for semi-rural US location suitable for 1GW DC campus. Total 100 acres.</t>
        </r>
      </text>
    </comment>
    <comment ref="B26" authorId="0">
      <text>
        <r>
          <rPr>
            <sz val="10"/>
            <rFont val="Arial"/>
            <family val="2"/>
          </rPr>
          <t xml:space="preserve">Source: JLL 2026 Global DC Outlook: avg global cost $11.3M/MW in 2026. AI-optimized ~$20M/MW. Shell+core portion ~$3M/MW of facility power.</t>
        </r>
      </text>
    </comment>
    <comment ref="B27" authorId="0">
      <text>
        <r>
          <rPr>
            <sz val="10"/>
            <rFont val="Arial"/>
            <family val="2"/>
          </rPr>
          <t xml:space="preserve">Yin-Chen Chang:
Source: Industry estimate for site civil work at GW-scale campus.</t>
        </r>
      </text>
    </comment>
    <comment ref="B31" authorId="0">
      <text>
        <r>
          <rPr>
            <sz val="10"/>
            <rFont val="Arial"/>
            <family val="2"/>
          </rPr>
          <t xml:space="preserve">Source: ConstructElements 2026. Electrical typically 40-50% of total. Substation+HV at ~$1.5M/MW.</t>
        </r>
      </text>
    </comment>
    <comment ref="B33" authorId="0">
      <text>
        <r>
          <rPr>
            <sz val="10"/>
            <rFont val="Arial"/>
            <family val="2"/>
          </rPr>
          <t xml:space="preserve">Source: Industry estimate. $500-700/kW for diesel/gas gen capacity at GW scale.</t>
        </r>
      </text>
    </comment>
    <comment ref="B38" authorId="0">
      <text>
        <r>
          <rPr>
            <sz val="10"/>
            <rFont val="Arial"/>
            <family val="2"/>
          </rPr>
          <t xml:space="preserve">Yin-Chen Chang:
Source: Morgan Stanley report via Tom's Hardware. Vera Rubin NVL72 cooling ~$55,710/rack. Includes compute tray cold plates ($2,660×18) + switch tray cooling ($870×9).</t>
        </r>
      </text>
    </comment>
    <comment ref="B66" authorId="0">
      <text>
        <r>
          <rPr>
            <sz val="10"/>
            <rFont val="Arial"/>
            <family val="2"/>
          </rPr>
          <t xml:space="preserve">Yin-Chen Chang:
Source: ASC 360 / IAS 16. Hyperscalers (Google, Meta, Microsoft) typically use 5-6 year useful life for servers. Meta extended to 5.5 yrs in 2024. Using 5 yrs.</t>
        </r>
      </text>
    </comment>
    <comment ref="B74" authorId="0">
      <text>
        <r>
          <rPr>
            <sz val="10"/>
            <rFont val="Arial"/>
            <family val="2"/>
          </rPr>
          <t xml:space="preserve">Yin-Chen Chang:
Source: EIA Electric Power Monthly; SiteSelectionGroup. US industrial avg $0.047-$0.15/kWh. Hyperscalers negotiate $0.04-0.07 via long-term PPAs. Using $0.06 blended.</t>
        </r>
      </text>
    </comment>
    <comment ref="B114" authorId="0">
      <text>
        <r>
          <rPr>
            <sz val="10"/>
            <rFont val="Arial"/>
            <family val="2"/>
          </rPr>
          <t xml:space="preserve">Yin-Chen Chang:
Linked from Config!G27 — GB200 NVL72 rack price</t>
        </r>
      </text>
    </comment>
    <comment ref="B115" authorId="0">
      <text>
        <r>
          <rPr>
            <sz val="10"/>
            <rFont val="Arial"/>
            <family val="2"/>
          </rPr>
          <t xml:space="preserve">Yin-Chen Chang:
Source: Industry estimate. Quantum-2 IB / Spectrum-X Ethernet spine-leaf fabric, ConnectX-8 SuperNICs, BlueField-3 DPUs. ~$150K per rack for scale-out.</t>
        </r>
      </text>
    </comment>
    <comment ref="B121" authorId="0">
      <text>
        <r>
          <rPr>
            <sz val="10"/>
            <rFont val="Arial"/>
            <family val="2"/>
          </rPr>
          <t xml:space="preserve">Yin-Chen Chang:
Source: Industry estimate. ~$200K/acre for semi-rural US location suitable for 1GW DC campus. Total 100 acres.</t>
        </r>
      </text>
    </comment>
    <comment ref="B122" authorId="0">
      <text>
        <r>
          <rPr>
            <sz val="10"/>
            <rFont val="Arial"/>
            <family val="2"/>
          </rPr>
          <t xml:space="preserve">Yin-Chen Chang:
Source: JLL 2026 Global DC Outlook: avg global cost $11.3M/MW in 2026. AI-optimized ~$20M/MW. Shell+core portion ~$3M/MW of facility power.</t>
        </r>
      </text>
    </comment>
    <comment ref="B123" authorId="0">
      <text>
        <r>
          <rPr>
            <sz val="10"/>
            <rFont val="Arial"/>
            <family val="2"/>
          </rPr>
          <t xml:space="preserve">Yin-Chen Chang:
Source: Industry estimate for site civil work at GW-scale campus.</t>
        </r>
      </text>
    </comment>
    <comment ref="B127" authorId="0">
      <text>
        <r>
          <rPr>
            <sz val="10"/>
            <rFont val="Arial"/>
            <family val="2"/>
          </rPr>
          <t xml:space="preserve">Yin-Chen Chang:
Source: ConstructElements 2026. Electrical typically 40-50% of total. Substation+HV at ~$1.5M/MW.</t>
        </r>
      </text>
    </comment>
    <comment ref="B129" authorId="0">
      <text>
        <r>
          <rPr>
            <sz val="10"/>
            <rFont val="Arial"/>
            <family val="2"/>
          </rPr>
          <t xml:space="preserve">Yin-Chen Chang:
Source: Industry estimate. $500-700/kW for diesel/gas gen capacity at GW scale.</t>
        </r>
      </text>
    </comment>
    <comment ref="B134" authorId="0">
      <text>
        <r>
          <rPr>
            <sz val="10"/>
            <rFont val="Arial"/>
            <family val="2"/>
          </rPr>
          <t xml:space="preserve">Yin-Chen Chang:
Source: Morgan Stanley report via Tom's Hardware. GB200 NVL72 cooling ~$55,710/rack. Includes compute tray cold plates ($2,660×18) + switch tray cooling ($870×9).</t>
        </r>
      </text>
    </comment>
    <comment ref="B162" authorId="0">
      <text>
        <r>
          <rPr>
            <sz val="10"/>
            <rFont val="Arial"/>
            <family val="2"/>
          </rPr>
          <t xml:space="preserve">Yin-Chen Chang:
Source: ASC 360 / IAS 16. Hyperscalers (Google, Meta, Microsoft) typically use 5-6 year useful life for servers. Meta extended to 5.5 yrs in 2024. Using 5 yrs.</t>
        </r>
      </text>
    </comment>
    <comment ref="B170" authorId="0">
      <text>
        <r>
          <rPr>
            <sz val="10"/>
            <rFont val="Arial"/>
            <family val="2"/>
          </rPr>
          <t xml:space="preserve">Yin-Chen Chang:
Source: EIA Electric Power Monthly; SiteSelectionGroup. US industrial avg $0.047-$0.15/kWh. Hyperscalers negotiate $0.04-0.07 via long-term PPAs. Using $0.06 blended.</t>
        </r>
      </text>
    </comment>
    <comment ref="D67" authorId="0">
      <text>
        <r>
          <rPr>
            <sz val="10"/>
            <rFont val="Arial"/>
            <family val="2"/>
          </rPr>
          <t xml:space="preserve">Yin-Chen Chang:
GAAP fix: Land ($20M) excluded from depreciation per ASC 360. Only depreciates building &amp; site work ($4,200M).</t>
        </r>
      </text>
    </comment>
    <comment ref="D163" authorId="0">
      <text>
        <r>
          <rPr>
            <sz val="10"/>
            <rFont val="Arial"/>
            <family val="2"/>
          </rPr>
          <t xml:space="preserve">Yin-Chen Chang:
GAAP fix: Land ($20M) excluded from depreciation per ASC 360.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2" authorId="0">
      <text>
        <r>
          <rPr>
            <sz val="10"/>
            <rFont val="Arial"/>
            <family val="2"/>
          </rPr>
          <t xml:space="preserve">Yin-Chen Chang:
Source: OpenAI GPT-4o pricing $2.50/M input (pricepertoken.com, IntuitionLabs 2026). Frontier 1T model comparable to GPT-4o / Claude Sonnet tier.</t>
        </r>
      </text>
    </comment>
    <comment ref="B33" authorId="0">
      <text>
        <r>
          <rPr>
            <sz val="10"/>
            <rFont val="Arial"/>
            <family val="2"/>
          </rPr>
          <t xml:space="preserve">Yin-Chen Chang:
Source: OpenAI GPT-4o pricing $10/M output (pricepertoken.com, IntuitionLabs 2026). Output 4× input rate per industry norm.</t>
        </r>
      </text>
    </comment>
    <comment ref="B80" authorId="0">
      <text>
        <r>
          <rPr>
            <sz val="10"/>
            <rFont val="Arial"/>
            <family val="2"/>
          </rPr>
          <t xml:space="preserve">Yin-Chen Chang:
Source: OpenAI GPT-4o pricing $2.50/M input (pricepertoken.com, IntuitionLabs 2026). Frontier 1T model comparable to GPT-4o / Claude Sonnet tier.</t>
        </r>
      </text>
    </comment>
    <comment ref="B81" authorId="0">
      <text>
        <r>
          <rPr>
            <sz val="10"/>
            <rFont val="Arial"/>
            <family val="2"/>
          </rPr>
          <t xml:space="preserve">Yin-Chen Chang:
Source: OpenAI GPT-4o pricing $10/M output (pricepertoken.com, IntuitionLabs 2026). Output 4× input rate per industry norm.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Yin-Chen Chang:
Source: CNBC, https://www.cnbc.com/2026/02/20/openai-resets-spend-expectations-targets-around-600-billion-by-2030.html</t>
        </r>
      </text>
    </comment>
    <comment ref="B6" authorId="0">
      <text>
        <r>
          <rPr>
            <sz val="10"/>
            <rFont val="Arial"/>
            <family val="2"/>
          </rPr>
          <t xml:space="preserve">Yin-Chen Chang:
Source: OpenAI CFO Sarah Friar blog, https://openai.com/index/a-business-that-scales-with-the-value-of-intelligence/</t>
        </r>
      </text>
    </comment>
    <comment ref="B8" authorId="0">
      <text>
        <r>
          <rPr>
            <sz val="10"/>
            <rFont val="Arial"/>
            <family val="2"/>
          </rPr>
          <t xml:space="preserve">Yin-Chen Chang:
Source: taptwicedigital.com, https://taptwicedigital.com/stats/openai</t>
        </r>
      </text>
    </comment>
    <comment ref="B9" authorId="0">
      <text>
        <r>
          <rPr>
            <sz val="10"/>
            <rFont val="Arial"/>
            <family val="2"/>
          </rPr>
          <t xml:space="preserve">Yin-Chen Chang:
Source: Reuters</t>
        </r>
      </text>
    </comment>
    <comment ref="B11" authorId="0">
      <text>
        <r>
          <rPr>
            <sz val="10"/>
            <rFont val="Arial"/>
            <family val="2"/>
          </rPr>
          <t xml:space="preserve">Source: OpenAI CFO Sarah Friar blog, https://openai.com/index/a-business-that-scales-with-the-value-of-intelligence/</t>
        </r>
      </text>
    </comment>
    <comment ref="B12" authorId="0">
      <text>
        <r>
          <rPr>
            <sz val="10"/>
            <rFont val="Arial"/>
            <family val="2"/>
          </rPr>
          <t xml:space="preserve">Yin-Chen Chang:
FY avg: midpoint of prior year-end (0.2 GW, 2023) and current year-end (0.6 GW). Linear ramp assumption.</t>
        </r>
      </text>
    </comment>
    <comment ref="B21" authorId="0">
      <text>
        <r>
          <rPr>
            <sz val="10"/>
            <rFont val="Arial"/>
            <family val="2"/>
          </rPr>
          <t xml:space="preserve">Audit correction: 2030 valuation multiple referenced blank F5 instead of 2030 target in H5, causing #DIV/0!.
Previous: =840/F5</t>
        </r>
      </text>
    </comment>
    <comment ref="B34" authorId="0">
      <text>
        <r>
          <rPr>
            <sz val="10"/>
            <rFont val="Arial"/>
            <family val="2"/>
          </rPr>
          <t xml:space="preserve">Yin-Chen Chang:
Our model is 100% VR NVL72; efficiency factor = 1.0x by definition</t>
        </r>
      </text>
    </comment>
    <comment ref="B96" authorId="0">
      <text>
        <r>
          <rPr>
            <sz val="10"/>
            <rFont val="Arial"/>
            <family val="2"/>
          </rPr>
          <t xml:space="preserve">Yin-Chen Chang:
2024: no prior capacity, so new GW = year-end GW</t>
        </r>
      </text>
    </comment>
    <comment ref="B187" authorId="0">
      <text>
        <r>
          <rPr>
            <sz val="10"/>
            <rFont val="Arial"/>
            <family val="2"/>
          </rPr>
          <t xml:space="preserve">Yin-Chen Chang:
FY2025 avg WAU: grew from ~200M (Jan 2025) to ~900M (Dec 2025); ~600M avg</t>
        </r>
      </text>
    </comment>
    <comment ref="B188" authorId="0">
      <text>
        <r>
          <rPr>
            <sz val="10"/>
            <rFont val="Arial"/>
            <family val="2"/>
          </rPr>
          <t xml:space="preserve">Yin-Chen Chang:
Go tier launched late 2025; minimal FY2025 contribution (~Q4 only)</t>
        </r>
      </text>
    </comment>
    <comment ref="B189" authorId="0">
      <text>
        <r>
          <rPr>
            <sz val="10"/>
            <rFont val="Arial"/>
            <family val="2"/>
          </rPr>
          <t xml:space="preserve">Yin-Chen Chang:
FY2025 avg: ~10M (mid-2025 per Backlinko) growing to ~38M by Feb 2026; ~18M FY avg</t>
        </r>
      </text>
    </comment>
    <comment ref="B190" authorId="0">
      <text>
        <r>
          <rPr>
            <sz val="10"/>
            <rFont val="Arial"/>
            <family val="2"/>
          </rPr>
          <t xml:space="preserve">Yin-Chen Chang:
Pro launched Dec 2024; ~0.8M FY2025 avg (ramping from 0 to ~2M by Feb 2026)</t>
        </r>
      </text>
    </comment>
    <comment ref="B191" authorId="0">
      <text>
        <r>
          <rPr>
            <sz val="10"/>
            <rFont val="Arial"/>
            <family val="2"/>
          </rPr>
          <t xml:space="preserve">Yin-Chen Chang:
FY2025 avg: ~1M consumer-adjacent Team seats (9M+ biz users by Feb 2026, but most on enterprise plans)</t>
        </r>
      </text>
    </comment>
    <comment ref="B205" authorId="0">
      <text>
        <r>
          <rPr>
            <sz val="10"/>
            <rFont val="Arial"/>
            <family val="2"/>
          </rPr>
          <t xml:space="preserve">Context-aware: ~4 queries/active day × 3,000 avg tok/query (incl. context history) × (2/7 active days). Rate-limited 10 msgs/5hr.</t>
        </r>
      </text>
    </comment>
    <comment ref="B206" authorId="0">
      <text>
        <r>
          <rPr>
            <sz val="10"/>
            <rFont val="Arial"/>
            <family val="2"/>
          </rPr>
          <t xml:space="preserve">~8 queries/active day × 3,500 tok/query × (4/7 active days). Budget tier, moderate use, GPT-4o level.</t>
        </r>
      </text>
    </comment>
    <comment ref="B207" authorId="0">
      <text>
        <r>
          <rPr>
            <sz val="10"/>
            <rFont val="Arial"/>
            <family val="2"/>
          </rPr>
          <t xml:space="preserve">~15 queries/active day × 5,000 tok/query (GPT-4o/Thinking, longer context) × (5/7 active days). Core workhorse tier.</t>
        </r>
      </text>
    </comment>
    <comment ref="B208" authorId="0">
      <text>
        <r>
          <rPr>
            <sz val="10"/>
            <rFont val="Arial"/>
            <family val="2"/>
          </rPr>
          <t xml:space="preserve">~40 queries/active day × 12,000 tok/query (GPT-5 Pro Thinking, very long context) × (6/7 active days). Unprofitable per Altman.</t>
        </r>
      </text>
    </comment>
    <comment ref="B209" authorId="0">
      <text>
        <r>
          <rPr>
            <sz val="10"/>
            <rFont val="Arial"/>
            <family val="2"/>
          </rPr>
          <t xml:space="preserve">~12 queries/active day × 5,000 tok/query × (5/7 active days). Workspace collaboration, business hours only.</t>
        </r>
      </text>
    </comment>
    <comment ref="B219" authorId="0">
      <text>
        <r>
          <rPr>
            <sz val="10"/>
            <rFont val="Arial"/>
            <family val="2"/>
          </rPr>
          <t xml:space="preserve">Yin-Chen Chang:
FY2025 avg: 2M devs (2023) → 4M (Oct 2025 DevDay); ~2M FY avg registered; most inactive/free tier</t>
        </r>
      </text>
    </comment>
    <comment ref="B220" authorId="0">
      <text>
        <r>
          <rPr>
            <sz val="10"/>
            <rFont val="Arial"/>
            <family val="2"/>
          </rPr>
          <t xml:space="preserve">Yin-Chen Chang:
~250K small production apps; Tier 2-3 ($50-$500 spend); chatbots, internal tools, wrappers</t>
        </r>
      </text>
    </comment>
    <comment ref="B221" authorId="0">
      <text>
        <r>
          <rPr>
            <sz val="10"/>
            <rFont val="Arial"/>
            <family val="2"/>
          </rPr>
          <t xml:space="preserve">Yin-Chen Chang:
~50K serious production apps with real traffic; Tier 3-4; some batch API usage</t>
        </r>
      </text>
    </comment>
    <comment ref="B222" authorId="0">
      <text>
        <r>
          <rPr>
            <sz val="10"/>
            <rFont val="Arial"/>
            <family val="2"/>
          </rPr>
          <t xml:space="preserve">Yin-Chen Chang:
~10K large enterprise API orgs; committed throughput; volume discounts 10-50%</t>
        </r>
      </text>
    </comment>
    <comment ref="B223" authorId="0">
      <text>
        <r>
          <rPr>
            <sz val="10"/>
            <rFont val="Arial"/>
            <family val="2"/>
          </rPr>
          <t xml:space="preserve">Yin-Chen Chang:
Top ~300 customers (Shopify, Notion, Snap, etc.); custom enterprise deals</t>
        </r>
      </text>
    </comment>
    <comment ref="B232" authorId="0">
      <text>
        <r>
          <rPr>
            <sz val="10"/>
            <rFont val="Arial"/>
            <family val="2"/>
          </rPr>
          <t xml:space="preserve">Mostly GPT-4o-mini ($0.15/$0.60 at 4:1 I/O = $0.27/M) + some 4o exploration; ~$0.50/M avg</t>
        </r>
      </text>
    </comment>
    <comment ref="B233" authorId="0">
      <text>
        <r>
          <rPr>
            <sz val="10"/>
            <rFont val="Arial"/>
            <family val="2"/>
          </rPr>
          <t xml:space="preserve">50% mini ($0.27), 50% GPT-4o ($3.75) → weighted ~$2.00; slightly lower due to cached prompts</t>
        </r>
      </text>
    </comment>
    <comment ref="B234" authorId="0">
      <text>
        <r>
          <rPr>
            <sz val="10"/>
            <rFont val="Arial"/>
            <family val="2"/>
          </rPr>
          <t xml:space="preserve">Mostly GPT-4o ($3.75) and o3 reasoning ($3.33 blended); some batch at 50% off → $3.20/M</t>
        </r>
      </text>
    </comment>
    <comment ref="B235" authorId="0">
      <text>
        <r>
          <rPr>
            <sz val="10"/>
            <rFont val="Arial"/>
            <family val="2"/>
          </rPr>
          <t xml:space="preserve">Frontier models with 15-30% vol discount (Scale Tier); prompt caching saves additional 50% on cached input</t>
        </r>
      </text>
    </comment>
    <comment ref="B236" authorId="0">
      <text>
        <r>
          <rPr>
            <sz val="10"/>
            <rFont val="Arial"/>
            <family val="2"/>
          </rPr>
          <t xml:space="preserve">Deepest discounts (30-50% off); custom pricing; but heavier frontier model usage offsets some discount</t>
        </r>
      </text>
    </comment>
    <comment ref="B240" authorId="0">
      <text>
        <r>
          <rPr>
            <sz val="10"/>
            <rFont val="Arial"/>
            <family val="2"/>
          </rPr>
          <t xml:space="preserve">Yin-Chen Chang:
Sam Altman, DevDay Oct 2025: '6 billion tokens per minute on the API'</t>
        </r>
      </text>
    </comment>
    <comment ref="B242" authorId="0">
      <text>
        <r>
          <rPr>
            <sz val="10"/>
            <rFont val="Arial"/>
            <family val="2"/>
          </rPr>
          <t xml:space="preserve">Exponential ramp: ~2B/min (Jan) → 6B/min (Oct) → ~9B/min (Dec); ~5B/min revenue-weighted avg</t>
        </r>
      </text>
    </comment>
    <comment ref="C5" authorId="0">
      <text>
        <r>
          <rPr>
            <sz val="10"/>
            <rFont val="Arial"/>
            <family val="2"/>
          </rPr>
          <t xml:space="preserve">Yin-Chen Chang:
Source: CNBC, https://www.cnbc.com/2026/02/20/openai-resets-spend-expectations-targets-around-600-billion-by-2030.html</t>
        </r>
      </text>
    </comment>
    <comment ref="C6" authorId="0">
      <text>
        <r>
          <rPr>
            <sz val="10"/>
            <rFont val="Arial"/>
            <family val="2"/>
          </rPr>
          <t xml:space="preserve">Yin-Chen Chang:
Source: OpenAI CFO Sarah Friar blog, https://openai.com/index/a-business-that-scales-with-the-value-of-intelligence/</t>
        </r>
      </text>
    </comment>
    <comment ref="C8" authorId="0">
      <text>
        <r>
          <rPr>
            <sz val="10"/>
            <rFont val="Arial"/>
            <family val="2"/>
          </rPr>
          <t xml:space="preserve">Yin-Chen Chang:
Source: CNBC, https://www.cnbc.com/2026/02/20/openai-resets-spend-expectations-targets-around-600-billion-by-2030.html</t>
        </r>
      </text>
    </comment>
    <comment ref="C9" authorId="0">
      <text>
        <r>
          <rPr>
            <sz val="10"/>
            <rFont val="Arial"/>
            <family val="2"/>
          </rPr>
          <t xml:space="preserve">Yin-Chen Chang:
Yin-Chen Chang:
Source: Reuters</t>
        </r>
      </text>
    </comment>
    <comment ref="C11" authorId="0">
      <text>
        <r>
          <rPr>
            <sz val="10"/>
            <rFont val="Arial"/>
            <family val="2"/>
          </rPr>
          <t xml:space="preserve">Source: OpenAI CFO Sarah Friar blog (Jan 2026). DCD confirms: 'ended 2025 with 1.9GW'.</t>
        </r>
      </text>
    </comment>
    <comment ref="C12" authorId="0">
      <text>
        <r>
          <rPr>
            <sz val="10"/>
            <rFont val="Arial"/>
            <family val="2"/>
          </rPr>
          <t xml:space="preserve">Yin-Chen Chang:
FY avg: midpoint of 0.6 GW (end-2024) and 1.9 GW (end-2025). Linear ramp approximation.</t>
        </r>
      </text>
    </comment>
    <comment ref="C13" authorId="0">
      <text>
        <r>
          <rPr>
            <sz val="10"/>
            <rFont val="Arial"/>
            <family val="2"/>
          </rPr>
          <t xml:space="preserve">Yin-Chen Chang:
Source: Crunchbase via OpenAI, https://news.crunchbase.com/venture/openai-raise-largest-ai-venture-deal-ever/</t>
        </r>
      </text>
    </comment>
    <comment ref="C14" authorId="0">
      <text>
        <r>
          <rPr>
            <sz val="10"/>
            <rFont val="Arial"/>
            <family val="2"/>
          </rPr>
          <t xml:space="preserve">Yin-Chen Chang:
Source: Crunchbase via OpenAI, https://news.crunchbase.com/venture/openai-raise-largest-ai-venture-deal-ever/</t>
        </r>
      </text>
    </comment>
    <comment ref="C34" authorId="0">
      <text>
        <r>
          <rPr>
            <sz val="10"/>
            <rFont val="Arial"/>
            <family val="2"/>
          </rPr>
          <t xml:space="preserve">Yin-Chen Chang:
Fixed: was using Revenue_Model revenue/opex ratio instead of tok/s efficiency ratio. Now uses GB200 tok/s ÷ VR tok/s from TL_Param.</t>
        </r>
      </text>
    </comment>
    <comment ref="C219" authorId="0">
      <text>
        <r>
          <rPr>
            <sz val="10"/>
            <rFont val="Arial"/>
            <family val="2"/>
          </rPr>
          <t xml:space="preserve">Yin-Chen Chang:
Most on free $5 credit or Tier 1; ~$3/mo avg across active+inactive</t>
        </r>
      </text>
    </comment>
    <comment ref="C220" authorId="0">
      <text>
        <r>
          <rPr>
            <sz val="10"/>
            <rFont val="Arial"/>
            <family val="2"/>
          </rPr>
          <t xml:space="preserve">Yin-Chen Chang:
~$80/mo avg; mix of mini models ($0.15/$0.60) and 4o ($2.50/$10)</t>
        </r>
      </text>
    </comment>
    <comment ref="C221" authorId="0">
      <text>
        <r>
          <rPr>
            <sz val="10"/>
            <rFont val="Arial"/>
            <family val="2"/>
          </rPr>
          <t xml:space="preserve">Yin-Chen Chang:
$1.5K/mo avg; heavier frontier model usage (GPT-4o, o3); some batch at 50% off</t>
        </r>
      </text>
    </comment>
    <comment ref="C222" authorId="0">
      <text>
        <r>
          <rPr>
            <sz val="10"/>
            <rFont val="Arial"/>
            <family val="2"/>
          </rPr>
          <t xml:space="preserve">Yin-Chen Chang:
$20K/mo avg; frontier models, Scale Tier, dedicated capacity; vol discounts</t>
        </r>
      </text>
    </comment>
    <comment ref="C223" authorId="0">
      <text>
        <r>
          <rPr>
            <sz val="10"/>
            <rFont val="Arial"/>
            <family val="2"/>
          </rPr>
          <t xml:space="preserve">Yin-Chen Chang:
$800K/mo avg; custom pricing, dedicated capacity, multi-year commitments</t>
        </r>
      </text>
    </comment>
    <comment ref="D8" authorId="0">
      <text>
        <r>
          <rPr>
            <sz val="10"/>
            <rFont val="Arial"/>
            <family val="2"/>
          </rPr>
          <t xml:space="preserve">Yin-Chen Chang:
Source: The Information via Wiss, https://wiss.com/openai-valuation/</t>
        </r>
      </text>
    </comment>
    <comment ref="D232" authorId="0">
      <text>
        <r>
          <rPr>
            <sz val="10"/>
            <rFont val="Arial"/>
            <family val="2"/>
          </rPr>
          <t xml:space="preserve">Yin-Chen Chang:
Short prompts (hobbyist queries); 4:1 input-heavy</t>
        </r>
      </text>
    </comment>
    <comment ref="D233" authorId="0">
      <text>
        <r>
          <rPr>
            <sz val="10"/>
            <rFont val="Arial"/>
            <family val="2"/>
          </rPr>
          <t xml:space="preserve">Yin-Chen Chang:
RAG-style apps: longer context; 5:1 I:O</t>
        </r>
      </text>
    </comment>
    <comment ref="G8" authorId="0">
      <text>
        <r>
          <rPr>
            <sz val="10"/>
            <rFont val="Arial"/>
            <family val="2"/>
          </rPr>
          <t xml:space="preserve">Yin-Chen Chang:
Source: taptwicedigital.com, https://taptwicedigital.com/stats/openai</t>
        </r>
      </text>
    </comment>
    <comment ref="G12" authorId="0">
      <text>
        <r>
          <rPr>
            <sz val="10"/>
            <rFont val="Arial"/>
            <family val="2"/>
          </rPr>
          <t xml:space="preserve">2028E FY avg: prior year-end est. = midpoint(2026E, 2028E) = 5.25 GW; FY avg = (5.25+7)/2 = 6.125</t>
        </r>
      </text>
    </comment>
    <comment ref="H5" authorId="0">
      <text>
        <r>
          <rPr>
            <sz val="10"/>
            <rFont val="Arial"/>
            <family val="2"/>
          </rPr>
          <t xml:space="preserve">Yin-Chen Chang:
Source: CNBC, https://www.cnbc.com/2026/02/27/open-ai-funding-round-amazon.html</t>
        </r>
      </text>
    </comment>
    <comment ref="H11" authorId="0">
      <text>
        <r>
          <rPr>
            <sz val="10"/>
            <rFont val="Arial"/>
            <family val="2"/>
          </rPr>
          <t xml:space="preserve">Source: Stargate initiative, https://sacra.com/c/openai/</t>
        </r>
      </text>
    </comment>
    <comment ref="H12" authorId="0">
      <text>
        <r>
          <rPr>
            <sz val="10"/>
            <rFont val="Arial"/>
            <family val="2"/>
          </rPr>
          <t xml:space="preserve">Yin-Chen Chang:
FY avg: midpoint of 2029E year-end and 2030E year-end (10 GW).</t>
        </r>
      </text>
    </comment>
    <comment ref="I17" authorId="0">
      <text>
        <r>
          <rPr>
            <sz val="10"/>
            <rFont val="Arial"/>
            <family val="2"/>
          </rPr>
          <t xml:space="preserve">Yin-Chen Chang:
Source: TechCrunch, https://techcrunch.com/2026/02/27/openai-raises-110b-in-one-of-the-largest-private-funding-rounds-in-history/</t>
        </r>
      </text>
    </comment>
    <comment ref="I18" authorId="0">
      <text>
        <r>
          <rPr>
            <sz val="10"/>
            <rFont val="Arial"/>
            <family val="2"/>
          </rPr>
          <t xml:space="preserve">Yin-Chen Chang:
Source: CNBC, https://www.cnbc.com/2026/02/27/open-ai-funding-round-amazon.html</t>
        </r>
      </text>
    </comment>
    <comment ref="I19" authorId="0">
      <text>
        <r>
          <rPr>
            <sz val="10"/>
            <rFont val="Arial"/>
            <family val="2"/>
          </rPr>
          <t xml:space="preserve">Yin-Chen Chang:
Source: Crunchbase, https://news.crunchbase.com/venture/openai-raise-largest-ai-venture-deal-ever/</t>
        </r>
      </text>
    </comment>
    <comment ref="I22" authorId="0">
      <text>
        <r>
          <rPr>
            <sz val="10"/>
            <rFont val="Arial"/>
            <family val="2"/>
          </rPr>
          <t xml:space="preserve">Yin-Chen Chang:
Source: CNBC, https://www.cnbc.com/2026/02/20/openai-resets-spend-expectations-targets-around-600-billion-by-2030.html</t>
        </r>
      </text>
    </comment>
    <comment ref="I23" authorId="0">
      <text>
        <r>
          <rPr>
            <sz val="10"/>
            <rFont val="Arial"/>
            <family val="2"/>
          </rPr>
          <t xml:space="preserve">Yin-Chen Chang:
Source: Sacra, https://sacra.com/c/openai/</t>
        </r>
      </text>
    </comment>
    <comment ref="I48" authorId="0">
      <text>
        <r>
          <rPr>
            <sz val="10"/>
            <rFont val="Arial"/>
            <family val="2"/>
          </rPr>
          <t xml:space="preserve">Yin-Chen Chang:
Source: Entrepreneur, https://www.entrepreneur.com/business-news/openai-saw-more-revenue-in-six-months-than-all-of-last-year/497774</t>
        </r>
      </text>
    </comment>
    <comment ref="I49" authorId="0">
      <text>
        <r>
          <rPr>
            <sz val="10"/>
            <rFont val="Arial"/>
            <family val="2"/>
          </rPr>
          <t xml:space="preserve">Yin-Chen Chang:
Source: sanj.dev, https://sanj.dev/post/real-cost-of-ai-openai-financials</t>
        </r>
      </text>
    </comment>
    <comment ref="I51" authorId="0">
      <text>
        <r>
          <rPr>
            <sz val="10"/>
            <rFont val="Arial"/>
            <family val="2"/>
          </rPr>
          <t xml:space="preserve">Yin-Chen Chang:
Source: sanj.dev, https://sanj.dev/post/real-cost-of-ai-openai-financials</t>
        </r>
      </text>
    </comment>
    <comment ref="I52" authorId="0">
      <text>
        <r>
          <rPr>
            <sz val="10"/>
            <rFont val="Arial"/>
            <family val="2"/>
          </rPr>
          <t xml:space="preserve">Yin-Chen Chang:
Source: wheresyoured.at, https://www.wheresyoured.at/oai_docs/</t>
        </r>
      </text>
    </comment>
    <comment ref="I53" authorId="0">
      <text>
        <r>
          <rPr>
            <sz val="10"/>
            <rFont val="Arial"/>
            <family val="2"/>
          </rPr>
          <t xml:space="preserve">Yin-Chen Chang:
Source: CNBC, https://www.cnbc.com/2026/02/20/openai-resets-spend-expectations-targets-around-600-billion-by-2030.html</t>
        </r>
      </text>
    </comment>
    <comment ref="I96" authorId="0">
      <text>
        <r>
          <rPr>
            <sz val="10"/>
            <rFont val="Arial"/>
            <family val="2"/>
          </rPr>
          <t xml:space="preserve">Yin-Chen Chang:
Fixed: was dividing by cumulative year-end capacity, which understated marginal cost. Now divides by new capacity added that year.</t>
        </r>
      </text>
    </comment>
    <comment ref="I102" authorId="0">
      <text>
        <r>
          <rPr>
            <sz val="10"/>
            <rFont val="Arial"/>
            <family val="2"/>
          </rPr>
          <t xml:space="preserve">Yin-Chen Chang:
Source: Tomasz Tunguz, https://tomtunguz.com/openai-hardware-spending-2025-2035</t>
        </r>
      </text>
    </comment>
  </commentList>
</comments>
</file>

<file path=xl/sharedStrings.xml><?xml version="1.0" encoding="utf-8"?>
<sst xmlns="http://schemas.openxmlformats.org/spreadsheetml/2006/main" count="3452" uniqueCount="2158">
  <si>
    <t xml:space="preserve">PARAMETERIZED TOKEN GENERATION PIPELINE — v4 (frontier MoE presets, Sep 2026)</t>
  </si>
  <si>
    <t xml:space="preserve">RACK PRESETS</t>
  </si>
  <si>
    <t xml:space="preserve">Change the blue cells below to experiment with different configurations</t>
  </si>
  <si>
    <t xml:space="preserve">Copy a column into Column B to switch racks</t>
  </si>
  <si>
    <t xml:space="preserve">AI DC Spec.</t>
  </si>
  <si>
    <t xml:space="preserve">Data</t>
  </si>
  <si>
    <t xml:space="preserve">Note</t>
  </si>
  <si>
    <t xml:space="preserve">Vera Rubin NVL72</t>
  </si>
  <si>
    <t xml:space="preserve">GB200 NVL72</t>
  </si>
  <si>
    <t xml:space="preserve">Total power(W)</t>
  </si>
  <si>
    <t xml:space="preserve">PUE</t>
  </si>
  <si>
    <t xml:space="preserve">Rack Type</t>
  </si>
  <si>
    <t xml:space="preserve">No.of racks</t>
  </si>
  <si>
    <t xml:space="preserve">Derived: FLOOR(IT Power / Power per Rack)</t>
  </si>
  <si>
    <t xml:space="preserve">Derived: FLOOR(Total Power / Power per Rack)</t>
  </si>
  <si>
    <t xml:space="preserve">Rack Spec.</t>
  </si>
  <si>
    <t xml:space="preserve">CPU Type</t>
  </si>
  <si>
    <t xml:space="preserve">Vera CPU</t>
  </si>
  <si>
    <t xml:space="preserve">Grace CPU</t>
  </si>
  <si>
    <t xml:space="preserve">No. of CPU</t>
  </si>
  <si>
    <t xml:space="preserve">GPU Type</t>
  </si>
  <si>
    <t xml:space="preserve">Rubin GPU</t>
  </si>
  <si>
    <t xml:space="preserve">Blackwell B200</t>
  </si>
  <si>
    <t xml:space="preserve">No. of GPU</t>
  </si>
  <si>
    <t xml:space="preserve">per rack</t>
  </si>
  <si>
    <t xml:space="preserve">NVLink Bandwidth(TB/s)</t>
  </si>
  <si>
    <t xml:space="preserve">total per rack</t>
  </si>
  <si>
    <t xml:space="preserve">NVLink BW(TB/s)</t>
  </si>
  <si>
    <t xml:space="preserve">Total per rack</t>
  </si>
  <si>
    <t xml:space="preserve">NVLink-C2C Bandwidth(TB/s)</t>
  </si>
  <si>
    <t xml:space="preserve">NVLink-C2C BW(TB/s)</t>
  </si>
  <si>
    <t xml:space="preserve">0.9 TB/s * 36 CPUs</t>
  </si>
  <si>
    <t xml:space="preserve">GPU Memory(TB)</t>
  </si>
  <si>
    <t xml:space="preserve">0.288/GPU</t>
  </si>
  <si>
    <t xml:space="preserve">Total per rack (0.1875/GPU for GB200)</t>
  </si>
  <si>
    <t xml:space="preserve">Memory Bandwidth(TB)</t>
  </si>
  <si>
    <t xml:space="preserve">22/GPU</t>
  </si>
  <si>
    <t xml:space="preserve">Memory BW(TB)</t>
  </si>
  <si>
    <t xml:space="preserve">Total per rack (8/GPU for GB200)</t>
  </si>
  <si>
    <t xml:space="preserve">FP4 Dense Inference(PFLOPS)</t>
  </si>
  <si>
    <t xml:space="preserve">50/GPU</t>
  </si>
  <si>
    <t xml:space="preserve">50/GPU Rubin = 3600; 9/GPU B200 (dense, no sparsity). Fixed from 2520 (was using 35/GPU training value).</t>
  </si>
  <si>
    <t xml:space="preserve">FP4 Dense Training(PFLOPS)</t>
  </si>
  <si>
    <t xml:space="preserve">35/GPU</t>
  </si>
  <si>
    <t xml:space="preserve">35 PFLOPS/GPU Rubin = 2520; 9 PFLOPS/GPU B200 = 648 (dense training)</t>
  </si>
  <si>
    <t xml:space="preserve">FP8 Dense(PFLOPS)</t>
  </si>
  <si>
    <t xml:space="preserve">16/GPU (was 17.5)</t>
  </si>
  <si>
    <t xml:space="preserve">16/GPU Rubin; 4.5/GPU B200 (dense)</t>
  </si>
  <si>
    <t xml:space="preserve">FP16/BF16 Dense(PFLOPS)</t>
  </si>
  <si>
    <t xml:space="preserve">4/GPU</t>
  </si>
  <si>
    <t xml:space="preserve">3.6/GPU Rubin; 2.25/GPU B200 (dense)</t>
  </si>
  <si>
    <t xml:space="preserve">Power per Rack (kW)</t>
  </si>
  <si>
    <t xml:space="preserve">IT power draw per rack</t>
  </si>
  <si>
    <t xml:space="preserve">Power/Rack (kW)</t>
  </si>
  <si>
    <t xml:space="preserve">IT power only (excl. PUE overhead)</t>
  </si>
  <si>
    <t xml:space="preserve">Rack Price ($)</t>
  </si>
  <si>
    <t xml:space="preserve">Auto-filled from dropdown; edit preset in F27/G27</t>
  </si>
  <si>
    <t xml:space="preserve">▶ KEY INPUTS — Model &amp; Tokens</t>
  </si>
  <si>
    <t xml:space="preserve">Pricing</t>
  </si>
  <si>
    <t xml:space="preserve">▶ FRONTIER MODEL PRESETS (Sep 2026) — select in B29; column K feeds column B</t>
  </si>
  <si>
    <t xml:space="preserve">Input Tokens</t>
  </si>
  <si>
    <t xml:space="preserve">[Analogy] agentic/coding mix: OpenRouter avg prompt &gt;6K (Nov-2025), programming &gt;20K; range 6K–32K</t>
  </si>
  <si>
    <t xml:space="preserve">Est. $3M GB200; Rubin ~$6M (15-20% premium)</t>
  </si>
  <si>
    <t xml:space="preserve">Blue = published/assumed input · black = derived. Tags in column Q. Published = vendor model card / config.json.</t>
  </si>
  <si>
    <t xml:space="preserve">Output Tokens</t>
  </si>
  <si>
    <t xml:space="preserve">[Analogy] avg completion ~400 (Nov-2025) rising with reasoning; range 400–2,000. Link =B27/4 removed (I:O now ~16:1)</t>
  </si>
  <si>
    <t xml:space="preserve">Parameter</t>
  </si>
  <si>
    <t xml:space="preserve">▶ Selected</t>
  </si>
  <si>
    <t xml:space="preserve">DeepSeek V4-Pro</t>
  </si>
  <si>
    <t xml:space="preserve">Kimi K3</t>
  </si>
  <si>
    <t xml:space="preserve">DeepSeek V4-Flash</t>
  </si>
  <si>
    <t xml:space="preserve">Closed-frontier proxy</t>
  </si>
  <si>
    <t xml:space="preserve">Legacy 1T Dense (v3)</t>
  </si>
  <si>
    <t xml:space="preserve">Source / Tag</t>
  </si>
  <si>
    <t xml:space="preserve">Model Preset</t>
  </si>
  <si>
    <t xml:space="preserve">← Select frontier architecture (table J26:Q55); feeds B31–B48, B55</t>
  </si>
  <si>
    <t xml:space="preserve">▶ MARKET PRICING TIERS (Sep 2026)</t>
  </si>
  <si>
    <t xml:space="preserve">Total parameters (published)</t>
  </si>
  <si>
    <t xml:space="preserve">V4-Pro 1.6T (preview; GA-0813 card 1.7T incl. DSpark) [Verified: HF card]; K3 2.8T [Verified: model card]; V4-Flash 284B [Verified: arXiv 2606.19348]; proxy [Assumed, range 2–10T]; legacy = v3 default</t>
  </si>
  <si>
    <t xml:space="preserve">Model Spec.</t>
  </si>
  <si>
    <t xml:space="preserve">Select tier in F41 (independent of architecture preset)</t>
  </si>
  <si>
    <t xml:space="preserve">Active parameters / token (published)</t>
  </si>
  <si>
    <t xml:space="preserve">V4-Pro 49B, K3 104B, V4-Flash 13B [Verified]; proxy [Assumed, range 60–250B]</t>
  </si>
  <si>
    <t xml:space="preserve">Parameters</t>
  </si>
  <si>
    <t xml:space="preserve">Total params (from preset K29)</t>
  </si>
  <si>
    <t xml:space="preserve">Tier</t>
  </si>
  <si>
    <t xml:space="preserve">Representative models (list $/M in/out)</t>
  </si>
  <si>
    <t xml:space="preserve">Input $/M</t>
  </si>
  <si>
    <t xml:space="preserve">Output $/M</t>
  </si>
  <si>
    <t xml:space="preserve">Type</t>
  </si>
  <si>
    <t xml:space="preserve">MoE</t>
  </si>
  <si>
    <t xml:space="preserve">Dense</t>
  </si>
  <si>
    <t xml:space="preserve">Dense / MoE (from preset; overwrite to test)</t>
  </si>
  <si>
    <t xml:space="preserve">Nano</t>
  </si>
  <si>
    <t xml:space="preserve">Qwen3.7 Flash $0.03/$0.13; Nova Micro $0.035/$0.14</t>
  </si>
  <si>
    <t xml:space="preserve">n_layers (blank = auto-scale)</t>
  </si>
  <si>
    <t xml:space="preserve">V4-Pro 61 (config.json); K3 93 = 24 Gated-MLA + 69 KDA; V4-Flash 43 [secondary: clore.ai]; proxy [Assumed]</t>
  </si>
  <si>
    <t xml:space="preserve">Total Experts</t>
  </si>
  <si>
    <t xml:space="preserve">Routed experts (from preset)</t>
  </si>
  <si>
    <t xml:space="preserve">Small / Flash</t>
  </si>
  <si>
    <t xml:space="preserve">GPT-5.6 Luna $0.20/$1.20; DeepSeek V4-Flash $0.44/$1.32; Gemini 3.8 Flash $0.75/$3.75 (median)</t>
  </si>
  <si>
    <t xml:space="preserve">d_model (blank = auto-scale)</t>
  </si>
  <si>
    <t xml:space="preserve">V4-Pro/K3 hidden 7168 [Verified]; V4-Flash derived in row 55; proxy [Assumed]</t>
  </si>
  <si>
    <t xml:space="preserve">Active Experts</t>
  </si>
  <si>
    <t xml:space="preserve">Active routed experts (from preset)</t>
  </si>
  <si>
    <t xml:space="preserve">Open-weight frontier</t>
  </si>
  <si>
    <t xml:space="preserve">DeepSeek V4-Pro $1.32/$3.96 (peak); GLM-5.3 $1.40/$4.40 (mean)</t>
  </si>
  <si>
    <t xml:space="preserve">Attention heads (query)</t>
  </si>
  <si>
    <t xml:space="preserve">V4-Pro 128; K3 96 [Verified]; V4-Flash 64 [Analogy: half of Pro]; proxy [Assumed]</t>
  </si>
  <si>
    <t xml:space="preserve">FFN Compute Ratio</t>
  </si>
  <si>
    <t xml:space="preserve">Dense=1; MoE=(active+shared)/(routed+shared)</t>
  </si>
  <si>
    <t xml:space="preserve">Mid</t>
  </si>
  <si>
    <t xml:space="preserve">Claude Sonnet 5 $3/$15; Kimi K3 $3/$15; Gemini 3.1 Pro $2/$12 (median)</t>
  </si>
  <si>
    <t xml:space="preserve">Attention head dim (for QK/AV FLOPs)</t>
  </si>
  <si>
    <t xml:space="preserve">V4-Pro head_dim 512 [Verified]; K3 128 [Analogy: K2 MLA v-head]; V4-Flash [Analogy: Pro]</t>
  </si>
  <si>
    <t xml:space="preserve">Active Parameters</t>
  </si>
  <si>
    <t xml:space="preserve">MoE = layers×(non-expert + FFN×ratio) + embeddings; ties to published active</t>
  </si>
  <si>
    <t xml:space="preserve">Frontier (closed)</t>
  </si>
  <si>
    <t xml:space="preserve">Claude Opus 5 $5/$25; Opus 4.8 $5/$25; GPT-5.6 Sol $5/$30 list, $4/$20 promo (median)</t>
  </si>
  <si>
    <t xml:space="preserve">Routed experts</t>
  </si>
  <si>
    <t xml:space="preserve">V4-Pro 384 (config.json); K3 896; V4-Flash 256 [Verified]; proxy [Assumed]</t>
  </si>
  <si>
    <t xml:space="preserve">vocab size(V)</t>
  </si>
  <si>
    <t xml:space="preserve">From preset</t>
  </si>
  <si>
    <t xml:space="preserve">Premium</t>
  </si>
  <si>
    <t xml:space="preserve">Claude Fable 5.1 $10/$50</t>
  </si>
  <si>
    <t xml:space="preserve">Active routed experts / token</t>
  </si>
  <si>
    <t xml:space="preserve">V4-Pro 6, K3 16, V4-Flash 6 [Verified]</t>
  </si>
  <si>
    <t xml:space="preserve">Hidden Dimension(d_model)</t>
  </si>
  <si>
    <t xml:space="preserve">Preset value; blank → auto (aspect 160)</t>
  </si>
  <si>
    <t xml:space="preserve">Sources:</t>
  </si>
  <si>
    <t xml:space="preserve">Vendor list prices via price trackers checked 2026-08-19 to 2026-09-18 (CloudZero, Morph, Layer3, BenchLM, Spheron). [Verified-secondary]; promo and off-peak rates noted, not used.</t>
  </si>
  <si>
    <t xml:space="preserve">Shared experts</t>
  </si>
  <si>
    <t xml:space="preserve">V4-Pro 1, K3 2, V4-Flash 1 [Verified]</t>
  </si>
  <si>
    <t xml:space="preserve">n_layers</t>
  </si>
  <si>
    <t xml:space="preserve">Preset value; blank → auto (P/(12r²))^(1/3)</t>
  </si>
  <si>
    <t xml:space="preserve">Vocab size</t>
  </si>
  <si>
    <t xml:space="preserve">V4 129,280; K3 163,840 [Verified]; proxy [Assumed]</t>
  </si>
  <si>
    <t xml:space="preserve">n_heads</t>
  </si>
  <si>
    <t xml:space="preserve">Query heads (preset; else d_model/d_head)</t>
  </si>
  <si>
    <t xml:space="preserve">▶ SELECTED PRICING</t>
  </si>
  <si>
    <t xml:space="preserve">Embedding + LM-head params [Derived]</t>
  </si>
  <si>
    <t xml:space="preserve">vocab × d_model × 2 (untied input embedding + output head)</t>
  </si>
  <si>
    <t xml:space="preserve">d_head</t>
  </si>
  <si>
    <t xml:space="preserve">Attention head dim (preset; else 128)</t>
  </si>
  <si>
    <t xml:space="preserve">Pricing Tier</t>
  </si>
  <si>
    <t xml:space="preserve">← Dropdown. Default = closed-frontier list price (lab monetization view); choose "Open-weight frontier" to price the preset at its own API rate</t>
  </si>
  <si>
    <t xml:space="preserve">Params per routed expert [Derived]</t>
  </si>
  <si>
    <t xml:space="preserve">(total − active) / (layers × (routed − active)); ties exactly to published totals. V4-Pro gives 67.3M vs 66.1M from config (3×7168×3072), −1.8%</t>
  </si>
  <si>
    <t xml:space="preserve">d_ff(SwiGLU)</t>
  </si>
  <si>
    <t xml:space="preserve">MoE: effective d_ff of all experts (K43); Dense: derived from params</t>
  </si>
  <si>
    <t xml:space="preserve">Input Price ($/M tokens)</t>
  </si>
  <si>
    <t xml:space="preserve">Non-expert params per layer (attn, router, norms) [Derived]</t>
  </si>
  <si>
    <t xml:space="preserve">(active − embed − layers × (active+shared) × expert) / layers. Includes attention, indexer, mHC, router</t>
  </si>
  <si>
    <t xml:space="preserve">Parameters per Layer(Att)</t>
  </si>
  <si>
    <t xml:space="preserve">MoE: non-expert params/layer (K42); Dense: 4×d²</t>
  </si>
  <si>
    <t xml:space="preserve">Output Price ($/M tokens)</t>
  </si>
  <si>
    <t xml:space="preserve">Effective FFN intermediate d_ff (all experts, in d_model units) [Derived]</t>
  </si>
  <si>
    <t xml:space="preserve">(routed+shared) × expert params / (3 × d_model) → keeps 3·d·d_ff = total FFN params in WP_Param formulas</t>
  </si>
  <si>
    <t xml:space="preserve">Parameters per Layer(FFN)</t>
  </si>
  <si>
    <t xml:space="preserve">3 × d_model × d_ff</t>
  </si>
  <si>
    <t xml:space="preserve">Check: implied total params [Derived]</t>
  </si>
  <si>
    <t xml:space="preserve">Should equal row 29 (by construction ≈ equal; small gap = embeddings rounding)</t>
  </si>
  <si>
    <t xml:space="preserve">Total Parameters per Layer</t>
  </si>
  <si>
    <t xml:space="preserve">KV elements / token / layer (effective avg)</t>
  </si>
  <si>
    <t xml:space="preserve">[Derived] V4-Pro: 512-dim single KV head; CSA (≈½ layers) 4× + HCA (≈½) 128× compression → 512×(0.5×¼+0.5×1/128)≈65; cross-check: card says 10% of V3.2 KV (576×10%≈58). K3: 24/93 MLA layers × 576 = 149 (KDA recurrent state omitted). V4-Flash [Analogy: Pro]. Proxy/legacy: GQA 8 heads × 128 × 2 = 2048 [Assumed]</t>
  </si>
  <si>
    <t xml:space="preserve">MFU</t>
  </si>
  <si>
    <t xml:space="preserve">[Analogy] inference MFU range 0.25–0.50; was 0.50 (Mar-2026 audit flagged as high)</t>
  </si>
  <si>
    <t xml:space="preserve">KV cache bytes / element</t>
  </si>
  <si>
    <t xml:space="preserve">FP8 KV cache = 1 byte [Assumed; industry default on Blackwell/Rubin]</t>
  </si>
  <si>
    <t xml:space="preserve">Precision</t>
  </si>
  <si>
    <t xml:space="preserve">Compute precision from preset (FP4/FP8/FP16); overwrite to force</t>
  </si>
  <si>
    <t xml:space="preserve">Full-attention layer fraction</t>
  </si>
  <si>
    <t xml:space="preserve">V4: CSA layers ≈ ½ (alternating CSA/HCA) [Verified structure]; K3: 24 of 93 layers full MLA [Verified]; dense = 1</t>
  </si>
  <si>
    <t xml:space="preserve">Bytes per Parameter</t>
  </si>
  <si>
    <t xml:space="preserve">Effective weight bytes (mixed precision from preset; else by B47)</t>
  </si>
  <si>
    <t xml:space="preserve">Full-attention span cap (tokens; 0 = none)</t>
  </si>
  <si>
    <t xml:space="preserve">V4 CSA: index_topk 1024 compressed blocks × 4 tokens + 128 sliding window = 4,224 [Derived]; 0 = attends full context</t>
  </si>
  <si>
    <t xml:space="preserve">Inference PFLOPS (rack)</t>
  </si>
  <si>
    <t xml:space="preserve">Auto-selected from rack spec based on precision</t>
  </si>
  <si>
    <t xml:space="preserve">Tokens attended in other (compressed / linear) layers</t>
  </si>
  <si>
    <t xml:space="preserve">V4 HCA: ctx/128 + 128 window ≈ 256 at 16K ctx [Derived]; K3 KDA linear layers ≈ constant cost, 128-token equivalent [Assumed]</t>
  </si>
  <si>
    <t xml:space="preserve">Effective weight bytes / param (blank = by precision)</t>
  </si>
  <si>
    <t xml:space="preserve">V4-Pro: experts FP4 (0.5 B) + non-expert FP8 (1 B) weighted → 0.507 [Derived]; K3 native MXFP4 incl. scales ≈ 0.53 [Derived]; blank → from B47</t>
  </si>
  <si>
    <t xml:space="preserve">Parallelism Strategy</t>
  </si>
  <si>
    <t xml:space="preserve">Compute precision (feeds B47)</t>
  </si>
  <si>
    <t xml:space="preserve">FP4</t>
  </si>
  <si>
    <t xml:space="preserve">FP8</t>
  </si>
  <si>
    <t xml:space="preserve">Native serving precision: V4 FP4 experts/FP8 dense; K3 MXFP4 QAT [Verified]; compute on dominant (expert) path</t>
  </si>
  <si>
    <t xml:space="preserve">Tensor Parallelism (TP)</t>
  </si>
  <si>
    <t xml:space="preserve">Reference API list price in / out ($/M)</t>
  </si>
  <si>
    <t xml:space="preserve">$1.32/$3.96 peak ($0.66/$1.98 off-peak)</t>
  </si>
  <si>
    <t xml:space="preserve">$3/$15</t>
  </si>
  <si>
    <t xml:space="preserve">$0.44/$1.32 peak ($0.22/$0.66 off-peak)</t>
  </si>
  <si>
    <t xml:space="preserve">n/a (see tier Frontier (closed))</t>
  </si>
  <si>
    <t xml:space="preserve">v3: $2.50/$10 (Mar-2026 tier)</t>
  </si>
  <si>
    <t xml:space="preserve">Vendor list prices, Sep-2026 [Verified: DeepSeek API / Moonshot; via secondary price trackers]</t>
  </si>
  <si>
    <t xml:space="preserve">Release / checkpoint</t>
  </si>
  <si>
    <t xml:space="preserve">Apr-24-2026 preview; GA 0813</t>
  </si>
  <si>
    <t xml:space="preserve">Jul-16-2026; weights Jul-27</t>
  </si>
  <si>
    <t xml:space="preserve">GA 0731</t>
  </si>
  <si>
    <t xml:space="preserve">Assumed composite of GPT-5.6 Sol / Claude Opus 5 / Gemini 3.1 Pro class</t>
  </si>
  <si>
    <t xml:space="preserve">Retained for comparison</t>
  </si>
  <si>
    <t xml:space="preserve">▶ Optimization Parameters</t>
  </si>
  <si>
    <t xml:space="preserve">KV heads (GQA-equivalent)</t>
  </si>
  <si>
    <t xml:space="preserve">GQA-equivalent KV heads = KV elements per token per layer / (2×d_head); fractional for compressed attention</t>
  </si>
  <si>
    <t xml:space="preserve">V4-Flash d_model [Derived]</t>
  </si>
  <si>
    <t xml:space="preserve">Expert intermediate 2048 [Verified] → d ≈ expert params / (3×2048); rounded to 128. Written to N33 via formula</t>
  </si>
  <si>
    <t xml:space="preserve">Batch Size / tokens per step</t>
  </si>
  <si>
    <t xml:space="preserve">bounded by HBM Size</t>
  </si>
  <si>
    <t xml:space="preserve">Speculation window: N</t>
  </si>
  <si>
    <t xml:space="preserve">[Analogy] DSpark block size 5 (V4-Pro-0813); MTP-style drafts 3–5; was 8</t>
  </si>
  <si>
    <t xml:space="preserve">Acceptance rate: a</t>
  </si>
  <si>
    <t xml:space="preserve">Expected Tokens Accepted</t>
  </si>
  <si>
    <t xml:space="preserve">(1-a^(N+1))/(1-a)</t>
  </si>
  <si>
    <t xml:space="preserve">NVLink SHARP reduction</t>
  </si>
  <si>
    <t xml:space="preserve">SHARP in-network traffic reduction</t>
  </si>
  <si>
    <t xml:space="preserve">NVLink time per token with SHARP (s)</t>
  </si>
  <si>
    <t xml:space="preserve">Override: 0.00128×0.5≈0.0005 (partially overlapped)</t>
  </si>
  <si>
    <t xml:space="preserve">Compute-Communication Overlap efficiency</t>
  </si>
  <si>
    <t xml:space="preserve">50% of NVLink hidden behind compute</t>
  </si>
  <si>
    <t xml:space="preserve">New TP degree (for PP split)</t>
  </si>
  <si>
    <t xml:space="preserve">Split into PP stages × TP GPUs</t>
  </si>
  <si>
    <t xml:space="preserve">PP stages</t>
  </si>
  <si>
    <t xml:space="preserve">No. of GPU / New TP degree</t>
  </si>
  <si>
    <t xml:space="preserve">Derived Memory Check</t>
  </si>
  <si>
    <t xml:space="preserve">Weight Memory(Byte)</t>
  </si>
  <si>
    <t xml:space="preserve">Parameters × Bytes per Parameter (from Precision)</t>
  </si>
  <si>
    <t xml:space="preserve">▶ Inter-Rack Network Fabric</t>
  </si>
  <si>
    <t xml:space="preserve">Inter-Rack Network Fabric</t>
  </si>
  <si>
    <t xml:space="preserve">Network Fabric Type</t>
  </si>
  <si>
    <t xml:space="preserve">InfiniBand XDR</t>
  </si>
  <si>
    <t xml:space="preserve">IB XDR (Quantum-X800) / Spectrum-X800 / Std Ethernet</t>
  </si>
  <si>
    <t xml:space="preserve">Quantum-X800 for both</t>
  </si>
  <si>
    <t xml:space="preserve">NIC Type</t>
  </si>
  <si>
    <t xml:space="preserve">ConnectX-9 SuperNIC</t>
  </si>
  <si>
    <t xml:space="preserve">1.6 Tb/s per GPU; PCIe Gen6 (VR NVL72)</t>
  </si>
  <si>
    <t xml:space="preserve">ConnectX-8</t>
  </si>
  <si>
    <t xml:space="preserve">VR NVL72: ConnectX-9 1.6 Tb/s; GB200: ConnectX-8 800 Gb/s</t>
  </si>
  <si>
    <t xml:space="preserve">NIC BW per GPU (Gb/s)</t>
  </si>
  <si>
    <t xml:space="preserve">1600 Gb/s = 0.2 TB/s per GPU</t>
  </si>
  <si>
    <t xml:space="preserve">Per GPU</t>
  </si>
  <si>
    <t xml:space="preserve">NIC BW per GPU (TB/s)</t>
  </si>
  <si>
    <t xml:space="preserve">Gb/s → TB/s (divide by 8 for bits→bytes, /1000 for G→T)</t>
  </si>
  <si>
    <t xml:space="preserve">Total Inter-Rack BW per Rack (TB/s)</t>
  </si>
  <si>
    <t xml:space="preserve">NIC BW/GPU × GPUs per rack</t>
  </si>
  <si>
    <t xml:space="preserve">Total Inter-Rack BW/Rack (TB/s)</t>
  </si>
  <si>
    <t xml:space="preserve">Switch Type (Leaf/Spine)</t>
  </si>
  <si>
    <t xml:space="preserve">Quantum-X800 Q3400</t>
  </si>
  <si>
    <t xml:space="preserve">144-port 800 Gb/s XDR switch</t>
  </si>
  <si>
    <t xml:space="preserve">Switch Type</t>
  </si>
  <si>
    <t xml:space="preserve">144 ports × 800 Gb/s</t>
  </si>
  <si>
    <t xml:space="preserve">Switch Port-to-Port Latency (μs)</t>
  </si>
  <si>
    <t xml:space="preserve">Sub-100 ns per hop (IB XDR); ~0.5 μs Ethernet</t>
  </si>
  <si>
    <t xml:space="preserve">Switch Latency (μs)</t>
  </si>
  <si>
    <t xml:space="preserve">Sub-100 ns for IB XDR</t>
  </si>
  <si>
    <t xml:space="preserve">Network Hops (leaf-spine-leaf)</t>
  </si>
  <si>
    <t xml:space="preserve">2-tier fat-tree: leaf→spine→leaf = 3 hops</t>
  </si>
  <si>
    <t xml:space="preserve">Network Hops</t>
  </si>
  <si>
    <t xml:space="preserve">2-tier fat-tree topology</t>
  </si>
  <si>
    <t xml:space="preserve">Network Oversubscription Ratio</t>
  </si>
  <si>
    <t xml:space="preserve">2:1 typical; 1:1 = full bisection bandwidth</t>
  </si>
  <si>
    <t xml:space="preserve">Oversubscription</t>
  </si>
  <si>
    <t xml:space="preserve">2:1 oversubscription</t>
  </si>
  <si>
    <t xml:space="preserve">Effective Inter-Rack BW per GPU (TB/s)</t>
  </si>
  <si>
    <t xml:space="preserve">NIC BW / oversubscription ratio</t>
  </si>
  <si>
    <t xml:space="preserve">Eff. Inter-Rack BW/GPU (TB/s)</t>
  </si>
  <si>
    <t xml:space="preserve">Inter-Rack Latency per Hop (s)</t>
  </si>
  <si>
    <t xml:space="preserve">μs → seconds</t>
  </si>
  <si>
    <t xml:space="preserve">Inter-Rack Latency/Hop (s)</t>
  </si>
  <si>
    <t xml:space="preserve">Inter-Rack One-Way Latency (s)</t>
  </si>
  <si>
    <t xml:space="preserve">Latency/hop × hops</t>
  </si>
  <si>
    <t xml:space="preserve">One-Way Latency (s)</t>
  </si>
  <si>
    <t xml:space="preserve">SHARP v4 Inter-Rack Reduction</t>
  </si>
  <si>
    <t xml:space="preserve">In-network all-reduce traffic reduction (SHARP v4)</t>
  </si>
  <si>
    <t xml:space="preserve">SHARP v4 Reduction</t>
  </si>
  <si>
    <t xml:space="preserve">SHARP v4: 9x in-network compute vs NDR</t>
  </si>
  <si>
    <t xml:space="preserve">Multi-Rack Parallelism</t>
  </si>
  <si>
    <t xml:space="preserve">DP Replicas (racks)</t>
  </si>
  <si>
    <t xml:space="preserve">All racks run DP replicas (model fits in 1 rack)</t>
  </si>
  <si>
    <t xml:space="preserve">Inter-Rack Comm Overlap (Inference)</t>
  </si>
  <si>
    <t xml:space="preserve">80% inter-rack comm overlaps with compute in inference</t>
  </si>
  <si>
    <t xml:space="preserve">KV Cache Transfer per Request (bytes)</t>
  </si>
  <si>
    <t xml:space="preserve">KV elements/token/layer × layers × KV bytes × (input+output)</t>
  </si>
  <si>
    <t xml:space="preserve">KV Cache Transfer Time (s)</t>
  </si>
  <si>
    <t xml:space="preserve">KV cache / effective inter-rack BW</t>
  </si>
  <si>
    <t xml:space="preserve">Disaggregated Prefill-Decode Overhead (s)</t>
  </si>
  <si>
    <t xml:space="preserve">KV transfer + one-way network latency</t>
  </si>
  <si>
    <t xml:space="preserve">Base Line</t>
  </si>
  <si>
    <t xml:space="preserve">#</t>
  </si>
  <si>
    <t xml:space="preserve">Step(time in s)</t>
  </si>
  <si>
    <t xml:space="preserve">Start Time</t>
  </si>
  <si>
    <t xml:space="preserve">Duration</t>
  </si>
  <si>
    <t xml:space="preserve">End Time</t>
  </si>
  <si>
    <t xml:space="preserve">Compute
Time</t>
  </si>
  <si>
    <t xml:space="preserve">HBM BW
Time</t>
  </si>
  <si>
    <t xml:space="preserve">NVLink
Time</t>
  </si>
  <si>
    <t xml:space="preserve">Inter-Rack
Time</t>
  </si>
  <si>
    <t xml:space="preserve">Bottleneck</t>
  </si>
  <si>
    <t xml:space="preserve">Dominant
Resource</t>
  </si>
  <si>
    <t xml:space="preserve">FLOPs Used</t>
  </si>
  <si>
    <t xml:space="preserve">HBM Bytes
Moved</t>
  </si>
  <si>
    <t xml:space="preserve">Tokenization (CPU)</t>
  </si>
  <si>
    <t xml:space="preserve">N/A(CPU)</t>
  </si>
  <si>
    <t xml:space="preserve">N/A</t>
  </si>
  <si>
    <t xml:space="preserve">CPU</t>
  </si>
  <si>
    <t xml:space="preserve">Embedding Lookup + Broadcast</t>
  </si>
  <si>
    <t xml:space="preserve">Prefill+KV Cache Write</t>
  </si>
  <si>
    <t xml:space="preserve">Decode-First Token</t>
  </si>
  <si>
    <t xml:space="preserve">-</t>
  </si>
  <si>
    <t xml:space="preserve">Decode-All Tokens</t>
  </si>
  <si>
    <t xml:space="preserve">De-tokenization (CPU)</t>
  </si>
  <si>
    <t xml:space="preserve">Avg Time per Output Token (s)</t>
  </si>
  <si>
    <t xml:space="preserve">Total Output Token(s)/second</t>
  </si>
  <si>
    <t xml:space="preserve">Optimized — architecture KV + Concurrent Batch + Speculative Decoding + NVLink Optimization (v4: MoE-aware)</t>
  </si>
  <si>
    <t xml:space="preserve">F20 fix (v4): decode compute × batch × (draft N+1)/accepted ÷ MFU; v3 ignored batch</t>
  </si>
  <si>
    <t xml:space="preserve">E2E / (Batch * Output)</t>
  </si>
  <si>
    <t xml:space="preserve">Rack-Independent Latency Outputs (with Inter-Rack Network)</t>
  </si>
  <si>
    <t xml:space="preserve">VR NVL72
E2E (s)</t>
  </si>
  <si>
    <t xml:space="preserve">GB200 NVL72
E2E (s)</t>
  </si>
  <si>
    <t xml:space="preserve">Avg Time/Output Token (s)</t>
  </si>
  <si>
    <t xml:space="preserve">Tokens/sec per Rack</t>
  </si>
  <si>
    <t xml:space="preserve">E2E Latency (s)</t>
  </si>
  <si>
    <t xml:space="preserve">Inter-Rack Overhead %</t>
  </si>
  <si>
    <t xml:space="preserve">▶ INTER-RACK STRESS TEST — Scenario Comparison (VR NVL72)</t>
  </si>
  <si>
    <t xml:space="preserve">Parameter / Metric</t>
  </si>
  <si>
    <t xml:space="preserve">Current
(IB XDR, Colocated)</t>
  </si>
  <si>
    <t xml:space="preserve">Scenario A
Std Ethernet</t>
  </si>
  <si>
    <t xml:space="preserve">Scenario B
Disaggregated</t>
  </si>
  <si>
    <t xml:space="preserve">Scenario C
16:1 Oversub</t>
  </si>
  <si>
    <t xml:space="preserve">Scenario D
Ethernet + Disagg</t>
  </si>
  <si>
    <t xml:space="preserve">Scenario E
All Worst-Case</t>
  </si>
  <si>
    <t xml:space="preserve">Network Assumptions</t>
  </si>
  <si>
    <t xml:space="preserve">Fabric Type</t>
  </si>
  <si>
    <t xml:space="preserve">IB XDR</t>
  </si>
  <si>
    <t xml:space="preserve">Std Ethernet</t>
  </si>
  <si>
    <t xml:space="preserve">Switch Latency (μs/hop)</t>
  </si>
  <si>
    <t xml:space="preserve">Oversubscription Ratio</t>
  </si>
  <si>
    <t xml:space="preserve">Eff. BW per GPU (TB/s)</t>
  </si>
  <si>
    <t xml:space="preserve">Disaggregated Inference?</t>
  </si>
  <si>
    <t xml:space="preserve">No</t>
  </si>
  <si>
    <t xml:space="preserve">Yes</t>
  </si>
  <si>
    <t xml:space="preserve">Comm Overlap (Inference)</t>
  </si>
  <si>
    <t xml:space="preserve">Computed Inter-Rack Overhead</t>
  </si>
  <si>
    <t xml:space="preserve">Step 2: LB Routing (s)</t>
  </si>
  <si>
    <t xml:space="preserve">Step 3: KV Cache Transfer (s)</t>
  </si>
  <si>
    <t xml:space="preserve">Step 5: Token Streaming (s)</t>
  </si>
  <si>
    <t xml:space="preserve">Total Inter-Rack Overhead (s)</t>
  </si>
  <si>
    <t xml:space="preserve">Throughput Impact</t>
  </si>
  <si>
    <t xml:space="preserve">Intra-Rack E2E (s)</t>
  </si>
  <si>
    <t xml:space="preserve">Adjusted E2E (s)</t>
  </si>
  <si>
    <t xml:space="preserve">Throughput Loss %</t>
  </si>
  <si>
    <t xml:space="preserve">Annual Revenue Impact ($M)</t>
  </si>
  <si>
    <t xml:space="preserve">Key Bottleneck</t>
  </si>
  <si>
    <t xml:space="preserve">Negligible</t>
  </si>
  <si>
    <t xml:space="preserve">Streaming latency</t>
  </si>
  <si>
    <t xml:space="preserve">KV cache transfer</t>
  </si>
  <si>
    <t xml:space="preserve">KV + streaming</t>
  </si>
  <si>
    <t xml:space="preserve">KV @ low BW</t>
  </si>
  <si>
    <t xml:space="preserve">50 PFLOPS/GPU (FP4 dense inference)</t>
  </si>
  <si>
    <t xml:space="preserve">16 PFLOPS/GPU (FP8 dense)</t>
  </si>
  <si>
    <t xml:space="preserve">Input/Output Tokens Setup</t>
  </si>
  <si>
    <t xml:space="preserve">Input Tokens:</t>
  </si>
  <si>
    <t xml:space="preserve">Output Tokens:</t>
  </si>
  <si>
    <t xml:space="preserve">From Config sheet</t>
  </si>
  <si>
    <t xml:space="preserve">Given</t>
  </si>
  <si>
    <t xml:space="preserve">derived from Parameters</t>
  </si>
  <si>
    <t xml:space="preserve">Q_W+K_W+V_W+O_W=4*d_model^2</t>
  </si>
  <si>
    <t xml:space="preserve">Parameters × Bytes/param (from Config Precision)</t>
  </si>
  <si>
    <t xml:space="preserve">Weight Memory(Byte)/GPU</t>
  </si>
  <si>
    <t xml:space="preserve">KV cache @ Beginning(Byte)</t>
  </si>
  <si>
    <t xml:space="preserve">Architecture KV (MLA/CSA/GQA) × input × layers × KV bytes</t>
  </si>
  <si>
    <t xml:space="preserve">KV cache @ End(Byte)</t>
  </si>
  <si>
    <t xml:space="preserve">Architecture KV × (input+output) × layers × KV bytes</t>
  </si>
  <si>
    <t xml:space="preserve">KV cache per GPU @ End</t>
  </si>
  <si>
    <t xml:space="preserve">Memory required per GPU</t>
  </si>
  <si>
    <t xml:space="preserve">KV/GPU × Batch_Size + Weights/GPU (production serving)</t>
  </si>
  <si>
    <t xml:space="preserve">GPU Memory Headroom</t>
  </si>
  <si>
    <t xml:space="preserve">Check if GPU has enough memory</t>
  </si>
  <si>
    <t xml:space="preserve">TP degree (was linked to header cell Config!B51)</t>
  </si>
  <si>
    <t xml:space="preserve">Prefill Phase</t>
  </si>
  <si>
    <t xml:space="preserve">Prefill Flop Per Layer</t>
  </si>
  <si>
    <t xml:space="preserve">QKV Projections</t>
  </si>
  <si>
    <t xml:space="preserve">2×input×(attn params/layer)×¾ — generalized from 2·in·3d²</t>
  </si>
  <si>
    <t xml:space="preserve">Q × Kᵀ (Attention Scores)</t>
  </si>
  <si>
    <t xml:space="preserve">2×input×attended tokens×(heads×head_dim); attended = full-attn fraction × min(ctx,cap) + rest × compressed span</t>
  </si>
  <si>
    <t xml:space="preserve">Attention x V</t>
  </si>
  <si>
    <t xml:space="preserve">same as Q×Kᵀ</t>
  </si>
  <si>
    <t xml:space="preserve">Output Projection</t>
  </si>
  <si>
    <t xml:space="preserve">2×input×(attn params/layer)×¼</t>
  </si>
  <si>
    <t xml:space="preserve">FFN (SwiGLU, 3 matrices)</t>
  </si>
  <si>
    <t xml:space="preserve">2*input*d_model*d_ff*3</t>
  </si>
  <si>
    <t xml:space="preserve">Norms / Softmax / Activations</t>
  </si>
  <si>
    <t xml:space="preserve">~O(input × d_model)~=5*input*d_model</t>
  </si>
  <si>
    <t xml:space="preserve">Total Prefill Flop Per Layer</t>
  </si>
  <si>
    <t xml:space="preserve">Prefill Flop All Layers</t>
  </si>
  <si>
    <t xml:space="preserve">Total Prefill Flop</t>
  </si>
  <si>
    <t xml:space="preserve">Prefill Compute Time(s)</t>
  </si>
  <si>
    <t xml:space="preserve">Prefill Compute Time(Theoretical)</t>
  </si>
  <si>
    <t xml:space="preserve">model FLOPS utilization (MFU)</t>
  </si>
  <si>
    <t xml:space="preserve">Prefill Compute Time(50% MFU)</t>
  </si>
  <si>
    <t xml:space="preserve">Prefill HBM Traffic per Layer (byte)</t>
  </si>
  <si>
    <t xml:space="preserve">model weights</t>
  </si>
  <si>
    <t xml:space="preserve">Bytes/param × (non-expert + all-expert params) per layer</t>
  </si>
  <si>
    <t xml:space="preserve">Activation reads/writes (intermediate tensors)</t>
  </si>
  <si>
    <t xml:space="preserve">~4 activation tensors per layer: input*d_model</t>
  </si>
  <si>
    <t xml:space="preserve">KV cache write</t>
  </si>
  <si>
    <t xml:space="preserve">Architecture KV write: input × KV elements/token/layer × KV bytes</t>
  </si>
  <si>
    <t xml:space="preserve">FlashAttention internal I/O</t>
  </si>
  <si>
    <t xml:space="preserve">O(input × d_model)~=2*input*d_model</t>
  </si>
  <si>
    <t xml:space="preserve">Prefill HBM Traffic Per Layer</t>
  </si>
  <si>
    <t xml:space="preserve">Prefill HBM Traffic All (byte)</t>
  </si>
  <si>
    <t xml:space="preserve">Total Prefill HBM Traffic All</t>
  </si>
  <si>
    <t xml:space="preserve">Prefill HBM Traffic Time(s)</t>
  </si>
  <si>
    <t xml:space="preserve">Prefill HBM Traffic Time(Theoretical)</t>
  </si>
  <si>
    <t xml:space="preserve">Arithmetic intensity check</t>
  </si>
  <si>
    <t xml:space="preserve">total Prefill flop/Total Prefill HBM Traffic(byte)&gt;&gt;797 roofline breakeven</t>
  </si>
  <si>
    <t xml:space="preserve">Prefill NVLink Communication (byte)</t>
  </si>
  <si>
    <t xml:space="preserve">all-reduce of the output activation size</t>
  </si>
  <si>
    <t xml:space="preserve">input*d_model</t>
  </si>
  <si>
    <t xml:space="preserve">Per all-reduce (ring-reduce)</t>
  </si>
  <si>
    <t xml:space="preserve">2*(no.of GPU-1)/(no. of GPU)*input*d_model</t>
  </si>
  <si>
    <t xml:space="preserve">Count per layer</t>
  </si>
  <si>
    <t xml:space="preserve">all-reduces (one after attention output projection, one after FFN)</t>
  </si>
  <si>
    <t xml:space="preserve">Total per Layer</t>
  </si>
  <si>
    <t xml:space="preserve">Per all-reduce * Count per layer</t>
  </si>
  <si>
    <t xml:space="preserve">Total NVLink Communication</t>
  </si>
  <si>
    <t xml:space="preserve">Total per Layer*n_layers</t>
  </si>
  <si>
    <t xml:space="preserve">Total NVLink Communication Time(s)</t>
  </si>
  <si>
    <t xml:space="preserve">Total NVLink Communication/per-GPU NVLink BW</t>
  </si>
  <si>
    <t xml:space="preserve">NVLink Communication Time with Sharp(s)</t>
  </si>
  <si>
    <t xml:space="preserve">SHARP in-network reduction (up to 50% traffic reduction)</t>
  </si>
  <si>
    <t xml:space="preserve">Total Prefill Time</t>
  </si>
  <si>
    <t xml:space="preserve">Compute Bound</t>
  </si>
  <si>
    <t xml:space="preserve">DECODE</t>
  </si>
  <si>
    <t xml:space="preserve">Avg context = input + output/2</t>
  </si>
  <si>
    <t xml:space="preserve">Decode Flop Per Layer</t>
  </si>
  <si>
    <t xml:space="preserve">QKV Projections (per tok)</t>
  </si>
  <si>
    <t xml:space="preserve">2×(attn params/layer)×¾ per token</t>
  </si>
  <si>
    <t xml:space="preserve">Q × Kᵀ (per tok, avg)</t>
  </si>
  <si>
    <t xml:space="preserve">2×(heads×head_dim)×attended tokens (avg ctx = input + output/2)</t>
  </si>
  <si>
    <t xml:space="preserve">Attention × V (per tok, avg)</t>
  </si>
  <si>
    <t xml:space="preserve">Output Projection (per tok)</t>
  </si>
  <si>
    <t xml:space="preserve">2×(attn params/layer)×¼ per token</t>
  </si>
  <si>
    <t xml:space="preserve">FFN SwiGLU (per tok)</t>
  </si>
  <si>
    <t xml:space="preserve">2*d_model*d_ff*3</t>
  </si>
  <si>
    <t xml:space="preserve">DECODE per Layer (per tok avg)</t>
  </si>
  <si>
    <t xml:space="preserve">Decode Flop All Layers</t>
  </si>
  <si>
    <t xml:space="preserve">2*1(1token)*d_model^2*3</t>
  </si>
  <si>
    <t xml:space="preserve">2*d_model*(input+output/2)</t>
  </si>
  <si>
    <t xml:space="preserve">2*1(1token)*d_model^2</t>
  </si>
  <si>
    <t xml:space="preserve">Decode Total All Layers(per tok avg)</t>
  </si>
  <si>
    <t xml:space="preserve">Decode Total All Tokens</t>
  </si>
  <si>
    <t xml:space="preserve">Decode Compute Time</t>
  </si>
  <si>
    <t xml:space="preserve">Decode Compute Time per Token(s)</t>
  </si>
  <si>
    <t xml:space="preserve">Decode Compute Time All Token(s)</t>
  </si>
  <si>
    <t xml:space="preserve">Decode HBM Data Movement per Token</t>
  </si>
  <si>
    <t xml:space="preserve">Decode HBM Data Movement per Layer (byte)</t>
  </si>
  <si>
    <t xml:space="preserve">model weights per layer</t>
  </si>
  <si>
    <t xml:space="preserve">Att_params + FFN_params×MoE_ratio × bytes/param</t>
  </si>
  <si>
    <t xml:space="preserve">KV cache read per layer</t>
  </si>
  <si>
    <t xml:space="preserve">Architecture KV read per layer (compressed; no longer full-MHA reference)</t>
  </si>
  <si>
    <t xml:space="preserve">KV cache write per layer</t>
  </si>
  <si>
    <t xml:space="preserve">KV write per token per layer</t>
  </si>
  <si>
    <t xml:space="preserve">Total Decode HBM Data Movement per Layer</t>
  </si>
  <si>
    <t xml:space="preserve">Decode HBM Data Movement All Layer (byte)</t>
  </si>
  <si>
    <t xml:space="preserve">model weights all</t>
  </si>
  <si>
    <t xml:space="preserve">KV cache read all</t>
  </si>
  <si>
    <t xml:space="preserve">KV cache write all</t>
  </si>
  <si>
    <t xml:space="preserve">~negligible</t>
  </si>
  <si>
    <t xml:space="preserve">Total Decode HBM Data Movement All Layer</t>
  </si>
  <si>
    <t xml:space="preserve">Decode HBM Data Movement Time per Token</t>
  </si>
  <si>
    <t xml:space="preserve">Decode HBM Time(Theoretical)</t>
  </si>
  <si>
    <t xml:space="preserve">&lt;&lt; roofline breakeven of 797 FLOP/byte</t>
  </si>
  <si>
    <t xml:space="preserve">Compute utilization</t>
  </si>
  <si>
    <t xml:space="preserve">memory-bandwidth-bound</t>
  </si>
  <si>
    <t xml:space="preserve">Decode NVLink Communication Per Token</t>
  </si>
  <si>
    <t xml:space="preserve">All-reduce message per operation</t>
  </si>
  <si>
    <t xml:space="preserve">Activation bytes (FP8=1, FP16=2) × d_model — activations not in FP4</t>
  </si>
  <si>
    <t xml:space="preserve">Number of all-reduces per layer</t>
  </si>
  <si>
    <t xml:space="preserve">one after attention output projection, one after FFN</t>
  </si>
  <si>
    <t xml:space="preserve">Number of all-reduces All layers</t>
  </si>
  <si>
    <t xml:space="preserve">Number of all-reduces per layer*n_layers</t>
  </si>
  <si>
    <t xml:space="preserve">Total data per all-reduces(ring)</t>
  </si>
  <si>
    <t xml:space="preserve">2*msg*(no.of GPU-1)/(no. of GPU)</t>
  </si>
  <si>
    <t xml:space="preserve">Total NVLink traffic per token</t>
  </si>
  <si>
    <t xml:space="preserve">Number of all-reduces*Total data per all-reduces(ring)</t>
  </si>
  <si>
    <t xml:space="preserve">Total NVLink traffic Time per token</t>
  </si>
  <si>
    <t xml:space="preserve">&lt;5us latency per all reduce</t>
  </si>
  <si>
    <t xml:space="preserve">NVLink Latency per token</t>
  </si>
  <si>
    <t xml:space="preserve">2 μs × PP hops (Config!B64) × all-reduces all layers (B145, =2×n_layers) × SHARP (Config!B60); scales with model depth</t>
  </si>
  <si>
    <t xml:space="preserve">Decode Data Time Per Token(avg,s)</t>
  </si>
  <si>
    <t xml:space="preserve">Decode Data Time All Tokens(s)</t>
  </si>
  <si>
    <t xml:space="preserve">Decode Total Time per Token(s)</t>
  </si>
  <si>
    <t xml:space="preserve">Decode Total Time All Tokens(s)</t>
  </si>
  <si>
    <t xml:space="preserve">DECODE Total Time per Token*output</t>
  </si>
  <si>
    <t xml:space="preserve">Architecture KV (MLA / CSA-HCA / GQA)</t>
  </si>
  <si>
    <t xml:space="preserve">model weights (active, single request)</t>
  </si>
  <si>
    <t xml:space="preserve">Active weights only (single request); was full model</t>
  </si>
  <si>
    <t xml:space="preserve">From Config</t>
  </si>
  <si>
    <t xml:space="preserve">Original KV cache per token per layer</t>
  </si>
  <si>
    <t xml:space="preserve">2*d_head*n_head</t>
  </si>
  <si>
    <t xml:space="preserve">KV elements per token per layer</t>
  </si>
  <si>
    <t xml:space="preserve">2×d_head×KV heads(eq.) = Config!K45</t>
  </si>
  <si>
    <t xml:space="preserve">GQA KV cache all layers per token</t>
  </si>
  <si>
    <t xml:space="preserve">KV elements × avg ctx × layers × KV bytes</t>
  </si>
  <si>
    <t xml:space="preserve">HBM traffic for decoding</t>
  </si>
  <si>
    <t xml:space="preserve">model + GQA KV cache</t>
  </si>
  <si>
    <t xml:space="preserve">Decode HBM Time per Token-GQA</t>
  </si>
  <si>
    <t xml:space="preserve">HBM Time boost</t>
  </si>
  <si>
    <t xml:space="preserve">With</t>
  </si>
  <si>
    <t xml:space="preserve">Concurrent Requests - Batch Size</t>
  </si>
  <si>
    <t xml:space="preserve">model weights read per batched step</t>
  </si>
  <si>
    <t xml:space="preserve">Batched decode step reads non-expert + shared + routed × P(expert hit) = 1−(1−k/E)^batch, + LM head</t>
  </si>
  <si>
    <t xml:space="preserve">Batch Size/tokens per step</t>
  </si>
  <si>
    <t xml:space="preserve">GQA KV cache Total</t>
  </si>
  <si>
    <t xml:space="preserve">GQA KV cache*Batch Size, bounded by HBM Size</t>
  </si>
  <si>
    <t xml:space="preserve">HBM traffic</t>
  </si>
  <si>
    <t xml:space="preserve">for batch size tokens</t>
  </si>
  <si>
    <t xml:space="preserve">HBM time per token</t>
  </si>
  <si>
    <t xml:space="preserve">HBM traffic/HBM BW/Batch Size</t>
  </si>
  <si>
    <t xml:space="preserve">Speculative Decoding</t>
  </si>
  <si>
    <t xml:space="preserve">token generated per step</t>
  </si>
  <si>
    <t xml:space="preserve">Expected Token Accepted</t>
  </si>
  <si>
    <t xml:space="preserve">HBM Time boost -Total</t>
  </si>
  <si>
    <t xml:space="preserve">NVLink Optimization for Decode</t>
  </si>
  <si>
    <t xml:space="preserve">1. Compute-Communication Overlap</t>
  </si>
  <si>
    <t xml:space="preserve">Compute time per token (s)</t>
  </si>
  <si>
    <t xml:space="preserve">From decode compute calculation</t>
  </si>
  <si>
    <t xml:space="preserve">From Config override</t>
  </si>
  <si>
    <t xml:space="preserve">Overlap efficiency</t>
  </si>
  <si>
    <t xml:space="preserve">Effective NVLink time per token after overlap (s)</t>
  </si>
  <si>
    <t xml:space="preserve">NVLink_time × (1 - overlap_efficiency)</t>
  </si>
  <si>
    <t xml:space="preserve">2. Reduced TP Group via Pipeline Parallelism (PP)</t>
  </si>
  <si>
    <t xml:space="preserve">Original TP degree (full NVL72)</t>
  </si>
  <si>
    <t xml:space="preserve">All GPUs in one TP group</t>
  </si>
  <si>
    <t xml:space="preserve">New TP degree</t>
  </si>
  <si>
    <t xml:space="preserve">No. of GPU / TP_degree</t>
  </si>
  <si>
    <t xml:space="preserve">Original ring-reduce factor (TP-1)/TP</t>
  </si>
  <si>
    <t xml:space="preserve">(TP-1)/TP</t>
  </si>
  <si>
    <t xml:space="preserve">New ring-reduce factor (TP-1)/TP</t>
  </si>
  <si>
    <t xml:space="preserve">(new TP-1)/new TP</t>
  </si>
  <si>
    <t xml:space="preserve">All-reduce data reduction ratio</t>
  </si>
  <si>
    <t xml:space="preserve">New factor / Old factor</t>
  </si>
  <si>
    <t xml:space="preserve">All-reduce data per op with new TP (ring, bytes)</t>
  </si>
  <si>
    <t xml:space="preserve">2 × FP8_msg × (TP-1)/TP</t>
  </si>
  <si>
    <t xml:space="preserve">Total NVLink traffic per token with new TP (bytes)</t>
  </si>
  <si>
    <t xml:space="preserve">All-reduce data per op × all-reduces all layers</t>
  </si>
  <si>
    <t xml:space="preserve">Per-GPU NVLink BW (TB/s)</t>
  </si>
  <si>
    <t xml:space="preserve">Total NVLink BW / GPUs</t>
  </si>
  <si>
    <t xml:space="preserve">NVLink time per token raw (s)</t>
  </si>
  <si>
    <t xml:space="preserve">Traffic / per-GPU NVLink BW</t>
  </si>
  <si>
    <t xml:space="preserve">With SHARP (50% reduction)</t>
  </si>
  <si>
    <t xml:space="preserve">SHARP in-network reduction</t>
  </si>
  <si>
    <t xml:space="preserve">With overlap (from Step 1)</t>
  </si>
  <si>
    <t xml:space="preserve">Apply compute-communication overlap</t>
  </si>
  <si>
    <t xml:space="preserve">Combined NVLink Optimization Result</t>
  </si>
  <si>
    <t xml:space="preserve">Original NVLink time per token with SHARP (s)</t>
  </si>
  <si>
    <t xml:space="preserve">Baseline</t>
  </si>
  <si>
    <t xml:space="preserve">Optimized NVLink time per token (s)</t>
  </si>
  <si>
    <t xml:space="preserve">TP+SHARP+Overlap combined</t>
  </si>
  <si>
    <t xml:space="preserve">1 μs × PP hops × all-reduces all layers (B145) × SHARP; scales with model depth</t>
  </si>
  <si>
    <t xml:space="preserve">INTER-RACK NETWORK ANALYSIS</t>
  </si>
  <si>
    <t xml:space="preserve">Inter-Rack Network Specs (from Config)</t>
  </si>
  <si>
    <t xml:space="preserve">After oversubscription</t>
  </si>
  <si>
    <t xml:space="preserve">Hops × per-hop latency</t>
  </si>
  <si>
    <t xml:space="preserve">No. of DP Replicas (racks)</t>
  </si>
  <si>
    <t xml:space="preserve">All racks in DC</t>
  </si>
  <si>
    <t xml:space="preserve">1. Inter-Rack Data Parallelism (DP) All-Reduce</t>
  </si>
  <si>
    <t xml:space="preserve">DP All-Reduce per Batch (ring-reduce, bytes)</t>
  </si>
  <si>
    <t xml:space="preserve">2*(N-1)/N × model_weight_bytes (ring all-reduce)</t>
  </si>
  <si>
    <t xml:space="preserve">DP All-Reduce per Batch w/ SHARP (bytes)</t>
  </si>
  <si>
    <t xml:space="preserve">After SHARP in-network reduction</t>
  </si>
  <si>
    <t xml:space="preserve">DP All-Reduce Time per Batch (s)</t>
  </si>
  <si>
    <t xml:space="preserve">Reduced bytes / effective BW per GPU</t>
  </si>
  <si>
    <t xml:space="preserve">Note: For pure inference, DP sync is NOT needed</t>
  </si>
  <si>
    <t xml:space="preserve">DP all-reduce only for training; inference = independent replicas</t>
  </si>
  <si>
    <t xml:space="preserve">2. Disaggregated Inference — KV Cache Transfer</t>
  </si>
  <si>
    <t xml:space="preserve">KV Cache per Request (bytes)</t>
  </si>
  <si>
    <t xml:space="preserve">KV elements × layers × KV bytes × (input+output)</t>
  </si>
  <si>
    <t xml:space="preserve">Network Latency Overhead (s)</t>
  </si>
  <si>
    <t xml:space="preserve">One-way inter-rack latency</t>
  </si>
  <si>
    <t xml:space="preserve">Total Disaggregated P→D Transfer Time (s)</t>
  </si>
  <si>
    <t xml:space="preserve">KV transfer + network latency</t>
  </si>
  <si>
    <t xml:space="preserve">3. Inter-Rack Decode Overhead (per token)</t>
  </si>
  <si>
    <t xml:space="preserve">Load-Balancer Routing Latency per Request (s)</t>
  </si>
  <si>
    <t xml:space="preserve">One-way routing to serving rack</t>
  </si>
  <si>
    <t xml:space="preserve">Result Return Latency per Request (s)</t>
  </si>
  <si>
    <t xml:space="preserve">Return path from serving rack</t>
  </si>
  <si>
    <t xml:space="preserve">Token Streaming Overhead per Token (s)</t>
  </si>
  <si>
    <t xml:space="preserve">2 × one-way (fwd + return per token for streaming)</t>
  </si>
  <si>
    <t xml:space="preserve">Combined Inter-Rack Impact on E2E Latency</t>
  </si>
  <si>
    <t xml:space="preserve">Scenario A: Colocated Inference (single rack per request)</t>
  </si>
  <si>
    <t xml:space="preserve">Intra-Rack E2E Latency (s)</t>
  </si>
  <si>
    <t xml:space="preserve">TL optimized E2E less integrated inter-rack terms</t>
  </si>
  <si>
    <t xml:space="preserve">Load Balancer Routing Overhead (s)</t>
  </si>
  <si>
    <t xml:space="preserve">Routing to rack + result return</t>
  </si>
  <si>
    <t xml:space="preserve">Integrated Multi-Rack TP + Streaming Overhead (s)</t>
  </si>
  <si>
    <t xml:space="preserve">Optimized TP and streaming terms used by TL_Param</t>
  </si>
  <si>
    <t xml:space="preserve">Adjusted E2E Latency — Colocated (s)</t>
  </si>
  <si>
    <t xml:space="preserve">E2E (with integrated inter-rack) + LB + streaming</t>
  </si>
  <si>
    <t xml:space="preserve">Scenario B: Disaggregated Inference (prefill → decode across racks)</t>
  </si>
  <si>
    <t xml:space="preserve">Prefill Time (s)</t>
  </si>
  <si>
    <t xml:space="preserve">Tokenization + Prefill+KV from TL_Param</t>
  </si>
  <si>
    <t xml:space="preserve">KV Cache Transfer Across Racks (s)</t>
  </si>
  <si>
    <t xml:space="preserve">From Section 2 above</t>
  </si>
  <si>
    <t xml:space="preserve">Decode Time (s)</t>
  </si>
  <si>
    <t xml:space="preserve">Decode-first + Decode-all + De-tokenization</t>
  </si>
  <si>
    <t xml:space="preserve">Token Streaming Overhead (s)</t>
  </si>
  <si>
    <t xml:space="preserve">Same as Scenario A</t>
  </si>
  <si>
    <t xml:space="preserve">Adjusted E2E Latency — Disaggregated (s)</t>
  </si>
  <si>
    <t xml:space="preserve">Prefill + KV transfer + Decode + streaming</t>
  </si>
  <si>
    <t xml:space="preserve">Network Overhead % (Colocated)</t>
  </si>
  <si>
    <t xml:space="preserve">How much inter-rack adds to latency</t>
  </si>
  <si>
    <t xml:space="preserve">Network Overhead % (Disaggregated)</t>
  </si>
  <si>
    <t xml:space="preserve">How much disaggregation adds vs colocated base</t>
  </si>
  <si>
    <t xml:space="preserve">Adjusted Token Throughput with Inter-Rack Network</t>
  </si>
  <si>
    <t xml:space="preserve">Colocated — Avg Time per Output Token (s)</t>
  </si>
  <si>
    <t xml:space="preserve">Adjusted E2E / (Batch × Output)</t>
  </si>
  <si>
    <t xml:space="preserve">Colocated — Tokens/sec per Rack</t>
  </si>
  <si>
    <t xml:space="preserve">1 / avg time per output token</t>
  </si>
  <si>
    <t xml:space="preserve">Colocated — Throughput Reduction vs Intra-Rack</t>
  </si>
  <si>
    <t xml:space="preserve">How much network overhead reduces throughput</t>
  </si>
  <si>
    <t xml:space="preserve">Disaggregated — Avg Time per Output Token (s)</t>
  </si>
  <si>
    <t xml:space="preserve">Disagg E2E / (Batch × Output)</t>
  </si>
  <si>
    <t xml:space="preserve">Disaggregated — Tokens/sec per Rack</t>
  </si>
  <si>
    <t xml:space="preserve">Disaggregated — Throughput Reduction vs Intra-Rack</t>
  </si>
  <si>
    <t xml:space="preserve">How much disaggregation reduces throughput</t>
  </si>
  <si>
    <t xml:space="preserve">Summary: Original vs Network-Adjusted</t>
  </si>
  <si>
    <t xml:space="preserve">Original Tokens/sec per Rack (no network)</t>
  </si>
  <si>
    <t xml:space="preserve">From TL_Param optimized</t>
  </si>
  <si>
    <t xml:space="preserve">Colocated Tokens/sec per Rack</t>
  </si>
  <si>
    <t xml:space="preserve">With inter-rack LB + streaming overhead</t>
  </si>
  <si>
    <t xml:space="preserve">Disaggregated Tokens/sec per Rack</t>
  </si>
  <si>
    <t xml:space="preserve">With KV cache transfer across racks</t>
  </si>
  <si>
    <t xml:space="preserve">Network Impact: Colocated</t>
  </si>
  <si>
    <t xml:space="preserve">Throughput reduction %</t>
  </si>
  <si>
    <t xml:space="preserve">Network Impact: Disaggregated</t>
  </si>
  <si>
    <t xml:space="preserve">4. MULTI-RACK TENSOR PARALLELISM (when model exceeds 1 rack)</t>
  </si>
  <si>
    <t xml:space="preserve">Model Fits in 1 Rack?</t>
  </si>
  <si>
    <t xml:space="preserve">Based on GPU Memory Headroom (B43)</t>
  </si>
  <si>
    <t xml:space="preserve">GPU Memory per Rack (TB)</t>
  </si>
  <si>
    <t xml:space="preserve">Total GPU HBM in one rack</t>
  </si>
  <si>
    <t xml:space="preserve">Weight Memory (TB)</t>
  </si>
  <si>
    <t xml:space="preserve">Model weights in bytes → TB</t>
  </si>
  <si>
    <t xml:space="preserve">KV Cache End (TB)</t>
  </si>
  <si>
    <t xml:space="preserve">KV cache × Batch_Size (all concurrent requests)</t>
  </si>
  <si>
    <t xml:space="preserve">Total Memory Required (TB)</t>
  </si>
  <si>
    <t xml:space="preserve">Weights + KV cache</t>
  </si>
  <si>
    <t xml:space="preserve">Racks Needed for TP</t>
  </si>
  <si>
    <t xml:space="preserve">Ceiling(total_mem / mem_per_rack)</t>
  </si>
  <si>
    <t xml:space="preserve">Cross-Rack Activation Transfer (per layer)</t>
  </si>
  <si>
    <t xml:space="preserve">Activation Size per Token (bytes)</t>
  </si>
  <si>
    <t xml:space="preserve">d_model × 2 (FP16 activations)</t>
  </si>
  <si>
    <t xml:space="preserve">Effective Rack-to-Rack BW (bytes/s)</t>
  </si>
  <si>
    <t xml:space="preserve">rack_NIC_BW / n_TP_racks</t>
  </si>
  <si>
    <t xml:space="preserve">Cross-Rack Time per Layer — Decode (s)</t>
  </si>
  <si>
    <t xml:space="preserve">2 × activation_bytes / cross_rack_BW</t>
  </si>
  <si>
    <t xml:space="preserve">Cross-Rack Time per Layer — Prefill (s)</t>
  </si>
  <si>
    <t xml:space="preserve">2 × activation_bytes × input_tokens / BW</t>
  </si>
  <si>
    <t xml:space="preserve">Total Multi-Rack TP Overhead per Forward Pass</t>
  </si>
  <si>
    <t xml:space="preserve">Prefill Cross-Rack Overhead (s)</t>
  </si>
  <si>
    <t xml:space="preserve">prefill_per_layer × n_layers</t>
  </si>
  <si>
    <t xml:space="preserve">Decode Cross-Rack Overhead per Token (s)</t>
  </si>
  <si>
    <t xml:space="preserve">decode_per_layer × n_layers</t>
  </si>
  <si>
    <t xml:space="preserve">Decode Cross-Rack Overhead All Tokens (s)</t>
  </si>
  <si>
    <t xml:space="preserve">per_token × output_tokens</t>
  </si>
  <si>
    <t xml:space="preserve">Summary: Inter-Rack Time for TL_Param Pipeline</t>
  </si>
  <si>
    <t xml:space="preserve">Step 2 — Embedding + Routing (s)</t>
  </si>
  <si>
    <t xml:space="preserve">One-way routing latency (unchanged)</t>
  </si>
  <si>
    <t xml:space="preserve">Step 3 — Prefill Inter-Rack (s)</t>
  </si>
  <si>
    <t xml:space="preserve">0 if colocated, else prefill cross-rack overhead</t>
  </si>
  <si>
    <t xml:space="preserve">Step 5 — Decode-All Inter-Rack (s) — Baseline</t>
  </si>
  <si>
    <t xml:space="preserve">TP_overhead + streaming (no overlap)</t>
  </si>
  <si>
    <t xml:space="preserve">Step 5 — Decode-All Inter-Rack (s) — Optimized</t>
  </si>
  <si>
    <t xml:space="preserve">TP_overhead + streaming (× 1-overlap)</t>
  </si>
  <si>
    <t xml:space="preserve">Same as B293 (for readability)</t>
  </si>
  <si>
    <t xml:space="preserve">Data Center Cost Model — 1 GW Vera Rubin NVL72 Facility</t>
  </si>
  <si>
    <t xml:space="preserve">Section 1: Data Center Specifications (from Config)</t>
  </si>
  <si>
    <t xml:space="preserve">Item</t>
  </si>
  <si>
    <t xml:space="preserve">Value</t>
  </si>
  <si>
    <t xml:space="preserve">Unit</t>
  </si>
  <si>
    <t xml:space="preserve">Source / Note</t>
  </si>
  <si>
    <t xml:space="preserve">Total IT Power</t>
  </si>
  <si>
    <t xml:space="preserve">MW</t>
  </si>
  <si>
    <t xml:space="preserve">Config!F5 (VR preset, dropdown-independent)</t>
  </si>
  <si>
    <t xml:space="preserve">Config!F6 (VR preset, dropdown-independent)</t>
  </si>
  <si>
    <t xml:space="preserve">Total Facility Power (IT × PUE)</t>
  </si>
  <si>
    <t xml:space="preserve">Total electrical load including cooling, lighting, etc.</t>
  </si>
  <si>
    <t xml:space="preserve">Config!F7 (VR preset, dropdown-independent)</t>
  </si>
  <si>
    <t xml:space="preserve">Number of Racks</t>
  </si>
  <si>
    <t xml:space="preserve">racks</t>
  </si>
  <si>
    <t xml:space="preserve">Config!F8 (VR preset, dropdown-independent)</t>
  </si>
  <si>
    <t xml:space="preserve">GPUs per Rack</t>
  </si>
  <si>
    <t xml:space="preserve">GPUs</t>
  </si>
  <si>
    <t xml:space="preserve">Config!F14 (VR preset, dropdown-independent)</t>
  </si>
  <si>
    <t xml:space="preserve">Total GPUs</t>
  </si>
  <si>
    <t xml:space="preserve">Racks × GPUs per rack</t>
  </si>
  <si>
    <t xml:space="preserve">Power per Rack (est.)</t>
  </si>
  <si>
    <t xml:space="preserve">kW</t>
  </si>
  <si>
    <t xml:space="preserve">Total IT Power / Racks</t>
  </si>
  <si>
    <t xml:space="preserve">Total Facility Sq. Ft. (est.)</t>
  </si>
  <si>
    <t xml:space="preserve">sq ft</t>
  </si>
  <si>
    <t xml:space="preserve">~80 sq ft per rack (AI liquid-cooled, incl. aisles + support)</t>
  </si>
  <si>
    <t xml:space="preserve">Section 2: Capital Expenditure (CapEx) Breakdown</t>
  </si>
  <si>
    <t xml:space="preserve">Category</t>
  </si>
  <si>
    <t xml:space="preserve">Unit Cost</t>
  </si>
  <si>
    <t xml:space="preserve">Quantity / Basis</t>
  </si>
  <si>
    <t xml:space="preserve">Total ($M)</t>
  </si>
  <si>
    <t xml:space="preserve">Assumption / Source</t>
  </si>
  <si>
    <t xml:space="preserve">% of CapEx</t>
  </si>
  <si>
    <t xml:space="preserve">2A. IT Hardware (Servers &amp; GPUs)</t>
  </si>
  <si>
    <t xml:space="preserve">Est. $6M/rack per Config VR preset (F27); GB200 ~$3M, Rubin gen premium ~15-20%</t>
  </si>
  <si>
    <t xml:space="preserve">  Scale-out Networking (InfiniBand/Ethernet)</t>
  </si>
  <si>
    <t xml:space="preserve">Quantum-X800 IB + Spectrum-X Ethernet per-rack allocation</t>
  </si>
  <si>
    <t xml:space="preserve">  Top-of-Rack &amp; Spine Switches</t>
  </si>
  <si>
    <t xml:space="preserve">Mgmt network, OOB, storage fabric per-rack allocation</t>
  </si>
  <si>
    <t xml:space="preserve">  Storage &amp; Boot Infrastructure</t>
  </si>
  <si>
    <t xml:space="preserve">NVMe boot drives, shared storage, cabling per rack</t>
  </si>
  <si>
    <t xml:space="preserve">Subtotal IT Hardware</t>
  </si>
  <si>
    <t xml:space="preserve">2B. Land, Building &amp; Site Work</t>
  </si>
  <si>
    <t xml:space="preserve">  Land Acquisition (est. 100 acres)</t>
  </si>
  <si>
    <t xml:space="preserve">~100 acres; $200K/acre (semi-rural US, utility-adjacent)</t>
  </si>
  <si>
    <t xml:space="preserve">  Building Shell &amp; Core</t>
  </si>
  <si>
    <t xml:space="preserve">$3M/MW facility power; foundation, structure, envelope</t>
  </si>
  <si>
    <t xml:space="preserve">  Site Work &amp; Civil (roads, grading, fencing)</t>
  </si>
  <si>
    <t xml:space="preserve">$500K/MW facility power; roads, grading, security fence</t>
  </si>
  <si>
    <t xml:space="preserve">Subtotal Land &amp; Building</t>
  </si>
  <si>
    <t xml:space="preserve">2C. Electrical Infrastructure</t>
  </si>
  <si>
    <t xml:space="preserve">  Substation &amp; Grid Interconnection</t>
  </si>
  <si>
    <t xml:space="preserve">$1.5M/MW; HV substation, transformers, HV switchgear</t>
  </si>
  <si>
    <t xml:space="preserve">  Medium Voltage Distribution &amp; PDUs</t>
  </si>
  <si>
    <t xml:space="preserve">$800K/MW; MV switchgear, busway, rack-level PDUs</t>
  </si>
  <si>
    <t xml:space="preserve">  Backup Generators (N+1 diesel/gas)</t>
  </si>
  <si>
    <t xml:space="preserve">$600K/MW; diesel/gas turbine gen-sets with N+1 redundancy</t>
  </si>
  <si>
    <t xml:space="preserve">  UPS &amp; Battery Storage</t>
  </si>
  <si>
    <t xml:space="preserve">$400K/MW IT; UPS systems + Li-ion BESS for ride-through</t>
  </si>
  <si>
    <t xml:space="preserve">Subtotal Electrical</t>
  </si>
  <si>
    <t xml:space="preserve">2D. Cooling &amp; Mechanical Systems</t>
  </si>
  <si>
    <t xml:space="preserve">  Liquid Cooling (CDUs, piping, cold plates)</t>
  </si>
  <si>
    <t xml:space="preserve">~$56K/rack; Morgan Stanley est. cold plates + CDU piping</t>
  </si>
  <si>
    <t xml:space="preserve">  Cooling Towers &amp; Heat Rejection Plant</t>
  </si>
  <si>
    <t xml:space="preserve">$300K/MW; cooling towers, chillers, pumps, water treatment</t>
  </si>
  <si>
    <t xml:space="preserve">  Fire Suppression &amp; HVAC (non-IT areas)</t>
  </si>
  <si>
    <t xml:space="preserve">$100K/MW; clean agent suppression, office HVAC</t>
  </si>
  <si>
    <t xml:space="preserve">Subtotal Cooling &amp; Mechanical</t>
  </si>
  <si>
    <t xml:space="preserve">2E. Fiber, Cabling &amp; Security</t>
  </si>
  <si>
    <t xml:space="preserve">  Fiber Optic &amp; Structured Cabling</t>
  </si>
  <si>
    <t xml:space="preserve">$200K/MW; intra-campus dark fiber, cable trays, patch panels</t>
  </si>
  <si>
    <t xml:space="preserve">  Physical Security &amp; BMS</t>
  </si>
  <si>
    <t xml:space="preserve">$50K/MW; CCTV, access control, DCIM, BMS sensors</t>
  </si>
  <si>
    <t xml:space="preserve">Subtotal Fiber, Cabling &amp; Security</t>
  </si>
  <si>
    <t xml:space="preserve">2F. Soft Costs &amp; Contingency</t>
  </si>
  <si>
    <t xml:space="preserve">  Design, Engineering &amp; Permitting</t>
  </si>
  <si>
    <t xml:space="preserve">% of non-IT CapEx</t>
  </si>
  <si>
    <t xml:space="preserve">3% of facility CapEx; A&amp;E, environmental, permits</t>
  </si>
  <si>
    <t xml:space="preserve">  Project Management &amp; Commissioning</t>
  </si>
  <si>
    <t xml:space="preserve">2% of facility CapEx; PM, CxA, testing &amp; validation</t>
  </si>
  <si>
    <t xml:space="preserve">  Contingency</t>
  </si>
  <si>
    <t xml:space="preserve">10% contingency on facility/infrastructure CapEx</t>
  </si>
  <si>
    <t xml:space="preserve">Subtotal Soft Costs &amp; Contingency</t>
  </si>
  <si>
    <t xml:space="preserve">TOTAL CAPEX</t>
  </si>
  <si>
    <t xml:space="preserve">CapEx Composition</t>
  </si>
  <si>
    <t xml:space="preserve">  IT Hardware share</t>
  </si>
  <si>
    <t xml:space="preserve">  Facility Infrastructure share</t>
  </si>
  <si>
    <t xml:space="preserve">  Soft Costs &amp; Contingency share</t>
  </si>
  <si>
    <t xml:space="preserve">  CapEx per MW (IT)</t>
  </si>
  <si>
    <t xml:space="preserve">$/MW of IT power</t>
  </si>
  <si>
    <t xml:space="preserve">  CapEx per GPU</t>
  </si>
  <si>
    <t xml:space="preserve">Total CapEx / Total GPUs</t>
  </si>
  <si>
    <t xml:space="preserve">Section 3: Annual Operating Expenditure (OpEx)</t>
  </si>
  <si>
    <t xml:space="preserve">Assumption</t>
  </si>
  <si>
    <t xml:space="preserve">Basis</t>
  </si>
  <si>
    <t xml:space="preserve">Annual ($M)</t>
  </si>
  <si>
    <t xml:space="preserve">Note / Source</t>
  </si>
  <si>
    <t xml:space="preserve">% of OpEx</t>
  </si>
  <si>
    <t xml:space="preserve">3A. Depreciation (GAAP, Straight-Line)</t>
  </si>
  <si>
    <t xml:space="preserve">  IT Hardware (servers, GPUs, networking)</t>
  </si>
  <si>
    <t xml:space="preserve">years useful life</t>
  </si>
  <si>
    <t xml:space="preserve">ASC 360; 5-yr life per hyperscaler practice (Meta, MSFT)</t>
  </si>
  <si>
    <t xml:space="preserve">  Building &amp; Shell</t>
  </si>
  <si>
    <t xml:space="preserve">ASC 360; 30-yr life. Land ($20M) excluded — indefinite-lived asset per GAAP.</t>
  </si>
  <si>
    <t xml:space="preserve">  Electrical Infrastructure</t>
  </si>
  <si>
    <t xml:space="preserve">ASC 360; 15-25yr for heavy electrical equipment</t>
  </si>
  <si>
    <t xml:space="preserve">  Cooling &amp; Mechanical</t>
  </si>
  <si>
    <t xml:space="preserve">ASC 360; 10-20yr for HVAC/mechanical systems</t>
  </si>
  <si>
    <t xml:space="preserve">  Fiber, Cabling &amp; Security</t>
  </si>
  <si>
    <t xml:space="preserve">ASC 360; 7-15yr for structured cabling/security</t>
  </si>
  <si>
    <t xml:space="preserve">Subtotal Annual Depreciation</t>
  </si>
  <si>
    <t xml:space="preserve">3B. Electricity Cost</t>
  </si>
  <si>
    <t xml:space="preserve">  Electricity Rate (blended)</t>
  </si>
  <si>
    <t xml:space="preserve">$/kWh</t>
  </si>
  <si>
    <t xml:space="preserve">US industrial avg $0.05-0.08; PPA-negotiated rate</t>
  </si>
  <si>
    <t xml:space="preserve">  Annual Energy (facility)</t>
  </si>
  <si>
    <t xml:space="preserve">MWh/year</t>
  </si>
  <si>
    <t xml:space="preserve">Facility MW × 8,760 hrs (100% utilization assumed)</t>
  </si>
  <si>
    <t xml:space="preserve">  Annual Electricity Cost</t>
  </si>
  <si>
    <t xml:space="preserve">MWh × 1000 kWh/MWh × $/kWh</t>
  </si>
  <si>
    <t xml:space="preserve">Subtotal Electricity</t>
  </si>
  <si>
    <t xml:space="preserve">3C. Maintenance &amp; Operations</t>
  </si>
  <si>
    <t xml:space="preserve">  IT Hardware Maintenance (spares, repair)</t>
  </si>
  <si>
    <t xml:space="preserve">% of IT HW CapEx/yr</t>
  </si>
  <si>
    <t xml:space="preserve">3% of IT HW CapEx; GPU/NIC failures, spares pool</t>
  </si>
  <si>
    <t xml:space="preserve">  Facility Maintenance (MEP)</t>
  </si>
  <si>
    <t xml:space="preserve">% of facility CapEx/yr</t>
  </si>
  <si>
    <t xml:space="preserve">2% of facility CapEx; preventive &amp; corrective maintenance</t>
  </si>
  <si>
    <t xml:space="preserve">  Staff (DC ops, NOC, security, mgmt)</t>
  </si>
  <si>
    <t xml:space="preserve">headcount (est.)</t>
  </si>
  <si>
    <t xml:space="preserve">500 FTEs @ $150K avg loaded cost; ops, NOC, security</t>
  </si>
  <si>
    <t xml:space="preserve">  Property Tax &amp; Insurance</t>
  </si>
  <si>
    <t xml:space="preserve">% of total CapEx/yr</t>
  </si>
  <si>
    <t xml:space="preserve">0.5% of total CapEx; property tax + all-risk insurance</t>
  </si>
  <si>
    <t xml:space="preserve">  Water &amp; Consumables</t>
  </si>
  <si>
    <t xml:space="preserve">$50K/MW/yr; cooling water, chemicals, diesel fuel stores</t>
  </si>
  <si>
    <t xml:space="preserve">  Software Licenses &amp; Connectivity</t>
  </si>
  <si>
    <t xml:space="preserve">$M/year</t>
  </si>
  <si>
    <t xml:space="preserve">DCIM, NVIDIA AI Enterprise, WAN transit, peering</t>
  </si>
  <si>
    <t xml:space="preserve">Subtotal Maintenance &amp; Operations</t>
  </si>
  <si>
    <t xml:space="preserve">TOTAL ANNUAL OPEX</t>
  </si>
  <si>
    <t xml:space="preserve">OpEx Composition</t>
  </si>
  <si>
    <t xml:space="preserve">  Depreciation share</t>
  </si>
  <si>
    <t xml:space="preserve">  Electricity share</t>
  </si>
  <si>
    <t xml:space="preserve">  Maintenance &amp; Ops share</t>
  </si>
  <si>
    <t xml:space="preserve">  OpEx per GPU per year</t>
  </si>
  <si>
    <t xml:space="preserve">Annual OpEx / Total GPUs</t>
  </si>
  <si>
    <t xml:space="preserve">Data Center Cost Model — 1 GW GB200 NVL72 Facility</t>
  </si>
  <si>
    <t xml:space="preserve">Section 1: Data Center Specifications (GB200 NVL72 Preset)</t>
  </si>
  <si>
    <t xml:space="preserve">From Config GB200 NVL72 preset (Col G)</t>
  </si>
  <si>
    <t xml:space="preserve">Est. $3M/rack; GB200 NVL72 pricing per Config preset</t>
  </si>
  <si>
    <t xml:space="preserve">Quantum-2 IB + Spectrum-X Ethernet per-rack allocation</t>
  </si>
  <si>
    <t xml:space="preserve">Token Generation &amp; Revenue Model — 1 GW Vera Rubin NVL72 Inference Facility</t>
  </si>
  <si>
    <t xml:space="preserve">Section 1: Inference Configuration (per Rack) — from Config</t>
  </si>
  <si>
    <t xml:space="preserve">Model Parameters</t>
  </si>
  <si>
    <t xml:space="preserve">params</t>
  </si>
  <si>
    <t xml:space="preserve">Linked from Config!B30</t>
  </si>
  <si>
    <t xml:space="preserve">Input Tokens per Request</t>
  </si>
  <si>
    <t xml:space="preserve">tokens</t>
  </si>
  <si>
    <t xml:space="preserve">Linked from Config!B26</t>
  </si>
  <si>
    <t xml:space="preserve">Output Tokens per Request</t>
  </si>
  <si>
    <t xml:space="preserve">Linked from Config!B27</t>
  </si>
  <si>
    <t xml:space="preserve">Total Tokens per Request</t>
  </si>
  <si>
    <t xml:space="preserve">Input + Output</t>
  </si>
  <si>
    <t xml:space="preserve">Batch Size (concurrent requests)</t>
  </si>
  <si>
    <t xml:space="preserve">requests</t>
  </si>
  <si>
    <t xml:space="preserve">Linked from Config!B48</t>
  </si>
  <si>
    <t xml:space="preserve">Speculative Decoding Gain</t>
  </si>
  <si>
    <t xml:space="preserve">tokens/step</t>
  </si>
  <si>
    <t xml:space="preserve">Expected tokens accepted per step, Config!B51</t>
  </si>
  <si>
    <t xml:space="preserve">End-to-End Latency per Request (optimized)</t>
  </si>
  <si>
    <t xml:space="preserve">seconds</t>
  </si>
  <si>
    <t xml:space="preserve">From TL_Param!C38 (VR-specific, dropdown-independent)</t>
  </si>
  <si>
    <t xml:space="preserve">Config!F8 (VR rack count, dropdown-independent)</t>
  </si>
  <si>
    <t xml:space="preserve">GPU Utilization Rate</t>
  </si>
  <si>
    <t xml:space="preserve">Realistic + lean overhead; accounts for maintenance, failures, model swap</t>
  </si>
  <si>
    <t xml:space="preserve">Uptime (scheduled)</t>
  </si>
  <si>
    <t xml:space="preserve">99.5% SLA; ~43.8 hrs downtime/year</t>
  </si>
  <si>
    <t xml:space="preserve">Effective Annual Seconds per Rack</t>
  </si>
  <si>
    <t xml:space="preserve">seconds/yr</t>
  </si>
  <si>
    <t xml:space="preserve">8,760 hrs × 3,600 s/hr × utilization × uptime</t>
  </si>
  <si>
    <t xml:space="preserve">Requests per Rack per Year</t>
  </si>
  <si>
    <t xml:space="preserve">requests/yr</t>
  </si>
  <si>
    <t xml:space="preserve">(Effective seconds / Latency) × Batch Size</t>
  </si>
  <si>
    <t xml:space="preserve">Section 2: Annual Token Throughput (Entire DC)</t>
  </si>
  <si>
    <t xml:space="preserve">Metric</t>
  </si>
  <si>
    <t xml:space="preserve">Calculation</t>
  </si>
  <si>
    <t xml:space="preserve">Total Requests per Year (all racks)</t>
  </si>
  <si>
    <t xml:space="preserve">Requests/rack/yr × racks</t>
  </si>
  <si>
    <t xml:space="preserve">Annual Input Tokens</t>
  </si>
  <si>
    <t xml:space="preserve">tokens/yr</t>
  </si>
  <si>
    <t xml:space="preserve">Total requests × input tokens/request</t>
  </si>
  <si>
    <t xml:space="preserve">Annual Output Tokens</t>
  </si>
  <si>
    <t xml:space="preserve">Total requests × output tokens/request</t>
  </si>
  <si>
    <t xml:space="preserve">Annual Total Tokens</t>
  </si>
  <si>
    <t xml:space="preserve">Annual Total Tokens (M)</t>
  </si>
  <si>
    <t xml:space="preserve">M tokens/yr</t>
  </si>
  <si>
    <t xml:space="preserve">Total / 1,000,000</t>
  </si>
  <si>
    <t xml:space="preserve">Annual Input Tokens (M)</t>
  </si>
  <si>
    <t xml:space="preserve">Annual Output Tokens (M)</t>
  </si>
  <si>
    <t xml:space="preserve">Tokens per Second (DC-wide)</t>
  </si>
  <si>
    <t xml:space="preserve">tokens/sec</t>
  </si>
  <si>
    <t xml:space="preserve">Annual tokens / seconds per year (gross throughput)</t>
  </si>
  <si>
    <t xml:space="preserve">Requests per Second (DC-wide)</t>
  </si>
  <si>
    <t xml:space="preserve">req/sec</t>
  </si>
  <si>
    <t xml:space="preserve">Annual requests / seconds per year</t>
  </si>
  <si>
    <t xml:space="preserve">Section 3: Market Pricing &amp; Annual Revenue</t>
  </si>
  <si>
    <t xml:space="preserve">Market Rate — Input Tokens</t>
  </si>
  <si>
    <t xml:space="preserve">$/M input tokens</t>
  </si>
  <si>
    <t xml:space="preserve">Auto-selected from Config pricing tiers based on model size</t>
  </si>
  <si>
    <t xml:space="preserve">Market Rate — Output Tokens</t>
  </si>
  <si>
    <t xml:space="preserve">$/M output tokens</t>
  </si>
  <si>
    <t xml:space="preserve">Blended Rate (weighted by I/O mix)</t>
  </si>
  <si>
    <t xml:space="preserve">$/M tokens</t>
  </si>
  <si>
    <t xml:space="preserve">(Input rev + Output rev) / Total M tokens</t>
  </si>
  <si>
    <t xml:space="preserve">Revenue Calculation</t>
  </si>
  <si>
    <t xml:space="preserve">Annual Input Token Revenue</t>
  </si>
  <si>
    <t xml:space="preserve">Input M tokens × $/M input</t>
  </si>
  <si>
    <t xml:space="preserve">Annual Output Token Revenue</t>
  </si>
  <si>
    <t xml:space="preserve">Output M tokens × $/M output</t>
  </si>
  <si>
    <t xml:space="preserve">TOTAL ANNUAL REVENUE</t>
  </si>
  <si>
    <t xml:space="preserve">Revenue Composition</t>
  </si>
  <si>
    <t xml:space="preserve">  Input token revenue share</t>
  </si>
  <si>
    <t xml:space="preserve">  Output token revenue share</t>
  </si>
  <si>
    <t xml:space="preserve">  Revenue per rack per year</t>
  </si>
  <si>
    <t xml:space="preserve">$/rack/yr</t>
  </si>
  <si>
    <t xml:space="preserve">Rrevenue to opex</t>
  </si>
  <si>
    <t xml:space="preserve">Cost per Mtok</t>
  </si>
  <si>
    <t xml:space="preserve">Token Generation &amp; Revenue Model — 1 GW GB200 NVL72 Inference Facility</t>
  </si>
  <si>
    <t xml:space="preserve">From TL_Param!D38 (GB200-specific, dropdown-independent)</t>
  </si>
  <si>
    <t xml:space="preserve">Config!G8 (GB200 rack count, dropdown-independent)</t>
  </si>
  <si>
    <t xml:space="preserve">OpenAI Financial Simulation — Calibrating 1 GW VR72 DC Model to OpenAI's Disclosed Financials (Feb 2026 Funding Round)</t>
  </si>
  <si>
    <t xml:space="preserve">Section 1: OpenAI Disclosed Financials &amp; Operating Metrics (Feb-2026 base; Sep-2026 FT update applied — see FT_Sep2026)</t>
  </si>
  <si>
    <t xml:space="preserve">2024A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</si>
  <si>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</si>
  <si>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</si>
  <si>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</si>
  <si>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</si>
  <si>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</si>
  <si>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</si>
  <si>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Revenue ($B)</t>
  </si>
  <si>
    <t xml:space="preserve">2025A $13.1B (CNBC). 2026E $36B / 2030E $350B: Jul-2026 deck per FT 2026-09-18 [Interested-party]; prior 2030 target $280B (Feb-2026)</t>
  </si>
  <si>
    <t xml:space="preserve">ARR ($B, exit rate)</t>
  </si>
  <si>
    <t xml:space="preserve">OpenAI CFO blog: $2B (2023) → $6B (2024) → $20B+ (2025)</t>
  </si>
  <si>
    <t xml:space="preserve">YoY Revenue Growth</t>
  </si>
  <si>
    <t xml:space="preserve">Implied from reported revenue figures</t>
  </si>
  <si>
    <t xml:space="preserve">Cash Burn ($B)</t>
  </si>
  <si>
    <t xml:space="preserve">Feb-2026 vintage (The Information): 2026 −$25B, 2027 −$57B, 2026–29 cum −$218B (2028–29 not split), 2030 +$39B. Jul-2026 vintage: 2026–30 cum −$278B (FT) → FT_Sep2026</t>
  </si>
  <si>
    <t xml:space="preserve">Gross Margin</t>
  </si>
  <si>
    <t xml:space="preserve">Compute Capacity, Year-End (GW)</t>
  </si>
  <si>
    <t xml:space="preserve">Year-end capacity: 0.6 GW (2024) → 1.9 GW (2025) → 10 GW (2030 Stargate)</t>
  </si>
  <si>
    <t xml:space="preserve">Compute Capacity, FY Avg (GW)</t>
  </si>
  <si>
    <t xml:space="preserve">FY average = midpoint of prior year-end and current year-end (linear ramp)</t>
  </si>
  <si>
    <t xml:space="preserve">Weekly Active Users (M)</t>
  </si>
  <si>
    <t xml:space="preserve">900M WAU, 50M+ paid subscribers (Feb 2026)</t>
  </si>
  <si>
    <t xml:space="preserve">Paid Subscribers (M)</t>
  </si>
  <si>
    <t xml:space="preserve">50M+ consumer subscribers</t>
  </si>
  <si>
    <t xml:space="preserve">Latest Funding Round</t>
  </si>
  <si>
    <t xml:space="preserve">  Total Raised</t>
  </si>
  <si>
    <t xml:space="preserve">$122B</t>
  </si>
  <si>
    <t xml:space="preserve">Closed 2026-03-31: $122B committed (Amazon / Nvidia / SoftBank anchor) [Verified]</t>
  </si>
  <si>
    <t xml:space="preserve">  Pre-Money Valuation</t>
  </si>
  <si>
    <t xml:space="preserve">$730B</t>
  </si>
  <si>
    <t xml:space="preserve">Pre-money $730B; post-money $852B</t>
  </si>
  <si>
    <t xml:space="preserve">  Post-Money Valuation</t>
  </si>
  <si>
    <t xml:space="preserve">$852B</t>
  </si>
  <si>
    <t xml:space="preserve">Largest private funding round in history</t>
  </si>
  <si>
    <t xml:space="preserve">  Implied Revenue Multiple (on 2025 rev)</t>
  </si>
  <si>
    <t xml:space="preserve">Post-money valuation / 2025 actual revenue</t>
  </si>
  <si>
    <t xml:space="preserve">  Implied Revenue Multiple (on 2030E rev)</t>
  </si>
  <si>
    <t xml:space="preserve">Post-money valuation / 2030E target revenue</t>
  </si>
  <si>
    <t xml:space="preserve">  Infrastructure Spend Target (by 2030)</t>
  </si>
  <si>
    <t xml:space="preserve">$856B</t>
  </si>
  <si>
    <t xml:space="preserve">Jul-2026 deck: ~$856B compute &amp; infrastructure through 2030 (Feb-2026: ~$600B "compute"; category may differ)</t>
  </si>
  <si>
    <t xml:space="preserve">  Stargate Capacity Target</t>
  </si>
  <si>
    <t xml:space="preserve">10 GW</t>
  </si>
  <si>
    <t xml:space="preserve">Stargate: $500B / 4 yrs / 10 GW US-based AI infra</t>
  </si>
  <si>
    <t xml:space="preserve">  New Round Talks (Sep 2026, valuation ≥)</t>
  </si>
  <si>
    <t xml:space="preserve">FT/Bloomberg: investors discussed ≥$1.2T; OpenAI seeking higher [Interested-party]</t>
  </si>
  <si>
    <t xml:space="preserve">Section 2: Infrastructure Calibration — Scaling Our 1 GW VR72 Model to OpenAI's 1.9 GW (2025)</t>
  </si>
  <si>
    <t xml:space="preserve">Our 1 GW Model</t>
  </si>
  <si>
    <t xml:space="preserve">OpenAI 1.9 GW</t>
  </si>
  <si>
    <t xml:space="preserve">IT Power (MW)</t>
  </si>
  <si>
    <t xml:space="preserve">Config!F5 (VR preset, dropdown-independent); OpenAI from CFO blog</t>
  </si>
  <si>
    <t xml:space="preserve">Mixed fleet PUE slightly higher (H100/A100 legacy + newer)</t>
  </si>
  <si>
    <t xml:space="preserve">Total Facility Power (MW)</t>
  </si>
  <si>
    <t xml:space="preserve">IT Power × PUE</t>
  </si>
  <si>
    <t xml:space="preserve">Scale Factor (vs our 1 GW model)</t>
  </si>
  <si>
    <t xml:space="preserve">Simple linear scaling of IT power</t>
  </si>
  <si>
    <t xml:space="preserve">Hardware Mix Adjustment</t>
  </si>
  <si>
    <t xml:space="preserve">  Current Fleet (est.)</t>
  </si>
  <si>
    <t xml:space="preserve">100% VR NVL72</t>
  </si>
  <si>
    <t xml:space="preserve">Mixed (H100/GB200/VR)</t>
  </si>
  <si>
    <t xml:space="preserve">OpenAI runs mixed generations; our model = next-gen only</t>
  </si>
  <si>
    <t xml:space="preserve">  Inference Efficiency Factor</t>
  </si>
  <si>
    <t xml:space="preserve">Fleet-weighted VR-equiv factor: H100=0.25x, GB200≈0.39x (TL_Param!D37/C37), VR=1.0x</t>
  </si>
  <si>
    <t xml:space="preserve">  Effective VR-Equivalent Power (MW)</t>
  </si>
  <si>
    <t xml:space="preserve">MW-eq</t>
  </si>
  <si>
    <t xml:space="preserve">Reference facility IT power × fleet efficiency factor = VR-equivalent MW</t>
  </si>
  <si>
    <t xml:space="preserve">Implied from Financials</t>
  </si>
  <si>
    <t xml:space="preserve">  Our Model CapEx ($B)</t>
  </si>
  <si>
    <t xml:space="preserve">From DC_Cost_Model total CapEx</t>
  </si>
  <si>
    <t xml:space="preserve">  OpenAI Implied CapEx at 1.9 GW ($B)</t>
  </si>
  <si>
    <t xml:space="preserve">Scaled linearly from our 1 GW model</t>
  </si>
  <si>
    <t xml:space="preserve">  Our Model Annual OpEx ($B)</t>
  </si>
  <si>
    <t xml:space="preserve">From DC_Cost_Model total annual OpEx</t>
  </si>
  <si>
    <t xml:space="preserve">  OpenAI Implied DC OpEx at 1.9 GW ($B)</t>
  </si>
  <si>
    <t xml:space="preserve">DC-only OpEx; does not include R&amp;D, S&amp;M, G&amp;A, SBC</t>
  </si>
  <si>
    <t xml:space="preserve">Section 3: OpenAI P&amp;L Simulation — Reverse-Engineering from Disclosed Numbers</t>
  </si>
  <si>
    <t xml:space="preserve">Line Item</t>
  </si>
  <si>
    <t xml:space="preserve">2024A ($B)</t>
  </si>
  <si>
    <t xml:space="preserve">2025A ($B)</t>
  </si>
  <si>
    <t xml:space="preserve">2026E ($B)</t>
  </si>
  <si>
    <t xml:space="preserve">2027E ($B)</t>
  </si>
  <si>
    <t xml:space="preserve">2028E ($B)</t>
  </si>
  <si>
    <t xml:space="preserve">2029E ($B)</t>
  </si>
  <si>
    <t xml:space="preserve">2030E ($B)</t>
  </si>
  <si>
    <t xml:space="preserve">Assumptions</t>
  </si>
  <si>
    <t xml:space="preserve">  Revenue Growth Rate (YoY)</t>
  </si>
  <si>
    <t xml:space="preserve">2025 actual 254%; 2026–30 from FT_Sep2026 row 25 (Jul-2026 deck path: $36B → $350B, Σ $840B)</t>
  </si>
  <si>
    <t xml:space="preserve">  Gross Margin</t>
  </si>
  <si>
    <t xml:space="preserve">Now derived from bottom-up DC cost model (row 60); 2024-2025 actual</t>
  </si>
  <si>
    <t xml:space="preserve">  R&amp;D as % of Revenue</t>
  </si>
  <si>
    <t xml:space="preserve">$2.5B (2024); $6.7B H1 2025 → ~$13B ann.</t>
  </si>
  <si>
    <t xml:space="preserve">  S&amp;M as % of Revenue</t>
  </si>
  <si>
    <t xml:space="preserve">~$2B in H1 2025 → ~$4B ann.; declining with scale</t>
  </si>
  <si>
    <t xml:space="preserve">  G&amp;A as % of Revenue</t>
  </si>
  <si>
    <t xml:space="preserve">Est. corporate overhead; declining leverage with scale</t>
  </si>
  <si>
    <t xml:space="preserve">  SBC as % of Revenue</t>
  </si>
  <si>
    <t xml:space="preserve">~$2.5B H1 2025 → $5B ann.; dilutes as rev scales</t>
  </si>
  <si>
    <t xml:space="preserve">  MS Revenue Share %</t>
  </si>
  <si>
    <t xml:space="preserve">20% rev share to MS; may reduce post-PBC conversion</t>
  </si>
  <si>
    <t xml:space="preserve">  CapEx (infra investment, $B)</t>
  </si>
  <si>
    <t xml:space="preserve">Owned (balance-sheet) CapEx [Assumed, v2 path]; total compute &amp; infra $856B incl. leased → FT_Sep2026 rows 39–41</t>
  </si>
  <si>
    <t xml:space="preserve">Bottom-Up COGS (from DC_Cost_Model fleet economics)</t>
  </si>
  <si>
    <t xml:space="preserve">  OpEx/GW: Legacy H100 ($B)</t>
  </si>
  <si>
    <t xml:space="preserve">Est: $20B CapEx, 5yr depr + $0.63B elec + $1.0B maint</t>
  </si>
  <si>
    <t xml:space="preserve">  OpEx/GW: GB200 NVL72 ($B)</t>
  </si>
  <si>
    <t xml:space="preserve">Linked from DC_Cost_Model GB200 section (D184 / 1GW)</t>
  </si>
  <si>
    <t xml:space="preserve">  OpEx/GW: VR NVL72 ($B)</t>
  </si>
  <si>
    <t xml:space="preserve">Linked from DC_Cost_Model VR section (D88 / 1GW)</t>
  </si>
  <si>
    <t xml:space="preserve">  Fleet-Weighted DC OpEx ($B)</t>
  </si>
  <si>
    <t xml:space="preserve">Σ(GW × fleet_share × OpEx/GW) per hardware type</t>
  </si>
  <si>
    <t xml:space="preserve">  COGS / DC OpEx Ratio</t>
  </si>
  <si>
    <t xml:space="preserve">← Adjustable. Captures inference share + Azure markup + non-compute COGS. Calibrated to 2025 actual.</t>
  </si>
  <si>
    <t xml:space="preserve">  Bottom-Up COGS ($B)</t>
  </si>
  <si>
    <t xml:space="preserve">Fleet DC OpEx × COGS ratio</t>
  </si>
  <si>
    <t xml:space="preserve">  → Implied Gross Margin</t>
  </si>
  <si>
    <t xml:space="preserve">1 - COGS / Gross Revenue (bottom-up)</t>
  </si>
  <si>
    <t xml:space="preserve">Income Statement</t>
  </si>
  <si>
    <t xml:space="preserve">Revenue (gross)</t>
  </si>
  <si>
    <t xml:space="preserve">2024-2025 actual; 2026+ from growth assumptions</t>
  </si>
  <si>
    <t xml:space="preserve">  Less: MS Revenue Share</t>
  </si>
  <si>
    <t xml:space="preserve">Revenue share paid to Microsoft</t>
  </si>
  <si>
    <t xml:space="preserve">Net Revenue</t>
  </si>
  <si>
    <t xml:space="preserve">Gross revenue minus MS share</t>
  </si>
  <si>
    <t xml:space="preserve">Cost of Revenue (COGS)</t>
  </si>
  <si>
    <t xml:space="preserve">From bottom-up DC cost model (row 59)</t>
  </si>
  <si>
    <t xml:space="preserve">Gross Profit</t>
  </si>
  <si>
    <t xml:space="preserve">Net Revenue less COGS</t>
  </si>
  <si>
    <t xml:space="preserve">On NET revenue basis (after MS share); differs from C46 which is on gross revenue</t>
  </si>
  <si>
    <t xml:space="preserve">R&amp;D Expense</t>
  </si>
  <si>
    <t xml:space="preserve">Training compute, research staff, model dev</t>
  </si>
  <si>
    <t xml:space="preserve">S&amp;M Expense</t>
  </si>
  <si>
    <t xml:space="preserve">Sales, marketing, user acquisition</t>
  </si>
  <si>
    <t xml:space="preserve">G&amp;A Expense</t>
  </si>
  <si>
    <t xml:space="preserve">Legal, admin, finance, office</t>
  </si>
  <si>
    <t xml:space="preserve">SBC Expense</t>
  </si>
  <si>
    <t xml:space="preserve">Stock-based compensation</t>
  </si>
  <si>
    <t xml:space="preserve">Total OpEx (incl. COGS)</t>
  </si>
  <si>
    <t xml:space="preserve">COGS + R&amp;D + S&amp;M + G&amp;A + SBC</t>
  </si>
  <si>
    <t xml:space="preserve">Operating Income (Loss)</t>
  </si>
  <si>
    <t xml:space="preserve">Net Revenue less Total OpEx</t>
  </si>
  <si>
    <t xml:space="preserve">  Operating Margin (on net rev)</t>
  </si>
  <si>
    <t xml:space="preserve">Disclosed Cash Burn (actual)</t>
  </si>
  <si>
    <t xml:space="preserve">Actual/projected disclosed cash burn</t>
  </si>
  <si>
    <t xml:space="preserve">  Free Cash Flow — 2024-25: legacy formula; 2026-30: v3 cash bridge (FT_Sep2026 row 46)</t>
  </si>
  <si>
    <t xml:space="preserve">v3: cash basis (no depreciation double count) with full $856B compute &amp; infra; 2024–25 keep legacy OpInc−CapEx+SBC (historical, not re-based)</t>
  </si>
  <si>
    <t xml:space="preserve">  Δ vs Disclosed</t>
  </si>
  <si>
    <t xml:space="preserve">Variance vs Feb-2026 vintage (only years disclosed individually)</t>
  </si>
  <si>
    <t xml:space="preserve">  Cum. FCF 2026–30: v3 vs Jul-2026 deck (−$278B)</t>
  </si>
  <si>
    <t xml:space="preserve">B = v3 cumulative; C = v3 minus deck (+ = v3 less negative)</t>
  </si>
  <si>
    <t xml:space="preserve">Section 4: Infrastructure Spend Waterfall &amp; Compute Ramp</t>
  </si>
  <si>
    <t xml:space="preserve">Annual CapEx ($B)</t>
  </si>
  <si>
    <t xml:space="preserve">From assumptions; ~$600B cumulative by 2030</t>
  </si>
  <si>
    <t xml:space="preserve">Cumulative CapEx ($B)</t>
  </si>
  <si>
    <t xml:space="preserve">Running total of cumulative CapEx</t>
  </si>
  <si>
    <t xml:space="preserve">FY average capacity (from Section 1); used for COGS and revenue-per-GW matching</t>
  </si>
  <si>
    <t xml:space="preserve">Year-end capacity; used for CapEx per GW calculation</t>
  </si>
  <si>
    <t xml:space="preserve">  CapEx per GW ($B/GW)</t>
  </si>
  <si>
    <t xml:space="preserve">Marginal CapEx per NEW GW deployed (Annual CapEx / New GW added)</t>
  </si>
  <si>
    <t xml:space="preserve">  Our 1 GW Model CapEx for reference</t>
  </si>
  <si>
    <t xml:space="preserve">DC_Cost_Model CapEx for 1 GW VR NVL72</t>
  </si>
  <si>
    <t xml:space="preserve">Fleet Composition (est.)</t>
  </si>
  <si>
    <t xml:space="preserve">  Legacy (H100/A100) share</t>
  </si>
  <si>
    <t xml:space="preserve">Legacy fleet phased out as VR NVL72 ramps</t>
  </si>
  <si>
    <t xml:space="preserve">  GB200 NVL72 share</t>
  </si>
  <si>
    <t xml:space="preserve">Blackwell era; deployed mid-2025</t>
  </si>
  <si>
    <t xml:space="preserve">  Vera Rubin NVL72 share</t>
  </si>
  <si>
    <t xml:space="preserve">First VR deployment H2 2026; dominant by 2028+</t>
  </si>
  <si>
    <t xml:space="preserve">  Effective VR-equiv Capacity (GW)</t>
  </si>
  <si>
    <t xml:space="preserve">Weighted inference eff: H100=0.25x, GB200≈0.39x (output tok/s ratio from TL_Param), VR=1.0x</t>
  </si>
  <si>
    <t xml:space="preserve">Revenue per GW ($B/GW)</t>
  </si>
  <si>
    <t xml:space="preserve">Revenue generation efficiency per GW</t>
  </si>
  <si>
    <t xml:space="preserve">Revenue per VR-equiv GW ($B/GW-eq)</t>
  </si>
  <si>
    <t xml:space="preserve">Normalized for hardware generation efficiency</t>
  </si>
  <si>
    <t xml:space="preserve">Our 1 GW Model Revenue ($B)</t>
  </si>
  <si>
    <t xml:space="preserve">From Revenue_Model total annual revenue (theoretical max)</t>
  </si>
  <si>
    <t xml:space="preserve">Section 5: Valuation Sanity Check &amp; DC-Backed Analysis</t>
  </si>
  <si>
    <t xml:space="preserve">Valuation Multiples</t>
  </si>
  <si>
    <t xml:space="preserve">$B</t>
  </si>
  <si>
    <t xml:space="preserve">Mar-2026 close: $730B pre + $122B raised</t>
  </si>
  <si>
    <t xml:space="preserve">  EV / 2025 Revenue</t>
  </si>
  <si>
    <t xml:space="preserve">On actual 2025 revenue ($13.1B)</t>
  </si>
  <si>
    <t xml:space="preserve">  EV / 2025 ARR (exit rate)</t>
  </si>
  <si>
    <t xml:space="preserve">On $20B exit ARR</t>
  </si>
  <si>
    <t xml:space="preserve">  EV / 2026E Revenue</t>
  </si>
  <si>
    <t xml:space="preserve">On projected 2026 revenue</t>
  </si>
  <si>
    <t xml:space="preserve">  EV / 2030E Revenue</t>
  </si>
  <si>
    <t xml:space="preserve">On projected 2030 revenue</t>
  </si>
  <si>
    <t xml:space="preserve">  For reference: typical high-growth SaaS</t>
  </si>
  <si>
    <t xml:space="preserve">15-25x</t>
  </si>
  <si>
    <t xml:space="preserve">rev</t>
  </si>
  <si>
    <t xml:space="preserve">Top-quartile SaaS companies trade 15-25x ARR</t>
  </si>
  <si>
    <t xml:space="preserve">  EV / 2030E Revenue at new-round talks</t>
  </si>
  <si>
    <t xml:space="preserve">≥$1.2T / 2030E revenue</t>
  </si>
  <si>
    <t xml:space="preserve">Implied 2030 Valuation (at various multiples)</t>
  </si>
  <si>
    <t xml:space="preserve">  At 10x 2030E Revenue</t>
  </si>
  <si>
    <t xml:space="preserve">Conservative multiple for scaled tech</t>
  </si>
  <si>
    <t xml:space="preserve">  At 15x 2030E Revenue</t>
  </si>
  <si>
    <t xml:space="preserve">Moderate growth premium</t>
  </si>
  <si>
    <t xml:space="preserve">  At 20x 2030E Revenue</t>
  </si>
  <si>
    <t xml:space="preserve">High-growth platform premium</t>
  </si>
  <si>
    <t xml:space="preserve">  Return from $852B (at 15x)</t>
  </si>
  <si>
    <t xml:space="preserve">~4yr holding return for Feb 2026 investors</t>
  </si>
  <si>
    <t xml:space="preserve">DC-Backed Reality Check</t>
  </si>
  <si>
    <t xml:space="preserve">  Our 1 GW VR72 Model: Theoretical Max Rev ($B/yr)</t>
  </si>
  <si>
    <t xml:space="preserve">From Revenue_Model (already embeds 70% util × 99.5% uptime; market API pricing)</t>
  </si>
  <si>
    <t xml:space="preserve">  OpenAI 2030E Rev Target ($B/yr)</t>
  </si>
  <si>
    <t xml:space="preserve">Projected from growth curve</t>
  </si>
  <si>
    <t xml:space="preserve">  GW of VR-equiv needed for 2030E target at our $/GW-eq</t>
  </si>
  <si>
    <t xml:space="preserve">GW-eq</t>
  </si>
  <si>
    <t xml:space="preserve">2030E target (B128) / theoretical rev per VR-equiv GW</t>
  </si>
  <si>
    <t xml:space="preserve">  Utilization-adjusted GW needed (60% util)</t>
  </si>
  <si>
    <t xml:space="preserve">⚠ B127 already embeds 70% util; dividing by 0.6 again double-counts — retained pending modeling decision</t>
  </si>
  <si>
    <t xml:space="preserve">  Raw GW at mixed fleet for 2030</t>
  </si>
  <si>
    <t xml:space="preserve">GW</t>
  </si>
  <si>
    <t xml:space="preserve">Stargate 10 GW target (all VR by 2030)</t>
  </si>
  <si>
    <t xml:space="preserve">  Utilization Required to Hit 2030E Target @ FY-avg GW</t>
  </si>
  <si>
    <t xml:space="preserve">What utilization is needed at 10 GW all-VR</t>
  </si>
  <si>
    <t xml:space="preserve">  Gap: Rev Target vs DC Capacity</t>
  </si>
  <si>
    <t xml:space="preserve">    If util = 60%</t>
  </si>
  <si>
    <t xml:space="preserve">$B achievable</t>
  </si>
  <si>
    <t xml:space="preserve">Theoretical revenue at 60% utilization, 10 GW VR</t>
  </si>
  <si>
    <t xml:space="preserve">    Surplus/(Shortfall) vs 2030E target</t>
  </si>
  <si>
    <t xml:space="preserve">Positive = excess capacity; negative = need more infra or pricing</t>
  </si>
  <si>
    <t xml:space="preserve">Section 6: Revenue-per-GW Analysis &amp; 2030 Feasibility</t>
  </si>
  <si>
    <t xml:space="preserve">Revenue per GW (actual 2025)</t>
  </si>
  <si>
    <t xml:space="preserve">  Revenue ($B)</t>
  </si>
  <si>
    <t xml:space="preserve">$13.1B actual 2025</t>
  </si>
  <si>
    <t xml:space="preserve">  Raw Compute (GW)</t>
  </si>
  <si>
    <t xml:space="preserve">FY2025 avg: midpoint of 0.6 GW (end-2024) and 1.9 GW (end-2025)</t>
  </si>
  <si>
    <t xml:space="preserve">  Revenue / Raw GW</t>
  </si>
  <si>
    <t xml:space="preserve">$B/GW</t>
  </si>
  <si>
    <t xml:space="preserve">FY revenue / FY-avg GW; more accurate than dividing by year-end capacity</t>
  </si>
  <si>
    <t xml:space="preserve">  VR-equiv GW</t>
  </si>
  <si>
    <t xml:space="preserve">VR-eq GW (FY-avg fleet, factor from fleet mix ×TL_Param ratio; H100=0.25x, GB200≈0.39x)</t>
  </si>
  <si>
    <t xml:space="preserve">  Revenue / VR-equiv GW</t>
  </si>
  <si>
    <t xml:space="preserve">$B/GW-eq</t>
  </si>
  <si>
    <t xml:space="preserve">Normalized for hardware generation efficiency; key metric</t>
  </si>
  <si>
    <t xml:space="preserve">Revenue Mix (annualized run-rate, Feb 2026)</t>
  </si>
  <si>
    <t xml:space="preserve">  Consumer Subscriptions</t>
  </si>
  <si>
    <t xml:space="preserve">% of rev</t>
  </si>
  <si>
    <t xml:space="preserve">$B (ARR)</t>
  </si>
  <si>
    <t xml:space="preserve">Linked from Section 7D; run-rate basis (Feb 2026)</t>
  </si>
  <si>
    <t xml:space="preserve">  API Revenue (dev + enterprise)</t>
  </si>
  <si>
    <t xml:space="preserve">Linked from Section 7D; includes enterprise + licensing</t>
  </si>
  <si>
    <t xml:space="preserve">  Licensing &amp; Partnerships</t>
  </si>
  <si>
    <t xml:space="preserve">Folded into API share on ARR basis (licensing bundled with enterprise)</t>
  </si>
  <si>
    <t xml:space="preserve">2030 Revenue Feasibility (10 GW Stargate)</t>
  </si>
  <si>
    <t xml:space="preserve">  2030 Target Revenue</t>
  </si>
  <si>
    <t xml:space="preserve">Jul-2026 deck (was $280B Feb-2026)</t>
  </si>
  <si>
    <t xml:space="preserve">  2030 Compute (GW, all VR)</t>
  </si>
  <si>
    <t xml:space="preserve">Stargate 10 GW target, all Vera Rubin by 2030</t>
  </si>
  <si>
    <t xml:space="preserve">  Required Rev / GW (raw)</t>
  </si>
  <si>
    <t xml:space="preserve">2030E target / FY-avg GW</t>
  </si>
  <si>
    <t xml:space="preserve">  Current Rev / Raw GW (2025)</t>
  </si>
  <si>
    <t xml:space="preserve">2025 baseline</t>
  </si>
  <si>
    <t xml:space="preserve">  Required improvement (raw)</t>
  </si>
  <si>
    <t xml:space="preserve">How much more revenue per GW needed vs 2025</t>
  </si>
  <si>
    <t xml:space="preserve">  BUT: 10 GW all-VR vs 1.9 GW mixed legacy</t>
  </si>
  <si>
    <t xml:space="preserve">  VR NVL72 is ~3× more perf/watt than current fleet avg</t>
  </si>
  <si>
    <t xml:space="preserve">  Effective capacity (VR-eq): 10 GW × 1.0</t>
  </si>
  <si>
    <t xml:space="preserve">All VR = 1.0× multiplier (vs 0.35× for legacy)</t>
  </si>
  <si>
    <t xml:space="preserve">  Required Rev / VR-equiv GW</t>
  </si>
  <si>
    <t xml:space="preserve">2030E target / VR-eq GW</t>
  </si>
  <si>
    <t xml:space="preserve">  Current Rev / VR-equiv GW (2025)</t>
  </si>
  <si>
    <t xml:space="preserve">2025 baseline on VR-normalized basis</t>
  </si>
  <si>
    <t xml:space="preserve">  Required improvement (VR-normalized)</t>
  </si>
  <si>
    <t xml:space="preserve">Improvement needed in revenue/GW-eq from 2025 to 2030</t>
  </si>
  <si>
    <t xml:space="preserve">Feasibility Drivers</t>
  </si>
  <si>
    <t xml:space="preserve">  Higher enterprise API share (35% → 50%)</t>
  </si>
  <si>
    <t xml:space="preserve">+</t>
  </si>
  <si>
    <t xml:space="preserve">Higher ARPU per GW</t>
  </si>
  <si>
    <t xml:space="preserve">Enterprise pays API rates, not flat subscription</t>
  </si>
  <si>
    <t xml:space="preserve">  AI Agents (autonomous tasks)</t>
  </si>
  <si>
    <t xml:space="preserve">New revenue stream</t>
  </si>
  <si>
    <t xml:space="preserve">10-100× more tokens/task; premium pricing</t>
  </si>
  <si>
    <t xml:space="preserve">  Ads revenue ($25B target by 2030)</t>
  </si>
  <si>
    <t xml:space="preserve">Net new revenue</t>
  </si>
  <si>
    <t xml:space="preserve">Evercore: $25B ad rev by 2030 from ChatGPT ads</t>
  </si>
  <si>
    <t xml:space="preserve">  Price compression from competition</t>
  </si>
  <si>
    <t xml:space="preserve">–</t>
  </si>
  <si>
    <t xml:space="preserve">Headwind</t>
  </si>
  <si>
    <t xml:space="preserve">DeepSeek, Gemini Flash, open-source pressure on API pricing</t>
  </si>
  <si>
    <t xml:space="preserve">  Free-tier compute cost (95% users don't pay)</t>
  </si>
  <si>
    <t xml:space="preserve">Drag on $/GW</t>
  </si>
  <si>
    <t xml:space="preserve">Only ~5% of WAU are paid subscribers</t>
  </si>
  <si>
    <t xml:space="preserve">KEY INSIGHT</t>
  </si>
  <si>
    <t xml:space="preserve">Section 7: Token Volume Simulation by Segment (FY2025 Actual, $13.1B Revenue)</t>
  </si>
  <si>
    <t xml:space="preserve">7A. Pricing Assumptions by Segment</t>
  </si>
  <si>
    <t xml:space="preserve">Consumer Subs</t>
  </si>
  <si>
    <t xml:space="preserve">API (dev + ent)</t>
  </si>
  <si>
    <t xml:space="preserve">  (Pricing assumptions — hardcoded)</t>
  </si>
  <si>
    <t xml:space="preserve">FY2025 pricing assumptions (hardcoded values)</t>
  </si>
  <si>
    <t xml:space="preserve">  Input Token Price</t>
  </si>
  <si>
    <t xml:space="preserve">Linked from Section 7A</t>
  </si>
  <si>
    <t xml:space="preserve">  Output Token Price</t>
  </si>
  <si>
    <t xml:space="preserve">  Input:Output Token Ratio</t>
  </si>
  <si>
    <t xml:space="preserve">x</t>
  </si>
  <si>
    <t xml:space="preserve">7B. Consumer Subscription Token Estimation (FY2025 Actual)</t>
  </si>
  <si>
    <t xml:space="preserve">7B-i. Subscriber Tier Breakdown (FY2025 Average)</t>
  </si>
  <si>
    <t xml:space="preserve">Subscribers (M)</t>
  </si>
  <si>
    <t xml:space="preserve">Monthly Fee ($)</t>
  </si>
  <si>
    <t xml:space="preserve">Annual Rev ($B)</t>
  </si>
  <si>
    <t xml:space="preserve">% of Paid Subs</t>
  </si>
  <si>
    <t xml:space="preserve">% of Sub Rev</t>
  </si>
  <si>
    <t xml:space="preserve">Free</t>
  </si>
  <si>
    <t xml:space="preserve">n/a</t>
  </si>
  <si>
    <t xml:space="preserve">FY2025 avg: ~200M WAU (Jan) → 900M (Dec); mid-point ~600M</t>
  </si>
  <si>
    <t xml:space="preserve">Go</t>
  </si>
  <si>
    <t xml:space="preserve">Launched late 2025; ~2M avg for FY (mostly Q4)</t>
  </si>
  <si>
    <t xml:space="preserve">Plus</t>
  </si>
  <si>
    <t xml:space="preserve">Core paid tier; ~10M mid-2025, ~38M Feb 2026; ~18M FY avg</t>
  </si>
  <si>
    <t xml:space="preserve">Pro</t>
  </si>
  <si>
    <t xml:space="preserve">Launched Dec 2024; ramped from ~0 to ~2M; ~0.8M FY avg; unprofitable per Altman</t>
  </si>
  <si>
    <t xml:space="preserve">Team / Business</t>
  </si>
  <si>
    <t xml:space="preserve">~1M Team seats FY avg; 9M+ biz users by Feb 2026 but mostly enterprise</t>
  </si>
  <si>
    <t xml:space="preserve">TOTAL PAID CONSUMER</t>
  </si>
  <si>
    <t xml:space="preserve">Cross-check: ~21.8M FY avg paid subs</t>
  </si>
  <si>
    <t xml:space="preserve">  Blended ARPU (paid subs, $/mo)</t>
  </si>
  <si>
    <t xml:space="preserve">$/mo</t>
  </si>
  <si>
    <t xml:space="preserve">Weighted avg fee across all paid tiers (FY2025 avg)</t>
  </si>
  <si>
    <t xml:space="preserve">  Free-to-Paid Conversion Rate</t>
  </si>
  <si>
    <t xml:space="preserve">Cross-check: ~3.5% FY avg (lower than Feb 2026 snapshot of 5.6%)</t>
  </si>
  <si>
    <t xml:space="preserve">  Total Consumer Sub Revenue ($B)</t>
  </si>
  <si>
    <t xml:space="preserve">FY2025 consumer sub revenue from tier breakdown</t>
  </si>
  <si>
    <t xml:space="preserve">7B-ii. Token Allocation by Tier (Compute-Budget Approach, FY2025)</t>
  </si>
  <si>
    <t xml:space="preserve">  Compute COGS % to consumer</t>
  </si>
  <si>
    <t xml:space="preserve">Derived: Consumer compute cost / Total COGS (first principles)</t>
  </si>
  <si>
    <t xml:space="preserve">  Eff. cost per M tokens (fleet-weighted)</t>
  </si>
  <si>
    <t xml:space="preserve">VR NVL72 cost ($0.316) ÷ fleet VR-equiv factor (C33=0.27); H100 fleet much less efficient</t>
  </si>
  <si>
    <t xml:space="preserve">  Consumer compute budget ($B)</t>
  </si>
  <si>
    <t xml:space="preserve">First principles: Total COGS (C59) minus API compute cost (C235 × fleet cost)</t>
  </si>
  <si>
    <t xml:space="preserve">  Total Consumer Tokens (M/yr)</t>
  </si>
  <si>
    <t xml:space="preserve">Consumer compute budget / cost per M tokens</t>
  </si>
  <si>
    <t xml:space="preserve">  Token Share by Tier</t>
  </si>
  <si>
    <t xml:space="preserve">Tok/Sub/Day</t>
  </si>
  <si>
    <t xml:space="preserve">Token Share</t>
  </si>
  <si>
    <t xml:space="preserve">Tokens (M/yr)</t>
  </si>
  <si>
    <t xml:space="preserve">I:O Ratio</t>
  </si>
  <si>
    <t xml:space="preserve">Usage Weight</t>
  </si>
  <si>
    <t xml:space="preserve">  Free</t>
  </si>
  <si>
    <t xml:space="preserve">~4 queries/active day; 2 active days/wk avg; light model; rate-limited</t>
  </si>
  <si>
    <t xml:space="preserve">  Go</t>
  </si>
  <si>
    <t xml:space="preserve">~6 queries/active day; 4 days/wk; budget-conscious; GPT-4o level</t>
  </si>
  <si>
    <t xml:space="preserve">  Plus</t>
  </si>
  <si>
    <t xml:space="preserve">~12 queries/active day; 5 days/wk; GPT-4o/Thinking; longer context</t>
  </si>
  <si>
    <t xml:space="preserve">  Pro</t>
  </si>
  <si>
    <t xml:space="preserve">~40 queries/active day; 6 days/wk; GPT-5 Pro Thinking; heavy context</t>
  </si>
  <si>
    <t xml:space="preserve">  Team / Business</t>
  </si>
  <si>
    <t xml:space="preserve">~10 queries/active day; 5 days/wk; workspace collaboration features</t>
  </si>
  <si>
    <t xml:space="preserve">  TOTAL</t>
  </si>
  <si>
    <t xml:space="preserve">Bottom-up total from per-tier usage × subscribers</t>
  </si>
  <si>
    <t xml:space="preserve">  Eff. $/M tok (paid consumer only)</t>
  </si>
  <si>
    <t xml:space="preserve">Revenue per M tokens from paid tiers only (excl. free)</t>
  </si>
  <si>
    <t xml:space="preserve">  Eff. $/M tok (all consumer incl. free)</t>
  </si>
  <si>
    <t xml:space="preserve">Diluted by free-tier compute; true revenue yield per token served</t>
  </si>
  <si>
    <t xml:space="preserve">  Cost per M Tokens (fleet-weighted)</t>
  </si>
  <si>
    <t xml:space="preserve">Fleet-weighted cost (H100/GB200 mix); much higher than VR-only</t>
  </si>
  <si>
    <t xml:space="preserve">  Free Tier % of Total Consumer Tokens</t>
  </si>
  <si>
    <t xml:space="preserve">Free users consume tokens but generate $0 sub revenue</t>
  </si>
  <si>
    <t xml:space="preserve">7C. API Token Estimation (FY2025 Actual) — Bottom-Up by Customer Tier</t>
  </si>
  <si>
    <t xml:space="preserve">7C-i. API Customer Tier Breakdown (FY2025 Average)</t>
  </si>
  <si>
    <t xml:space="preserve">Customers (K)</t>
  </si>
  <si>
    <t xml:space="preserve">Avg Monthly Spend ($)</t>
  </si>
  <si>
    <t xml:space="preserve">% of API Cust</t>
  </si>
  <si>
    <t xml:space="preserve">% of API Rev</t>
  </si>
  <si>
    <t xml:space="preserve">Free / Hobbyist Devs</t>
  </si>
  <si>
    <t xml:space="preserve">2M devs (2023) → 4M (Oct 2025 DevDay, Sam Altman); mostly free/Tier 1</t>
  </si>
  <si>
    <t xml:space="preserve">Small App / Startup</t>
  </si>
  <si>
    <t xml:space="preserve">Small SaaS integrations, chatbots, internal tools; Tier 2-3 spend range</t>
  </si>
  <si>
    <t xml:space="preserve">Mid-Market / Growth</t>
  </si>
  <si>
    <t xml:space="preserve">Production apps with real traffic; Tier 3-4; mix of frontier + batch</t>
  </si>
  <si>
    <t xml:space="preserve">Enterprise Direct</t>
  </si>
  <si>
    <t xml:space="preserve">Large orgs; committed throughput (Scale Tier); 10-50% vol discounts (OpenAI docs)</t>
  </si>
  <si>
    <t xml:space="preserve">Hyperscale / Strategic</t>
  </si>
  <si>
    <t xml:space="preserve">Top ~300: Shopify, Notion, Snap, etc.; custom deals, committed throughput</t>
  </si>
  <si>
    <t xml:space="preserve">TOTAL API CUSTOMERS</t>
  </si>
  <si>
    <t xml:space="preserve">Cross-check: 3M devs (FY avg); 1M+ biz customers (OpenAI Dec 2025)</t>
  </si>
  <si>
    <t xml:space="preserve">  Annual API Revenue ($B)</t>
  </si>
  <si>
    <t xml:space="preserve">Sum of tier revenues; should match C5 - consumer sub revenue</t>
  </si>
  <si>
    <t xml:space="preserve">  Target API Revenue ($B)</t>
  </si>
  <si>
    <t xml:space="preserve">FY2025 revenue ($13.1B) minus consumer sub revenue ($6.768B)</t>
  </si>
  <si>
    <t xml:space="preserve">  Calibration Factor</t>
  </si>
  <si>
    <t xml:space="preserve">Scale factor to reconcile tier estimates with actual; applied to token totals below</t>
  </si>
  <si>
    <t xml:space="preserve">7C-ii. Token Derivation by Tier</t>
  </si>
  <si>
    <t xml:space="preserve">  Tier</t>
  </si>
  <si>
    <t xml:space="preserve">Eff. Blended Rate ($/M)</t>
  </si>
  <si>
    <t xml:space="preserve">Input (M/yr)</t>
  </si>
  <si>
    <t xml:space="preserve">Output (M/yr)</t>
  </si>
  <si>
    <t xml:space="preserve">  Free / Hobbyist Devs</t>
  </si>
  <si>
    <t xml:space="preserve">~all GPT-4o-mini/3.5; $0.15/$0.60 blended $0.24/M; rounded to $0.30 incl. some 4o</t>
  </si>
  <si>
    <t xml:space="preserve">  Small App / Startup</t>
  </si>
  <si>
    <t xml:space="preserve">60% mini + 40% GPT-4o; RAG chatbots with moderate context</t>
  </si>
  <si>
    <t xml:space="preserve">  Mid-Market / Growth</t>
  </si>
  <si>
    <t xml:space="preserve">Frontier models (4o, o3); some batch API at 50% off; production scale</t>
  </si>
  <si>
    <t xml:space="preserve">  Enterprise Direct</t>
  </si>
  <si>
    <t xml:space="preserve">Vol discounts 10-50% (OpenAI Scale Tier docs); committed throughput</t>
  </si>
  <si>
    <t xml:space="preserve">  Hyperscale / Strategic</t>
  </si>
  <si>
    <t xml:space="preserve">Custom enterprise deals; deepest discounts; multi-year commitments</t>
  </si>
  <si>
    <t xml:space="preserve">  TOTAL API</t>
  </si>
  <si>
    <t xml:space="preserve">Calibrated to actual API revenue ($6.332B)</t>
  </si>
  <si>
    <t xml:space="preserve">Cross-Check: API Throughput (disclosed)</t>
  </si>
  <si>
    <t xml:space="preserve">  Disclosed API throughput (Oct 2025)</t>
  </si>
  <si>
    <t xml:space="preserve">M tokens/min</t>
  </si>
  <si>
    <t xml:space="preserve">Sam Altman, OpenAI DevDay, Oct 6 2025; up 20× from 300M/min in 2023</t>
  </si>
  <si>
    <t xml:space="preserve">  Annualized at Oct rate (T/yr)</t>
  </si>
  <si>
    <t xml:space="preserve">T tokens/yr</t>
  </si>
  <si>
    <t xml:space="preserve">Raw compute throughput; includes reasoning tokens, retries, caching, non-billable</t>
  </si>
  <si>
    <t xml:space="preserve">  FY2025 avg rate (est.)</t>
  </si>
  <si>
    <t xml:space="preserve">Jan ~1.5B/min → Oct 6B/min → Dec ~8B; ~3.5B FY weighted avg</t>
  </si>
  <si>
    <t xml:space="preserve">  FY2025 avg annualized (T/yr)</t>
  </si>
  <si>
    <t xml:space="preserve">Total compute tokens processed through API infrastructure</t>
  </si>
  <si>
    <t xml:space="preserve">  Overhead Multiplier (compute / billable)</t>
  </si>
  <si>
    <t xml:space="preserve">Compute tokens ÷ billable tokens; &gt;1× = reasoning, caching, safety, batch overhead</t>
  </si>
  <si>
    <t xml:space="preserve">7C-iii. COGS Cross-Check (Bottom-Up vs DC Fleet Capacity)</t>
  </si>
  <si>
    <t xml:space="preserve">    Bottom-up consumer tokens (from tiers)</t>
  </si>
  <si>
    <t xml:space="preserve">M/yr</t>
  </si>
  <si>
    <t xml:space="preserve">Sum of per-tier Tok/Sub/Day × Subscribers × 365</t>
  </si>
  <si>
    <t xml:space="preserve">    COGS-implied consumer capacity (from DC fleet)</t>
  </si>
  <si>
    <t xml:space="preserve">Consumer COGS / fleet cost per M token = total DC capacity for consumer</t>
  </si>
  <si>
    <t xml:space="preserve">    Overhead Multiplier (DC capacity / user-facing tokens)</t>
  </si>
  <si>
    <t xml:space="preserve">DC capacity ÷ user-facing tokens; &gt;1× = overhead from safety, eval, redundancy</t>
  </si>
  <si>
    <t xml:space="preserve">    Interpretation: ~5-7× overhead is plausible for:</t>
  </si>
  <si>
    <t xml:space="preserve">      • Safety/moderation classifiers on every I/O (~30%)</t>
  </si>
  <si>
    <t xml:space="preserve">Content filter model runs per query; adds ~30% compute per request</t>
  </si>
  <si>
    <t xml:space="preserve">      • RLHF reward models &amp; eval loops (~20%)</t>
  </si>
  <si>
    <t xml:space="preserve">Continuous quality scoring; runs reward model on outputs</t>
  </si>
  <si>
    <t xml:space="preserve">      • Training compute + redundancy/failover/staging (~200%+)</t>
  </si>
  <si>
    <t xml:space="preserve">Consumer budget = COGS minus API; absorbs training share + HA/staging overhead</t>
  </si>
  <si>
    <t xml:space="preserve">7D. TOTAL TOKEN VOLUME SUMMARY (FY2025 Actual, $13.1B Revenue)</t>
  </si>
  <si>
    <t xml:space="preserve">Segment</t>
  </si>
  <si>
    <t xml:space="preserve">Input Tokens (M/yr)</t>
  </si>
  <si>
    <t xml:space="preserve">Output Tokens (M/yr)</t>
  </si>
  <si>
    <t xml:space="preserve">Total Tokens (M/yr)</t>
  </si>
  <si>
    <t xml:space="preserve">% of Tokens</t>
  </si>
  <si>
    <t xml:space="preserve">Eff. $/M tok</t>
  </si>
  <si>
    <t xml:space="preserve">Consumer Subscriptions</t>
  </si>
  <si>
    <t xml:space="preserve">API (dev + enterprise)</t>
  </si>
  <si>
    <t xml:space="preserve">TOTAL</t>
  </si>
  <si>
    <t xml:space="preserve">Input:Output Ratio (overall)</t>
  </si>
  <si>
    <t xml:space="preserve">Total Tokens (Trillions)</t>
  </si>
  <si>
    <t xml:space="preserve">Section 8: Token Volume Simulation by Segment (FY2026E, $32.75B Revenue)</t>
  </si>
  <si>
    <t xml:space="preserve">8A. Pricing Assumptions by Segment (2026E)</t>
  </si>
  <si>
    <t xml:space="preserve">  (2026E pricing — API deflation + agentic model mix shift)</t>
  </si>
  <si>
    <t xml:space="preserve">GPT-5.2 $1.75/M input (was $2.50 GPT-4o); 30% deflation from Grok/DeepSeek pressure</t>
  </si>
  <si>
    <t xml:space="preserve">GPT-5.2 $14/M but blended w/ mini ($2) → eff. ~$10/M; reasoning tokens inflate output volume</t>
  </si>
  <si>
    <t xml:space="preserve">Agentic shifts I:O toward output — more reasoning tokens, longer tool-use chains vs 2025</t>
  </si>
  <si>
    <t xml:space="preserve">8B. Consumer Subscription Token Estimation (FY2026E)</t>
  </si>
  <si>
    <t xml:space="preserve">8B-i. Subscriber Tier Breakdown (FY2026E Average)</t>
  </si>
  <si>
    <t xml:space="preserve">FY2026 avg WAU: 900M (Jan) → ~1.3B (Dec); ~1.1B avg. Ads testing begins.</t>
  </si>
  <si>
    <t xml:space="preserve">Budget tier ramp: 2M (Jan) → 14M (Dec); ~8M FY avg. Key growth in emerging markets.</t>
  </si>
  <si>
    <t xml:space="preserve">Core tier: 38M (Jan) → ~60M (Dec); ~50M FY avg. Codex access drives retention.</t>
  </si>
  <si>
    <t xml:space="preserve">Power users + devs: ~2M (Jan) → 4M (Dec); ~3M FY avg. Codex unlimited drives adoption.</t>
  </si>
  <si>
    <t xml:space="preserve">9M biz users (Feb) → ~15M (Dec); ~12M FY avg. Enterprise seats 9× YoY cont'd.</t>
  </si>
  <si>
    <t xml:space="preserve">Weighted avg fee; higher than 2025 ($25.87) due to Pro + Business tier growth</t>
  </si>
  <si>
    <t xml:space="preserve">FY2026 avg; up from 3.5% (2025) toward 8.5% (2030 target). Codex + agents drive conversion.</t>
  </si>
  <si>
    <t xml:space="preserve">8B-ii. Token Allocation by Tier (Agentic-Adjusted, FY2026E)</t>
  </si>
  <si>
    <t xml:space="preserve">  Compute COGS allocated to consumer</t>
  </si>
  <si>
    <t xml:space="preserve">% of DC COGS</t>
  </si>
  <si>
    <t xml:space="preserve">Assumed 65%; 2025 first-principles derived ≈48% (B199). Methodology switch 2025 (derived) → 2026E+ (assumed) — review as assumption</t>
  </si>
  <si>
    <t xml:space="preserve">VR cost ($0.316) ÷ 2026E fleet VR-equiv factor (D103); improving fleet still costly</t>
  </si>
  <si>
    <t xml:space="preserve">2026E COGS (D60) × consumer share; total COGS = $13.9B → consumer $9.1B</t>
  </si>
  <si>
    <t xml:space="preserve">GPT-5 access + ads support longer sessions; ~6 queries/day × 3K tok × 2/7 active. +46% vs 2025.</t>
  </si>
  <si>
    <t xml:space="preserve">Budget power users; ~10 queries/day × 4K tok × 4/7 active. +56% vs 2025 (model improvements).</t>
  </si>
  <si>
    <t xml:space="preserve">Codex + Operator + Deep Research → ~25 queries/day × 6K tok × 5/7; 2× vs 2025. Agentic heavy.</t>
  </si>
  <si>
    <t xml:space="preserve">Full-time Codex devs; ~60 queries/day × 18K tok × 6/7. +94% vs 2025. Still unprofitable per Altman.</t>
  </si>
  <si>
    <t xml:space="preserve">Enterprise agents (Frontier platform); ~20 queries/day × 6K tok × 5/7. +98% vs 2025.</t>
  </si>
  <si>
    <t xml:space="preserve">Diluted by free-tier compute; compare to 2025 ($5.41 paid, $5.41 all)</t>
  </si>
  <si>
    <t xml:space="preserve">From 8B-ii row 289; fleet still legacy-heavy but improving</t>
  </si>
  <si>
    <t xml:space="preserve">Down from 60% (2025) — paid subs grow faster + agentic usage disproportionately paid</t>
  </si>
  <si>
    <t xml:space="preserve">8B-iii. COGS Cross-Check (Bottom-Up vs DC Fleet Capacity, 2026E)</t>
  </si>
  <si>
    <t xml:space="preserve">Sum of per-tier Tok/Sub/Day × Subscribers × 365 (from 8B-ii)</t>
  </si>
  <si>
    <t xml:space="preserve">Consumer COGS ($9.1B) / fleet cost per M token ($0.278) = DC capacity for consumer</t>
  </si>
  <si>
    <t xml:space="preserve">    Interpretation: overhead vs 2025 (~5.7×):</t>
  </si>
  <si>
    <t xml:space="preserve">Compare to 2025: 5.7× overhead. Lower = fleet more efficient or consumer share better estimated</t>
  </si>
  <si>
    <t xml:space="preserve">      • Fleet efficiency improving (20% VR NVL72 vs 0% in 2025)</t>
  </si>
  <si>
    <t xml:space="preserve">VR NVL72 is ~3× more efficient than H100; fleet improving from 100% legacy → 50/30/20 mix</t>
  </si>
  <si>
    <t xml:space="preserve">      • But agentic workloads add reasoning token overhead (~3-5× visible tokens)</t>
  </si>
  <si>
    <t xml:space="preserve">GPT-5.4 reasoning chains, Codex multi-step, Operator tool-use → hidden compute multiplier</t>
  </si>
  <si>
    <t xml:space="preserve">      • Safety classifiers + RLHF + training share still ~2-3× of user-facing tokens</t>
  </si>
  <si>
    <t xml:space="preserve">Safety/moderation + reward models + eval loops + training compute still significant</t>
  </si>
  <si>
    <t xml:space="preserve">8C. API Token Estimation (FY2026E) — Bottom-Up by Customer Tier</t>
  </si>
  <si>
    <t xml:space="preserve">8C-i. API Customer Tier Breakdown (FY2026E Average)</t>
  </si>
  <si>
    <t xml:space="preserve">4M (DevDay Oct 2025) → 6M; ~4M FY avg active. Codex free tier drives signups.</t>
  </si>
  <si>
    <t xml:space="preserve">2× from 250K; agentic apps (chatbots, AI assistants) proliferate. ~$150/mo avg.</t>
  </si>
  <si>
    <t xml:space="preserve">2.4× from 50K; agentic workflows in production. GPT-5 + Codex API. ~$3K/mo.</t>
  </si>
  <si>
    <t xml:space="preserve">2.5× from 10K; Frontier platform + AgentKit. 92% F500 → deeper integration. $40K/mo.</t>
  </si>
  <si>
    <t xml:space="preserve">~800 top customers (up from 300); SoftBank $3B/yr deal, Shopify, etc. $1.5M/mo.</t>
  </si>
  <si>
    <t xml:space="preserve">2026E gross revenue (D68=$32.75B) minus consumer sub revenue</t>
  </si>
  <si>
    <t xml:space="preserve">Scale factor to reconcile tier estimates with target; applied to token totals</t>
  </si>
  <si>
    <t xml:space="preserve">8C-ii. Token Derivation by Tier (2026E)</t>
  </si>
  <si>
    <t xml:space="preserve">~all GPT-5-mini ($0.25/$2); hobbyist queries. Down from $0.50.</t>
  </si>
  <si>
    <t xml:space="preserve">60% mini + 40% GPT-5; RAG chatbots. Down from $1.80 (cheaper models).</t>
  </si>
  <si>
    <t xml:space="preserve">GPT-5 ($1.25/$10) + o3 reasoning; some batch. Down from $3.20.</t>
  </si>
  <si>
    <t xml:space="preserve">Vol discounts 20-40%; Scale Tier + Codex API. Down from $3.00.</t>
  </si>
  <si>
    <t xml:space="preserve">Deep discounts 30-50%; but frontier model usage. Down from $2.50.</t>
  </si>
  <si>
    <t xml:space="preserve">Calibrated to target API revenue</t>
  </si>
  <si>
    <t xml:space="preserve">Cross-Check: API Throughput Extrapolation</t>
  </si>
  <si>
    <t xml:space="preserve">  Oct 2025 API throughput</t>
  </si>
  <si>
    <t xml:space="preserve">a16z/OpenRouter: OpenAI API avg ~8.6T tokens/day in Oct 2025</t>
  </si>
  <si>
    <t xml:space="preserve">  2026E FY avg rate (est.)</t>
  </si>
  <si>
    <t xml:space="preserve">~75% growth from Oct 2025; agentic + enterprise ramp.</t>
  </si>
  <si>
    <t xml:space="preserve">  2026E annualized (T/yr)</t>
  </si>
  <si>
    <t xml:space="preserve">Total compute tokens (billable + overhead); our API estimate is fraction of this</t>
  </si>
  <si>
    <t xml:space="preserve">  Our API Billable as % of Compute</t>
  </si>
  <si>
    <t xml:space="preserve">Billable / compute throughput; &lt;100% = reasoning, caching, safety overhead</t>
  </si>
  <si>
    <t xml:space="preserve">8D. TOTAL TOKEN VOLUME SUMMARY (FY2026E, $32.75B Revenue)</t>
  </si>
  <si>
    <t xml:space="preserve">8E. Year-over-Year Comparison (2025A → 2026E)</t>
  </si>
  <si>
    <t xml:space="preserve">FY2025A</t>
  </si>
  <si>
    <t xml:space="preserve">FY2026E</t>
  </si>
  <si>
    <t xml:space="preserve">YoY Growth</t>
  </si>
  <si>
    <t xml:space="preserve">150% growth per Section 3 assumption</t>
  </si>
  <si>
    <t xml:space="preserve">Total Tokens (T)</t>
  </si>
  <si>
    <t xml:space="preserve">Token growth outpaces revenue — price deflation + agentic volume</t>
  </si>
  <si>
    <t xml:space="preserve">Blended Eff. Rate ($/M tok)</t>
  </si>
  <si>
    <t xml:space="preserve">Declining: model mix shift + API competition + sub dilution</t>
  </si>
  <si>
    <t xml:space="preserve">Consumer Sub Rev ($B)</t>
  </si>
  <si>
    <t xml:space="preserve">Sub base 3.3× drives majority of growth</t>
  </si>
  <si>
    <t xml:space="preserve">API Rev ($B)</t>
  </si>
  <si>
    <t xml:space="preserve">Enterprise deepening + agentic API usage</t>
  </si>
  <si>
    <t xml:space="preserve">Go tier + global expansion + Codex-driven conversion</t>
  </si>
  <si>
    <t xml:space="preserve">Avg Tok/Paid Sub/Day</t>
  </si>
  <si>
    <t xml:space="preserve">Agentic usage drives ~2× per-user token consumption</t>
  </si>
  <si>
    <t xml:space="preserve">Section 9: Token Volume Simulation by Segment (FY2027E)</t>
  </si>
  <si>
    <t xml:space="preserve">9A. Pricing Assumptions by Segment (2027E)</t>
  </si>
  <si>
    <t xml:space="preserve">  (2027E pricing — continued API deflation, agentic premium emerges)</t>
  </si>
  <si>
    <t xml:space="preserve">GPT-5.x $1.25/M input; continued 30% YoY deflation. Mini models &lt;$0.25.</t>
  </si>
  <si>
    <t xml:space="preserve">Reasoning token volume grows but per-token price drops; blended ~$8/M output.</t>
  </si>
  <si>
    <t xml:space="preserve">Agentic: more output (reasoning chains, code gen). API ratio declining from 4→3.5.</t>
  </si>
  <si>
    <t xml:space="preserve">9B. Consumer Subscription Token Estimation (FY2027E)</t>
  </si>
  <si>
    <t xml:space="preserve">9B-i. Subscriber Tier Breakdown (FY2027E Average)</t>
  </si>
  <si>
    <t xml:space="preserve">1.1B→1.7B WAU; ~1.4B avg. Ads revenue emerging but small.</t>
  </si>
  <si>
    <t xml:space="preserve">Emerging markets drive growth; 8M→30M+. ~20M FY avg.</t>
  </si>
  <si>
    <t xml:space="preserve">Core workhorse; 60M→80M; ~70M avg. Codex + agents standard.</t>
  </si>
  <si>
    <t xml:space="preserve">Dev/power user tier; 4M→8M; ~6M avg. Full agentic suite.</t>
  </si>
  <si>
    <t xml:space="preserve">Enterprise explodes; 15M→33M seats; ~24M avg.</t>
  </si>
  <si>
    <t xml:space="preserve">9B-ii. Token Allocation by Tier (Agentic-Adjusted, FY2027E)</t>
  </si>
  <si>
    <t xml:space="preserve">Declining: API grows faster as enterprise scales</t>
  </si>
  <si>
    <t xml:space="preserve">  2027E COGS ($B)</t>
  </si>
  <si>
    <t xml:space="preserve">Geometric mean of 2026E ($13.9B) and 2028E ($39.7B)</t>
  </si>
  <si>
    <t xml:space="preserve">Interpolated fleet efficiency; VR share growing (20%→35%)</t>
  </si>
  <si>
    <t xml:space="preserve">6K; +20% vs 2026; ads + free access</t>
  </si>
  <si>
    <t xml:space="preserve">30K; +20% vs 2026; agentic starter</t>
  </si>
  <si>
    <t xml:space="preserve">140K; +27% vs 2026; Codex + agents</t>
  </si>
  <si>
    <t xml:space="preserve">900K; +13% vs 2026; deeper dev sessions</t>
  </si>
  <si>
    <t xml:space="preserve">100K; +18% vs 2026; enterprise agents ramping</t>
  </si>
  <si>
    <t xml:space="preserve">9B-iii. COGS Cross-Check (Bottom-Up vs DC Fleet Capacity, 2027E)</t>
  </si>
  <si>
    <t xml:space="preserve">9C. API Token Estimation (FY2027E) — Bottom-Up by Customer Tier</t>
  </si>
  <si>
    <t xml:space="preserve">9C-i. API Customer Tier Breakdown (FY2027E Average)</t>
  </si>
  <si>
    <t xml:space="preserve">5M devs; Codex free tier</t>
  </si>
  <si>
    <t xml:space="preserve">600K small apps; $150/mo</t>
  </si>
  <si>
    <t xml:space="preserve">200K orgs; $3K/mo</t>
  </si>
  <si>
    <t xml:space="preserve">40K enterprise; $18K/mo</t>
  </si>
  <si>
    <t xml:space="preserve">30 hyperscale; $5M/mo</t>
  </si>
  <si>
    <t xml:space="preserve">2027E rev (interpolated) minus consumer sub revenue</t>
  </si>
  <si>
    <t xml:space="preserve">9C-ii. Token Derivation by Tier (2027E)</t>
  </si>
  <si>
    <t xml:space="preserve">$1.00/M blended; mini models</t>
  </si>
  <si>
    <t xml:space="preserve">$1.80/M blended; standard</t>
  </si>
  <si>
    <t xml:space="preserve">$3.80/M blended; frontier reasoning</t>
  </si>
  <si>
    <t xml:space="preserve">$3.00/M blended; enterprise</t>
  </si>
  <si>
    <t xml:space="preserve">$2.50/M blended; custom</t>
  </si>
  <si>
    <t xml:space="preserve">Deepest discounts; custom pricing. ~$1.30/M.</t>
  </si>
  <si>
    <t xml:space="preserve">  Assumed Blended API Rate ($/M)</t>
  </si>
  <si>
    <t xml:space="preserve">Revenue-weighted including reasoning output premium. Overrides tier sum.</t>
  </si>
  <si>
    <t xml:space="preserve">9D. TOTAL TOKEN VOLUME SUMMARY (FY2027E)</t>
  </si>
  <si>
    <t xml:space="preserve">Section 10: Token Volume Simulation by Segment (FY2028E, $112.1B Revenue)</t>
  </si>
  <si>
    <t xml:space="preserve">10A. Pricing Assumptions by Segment (2028E)</t>
  </si>
  <si>
    <t xml:space="preserve">GPT-6-mini at $0.08/M; frontier at $0.80/M. Massive deflation.</t>
  </si>
  <si>
    <t xml:space="preserve">Reasoning output premium remains but volume-weighted much lower.</t>
  </si>
  <si>
    <t xml:space="preserve">10B. Consumer Subscription Token Estimation (FY2028E)</t>
  </si>
  <si>
    <t xml:space="preserve">10B-i. Subscriber Tier Breakdown (FY2028E Average)</t>
  </si>
  <si>
    <t xml:space="preserve">1.8B WAU; AI companion ubiquitous.</t>
  </si>
  <si>
    <t xml:space="preserve">42M; budget tier growing; 35M→50M avg.</t>
  </si>
  <si>
    <t xml:space="preserve">112M; core tier; 90M→135M avg. Deep agentic.</t>
  </si>
  <si>
    <t xml:space="preserve">9M; dev/power tier; autonomous dev suites.</t>
  </si>
  <si>
    <t xml:space="preserve">48M seats; enterprise AI standard; 40M→55M avg.</t>
  </si>
  <si>
    <t xml:space="preserve">10B-ii. Token Allocation by Tier (FY2028E)</t>
  </si>
  <si>
    <t xml:space="preserve">  2028E COGS ($B)</t>
  </si>
  <si>
    <t xml:space="preserve">75% VR NVL72 fleet; substantially lower cost</t>
  </si>
  <si>
    <t xml:space="preserve">7K; +17% vs 2027; companion standard</t>
  </si>
  <si>
    <t xml:space="preserve">35K; +17% vs 2027; daily agent tasks</t>
  </si>
  <si>
    <t xml:space="preserve">160K; +14% vs 2027; multi-agent daily</t>
  </si>
  <si>
    <t xml:space="preserve">1M; +11% vs 2027; autonomous dev</t>
  </si>
  <si>
    <t xml:space="preserve">120K; +20% vs 2027; Frontier platform</t>
  </si>
  <si>
    <t xml:space="preserve">10B-iii. COGS Cross-Check (FY2028E)</t>
  </si>
  <si>
    <t xml:space="preserve">    Bottom-up consumer tokens</t>
  </si>
  <si>
    <t xml:space="preserve">    COGS-implied consumer capacity</t>
  </si>
  <si>
    <t xml:space="preserve">    Overhead Multiplier</t>
  </si>
  <si>
    <t xml:space="preserve">10C. API Token Estimation (FY2028E)</t>
  </si>
  <si>
    <t xml:space="preserve">8M devs</t>
  </si>
  <si>
    <t xml:space="preserve">800K small apps; $250/mo</t>
  </si>
  <si>
    <t xml:space="preserve">300K orgs; $5K/mo</t>
  </si>
  <si>
    <t xml:space="preserve">60K enterprise; $30K/mo</t>
  </si>
  <si>
    <t xml:space="preserve">50 hyperscale; $8M/mo</t>
  </si>
  <si>
    <t xml:space="preserve">TOTAL API</t>
  </si>
  <si>
    <t xml:space="preserve">Eff. Rate ($/M)</t>
  </si>
  <si>
    <t xml:space="preserve">$0.18/M; commodity mini</t>
  </si>
  <si>
    <t xml:space="preserve">$0.70/M; cheap models</t>
  </si>
  <si>
    <t xml:space="preserve">$1.40/M; frontier + batch</t>
  </si>
  <si>
    <t xml:space="preserve">$1.20/M; vol discounts</t>
  </si>
  <si>
    <t xml:space="preserve">$0.80/M blended; commodity</t>
  </si>
  <si>
    <t xml:space="preserve">$1.60/M blended; standard</t>
  </si>
  <si>
    <t xml:space="preserve">Revenue-weighted blended rate. Reasoning premium sustains pricing.</t>
  </si>
  <si>
    <t xml:space="preserve">10D. TOTAL TOKEN VOLUME SUMMARY (FY2028E, $112.1B Revenue)</t>
  </si>
  <si>
    <t xml:space="preserve">$2.80/M blended; enterprise</t>
  </si>
  <si>
    <t xml:space="preserve">$2.20/M blended; custom</t>
  </si>
  <si>
    <t xml:space="preserve">Section 11: Token Volume Simulation by Segment (FY2029E)</t>
  </si>
  <si>
    <t xml:space="preserve">11A. Pricing Assumptions by Segment (2029E)</t>
  </si>
  <si>
    <t xml:space="preserve">GPT-7-mini at $0.04/M; frontier at $0.60/M. Near-commodity input tokens.</t>
  </si>
  <si>
    <t xml:space="preserve">Reasoning output = only real margin; ~$5/M frontier.</t>
  </si>
  <si>
    <t xml:space="preserve">More balanced as agents produce long-form output routinely.</t>
  </si>
  <si>
    <t xml:space="preserve">11B. Consumer Subscription Token Estimation (FY2029E)</t>
  </si>
  <si>
    <t xml:space="preserve">11B-i. Subscriber Tier Breakdown (FY2029E Average)</t>
  </si>
  <si>
    <t xml:space="preserve">2.2B WAU; AI default interface for internet.</t>
  </si>
  <si>
    <t xml:space="preserve">55M; Go mainstream globally.</t>
  </si>
  <si>
    <t xml:space="preserve">125M; AI-native workers. Plus at $25/mo.</t>
  </si>
  <si>
    <t xml:space="preserve">10M; near-autonomous dev tier.</t>
  </si>
  <si>
    <t xml:space="preserve">58M seats; Team at $35/mo. AI-first enterprise.</t>
  </si>
  <si>
    <t xml:space="preserve">11B-ii. Token Allocation by Tier (FY2029E)</t>
  </si>
  <si>
    <t xml:space="preserve">API growing; consumer share declining</t>
  </si>
  <si>
    <t xml:space="preserve">  2029E COGS ($B)</t>
  </si>
  <si>
    <t xml:space="preserve">Geometric mean of 2028E and 2030E COGS</t>
  </si>
  <si>
    <t xml:space="preserve">~90% VR fleet; highly efficient</t>
  </si>
  <si>
    <t xml:space="preserve">8K; +14% vs 2028; AI companion ubiquitous</t>
  </si>
  <si>
    <t xml:space="preserve">40K; +14% vs 2028; daily agent standard</t>
  </si>
  <si>
    <t xml:space="preserve">180K; +13% vs 2028; AI pair-programmer</t>
  </si>
  <si>
    <t xml:space="preserve">1.1M; +10% vs 2028; near-autonomous dev</t>
  </si>
  <si>
    <t xml:space="preserve">140K; +17% vs 2028; autonomous agents</t>
  </si>
  <si>
    <t xml:space="preserve">11B-iii. COGS Cross-Check (FY2029E)</t>
  </si>
  <si>
    <t xml:space="preserve">11C. API Token Estimation (FY2029E)</t>
  </si>
  <si>
    <t xml:space="preserve">12M devs</t>
  </si>
  <si>
    <t xml:space="preserve">1.2M small apps; $350/mo</t>
  </si>
  <si>
    <t xml:space="preserve">400K orgs; $7K/mo</t>
  </si>
  <si>
    <t xml:space="preserve">80K enterprise; $45K/mo</t>
  </si>
  <si>
    <t xml:space="preserve">100 hyperscale; $10M/mo</t>
  </si>
  <si>
    <t xml:space="preserve">$0.12/M; near-free</t>
  </si>
  <si>
    <t xml:space="preserve">$0.50/M; commodity</t>
  </si>
  <si>
    <t xml:space="preserve">$1.00/M; frontier</t>
  </si>
  <si>
    <t xml:space="preserve">$0.90/M; deep discounts</t>
  </si>
  <si>
    <t xml:space="preserve">$0.60/M blended; cheap mini models</t>
  </si>
  <si>
    <t xml:space="preserve">$1.40/M blended; standard models</t>
  </si>
  <si>
    <t xml:space="preserve">Revenue-weighted blended rate. Declining but frontier maintains premium.</t>
  </si>
  <si>
    <t xml:space="preserve">11D. TOTAL TOKEN VOLUME SUMMARY (FY2029E)</t>
  </si>
  <si>
    <t xml:space="preserve">$2.40/M blended; enterprise</t>
  </si>
  <si>
    <t xml:space="preserve">$1.80/M blended; strategic</t>
  </si>
  <si>
    <t xml:space="preserve">Section 12: Token Volume Simulation by Segment (FY2030E, $286.9B Revenue)</t>
  </si>
  <si>
    <t xml:space="preserve">12A. Pricing Assumptions by Segment (2030E)</t>
  </si>
  <si>
    <t xml:space="preserve">Input tokens near-commodity; $0.03/M mini, $0.50/M frontier.</t>
  </si>
  <si>
    <t xml:space="preserve">Reasoning output only remaining margin source; ~$4/M frontier.</t>
  </si>
  <si>
    <t xml:space="preserve">Balanced; agents produce as much as they consume. Near 1:1 in autonomous.</t>
  </si>
  <si>
    <t xml:space="preserve">12B. Consumer Subscription Token Estimation (FY2030E)</t>
  </si>
  <si>
    <t xml:space="preserve">12B-i. Subscriber Tier Breakdown (FY2030E Average)</t>
  </si>
  <si>
    <t xml:space="preserve">2.6B WAU; AI = default OS layer. Ads + data licensing rev.</t>
  </si>
  <si>
    <t xml:space="preserve">75M; Go tier with price up to $10.</t>
  </si>
  <si>
    <t xml:space="preserve">136M; AI-native workforce. Plus at $30/mo.</t>
  </si>
  <si>
    <t xml:space="preserve">10M; autonomous dev. Pro at $250/mo.</t>
  </si>
  <si>
    <t xml:space="preserve">65M seats; Team at $40/mo.</t>
  </si>
  <si>
    <t xml:space="preserve">12B-ii. Token Allocation by Tier (FY2030E)</t>
  </si>
  <si>
    <t xml:space="preserve">Consumer declining share as API/enterprise scales</t>
  </si>
  <si>
    <t xml:space="preserve">  2030E COGS ($B)</t>
  </si>
  <si>
    <t xml:space="preserve">100% VR NVL72 fleet; lowest possible cost per token</t>
  </si>
  <si>
    <t xml:space="preserve">9K; +13% vs 2029; always-on companion</t>
  </si>
  <si>
    <t xml:space="preserve">45K; +13% vs 2029; agent-first lifestyle</t>
  </si>
  <si>
    <t xml:space="preserve">200K; +11% vs 2029; autonomous work</t>
  </si>
  <si>
    <t xml:space="preserve">1.2M; +9% vs 2029; fully autonomous dev</t>
  </si>
  <si>
    <t xml:space="preserve">160K; +14% vs 2029; autonomous enterprise ops</t>
  </si>
  <si>
    <t xml:space="preserve">12B-iii. COGS Cross-Check (FY2030E)</t>
  </si>
  <si>
    <t xml:space="preserve">12C. API Token Estimation (FY2030E)</t>
  </si>
  <si>
    <t xml:space="preserve">15M devs; free tier + minimal pay</t>
  </si>
  <si>
    <t xml:space="preserve">1.5M small apps; $450/mo avg</t>
  </si>
  <si>
    <t xml:space="preserve">500K orgs; $10K/mo; largest segment</t>
  </si>
  <si>
    <t xml:space="preserve">100K enterprise; $58K/mo avg</t>
  </si>
  <si>
    <t xml:space="preserve">200 hyperscale; $12.5M/mo avg</t>
  </si>
  <si>
    <t xml:space="preserve">$0.50/M blended; nano models, input-heavy</t>
  </si>
  <si>
    <t xml:space="preserve">$1.20/M blended; standard + reasoning output</t>
  </si>
  <si>
    <t xml:space="preserve">$2.50/M blended; frontier reasoning premium</t>
  </si>
  <si>
    <t xml:space="preserve">$2.00/M blended; enterprise vol discounts</t>
  </si>
  <si>
    <t xml:space="preserve">$1.70/M blended; strategic deep discounts</t>
  </si>
  <si>
    <t xml:space="preserve">Revenue-weighted blended rate. Reasoning + frontier sustain pricing power.</t>
  </si>
  <si>
    <t xml:space="preserve">12D. TOTAL TOKEN VOLUME SUMMARY (FY2030E, $286.9B Revenue)</t>
  </si>
  <si>
    <t xml:space="preserve">Section 13: GRAND SUMMARY — Token Volume &amp; Revenue Trajectory (2025A–2030E)</t>
  </si>
  <si>
    <t xml:space="preserve">  YoY Revenue Growth</t>
  </si>
  <si>
    <t xml:space="preserve">Total Customers (M)</t>
  </si>
  <si>
    <t xml:space="preserve">Total Customers tokens(Mtok)</t>
  </si>
  <si>
    <t xml:space="preserve">tok/customer/day</t>
  </si>
  <si>
    <t xml:space="preserve">tok/paid customer/day</t>
  </si>
  <si>
    <t xml:space="preserve">Consumer Sub Price ($/Mtok)</t>
  </si>
  <si>
    <t xml:space="preserve">Total API tokens(Mtok)</t>
  </si>
  <si>
    <t xml:space="preserve">API Price ($/Mtok)</t>
  </si>
  <si>
    <t xml:space="preserve">  Consumer % of Rev</t>
  </si>
  <si>
    <t xml:space="preserve">Total Theoretical Tokens(T)</t>
  </si>
  <si>
    <t xml:space="preserve">Realized%</t>
  </si>
  <si>
    <t xml:space="preserve">  YoY Token Growth</t>
  </si>
  <si>
    <t xml:space="preserve">Blended ARPU ($/mo)</t>
  </si>
  <si>
    <t xml:space="preserve">Capacity tension flag (item 6)</t>
  </si>
  <si>
    <t xml:space="preserve">Year-end GW needed for Realized% ≤ 100%</t>
  </si>
  <si>
    <t xml:space="preserve">FT Update (2026-09-18 report on OpenAI July-2026 deck) — Vintages, Revenue Path, Cash Bridge v3, Runway, Capacity Tension</t>
  </si>
  <si>
    <t xml:space="preserve">Legend: blue = hardcoded input / lever · black = formula · green = link to another sheet · yellow fill = key assumption. Tags in column H: [Verified] [Interested-party] [Analogy] [Assumed] [Derived].</t>
  </si>
  <si>
    <t xml:space="preserve">Section A: OpenAI projection vintages ($B) — as reported</t>
  </si>
  <si>
    <t xml:space="preserve">Sep-2025</t>
  </si>
  <si>
    <t xml:space="preserve">Feb-2026</t>
  </si>
  <si>
    <t xml:space="preserve">May-2026</t>
  </si>
  <si>
    <t xml:space="preserve">Jul-2026</t>
  </si>
  <si>
    <t xml:space="preserve">Revenue 2026E</t>
  </si>
  <si>
    <t xml:space="preserve">Feb: The Information via the-decoder (2026-02-21); Jul: FT 2026-09-18. [Interested-party: OpenAI; Jul deck prepared for a compute deal amid ≥$1.2T round talks]</t>
  </si>
  <si>
    <t xml:space="preserve">Revenue 2027E</t>
  </si>
  <si>
    <t xml:space="preserve">Feb: The Information (~$62B). Jul: not disclosed</t>
  </si>
  <si>
    <t xml:space="preserve">Revenue 2030E</t>
  </si>
  <si>
    <t xml:space="preserve">Feb: $280B target; Jul: FT</t>
  </si>
  <si>
    <t xml:space="preserve">Cumulative revenue 2026–30</t>
  </si>
  <si>
    <t xml:space="preserve">FT: "$840bn between now and the end of 2030" — reading assumed = FY2026–FY2030 (see note row 20)</t>
  </si>
  <si>
    <t xml:space="preserve">FCF 2026E</t>
  </si>
  <si>
    <t xml:space="preserve">Sep-25: The Information via CNBC 2025-09-06; Feb: The Information</t>
  </si>
  <si>
    <t xml:space="preserve">FCF 2027E</t>
  </si>
  <si>
    <t xml:space="preserve">same</t>
  </si>
  <si>
    <t xml:space="preserve">FCF 2028E</t>
  </si>
  <si>
    <t xml:space="preserve">Sep-25 only; Feb gives 2026–29 cumulative only</t>
  </si>
  <si>
    <t xml:space="preserve">Cumulative FCF 2026–29</t>
  </si>
  <si>
    <t xml:space="preserve">Feb: The Information / Sherwood 2026-02-23</t>
  </si>
  <si>
    <t xml:space="preserve">FCF 2030E</t>
  </si>
  <si>
    <t xml:space="preserve">Feb: first positive year 2030 (+$39B)</t>
  </si>
  <si>
    <t xml:space="preserve">Cumulative FCF 2026–30</t>
  </si>
  <si>
    <t xml:space="preserve">Feb [Derived]=−218+39; May &amp; Jul: FT</t>
  </si>
  <si>
    <t xml:space="preserve">Compute / infra spend through 2030</t>
  </si>
  <si>
    <t xml:space="preserve">Feb: ~$600B "compute"; Jul: ~$856B "computing power and infrastructure" — category may differ</t>
  </si>
  <si>
    <t xml:space="preserve">Latest round raised</t>
  </si>
  <si>
    <t xml:space="preserve">OpenAI 2026-03-31: $122B committed [Verified]</t>
  </si>
  <si>
    <t xml:space="preserve">Post-money valuation</t>
  </si>
  <si>
    <t xml:space="preserve">OpenAI 2026-03-31 [Verified]</t>
  </si>
  <si>
    <t xml:space="preserve">New round talks (valuation, ≥)</t>
  </si>
  <si>
    <t xml:space="preserve">FT/Bloomberg Sep-2026; OpenAI pushing higher [Interested-party]</t>
  </si>
  <si>
    <t xml:space="preserve">Note: "$840bn between now and end of 2030" admits two readings: (a) FY2026–30 (adopted); (b) from report date. Reading (b) implies an even more front-loaded path.</t>
  </si>
  <si>
    <t xml:space="preserve">Section B: v3 revenue path — drives OpenAI_Sim!D46:H46</t>
  </si>
  <si>
    <t xml:space="preserve">Total 26–30</t>
  </si>
  <si>
    <t xml:space="preserve">Revenue anchors / inputs ($B)</t>
  </si>
  <si>
    <t xml:space="preserve">2026/2030 = Jul deck. 2027–28 [Derived]: fitted path with linearly decelerating growth that closes $36B→$350B and Σ=$840B. 2029 = residual so Σ ties to $840B exactly.</t>
  </si>
  <si>
    <t xml:space="preserve">YoY growth</t>
  </si>
  <si>
    <t xml:space="preserve">Linked into OpenAI_Sim row 46 (2026 vs 2025A actual)</t>
  </si>
  <si>
    <t xml:space="preserve">v2 path (July model) for reference</t>
  </si>
  <si>
    <t xml:space="preserve">Frozen v2 values (20260715_Tokenomics_v2 OpenAI_Sim D68:H68)</t>
  </si>
  <si>
    <t xml:space="preserve">v3 vs v2</t>
  </si>
  <si>
    <t xml:space="preserve">Check: equal-growth path Σ (36→350)</t>
  </si>
  <si>
    <t xml:space="preserve">If Σ(equal-growth) &lt; $840B, the deck implies a front-loaded path (faster 2027–28)</t>
  </si>
  <si>
    <t xml:space="preserve">Section C: Free-cash-flow bridge v3 (cash basis; replaces v2 row-86 formula for 2026–30)</t>
  </si>
  <si>
    <t xml:space="preserve">Line ($B)</t>
  </si>
  <si>
    <t xml:space="preserve">Logic / Tag</t>
  </si>
  <si>
    <t xml:space="preserve">Lever: compute &amp; infra total 2026–30</t>
  </si>
  <si>
    <t xml:space="preserve">Jul deck $856B [Interested-party]. Allocation across years uses row 34 key.</t>
  </si>
  <si>
    <t xml:space="preserve">Lever: R&amp;D share that is compute (inside row 32)</t>
  </si>
  <si>
    <t xml:space="preserve">[Assumed] range 40–80%. Prevents counting training compute twice (R&amp;D line + compute line).</t>
  </si>
  <si>
    <t xml:space="preserve">Allocation key: owned CapEx path (OpenAI_Sim row 53)</t>
  </si>
  <si>
    <t xml:space="preserve">[Assumed] v2 CapEx path = balance-sheet (owned) portion; also used as timing key for total spend</t>
  </si>
  <si>
    <t xml:space="preserve">Lever: partner-financed share of compute (off OAI FCF)</t>
  </si>
  <si>
    <t xml:space="preserve">[Assumed] 0% base. &gt;0% if partners fund build outside OpenAI cash flow; raises off-balance-sheet commitments instead.</t>
  </si>
  <si>
    <t xml:space="preserve">Gross revenue</t>
  </si>
  <si>
    <t xml:space="preserve">OpenAI_Sim row 68 (now v3 path)</t>
  </si>
  <si>
    <t xml:space="preserve">Less: Microsoft revenue share</t>
  </si>
  <si>
    <t xml:space="preserve">OpenAI_Sim row 69</t>
  </si>
  <si>
    <t xml:space="preserve">Compute &amp; infra spend (total)</t>
  </si>
  <si>
    <t xml:space="preserve">Total × timing key</t>
  </si>
  <si>
    <t xml:space="preserve">  of which owned (balance-sheet CapEx)</t>
  </si>
  <si>
    <t xml:space="preserve">Split item 4: owned</t>
  </si>
  <si>
    <t xml:space="preserve">  of which leased / contracted (cash opex)</t>
  </si>
  <si>
    <t xml:space="preserve">Split item 4: leased = total − owned</t>
  </si>
  <si>
    <t xml:space="preserve">Add back: partner-financed portion</t>
  </si>
  <si>
    <t xml:space="preserve">Excluded from OAI FCF</t>
  </si>
  <si>
    <t xml:space="preserve">R&amp;D excl. compute (cash)</t>
  </si>
  <si>
    <t xml:space="preserve">OpenAI_Sim row 76 × (1 − compute share)</t>
  </si>
  <si>
    <t xml:space="preserve">S&amp;M (cash)</t>
  </si>
  <si>
    <t xml:space="preserve">OpenAI_Sim row 77</t>
  </si>
  <si>
    <t xml:space="preserve">G&amp;A (cash)</t>
  </si>
  <si>
    <t xml:space="preserve">OpenAI_Sim row 78</t>
  </si>
  <si>
    <t xml:space="preserve">Free cash flow v3</t>
  </si>
  <si>
    <t xml:space="preserve">SBC excluded (non-cash). Depreciation NOT deducted — cash basis removes the v2 double count (Audit_Report row 78).</t>
  </si>
  <si>
    <t xml:space="preserve">Cumulative FCF v3</t>
  </si>
  <si>
    <t xml:space="preserve">Running total</t>
  </si>
  <si>
    <t xml:space="preserve">FCF / gross revenue</t>
  </si>
  <si>
    <t xml:space="preserve">Legacy v2 formula (OpInc − CapEx + SBC), reference only</t>
  </si>
  <si>
    <t xml:space="preserve">Double-counts depreciation embedded in COGS and omits leased compute — do not use</t>
  </si>
  <si>
    <t xml:space="preserve">Reconciliation to Jul deck</t>
  </si>
  <si>
    <t xml:space="preserve">Jul deck cumulative FCF 2026–30</t>
  </si>
  <si>
    <t xml:space="preserve">v3 minus deck (+ = v3 less negative)</t>
  </si>
  <si>
    <t xml:space="preserve">Implied non-compute cash cost in deck</t>
  </si>
  <si>
    <t xml:space="preserve">[Derived] 840 − 856 + 278; compare with v3 −(G38+G43+G44+G45)</t>
  </si>
  <si>
    <t xml:space="preserve">v3 non-compute cash cost</t>
  </si>
  <si>
    <t xml:space="preserve">Legacy v2 vs deck (shows the offsetting-error coincidence)</t>
  </si>
  <si>
    <t xml:space="preserve">Section C2: Sensitivity — cumulative FCF 2026–30 ($B)</t>
  </si>
  <si>
    <t xml:space="preserve">R&amp;D compute share ↓ / partner-financed →</t>
  </si>
  <si>
    <t xml:space="preserve">Formula recomputes Σ bridge; base case boxed by row 33/35 levers</t>
  </si>
  <si>
    <t xml:space="preserve">Section D: Funding runway ($B)</t>
  </si>
  <si>
    <t xml:space="preserve">Line</t>
  </si>
  <si>
    <t xml:space="preserve">Lever: cash before March-2026 round</t>
  </si>
  <si>
    <t xml:space="preserve">[Interested-party, secondary aggregator ~ $40B, Feb-2026] — weak input; test ±$15B</t>
  </si>
  <si>
    <t xml:space="preserve">Round proceeds (March 2026)</t>
  </si>
  <si>
    <t xml:space="preserve">Year-end cash before new funding</t>
  </si>
  <si>
    <t xml:space="preserve">Assumes full $122B received in 2026 and no debt / partner draws</t>
  </si>
  <si>
    <t xml:space="preserve">Cumulative external funding need</t>
  </si>
  <si>
    <t xml:space="preserve">First year cash &lt; 0</t>
  </si>
  <si>
    <t xml:space="preserve">FT: deck indicates March capital could be exhausted ~2028</t>
  </si>
  <si>
    <t xml:space="preserve">Section E: Capacity tension (item 6) — capacity inputs NOT raised; tension flagged</t>
  </si>
  <si>
    <t xml:space="preserve">Realized % of theoretical tokens (OpenAI_Sim row 669)</t>
  </si>
  <si>
    <t xml:space="preserve">Year-end capacity in model (GW)</t>
  </si>
  <si>
    <t xml:space="preserve">Year-end GW needed for Realized% = 100% (approx.)</t>
  </si>
  <si>
    <t xml:space="preserve">[Derived] linear in capacity at fixed fleet mix; ignores FY-avg lag</t>
  </si>
  <si>
    <t xml:space="preserve">Scenario: capacity scaled by Jul/Feb compute ratio (GW)</t>
  </si>
  <si>
    <t xml:space="preserve">[Derived] 10 GW × 856/600; assumes constant $/GW and identical spend category — upper-bound illustration</t>
  </si>
  <si>
    <t xml:space="preserve">Realized % 2030 under scaled capacity</t>
  </si>
  <si>
    <t xml:space="preserve">Flag</t>
  </si>
  <si>
    <t xml:space="preserve">Turn #</t>
  </si>
  <si>
    <t xml:space="preserve">Date</t>
  </si>
  <si>
    <t xml:space="preserve">User Request</t>
  </si>
  <si>
    <t xml:space="preserve">Action Taken</t>
  </si>
  <si>
    <t xml:space="preserve">Details</t>
  </si>
  <si>
    <t xml:space="preserve">Outcome</t>
  </si>
  <si>
    <t xml:space="preserve">Expand model with inter-rack networking (InfiniBand XDR, Spectrum-X, Ethernet) across Config, TL_Param, and WP_Param sheets to make token/revenue calculations more realistic.</t>
  </si>
  <si>
    <t xml:space="preserve">Added inter-rack network fabric section to Config (rows 65-85), inter-rack network analysis to WP_Param (rows 208-270), and inter-rack adjusted E2E latency section to TL_Param (rows 26-33).</t>
  </si>
  <si>
    <t xml:space="preserve">Config: Added NIC specs (ConnectX-8 800Gb/s), switch specs (Quantum-X800 Q3400 144-port), latency (sub-100ns/hop IB XDR), oversubscription (2:1), SHARP v4 reduction (50%), multi-rack parallelism (DP replicas, KV cache transfer for disaggregated inference). WP_Param: 3 sub-sections—DP all-reduce, KV cache transfer, decode overhead—plus combined E2E impact for colocated vs disaggregated scenarios. TL_Param: Added rows 26-33 showing network-adjusted E2E for both VR NVL72 and GB200 NVL72.</t>
  </si>
  <si>
    <t xml:space="preserve">Colocated inference: ~0.04% overhead (negligible). Disaggregated inference: ~24.7% throughput reduction due to KV cache transfer across racks. All values dynamically linked to Config blue-cell inputs.</t>
  </si>
  <si>
    <t xml:space="preserve">Integrate inter-rack network overhead into each of the 6 steps of the token generation pipeline in TL_Param, just like how NVLink time is integrated.</t>
  </si>
  <si>
    <t xml:space="preserve">Added column M 'Inter-Rack Time' to the optimized pipeline in TL_Param. Updated Duration formulas (D17, D18, D20) to include inter-rack. Rebuilt Rack-Independent outputs (O26:P38) with inter-rack. Fixed Revenue_Model linkage.</t>
  </si>
  <si>
    <t xml:space="preserve">Step 1 (Tokenization): N/A. Step 2 (Embedding): +3.0E-7s (LB routing latency). Step 3 (Prefill): 0 for colocated. Step 4 (Decode-First): N/A. Step 5 (Decode-All): +0.00012s (token streaming, 80% overlapped). Step 6 (De-tokenization): N/A. Token streaming uses (1-overlap) factor from Config!B82. Cleaned up old separate inter-rack section (rows 26-33) and replaced with integrated approach.</t>
  </si>
  <si>
    <t xml:space="preserve">VR NVL72: 39,901 tok/s (0.008% inter-rack overhead). GB200 NVL72: 13,240 tok/s (0.002% overhead). Inter-rack is negligible for colocated inference with IB XDR. Revenue_Model auto-updates via TL_Param!O36/P36 references.</t>
  </si>
  <si>
    <t xml:space="preserve">Add Inter-Rack Time column to the Baseline section and reposition it right next to NVLink (column I) in both Baseline and Optimized sections.</t>
  </si>
  <si>
    <t xml:space="preserve">Inserted column I between NVLink (H) and Bottleneck (J). Populated Inter-Rack Time for both Baseline and Optimized pipelines. Updated all Duration formulas (D4, D7, D17, D18, D20). Migrated Rack-Independent formulas (O/P) from old col N to col I. Deleted orphan column N. Verified Revenue_Model auto-shifted to O36/P36.</t>
  </si>
  <si>
    <t xml:space="preserve">Baseline Inter-Rack: Step 2 = 3E-7s (routing), Step 5 = 0.0006s (full streaming, no overlap since baseline has no optimizations). Optimized Inter-Rack: Step 2 = 3E-7s, Step 5 = 0.00012s (80% overlapped). Column order now: Compute | HBM BW | NVLink | Inter-Rack | Bottleneck | Dominant | FLOPs | HBM Bytes.</t>
  </si>
  <si>
    <t xml:space="preserve">Baseline: 777 tok/s (was 777.4 without inter-rack). Optimized: 39,901 tok/s (unchanged). Both sections now have consistent 8-resource-column layout. Revenue_Model correctly references O36/P36 for VR/GB200 E2E.</t>
  </si>
  <si>
    <t xml:space="preserve">User asked if I23 was doing anything; confirmed it was a redundant duplicate of E23 and cleared it.</t>
  </si>
  <si>
    <t xml:space="preserve">Cleared TL_Param!I23 (was =1/E22, duplicate of E23).</t>
  </si>
  <si>
    <t xml:space="preserve">I23 was not referenced by any downstream formula.</t>
  </si>
  <si>
    <t xml:space="preserve">Cell cleared. No impact on model.</t>
  </si>
  <si>
    <t xml:space="preserve">User surprised inter-rack overhead is so small. Asked for walkthrough of main reasons.</t>
  </si>
  <si>
    <t xml:space="preserve">Provided analysis-only explanation. No spreadsheet changes.</t>
  </si>
  <si>
    <t xml:space="preserve">3 reasons: (1) 1T model fits in 1 rack (20.7TB &gt;&gt; 1TB), no cross-rack compute traffic. (2) IB XDR = 0.3μs one-way, 6 orders of magnitude below decode bottleneck. (3) Only last-mile routing+streaming crosses fabric. Also noted when it would matter: disaggregated (~25% hit), multi-rack TP, or Ethernet.</t>
  </si>
  <si>
    <t xml:space="preserve">Key numbers: Inter-rack step 5 = 0.00012s vs HBM 0.213s (710,000× gap). Model fits in rack = no TP/PP across fabric.</t>
  </si>
  <si>
    <t xml:space="preserve">Make Bottleneck (J) and Dominant Resource (K) columns dynamic instead of hardcoded, for both Baseline and Optimized.</t>
  </si>
  <si>
    <t xml:space="preserve">Replaced hardcoded text with IF/MAX formulas comparing F (Compute), G (HBM), H (NVLink), I (Inter-Rack). Steps 1 &amp; 6 remain 'CPU' (hardcoded, always CPU). Steps 2-5 use nested IF(MAX(...)) logic.</t>
  </si>
  <si>
    <t xml:space="preserve">Bottleneck (J): returns Compute/Memory/NVLink/Inter-Rack based on which time column is largest. Dominant (K): returns GPU/HBM BW/NVLink/Inter-Rack. Step 2 Optimized corrected from hardcoded 'NVLink' to formula-derived 'Memory/HBM BW' (HBM 1.66E-6 &gt; NVLink 1.24E-6).</t>
  </si>
  <si>
    <t xml:space="preserve">All 8 formula cells verified against actual time values. Results auto-update when Config parameters change (e.g., switching to Ethernet could flip Step 2 to Inter-Rack bottleneck).</t>
  </si>
  <si>
    <t xml:space="preserve">User asked how to stress test inter-rack overhead. Built side-by-side scenario comparison table with 5 scenarios.</t>
  </si>
  <si>
    <t xml:space="preserve">Created stress test table at TL_Param rows 42-68 with 6 columns: Current + 5 scenarios (Std Ethernet, Disaggregated, 16:1 Oversub, Ethernet+Disagg, All Worst-Case). Each scenario independently varies fabric latency, oversubscription, disaggregation, and overlap.</t>
  </si>
  <si>
    <t xml:space="preserve">All formulas are self-contained — scenario parameters feed into Step 2/3/5 overhead calculations, then into adjusted E2E, tok/s, throughput loss %, and annual revenue impact ($M) linked to Revenue_Model!B38.</t>
  </si>
  <si>
    <t xml:space="preserve">Results: A=0.37% loss ($169M), B=24.6% ($11.4B), C=0% ($0), D=25.2% ($11.6B), E=72.5% ($33.4B). Disaggregation is the dominant factor; Ethernet alone is minor; 16:1 oversubscription alone is negligible; combined worst-case is devastating.</t>
  </si>
  <si>
    <t xml:space="preserve">User changed model size 1T→10T, asked why inter-rack numbers don't change</t>
  </si>
  <si>
    <t xml:space="preserve">Traced formula chain from TL_Param I7/I20 → WP_Param B235 → Config B77; diagnosed root cause</t>
  </si>
  <si>
    <t xml:space="preserve">Inter-rack formulas depend on network latency × output_tokens, NOT model size. Model size affects compute/HBM but not token streaming overhead. DP all-reduce (WP_Param B221-B228) DOES scale with model size but isn't wired into pipeline steps.</t>
  </si>
  <si>
    <t xml:space="preserve">Explained to user; offered to add model-size-dependent inter-rack component (DP all-reduce) into pipeline</t>
  </si>
  <si>
    <t xml:space="preserve">d_ff goes negative when model size increases from 1E12 to 1E13</t>
  </si>
  <si>
    <t xml:space="preserve">Replaced d_model and n_layers with auto-scaling formulas; fixed circular ref in n_heads/d_head</t>
  </si>
  <si>
    <t xml:space="preserve">Root cause: d_model formula scaled linearly with P (10× params → 10× d), causing 4d² to exceed P/n_layers. Fix: n_layers = (P/(12×160²))^(1/3), d_model = MROUND(160×n_layers, 128). d_head fixed at 128. B34-B36 changed from blue (input) to black (formula). Verified at 1E12 and 1E13.</t>
  </si>
  <si>
    <t xml:space="preserve">All model specs now auto-scale correctly: 1E12→(n=148,d=23680), 1E13→(n=319,d=51072), d_ff positive at all sizes. B31 restored to 1E12.</t>
  </si>
  <si>
    <t xml:space="preserve">At 1E14, model exceeds 1 rack memory but inter-rack numbers don't change</t>
  </si>
  <si>
    <t xml:space="preserve">Built multi-rack TP section (WP_Param B272:C297); rewired TL_Param I4:I20 to use model-size-aware inter-rack formulas; fixed D5 missing +I5</t>
  </si>
  <si>
    <t xml:space="preserve">When B43&lt;0 (model won't fit), auto-computes racks needed for TP, cross-rack activation transfer per layer (decode + prefill), total overhead. At 1E14: 5 racks needed, prefill adds 1.68s inter-rack, decode adds 0.42s (baseline) / 0.08s (optimized). At 1E12: all multi-rack terms =0 (model fits in 1 rack). Bottleneck column now shows 'Inter-Rack' for Step 3 prefill at 1E14.</t>
  </si>
  <si>
    <t xml:space="preserve">Model is now fully model-size-aware for inter-rack. B31 left at 1E14 per user's testing.</t>
  </si>
  <si>
    <t xml:space="preserve">User asked if it's common for advanced models not to fit in one rack</t>
  </si>
  <si>
    <t xml:space="preserve">Provided industry context: MoE architectures, NVLink domain scaling (NVL72→NVL576), quantization (FP4), and multi-rack TP reality</t>
  </si>
  <si>
    <t xml:space="preserve">Explained that dense &gt;20T models exceed NVL72 rack capacity (20.7 TB HBM). Industry uses MoE (sparse activation), larger NVLink domains (Rubin Ultra NVL576 ~150+ TB), and FP4 quantization. Mentioned GPT-5, Claude Opus, Gemini Ultra as likely multi-rack models. Noted user's 1E14 model is realistic for 2027-2028 era.</t>
  </si>
  <si>
    <t xml:space="preserve">Q&amp;A turn — no spreadsheet modifications. User's model at 1E14 correctly shows inter-rack as prefill bottleneck.</t>
  </si>
  <si>
    <t xml:space="preserve">User challenged: 10T model fits in rack, why is multi-rack common?</t>
  </si>
  <si>
    <t xml:space="preserve">Explained production reality: KV cache × batch_size is the real memory pressure, not just weights. Offered to extend B42/B43 to include batch-aware KV cache.</t>
  </si>
  <si>
    <t xml:space="preserve">Current B42 = weight/GPU + KV_end/GPU for 1 request. In production with batch=64 concurrent requests, KV cache alone can be 10+ TB for a 10T model at 5K context. Long-context (1M tokens) makes it worse. Also noted latency SLA reasons for multi-rack TP. User's model only accounts for single-request KV.</t>
  </si>
  <si>
    <t xml:space="preserve">Q&amp;A — offered to make memory headroom batch-aware. Awaiting user decision.</t>
  </si>
  <si>
    <t xml:space="preserve">User confirmed: make memory headroom batch-aware</t>
  </si>
  <si>
    <t xml:space="preserve">Updated B42 = KV/GPU × Batch + Weights/GPU; updated B277 = KV × Batch in TB. Both now account for concurrent requests.</t>
  </si>
  <si>
    <t xml:space="preserve">Changed B42 from '=B41+B38' to '=B41*B169+B38' (multiplies KV cache by batch size 64). Changed B277 from '=B40/1e12' to '=B40*B169/1e12'. At 1E13 batch=64: total memory = 20.43 TB vs 20.7 TB rack capacity = barely fits (0.27 TB headroom). At 1E12: 3.24 TB total, 242 GB/GPU headroom. Multi-rack TP cascade remains correct.</t>
  </si>
  <si>
    <t xml:space="preserve">B31 restored to 1E13. Model now realistically shows memory pressure from concurrent serving.</t>
  </si>
  <si>
    <t xml:space="preserve">User asked: are input/output 4K/1K, batch 64 reasonable? Check all settings for real-world fit.</t>
  </si>
  <si>
    <t xml:space="preserve">Researched production LLM serving parameters; audited all Config blue cells against industry data</t>
  </si>
  <si>
    <t xml:space="preserve">Findings: Input 4K (OK-low, RAG needs 8-16K), Output 1K (OK), Batch 64 (OK, sweet spot per benchmarks), Precision FP8 (OK), GQA 8 (OK), Spec decode N=8/a=0.7 (OK). FLAGS: MFU 0.5 is too high (real inference ~25-35%), Model 10T dense is unrealistic (frontier dense ~1-2T; most large models are MoE), Type='Dense' misses MoE reality. Suggested MFU→0.30, Model→2E12, Input→8K.</t>
  </si>
  <si>
    <t xml:space="preserve">Presented audit table with verdicts. Awaiting user decision on which values to update. MoE extension flagged as larger modeling effort.</t>
  </si>
  <si>
    <t xml:space="preserve">User asked why output/input ratio is 1</t>
  </si>
  <si>
    <t xml:space="preserve">Clarified notation: '1:4' means output=input/4 (ratio=0.25), not ratio=1. B28=B27/4=1000 is correct.</t>
  </si>
  <si>
    <t xml:space="preserve">Confusion was likely from my '1:4' notation in the audit table. The formula =B27/4 is working correctly, giving 25% output-to-input ratio.</t>
  </si>
  <si>
    <t xml:space="preserve">Q&amp;A — no changes needed. Ratio is 0.25, not 1.0.</t>
  </si>
  <si>
    <t xml:space="preserve">User asked: are all top 3 labs' models MoE?</t>
  </si>
  <si>
    <t xml:space="preserve">Researched architecture disclosures for OpenAI, Anthropic, Google; compiled comparison table</t>
  </si>
  <si>
    <t xml:space="preserve">OpenAI GPT-4/5: likely MoE (leaked, not confirmed). Anthropic Claude: unknown (never disclosed). Google Gemini: likely MoE (Google pioneered MoE research). Open-weight models (DeepSeek V4 1T/32B active, Llama 4, Qwen3) all confirmed MoE. Trend is overwhelmingly MoE for frontier. Dense at 2T is valid worst-case assumption. User changed B27=8000, B28=8000, B31=2E12.</t>
  </si>
  <si>
    <t xml:space="preserve">Q&amp;A turn. Offered to add MoE support (separate total vs active params). Awaiting user decision.</t>
  </si>
  <si>
    <t xml:space="preserve">User said 'Let’s do it' — add MoE support to the model</t>
  </si>
  <si>
    <t xml:space="preserve">Inserted 4 rows in Config (B33-B36) for Total Experts, Active Experts, FFN Compute Ratio, Active Parameters. Modified WP_Param FFN FLOP formulas (B54, B108) and HBM weight loading (B126) to scale by MoE ratio. Verified Dense backward-compatible (ratio=1).</t>
  </si>
  <si>
    <t xml:space="preserve">Config B32: 'Dense' or 'MoE'. B33: total experts (16), B34: active experts (2), B35: FFN ratio = IF(Dense,1,active/total). B36: active params. WP_Param B54/B108: FFN FLOPs × Config!B35. B126: (att_params + FFN_params×ratio)×bytes. At 2T MoE (16E/2A): FFN FLOPs 8× reduction, HBM loading 2.4× reduction, optimized throughput 66,599 tok/s (vs 36,776 dense = 1.8×). Memory footprint unchanged (all weights stored). Bottleneck shifts from Compute to NVLink for prefill.</t>
  </si>
  <si>
    <t xml:space="preserve">MoE fully functional. B32 set to 'MoE' as default. Dense mode backward-compatible.</t>
  </si>
  <si>
    <t xml:space="preserve">User asked to make B32 (Type) selectable</t>
  </si>
  <si>
    <t xml:space="preserve">Added data validation dropdown to Config!B32 with options: Dense, MoE</t>
  </si>
  <si>
    <t xml:space="preserve">Used Office.js dataValidation.rule with list source 'Dense,MoE' and inCellDropDown=true.</t>
  </si>
  <si>
    <t xml:space="preserve">B32 now shows dropdown arrow when selected.</t>
  </si>
  <si>
    <t xml:space="preserve">User noticed blank rows E33:H36 in pricing table caused by MoE row insertion</t>
  </si>
  <si>
    <t xml:space="preserve">Filled pricing tiers into E33:H36, shifted Sources/Auto-Selected sections up 4 rows, fixed Revenue_Model pricing references</t>
  </si>
  <si>
    <t xml:space="preserve">Deleted rows 33-36 (accidentally removed MoE params), re-inserted and repopulated. Moved pricing from E37:H40→E33:H36. Updated INDEX/MATCH ranges from E32:E40→E32:E36. Fixed Revenue_Model B32/B33/B80/B81 from Config!F46/F47→Config!F42/F43. Restored B32 dropdown.</t>
  </si>
  <si>
    <t xml:space="preserve">Pricing table compact with no blanks. All references verified: no #REF! errors. Revenue_Model prices correctly show $5/$25 (Premium tier).</t>
  </si>
  <si>
    <t xml:space="preserve">User asked for better alternatives to building the token model in Excel, noting it feels cumbersome and fragile</t>
  </si>
  <si>
    <t xml:space="preserve">Provided analysis of Excel limitations for this model (shared row space, cascading refs, no version control, formulas-as-code) and recommended Python/Jupyter as best alternative</t>
  </si>
  <si>
    <t xml:space="preserve">Compared 4 alternatives: Python/Jupyter, Streamlit/Gradio, Python→Excel export, Google Sheets+Apps Script. Recommended Python for parametric model with branching logic, sensitivity sweeps, and clean config separation.</t>
  </si>
  <si>
    <t xml:space="preserve">Awaiting user decision on whether to export model to Python notebook or continue in Excel</t>
  </si>
  <si>
    <t xml:space="preserve">User asked to export this Excel workbook to a Python file</t>
  </si>
  <si>
    <t xml:space="preserve">Prepared a workbook-specific Python export script in chat for the 7-sheet model</t>
  </si>
  <si>
    <t xml:space="preserve">Script uses openpyxl to read only the workbook's populated ranges, preserve formulas and number formats, and serialize sheets/cells into Python structures that can be rebuilt or analyzed.</t>
  </si>
  <si>
    <t xml:space="preserve">Ready for user to save as .py and run against the workbook file.</t>
  </si>
  <si>
    <t xml:space="preserve">User confirmed they want the fully inlined exported_workbook.py file</t>
  </si>
  <si>
    <t xml:space="preserve">Extracted compact workbook payload and prepared an inline Python module in chat</t>
  </si>
  <si>
    <t xml:space="preserve">Module embeds workbook data as compact JSON, rebuilds all seven model sheets, preserves formulas/number formats, and recreates the Config!B32 Dense/MoE dropdown.</t>
  </si>
  <si>
    <t xml:space="preserve">Ready for user to save the pasted code as exported_workbook.py and run it.</t>
  </si>
  <si>
    <t xml:space="preserve">User asked to extract and convert the entire Excel workbook to a Python file</t>
  </si>
  <si>
    <t xml:space="preserve">Built comprehensive Python module (1,340 lines) replicating all 6 model sheets as Python dataclasses</t>
  </si>
  <si>
    <t xml:space="preserve">Created tokenomics_dc_model.py with 6 main classes: Config (rack presets, model params, pricing tiers), WorkloadParams (prefill/decode/GQA/NVLink/inter-rack calculations), TimelineParams (baseline &amp; optimized pipeline), DCCostModel (CapEx/OpEx for VR &amp; GB200), RevenueModel (throughput &amp; revenue), OpenAISimulation (P&amp;L projections 2024-2030). All formulas faithfully converted. Validated: num_racks=5263✅, d_model=29952✅, E2E=7.688s✅, tok/s=66597✅, CapEx=$43,234M✅, OpEx=$9,298M✅, Revenue=$230,961M✅ (99.996% match). MoE FFN ratio correctly applied to FLOPs. File exported as downloadable .py.</t>
  </si>
  <si>
    <t xml:space="preserve">Python file exported and validated. All key outputs match Excel within 0.01%. User can import TokenomicsModel, modify inputs, call recalculate(), and print_summary().</t>
  </si>
  <si>
    <t xml:space="preserve">User asked where the Python file is (couldn't find the download)</t>
  </si>
  <si>
    <t xml:space="preserve">Re-exported tokenomics_dc_model.py via code execution OUTPUT_DIR</t>
  </si>
  <si>
    <t xml:space="preserve">File is 1,340 lines / 59 KB. Re-triggered the export to ensure download link appears.</t>
  </si>
  <si>
    <t xml:space="preserve">File re-exported. Advised user to check for download link or offered to paste code directly.</t>
  </si>
  <si>
    <t xml:space="preserve">User couldn't find the download link for the Python file</t>
  </si>
  <si>
    <t xml:space="preserve">Re-printed full file content (1,340 lines) in code execution output for copy-paste</t>
  </si>
  <si>
    <t xml:space="preserve">Excel add-in can't produce downloadable files. Full Python source was printed via bash cat command for the user to copy from the tool output.</t>
  </si>
  <si>
    <t xml:space="preserve">Full code visible in tool output. Offered to write into a sheet as alternative.</t>
  </si>
  <si>
    <t xml:space="preserve">User asked for both download and sheet copy of Python file</t>
  </si>
  <si>
    <t xml:space="preserve">Created Python_Code sheet with instructions; full 1340-line source printed in chat via bash cat command</t>
  </si>
  <si>
    <t xml:space="preserve">Excel add-in cannot produce file downloads or write 59KB of text into cells efficiently. Full source code was printed in a bash_code_execution output (cat /tmp/tokenomics_dc_model.py). Python_Code sheet contains a summary and instructions for copying from chat.</t>
  </si>
  <si>
    <t xml:space="preserve">User should copy the full Python source from the bash output in the chat above (the large code block with 1340 lines). Python_Code sheet has a pointer to that output.</t>
  </si>
  <si>
    <t xml:space="preserve">Audit all math/formulas for correctness and real-world consistency</t>
  </si>
  <si>
    <t xml:space="preserve">Full workbook audit: verified GPU specs, formula logic, DC cost assumptions, revenue model against official NVIDIA specs and industry data</t>
  </si>
  <si>
    <t xml:space="preserve">Cross-referenced Config specs vs NVIDIA official data (nvidia.com, developer.nvidia.com). Found critical issues: (1) GB200 FP4/FP8 PFLOPS use 'sparse' marketing numbers where model uses 'dense' (correct for inference); (2) ConnectX-8 is correct for GB200 (800Gb/s), ConnectX-9 for VR NVL72 (1.6 Tb/s) — Config!B71 says ConnectX-8 but VR should use ConnectX-9; (3) VR NVL72 FP8 rack value 1260 PFLOPS vs official ~1152 PFLOPS; (4) Revenue model pricing at $5/$25 per M tokens is aggressive for 2T MoE model</t>
  </si>
  <si>
    <t xml:space="preserve">Audit report with 5 critical, 4 warning, 3 info findings delivered in chat. Key corrections identified for GPU specs and NIC generation mismatch.</t>
  </si>
  <si>
    <t xml:space="preserve">Apply audit corrections (ConnectX-9 fix + FP8 PFLOPS fix)</t>
  </si>
  <si>
    <t xml:space="preserve">Applied 2 corrections: (1) ConnectX-8→ConnectX-9 SuperNIC, 800→1600 Gb/s per GPU; (2) VR FP8 1260→1152 PFLOPS (16 PFLOPS/GPU × 72)</t>
  </si>
  <si>
    <t xml:space="preserve">Fix #1 cascaded: NIC BW 0.1→0.2 TB/s/GPU, rack BW 7.2→14.4 TB/s, effective BW 0.05→0.1 TB/s. KV cache transfer time halved (3.58s→1.79s). Fix #2 cascaded: compute time +9%, E2E 7.688→7.829s (+1.8%), Revenue $230,969M→$226,802M (-1.8%). Updated description notes in C21, C71, C72.</t>
  </si>
  <si>
    <t xml:space="preserve">Both fixes verified via formula cascade check across Config→WP_Param→TL_Param→Revenue_Model. All formulas recalculated correctly. No #VALUE! or #REF! errors.</t>
  </si>
  <si>
    <t xml:space="preserve">全簿複核 (逐頁資料、跨頁連結、參數連動性) 並直接產出修正版工作簿。</t>
  </si>
  <si>
    <t xml:space="preserve">獨立複核: 1,805 公式重算零錯誤; 8 項敏感度實測。修正 4 項重大缺陷: (M1) KV 傳輸改用 GQA 壓縮尺寸 (Config B87, WP B227); (M2) 壓力測試營收基底 B38→B39 (TL D67:H67); (M3) 2027-2030 API I/O 拆分改引 I:O 比列 (B433/C433, B503/C503, B574/C574, B645/C645); (M4) DC_Cost_Model VR 專區釘選 Config F 欄。另: WP B149/B206 硬編 256→$B$145; TL C39/D39 補 I18; 約 15 處過期註記更新; Audit_Report 增補複核修正表。</t>
  </si>
  <si>
    <t xml:space="preserve">修正後: disaggregated 損失 32.2%→1.98% (KV 35.0GB→1.52GB); Scenario E 79.4%→17.2%; 營收衝擊基底翻倍; 2030 API in/out 由顛倒修正為 45.11T/22.56T (=分層加總); GB200 下拉時 VR 成本區維持 $43,234M 不動; opt tok/s 21,661→21,301 (all-reduce 296)。未結 (需決策): 現金消耗折舊加回、Section 5 使用率雙折、10C-12C 費率區重整、Realized%&gt;100% 容量張力、機櫃比例縮放結構限制。</t>
  </si>
  <si>
    <t xml:space="preserve">修正版另存為 20260715_Tokenomics_inter-rack_energy_v2.xlsx; 重算零錯誤, 全部修正經數值驗證。</t>
  </si>
  <si>
    <t xml:space="preserve">依 FT (2026-09-18) 報導之 OAI 七月簡報核對 7 月模型, 並執行六項更新。</t>
  </si>
  <si>
    <t xml:space="preserve">新增 FT_Sep2026 工作表 (版本表/營收路徑/現金橋 v3/資金跑道/容量張力); OpenAI_Sim: row 8/85 更新至 Feb-26 版; row 46 改連 FT 路徑; B17-B21, B113 改 $122B/$852B; B22 改 $856B; row 86 2026-30 改連現金橋; B129/B133/B153/A174 去除 $280B 硬編; 新增 row 88/119/675/676。</t>
  </si>
  <si>
    <t xml:space="preserve">營收 2026-30: $36→$350B, Σ$840B (2027-28 為擬合 Derived, 2029 殘差閉合)。現金橋 v3 採現金基礎: 不扣折舊 (修正雙計) 並納入完整 $856B 算力 (自建=原 CapEx 路徑, 租用=差額)。槓桿: R&amp;D 算力佔比 60% [Assumed]、夥伴融資 0% [Assumed]。容量輸入未上調, 改為旗標 + 所需 GW。</t>
  </si>
  <si>
    <t xml:space="preserve">見 Audit_Report 第 84 列起之 v3 變更與檢核值。</t>
  </si>
  <si>
    <r>
      <rPr>
        <sz val="9"/>
        <rFont val="Noto Sans CJK SC"/>
        <family val="2"/>
      </rPr>
      <t xml:space="preserve">以主流前沿模型 </t>
    </r>
    <r>
      <rPr>
        <sz val="9"/>
        <rFont val="微軟正黑體"/>
        <family val="0"/>
        <charset val="1"/>
      </rPr>
      <t xml:space="preserve">(Sep 2026) </t>
    </r>
    <r>
      <rPr>
        <sz val="9"/>
        <rFont val="Noto Sans CJK SC"/>
        <family val="2"/>
      </rPr>
      <t xml:space="preserve">更新 </t>
    </r>
    <r>
      <rPr>
        <sz val="9"/>
        <rFont val="微軟正黑體"/>
        <family val="0"/>
        <charset val="1"/>
      </rPr>
      <t xml:space="preserve">Config / TL_Param / WP_Param</t>
    </r>
    <r>
      <rPr>
        <sz val="9"/>
        <rFont val="Noto Sans CJK SC"/>
        <family val="2"/>
      </rPr>
      <t xml:space="preserve">。</t>
    </r>
  </si>
  <si>
    <r>
      <rPr>
        <sz val="9"/>
        <rFont val="微軟正黑體"/>
        <family val="0"/>
        <charset val="1"/>
      </rPr>
      <t xml:space="preserve">Config: </t>
    </r>
    <r>
      <rPr>
        <sz val="9"/>
        <rFont val="Noto Sans CJK SC"/>
        <family val="2"/>
      </rPr>
      <t xml:space="preserve">新增前沿模型預設表 </t>
    </r>
    <r>
      <rPr>
        <sz val="9"/>
        <rFont val="微軟正黑體"/>
        <family val="0"/>
        <charset val="1"/>
      </rPr>
      <t xml:space="preserve">J26:Q55 (DeepSeek V4-Pro</t>
    </r>
    <r>
      <rPr>
        <sz val="9"/>
        <rFont val="Noto Sans CJK SC"/>
        <family val="2"/>
      </rPr>
      <t xml:space="preserve">、</t>
    </r>
    <r>
      <rPr>
        <sz val="9"/>
        <rFont val="微軟正黑體"/>
        <family val="0"/>
        <charset val="1"/>
      </rPr>
      <t xml:space="preserve">Kimi K3</t>
    </r>
    <r>
      <rPr>
        <sz val="9"/>
        <rFont val="Noto Sans CJK SC"/>
        <family val="2"/>
      </rPr>
      <t xml:space="preserve">、</t>
    </r>
    <r>
      <rPr>
        <sz val="9"/>
        <rFont val="微軟正黑體"/>
        <family val="0"/>
        <charset val="1"/>
      </rPr>
      <t xml:space="preserve">DeepSeek V4-Flash</t>
    </r>
    <r>
      <rPr>
        <sz val="9"/>
        <rFont val="Noto Sans CJK SC"/>
        <family val="2"/>
      </rPr>
      <t xml:space="preserve">、閉源前沿代理</t>
    </r>
    <r>
      <rPr>
        <sz val="9"/>
        <rFont val="微軟正黑體"/>
        <family val="0"/>
        <charset val="1"/>
      </rPr>
      <t xml:space="preserve">[Assumed]</t>
    </r>
    <r>
      <rPr>
        <sz val="9"/>
        <rFont val="Noto Sans CJK SC"/>
        <family val="2"/>
      </rPr>
      <t xml:space="preserve">、舊 </t>
    </r>
    <r>
      <rPr>
        <sz val="9"/>
        <rFont val="微軟正黑體"/>
        <family val="0"/>
        <charset val="1"/>
      </rPr>
      <t xml:space="preserve">1T Dense), B29 </t>
    </r>
    <r>
      <rPr>
        <sz val="9"/>
        <rFont val="Noto Sans CJK SC"/>
        <family val="2"/>
      </rPr>
      <t xml:space="preserve">選單</t>
    </r>
    <r>
      <rPr>
        <sz val="9"/>
        <rFont val="微軟正黑體"/>
        <family val="0"/>
        <charset val="1"/>
      </rPr>
      <t xml:space="preserve">; B31–B48/B55/B87 </t>
    </r>
    <r>
      <rPr>
        <sz val="9"/>
        <rFont val="Noto Sans CJK SC"/>
        <family val="2"/>
      </rPr>
      <t xml:space="preserve">改由預設驅動</t>
    </r>
    <r>
      <rPr>
        <sz val="9"/>
        <rFont val="微軟正黑體"/>
        <family val="0"/>
        <charset val="1"/>
      </rPr>
      <t xml:space="preserve">; </t>
    </r>
    <r>
      <rPr>
        <sz val="9"/>
        <rFont val="Noto Sans CJK SC"/>
        <family val="2"/>
      </rPr>
      <t xml:space="preserve">定價層級改為 </t>
    </r>
    <r>
      <rPr>
        <sz val="9"/>
        <rFont val="微軟正黑體"/>
        <family val="0"/>
        <charset val="1"/>
      </rPr>
      <t xml:space="preserve">Sep-2026 </t>
    </r>
    <r>
      <rPr>
        <sz val="9"/>
        <rFont val="Noto Sans CJK SC"/>
        <family val="2"/>
      </rPr>
      <t xml:space="preserve">六層並以 </t>
    </r>
    <r>
      <rPr>
        <sz val="9"/>
        <rFont val="微軟正黑體"/>
        <family val="0"/>
        <charset val="1"/>
      </rPr>
      <t xml:space="preserve">F41 </t>
    </r>
    <r>
      <rPr>
        <sz val="9"/>
        <rFont val="Noto Sans CJK SC"/>
        <family val="2"/>
      </rPr>
      <t xml:space="preserve">選單選擇</t>
    </r>
    <r>
      <rPr>
        <sz val="9"/>
        <rFont val="微軟正黑體"/>
        <family val="0"/>
        <charset val="1"/>
      </rPr>
      <t xml:space="preserve">; </t>
    </r>
    <r>
      <rPr>
        <sz val="9"/>
        <rFont val="Noto Sans CJK SC"/>
        <family val="2"/>
      </rPr>
      <t xml:space="preserve">輸入</t>
    </r>
    <r>
      <rPr>
        <sz val="9"/>
        <rFont val="微軟正黑體"/>
        <family val="0"/>
        <charset val="1"/>
      </rPr>
      <t xml:space="preserve">/</t>
    </r>
    <r>
      <rPr>
        <sz val="9"/>
        <rFont val="Noto Sans CJK SC"/>
        <family val="2"/>
      </rPr>
      <t xml:space="preserve">輸出 </t>
    </r>
    <r>
      <rPr>
        <sz val="9"/>
        <rFont val="微軟正黑體"/>
        <family val="0"/>
        <charset val="1"/>
      </rPr>
      <t xml:space="preserve">16K/1K; MFU 0.35; </t>
    </r>
    <r>
      <rPr>
        <sz val="9"/>
        <rFont val="Noto Sans CJK SC"/>
        <family val="2"/>
      </rPr>
      <t xml:space="preserve">推測解碼 </t>
    </r>
    <r>
      <rPr>
        <sz val="9"/>
        <rFont val="微軟正黑體"/>
        <family val="0"/>
        <charset val="1"/>
      </rPr>
      <t xml:space="preserve">N=5; F71/F72 </t>
    </r>
    <r>
      <rPr>
        <sz val="9"/>
        <rFont val="Noto Sans CJK SC"/>
        <family val="2"/>
      </rPr>
      <t xml:space="preserve">改 </t>
    </r>
    <r>
      <rPr>
        <sz val="9"/>
        <rFont val="微軟正黑體"/>
        <family val="0"/>
        <charset val="1"/>
      </rPr>
      <t xml:space="preserve">CX-9; </t>
    </r>
    <r>
      <rPr>
        <sz val="9"/>
        <rFont val="Noto Sans CJK SC"/>
        <family val="2"/>
      </rPr>
      <t xml:space="preserve">修正 </t>
    </r>
    <r>
      <rPr>
        <sz val="9"/>
        <rFont val="微軟正黑體"/>
        <family val="0"/>
        <charset val="1"/>
      </rPr>
      <t xml:space="preserve">B32:B36 </t>
    </r>
    <r>
      <rPr>
        <sz val="9"/>
        <rFont val="Noto Sans CJK SC"/>
        <family val="2"/>
      </rPr>
      <t xml:space="preserve">資料驗證範圍。</t>
    </r>
    <r>
      <rPr>
        <sz val="9"/>
        <rFont val="微軟正黑體"/>
        <family val="0"/>
        <charset val="1"/>
      </rPr>
      <t xml:space="preserve">WP: </t>
    </r>
    <r>
      <rPr>
        <sz val="9"/>
        <rFont val="Noto Sans CJK SC"/>
        <family val="2"/>
      </rPr>
      <t xml:space="preserve">注意力 </t>
    </r>
    <r>
      <rPr>
        <sz val="9"/>
        <rFont val="微軟正黑體"/>
        <family val="0"/>
        <charset val="1"/>
      </rPr>
      <t xml:space="preserve">FLOPs/</t>
    </r>
    <r>
      <rPr>
        <sz val="9"/>
        <rFont val="Noto Sans CJK SC"/>
        <family val="2"/>
      </rPr>
      <t xml:space="preserve">參數泛化 </t>
    </r>
    <r>
      <rPr>
        <sz val="9"/>
        <rFont val="微軟正黑體"/>
        <family val="0"/>
        <charset val="1"/>
      </rPr>
      <t xml:space="preserve">(heads×head_dim</t>
    </r>
    <r>
      <rPr>
        <sz val="9"/>
        <rFont val="Noto Sans CJK SC"/>
        <family val="2"/>
      </rPr>
      <t xml:space="preserve">、稀疏</t>
    </r>
    <r>
      <rPr>
        <sz val="9"/>
        <rFont val="微軟正黑體"/>
        <family val="0"/>
        <charset val="1"/>
      </rPr>
      <t xml:space="preserve">/</t>
    </r>
    <r>
      <rPr>
        <sz val="9"/>
        <rFont val="Noto Sans CJK SC"/>
        <family val="2"/>
      </rPr>
      <t xml:space="preserve">壓縮注意力跨度</t>
    </r>
    <r>
      <rPr>
        <sz val="9"/>
        <rFont val="微軟正黑體"/>
        <family val="0"/>
        <charset val="1"/>
      </rPr>
      <t xml:space="preserve">)</t>
    </r>
    <r>
      <rPr>
        <sz val="9"/>
        <rFont val="Noto Sans CJK SC"/>
        <family val="2"/>
      </rPr>
      <t xml:space="preserve">、</t>
    </r>
    <r>
      <rPr>
        <sz val="9"/>
        <rFont val="微軟正黑體"/>
        <family val="0"/>
        <charset val="1"/>
      </rPr>
      <t xml:space="preserve">KV </t>
    </r>
    <r>
      <rPr>
        <sz val="9"/>
        <rFont val="Noto Sans CJK SC"/>
        <family val="2"/>
      </rPr>
      <t xml:space="preserve">改架構實際 </t>
    </r>
    <r>
      <rPr>
        <sz val="9"/>
        <rFont val="微軟正黑體"/>
        <family val="0"/>
        <charset val="1"/>
      </rPr>
      <t xml:space="preserve">(MLA/CSA/HCA/GQA) </t>
    </r>
    <r>
      <rPr>
        <sz val="9"/>
        <rFont val="Noto Sans CJK SC"/>
        <family val="2"/>
      </rPr>
      <t xml:space="preserve">並計 </t>
    </r>
    <r>
      <rPr>
        <sz val="9"/>
        <rFont val="微軟正黑體"/>
        <family val="0"/>
        <charset val="1"/>
      </rPr>
      <t xml:space="preserve">KV bytes</t>
    </r>
    <r>
      <rPr>
        <sz val="9"/>
        <rFont val="Noto Sans CJK SC"/>
        <family val="2"/>
      </rPr>
      <t xml:space="preserve">、批次解碼權重讀取改 </t>
    </r>
    <r>
      <rPr>
        <sz val="9"/>
        <rFont val="微軟正黑體"/>
        <family val="0"/>
        <charset val="1"/>
      </rPr>
      <t xml:space="preserve">MoE </t>
    </r>
    <r>
      <rPr>
        <sz val="9"/>
        <rFont val="Noto Sans CJK SC"/>
        <family val="2"/>
      </rPr>
      <t xml:space="preserve">命中機率、</t>
    </r>
    <r>
      <rPr>
        <sz val="9"/>
        <rFont val="微軟正黑體"/>
        <family val="0"/>
        <charset val="1"/>
      </rPr>
      <t xml:space="preserve">B46 TP </t>
    </r>
    <r>
      <rPr>
        <sz val="9"/>
        <rFont val="Noto Sans CJK SC"/>
        <family val="2"/>
      </rPr>
      <t xml:space="preserve">連結錯誤修正、</t>
    </r>
    <r>
      <rPr>
        <sz val="9"/>
        <rFont val="微軟正黑體"/>
        <family val="0"/>
        <charset val="1"/>
      </rPr>
      <t xml:space="preserve">B143 </t>
    </r>
    <r>
      <rPr>
        <sz val="9"/>
        <rFont val="Noto Sans CJK SC"/>
        <family val="2"/>
      </rPr>
      <t xml:space="preserve">啟動值位元組。</t>
    </r>
    <r>
      <rPr>
        <sz val="9"/>
        <rFont val="微軟正黑體"/>
        <family val="0"/>
        <charset val="1"/>
      </rPr>
      <t xml:space="preserve">TL: F20 </t>
    </r>
    <r>
      <rPr>
        <sz val="9"/>
        <rFont val="Noto Sans CJK SC"/>
        <family val="2"/>
      </rPr>
      <t xml:space="preserve">解碼運算乘上批次與推測驗證、除以 </t>
    </r>
    <r>
      <rPr>
        <sz val="9"/>
        <rFont val="微軟正黑體"/>
        <family val="0"/>
        <charset val="1"/>
      </rPr>
      <t xml:space="preserve">MFU</t>
    </r>
    <r>
      <rPr>
        <sz val="9"/>
        <rFont val="Noto Sans CJK SC"/>
        <family val="2"/>
      </rPr>
      <t xml:space="preserve">。</t>
    </r>
  </si>
  <si>
    <r>
      <rPr>
        <sz val="9"/>
        <rFont val="Noto Sans CJK SC"/>
        <family val="2"/>
      </rPr>
      <t xml:space="preserve">預設 </t>
    </r>
    <r>
      <rPr>
        <sz val="9"/>
        <rFont val="微軟正黑體"/>
        <family val="0"/>
        <charset val="1"/>
      </rPr>
      <t xml:space="preserve">V4-Pro + Frontier (closed) </t>
    </r>
    <r>
      <rPr>
        <sz val="9"/>
        <rFont val="Noto Sans CJK SC"/>
        <family val="2"/>
      </rPr>
      <t xml:space="preserve">定價</t>
    </r>
    <r>
      <rPr>
        <sz val="9"/>
        <rFont val="微軟正黑體"/>
        <family val="0"/>
        <charset val="1"/>
      </rPr>
      <t xml:space="preserve">: VR </t>
    </r>
    <r>
      <rPr>
        <sz val="9"/>
        <rFont val="Noto Sans CJK SC"/>
        <family val="2"/>
      </rPr>
      <t xml:space="preserve">機櫃 </t>
    </r>
    <r>
      <rPr>
        <sz val="9"/>
        <rFont val="微軟正黑體"/>
        <family val="0"/>
        <charset val="1"/>
      </rPr>
      <t xml:space="preserve">105K output tok/s, 1GW </t>
    </r>
    <r>
      <rPr>
        <sz val="9"/>
        <rFont val="Noto Sans CJK SC"/>
        <family val="2"/>
      </rPr>
      <t xml:space="preserve">年營收 </t>
    </r>
    <r>
      <rPr>
        <sz val="9"/>
        <rFont val="微軟正黑體"/>
        <family val="0"/>
        <charset val="1"/>
      </rPr>
      <t xml:space="preserve">$1.28T (v3: 34.9K tok/s, $80.8B)</t>
    </r>
    <r>
      <rPr>
        <sz val="9"/>
        <rFont val="Noto Sans CJK SC"/>
        <family val="2"/>
      </rPr>
      <t xml:space="preserve">。主因</t>
    </r>
    <r>
      <rPr>
        <sz val="9"/>
        <rFont val="微軟正黑體"/>
        <family val="0"/>
        <charset val="1"/>
      </rPr>
      <t xml:space="preserve">: 49B active vs 1T dense</t>
    </r>
    <r>
      <rPr>
        <sz val="9"/>
        <rFont val="Noto Sans CJK SC"/>
        <family val="2"/>
      </rPr>
      <t xml:space="preserve">、</t>
    </r>
    <r>
      <rPr>
        <sz val="9"/>
        <rFont val="微軟正黑體"/>
        <family val="0"/>
        <charset val="1"/>
      </rPr>
      <t xml:space="preserve">FP4</t>
    </r>
    <r>
      <rPr>
        <sz val="9"/>
        <rFont val="Noto Sans CJK SC"/>
        <family val="2"/>
      </rPr>
      <t xml:space="preserve">、壓縮 </t>
    </r>
    <r>
      <rPr>
        <sz val="9"/>
        <rFont val="微軟正黑體"/>
        <family val="0"/>
        <charset val="1"/>
      </rPr>
      <t xml:space="preserve">KV</t>
    </r>
    <r>
      <rPr>
        <sz val="9"/>
        <rFont val="Noto Sans CJK SC"/>
        <family val="2"/>
      </rPr>
      <t xml:space="preserve">、定價 </t>
    </r>
    <r>
      <rPr>
        <sz val="9"/>
        <rFont val="微軟正黑體"/>
        <family val="0"/>
        <charset val="1"/>
      </rPr>
      <t xml:space="preserve">$5/$25</t>
    </r>
    <r>
      <rPr>
        <sz val="9"/>
        <rFont val="Noto Sans CJK SC"/>
        <family val="2"/>
      </rPr>
      <t xml:space="preserve">。</t>
    </r>
    <r>
      <rPr>
        <sz val="9"/>
        <rFont val="微軟正黑體"/>
        <family val="0"/>
        <charset val="1"/>
      </rPr>
      <t xml:space="preserve">Legacy </t>
    </r>
    <r>
      <rPr>
        <sz val="9"/>
        <rFont val="Noto Sans CJK SC"/>
        <family val="2"/>
      </rPr>
      <t xml:space="preserve">預設在新工作負載下為 </t>
    </r>
    <r>
      <rPr>
        <sz val="9"/>
        <rFont val="微軟正黑體"/>
        <family val="0"/>
        <charset val="1"/>
      </rPr>
      <t xml:space="preserve">7.5K tok/s</t>
    </r>
    <r>
      <rPr>
        <sz val="9"/>
        <rFont val="Noto Sans CJK SC"/>
        <family val="2"/>
      </rPr>
      <t xml:space="preserve">。</t>
    </r>
  </si>
  <si>
    <r>
      <rPr>
        <sz val="9"/>
        <rFont val="Noto Sans CJK SC"/>
        <family val="2"/>
      </rPr>
      <t xml:space="preserve">重算後公式零新錯誤。</t>
    </r>
    <r>
      <rPr>
        <sz val="9"/>
        <rFont val="微軟正黑體"/>
        <family val="0"/>
        <charset val="1"/>
      </rPr>
      <t xml:space="preserve">Revenue_Model </t>
    </r>
    <r>
      <rPr>
        <sz val="9"/>
        <rFont val="Noto Sans CJK SC"/>
        <family val="2"/>
      </rPr>
      <t xml:space="preserve">未納入 </t>
    </r>
    <r>
      <rPr>
        <sz val="9"/>
        <rFont val="微軟正黑體"/>
        <family val="0"/>
        <charset val="1"/>
      </rPr>
      <t xml:space="preserve">prompt caching </t>
    </r>
    <r>
      <rPr>
        <sz val="9"/>
        <rFont val="Noto Sans CJK SC"/>
        <family val="2"/>
      </rPr>
      <t xml:space="preserve">折價 — 營收為上限值。詳 </t>
    </r>
    <r>
      <rPr>
        <sz val="9"/>
        <rFont val="微軟正黑體"/>
        <family val="0"/>
        <charset val="1"/>
      </rPr>
      <t xml:space="preserve">Audit_Report </t>
    </r>
    <r>
      <rPr>
        <sz val="9"/>
        <rFont val="Noto Sans CJK SC"/>
        <family val="2"/>
      </rPr>
      <t xml:space="preserve">第 </t>
    </r>
    <r>
      <rPr>
        <sz val="9"/>
        <rFont val="微軟正黑體"/>
        <family val="0"/>
        <charset val="1"/>
      </rPr>
      <t xml:space="preserve">97 </t>
    </r>
    <r>
      <rPr>
        <sz val="9"/>
        <rFont val="Noto Sans CJK SC"/>
        <family val="2"/>
      </rPr>
      <t xml:space="preserve">列起。</t>
    </r>
  </si>
  <si>
    <t xml:space="preserve">Workbook Formula, Linkage &amp; Dynamic-Response Audit</t>
  </si>
  <si>
    <t xml:space="preserve">Audit date</t>
  </si>
  <si>
    <t xml:space="preserve">Workbook</t>
  </si>
  <si>
    <t xml:space="preserve">20260715_Tokenomics_inter-rack_energy.xlsx</t>
  </si>
  <si>
    <t xml:space="preserve">Scope</t>
  </si>
  <si>
    <t xml:space="preserve">All 7 original worksheets; formulas, cross-sheet links, recalculation errors, and parameter sensitivity.</t>
  </si>
  <si>
    <t xml:space="preserve">Executive conclusion</t>
  </si>
  <si>
    <r>
      <rPr>
        <sz val="10"/>
        <color rgb="FF000000"/>
        <rFont val="Aptos"/>
        <family val="0"/>
        <charset val="1"/>
      </rPr>
      <t xml:space="preserve">2026-07-15 </t>
    </r>
    <r>
      <rPr>
        <sz val="10"/>
        <color rgb="FF000000"/>
        <rFont val="Noto Sans CJK SC"/>
        <family val="2"/>
      </rPr>
      <t xml:space="preserve">複核版</t>
    </r>
    <r>
      <rPr>
        <sz val="10"/>
        <color rgb="FF000000"/>
        <rFont val="Aptos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全簿 </t>
    </r>
    <r>
      <rPr>
        <sz val="10"/>
        <color rgb="FF000000"/>
        <rFont val="Aptos"/>
        <family val="0"/>
        <charset val="1"/>
      </rPr>
      <t xml:space="preserve">1,805 </t>
    </r>
    <r>
      <rPr>
        <sz val="10"/>
        <color rgb="FF000000"/>
        <rFont val="Noto Sans CJK SC"/>
        <family val="2"/>
      </rPr>
      <t xml:space="preserve">個公式重算零錯誤</t>
    </r>
    <r>
      <rPr>
        <sz val="10"/>
        <color rgb="FF000000"/>
        <rFont val="Aptos"/>
        <family val="0"/>
        <charset val="1"/>
      </rPr>
      <t xml:space="preserve">; 8 </t>
    </r>
    <r>
      <rPr>
        <sz val="10"/>
        <color rgb="FF000000"/>
        <rFont val="Noto Sans CJK SC"/>
        <family val="2"/>
      </rPr>
      <t xml:space="preserve">項參數敏感度實測全數連動。本次複核另發現並修正 </t>
    </r>
    <r>
      <rPr>
        <sz val="10"/>
        <color rgb="FF000000"/>
        <rFont val="Aptos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項重大語意缺陷 </t>
    </r>
    <r>
      <rPr>
        <sz val="10"/>
        <color rgb="FF000000"/>
        <rFont val="Aptos"/>
        <family val="0"/>
        <charset val="1"/>
      </rPr>
      <t xml:space="preserve">(GQA KV </t>
    </r>
    <r>
      <rPr>
        <sz val="10"/>
        <color rgb="FF000000"/>
        <rFont val="Noto Sans CJK SC"/>
        <family val="2"/>
      </rPr>
      <t xml:space="preserve">傳輸、營收衝擊基底、</t>
    </r>
    <r>
      <rPr>
        <sz val="10"/>
        <color rgb="FF000000"/>
        <rFont val="Aptos"/>
        <family val="0"/>
        <charset val="1"/>
      </rPr>
      <t xml:space="preserve">2027-2030 I/O </t>
    </r>
    <r>
      <rPr>
        <sz val="10"/>
        <color rgb="FF000000"/>
        <rFont val="Noto Sans CJK SC"/>
        <family val="2"/>
      </rPr>
      <t xml:space="preserve">拆分、</t>
    </r>
    <r>
      <rPr>
        <sz val="10"/>
        <color rgb="FF000000"/>
        <rFont val="Aptos"/>
        <family val="0"/>
        <charset val="1"/>
      </rPr>
      <t xml:space="preserve">DC VR </t>
    </r>
    <r>
      <rPr>
        <sz val="10"/>
        <color rgb="FF000000"/>
        <rFont val="Noto Sans CJK SC"/>
        <family val="2"/>
      </rPr>
      <t xml:space="preserve">專區下拉依賴</t>
    </r>
    <r>
      <rPr>
        <sz val="10"/>
        <color rgb="FF000000"/>
        <rFont val="Aptos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ptos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項動態性缺陷 </t>
    </r>
    <r>
      <rPr>
        <sz val="10"/>
        <color rgb="FF000000"/>
        <rFont val="Aptos"/>
        <family val="0"/>
        <charset val="1"/>
      </rPr>
      <t xml:space="preserve">(all-reduce </t>
    </r>
    <r>
      <rPr>
        <sz val="10"/>
        <color rgb="FF000000"/>
        <rFont val="Noto Sans CJK SC"/>
        <family val="2"/>
      </rPr>
      <t xml:space="preserve">數硬編 </t>
    </r>
    <r>
      <rPr>
        <sz val="10"/>
        <color rgb="FF000000"/>
        <rFont val="Aptos"/>
        <family val="0"/>
        <charset val="1"/>
      </rPr>
      <t xml:space="preserve">256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ptos"/>
        <family val="0"/>
        <charset val="1"/>
      </rPr>
      <t xml:space="preserve">Overhead% </t>
    </r>
    <r>
      <rPr>
        <sz val="10"/>
        <color rgb="FF000000"/>
        <rFont val="Noto Sans CJK SC"/>
        <family val="2"/>
      </rPr>
      <t xml:space="preserve">漏項</t>
    </r>
    <r>
      <rPr>
        <sz val="10"/>
        <color rgb="FF000000"/>
        <rFont val="Aptos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。詳見第 </t>
    </r>
    <r>
      <rPr>
        <sz val="10"/>
        <color rgb="FF000000"/>
        <rFont val="Aptos"/>
        <family val="0"/>
        <charset val="1"/>
      </rPr>
      <t xml:space="preserve">58 </t>
    </r>
    <r>
      <rPr>
        <sz val="10"/>
        <color rgb="FF000000"/>
        <rFont val="Noto Sans CJK SC"/>
        <family val="2"/>
      </rPr>
      <t xml:space="preserve">列起之複核修正表與未結事項。</t>
    </r>
  </si>
  <si>
    <t xml:space="preserve">Worksheet</t>
  </si>
  <si>
    <t xml:space="preserve">Role</t>
  </si>
  <si>
    <t xml:space="preserve">Formula cells</t>
  </si>
  <si>
    <t xml:space="preserve">Cross-sheet formulas</t>
  </si>
  <si>
    <t xml:space="preserve">Recalc status</t>
  </si>
  <si>
    <t xml:space="preserve">Dynamic status</t>
  </si>
  <si>
    <t xml:space="preserve">Risk</t>
  </si>
  <si>
    <t xml:space="preserve">Key conclusion</t>
  </si>
  <si>
    <t xml:space="preserve">Claude Log</t>
  </si>
  <si>
    <t xml:space="preserve">Change log</t>
  </si>
  <si>
    <t xml:space="preserve">Pass</t>
  </si>
  <si>
    <t xml:space="preserve">Low</t>
  </si>
  <si>
    <t xml:space="preserve">Narrative log only; no calculation role.</t>
  </si>
  <si>
    <t xml:space="preserve">Config</t>
  </si>
  <si>
    <t xml:space="preserve">Inputs &amp; presets</t>
  </si>
  <si>
    <t xml:space="preserve">Pass after fix</t>
  </si>
  <si>
    <t xml:space="preserve">Medium</t>
  </si>
  <si>
    <t xml:space="preserve">Rack/model/network controls feed downstream sheets. MoE active-parameter formula corrected.</t>
  </si>
  <si>
    <t xml:space="preserve">TL_Param</t>
  </si>
  <si>
    <t xml:space="preserve">Pipeline latency</t>
  </si>
  <si>
    <t xml:space="preserve">High</t>
  </si>
  <si>
    <t xml:space="preserve">Three optimized duration formulas now respect changing bottlenecks; stress-test base no longer double-counts current network overhead.</t>
  </si>
  <si>
    <t xml:space="preserve">WP_Param</t>
  </si>
  <si>
    <t xml:space="preserve">Workload mechanics</t>
  </si>
  <si>
    <t xml:space="preserve">Network comparison no longer double-counts integrated routing/streaming terms.</t>
  </si>
  <si>
    <t xml:space="preserve">DC_Cost_Model</t>
  </si>
  <si>
    <t xml:space="preserve">CapEx/OpEx</t>
  </si>
  <si>
    <t xml:space="preserve">Derived totals are formula-driven; unit-cost and operating assumptions are intentionally hardcoded inputs.</t>
  </si>
  <si>
    <t xml:space="preserve">Revenue_Model</t>
  </si>
  <si>
    <t xml:space="preserve">Throughput/revenue</t>
  </si>
  <si>
    <t xml:space="preserve">VR and GB200 sections link to independent latency/rack outputs; utilization and uptime are explicit assumptions.</t>
  </si>
  <si>
    <t xml:space="preserve">OpenAI_Sim</t>
  </si>
  <si>
    <t xml:space="preserve">Financial scenarios</t>
  </si>
  <si>
    <t xml:space="preserve">Partial by design</t>
  </si>
  <si>
    <t xml:space="preserve">2030 valuation multiple error corrected. Forecast assumptions and segment scenarios intentionally contain many hardcoded controls.</t>
  </si>
  <si>
    <t xml:space="preserve">Corrections applied</t>
  </si>
  <si>
    <t xml:space="preserve">Sheet</t>
  </si>
  <si>
    <t xml:space="preserve">Cell</t>
  </si>
  <si>
    <t xml:space="preserve">Previous formula/value</t>
  </si>
  <si>
    <t xml:space="preserve">Corrected formula/value</t>
  </si>
  <si>
    <t xml:space="preserve">Reason</t>
  </si>
  <si>
    <t xml:space="preserve">D18</t>
  </si>
  <si>
    <t xml:space="preserve">'=F18+H18+I18</t>
  </si>
  <si>
    <t xml:space="preserve">'=MAX(F18,G18)+H18+I18</t>
  </si>
  <si>
    <t xml:space="preserve">Optimized prefill duration omitted HBM time when HBM becomes slower than compute.</t>
  </si>
  <si>
    <t xml:space="preserve">D19</t>
  </si>
  <si>
    <t xml:space="preserve">'=G19</t>
  </si>
  <si>
    <t xml:space="preserve">'=MAX(F19,G19)</t>
  </si>
  <si>
    <t xml:space="preserve">Optimized first-token duration was hard-linked to HBM only and ignored a possible compute bottleneck.</t>
  </si>
  <si>
    <t xml:space="preserve">D20</t>
  </si>
  <si>
    <t xml:space="preserve">'=G20+H20+I20</t>
  </si>
  <si>
    <t xml:space="preserve">'=MAX(F20,G20)+H20+I20</t>
  </si>
  <si>
    <t xml:space="preserve">Optimized decode-all duration omitted compute time when compute becomes slower than HBM.</t>
  </si>
  <si>
    <t xml:space="preserve">B21</t>
  </si>
  <si>
    <t xml:space="preserve">'=840/F5</t>
  </si>
  <si>
    <t xml:space="preserve">'=840/H5</t>
  </si>
  <si>
    <t xml:space="preserve">2030 valuation multiple referenced blank F5 instead of 2030 target in H5, causing #DIV/0!.</t>
  </si>
  <si>
    <t xml:space="preserve">B36</t>
  </si>
  <si>
    <t xml:space="preserve">'=IF(B32="Dense",B31,B31*B35)</t>
  </si>
  <si>
    <t xml:space="preserve">'=IF(B32="Dense",B31,B39*(B43+B44*B35))</t>
  </si>
  <si>
    <t xml:space="preserve">MoE active parameters must retain shared attention parameters and scale only expert FFN parameters.</t>
  </si>
  <si>
    <t xml:space="preserve">C36</t>
  </si>
  <si>
    <t xml:space="preserve">Dense=total, MoE=total×ratio</t>
  </si>
  <si>
    <t xml:space="preserve">Dense=total; MoE=n_layers×(attention + FFN×active/total)</t>
  </si>
  <si>
    <t xml:space="preserve">Clarified corrected MoE active-parameter definition.</t>
  </si>
  <si>
    <t xml:space="preserve">C62</t>
  </si>
  <si>
    <t xml:space="preserve">'=C38</t>
  </si>
  <si>
    <t xml:space="preserve">'=C38-SUM(I17,I18,I20)</t>
  </si>
  <si>
    <t xml:space="preserve">Intra-rack base must exclude inter-rack overhead already integrated into C38 before scenario overhead is added.</t>
  </si>
  <si>
    <t xml:space="preserve">B240</t>
  </si>
  <si>
    <t xml:space="preserve">'=TL_Param!E21</t>
  </si>
  <si>
    <t xml:space="preserve">'=TL_Param!E21-SUM(TL_Param!I17,TL_Param!I18,TL_Param!I20)</t>
  </si>
  <si>
    <t xml:space="preserve">Base latency should exclude integrated network terms.</t>
  </si>
  <si>
    <t xml:space="preserve">C240</t>
  </si>
  <si>
    <t xml:space="preserve">From TL_Param (now includes inter-rack in steps 2,5)</t>
  </si>
  <si>
    <t xml:space="preserve">Updated description to match formula.</t>
  </si>
  <si>
    <t xml:space="preserve">A241</t>
  </si>
  <si>
    <t xml:space="preserve">Load Balancer + Return Overhead (s)</t>
  </si>
  <si>
    <t xml:space="preserve">Clarified that only one-way routing is added here.</t>
  </si>
  <si>
    <t xml:space="preserve">B241</t>
  </si>
  <si>
    <t xml:space="preserve">'=B233+B234</t>
  </si>
  <si>
    <t xml:space="preserve">'=B233</t>
  </si>
  <si>
    <t xml:space="preserve">Use the same one-way routing term integrated in TL_Param.</t>
  </si>
  <si>
    <t xml:space="preserve">A242</t>
  </si>
  <si>
    <t xml:space="preserve">Token Streaming Overhead (all output tokens, s)</t>
  </si>
  <si>
    <t xml:space="preserve">Clarified optimized network components.</t>
  </si>
  <si>
    <t xml:space="preserve">B242</t>
  </si>
  <si>
    <t xml:space="preserve">'=B235*B23</t>
  </si>
  <si>
    <t xml:space="preserve">'=B294+B296</t>
  </si>
  <si>
    <t xml:space="preserve">Use optimized prefill/decode TP and streaming overhead exactly once.</t>
  </si>
  <si>
    <t xml:space="preserve">C242</t>
  </si>
  <si>
    <t xml:space="preserve">Per-token streaming overhead × output tokens</t>
  </si>
  <si>
    <t xml:space="preserve">Updated description.</t>
  </si>
  <si>
    <t xml:space="preserve">B246</t>
  </si>
  <si>
    <t xml:space="preserve">'=TL_Param!D18+TL_Param!D16</t>
  </si>
  <si>
    <t xml:space="preserve">'=TL_Param!D16+TL_Param!D18-TL_Param!I18</t>
  </si>
  <si>
    <t xml:space="preserve">Remove integrated prefill inter-rack term before adding disaggregated KV transfer.</t>
  </si>
  <si>
    <t xml:space="preserve">B248</t>
  </si>
  <si>
    <t xml:space="preserve">'=TL_Param!D19+TL_Param!D20+TL_Param!D21</t>
  </si>
  <si>
    <t xml:space="preserve">'=TL_Param!D19+TL_Param!D20-TL_Param!I20+TL_Param!D21</t>
  </si>
  <si>
    <t xml:space="preserve">Remove integrated decode inter-rack term before adding scenario-specific streaming.</t>
  </si>
  <si>
    <t xml:space="preserve">B249</t>
  </si>
  <si>
    <t xml:space="preserve">'=B242</t>
  </si>
  <si>
    <t xml:space="preserve">'=B235*B23*(1-B217)</t>
  </si>
  <si>
    <t xml:space="preserve">Apply configured inference communication overlap to token streaming.</t>
  </si>
  <si>
    <t xml:space="preserve">C24</t>
  </si>
  <si>
    <t xml:space="preserve">Auto-filled from dropdown; edit preset in F26/G26</t>
  </si>
  <si>
    <t xml:space="preserve">Corrected stale preset row reference.</t>
  </si>
  <si>
    <t xml:space="preserve">H20</t>
  </si>
  <si>
    <t xml:space="preserve">Same as inference for dense (sparsity only boosts inference marketing)</t>
  </si>
  <si>
    <t xml:space="preserve">Corrected note that contradicted the inference/training values.</t>
  </si>
  <si>
    <t xml:space="preserve">C16</t>
  </si>
  <si>
    <t xml:space="preserve">16 PFLOPS/GPU</t>
  </si>
  <si>
    <t xml:space="preserve">Corrected stale note after FP8 rack performance audit.</t>
  </si>
  <si>
    <t xml:space="preserve">Dynamic-response tests</t>
  </si>
  <si>
    <t xml:space="preserve">Control changed</t>
  </si>
  <si>
    <t xml:space="preserve">Test value</t>
  </si>
  <si>
    <t xml:space="preserve">Observed downstream response</t>
  </si>
  <si>
    <t xml:space="preserve">Result</t>
  </si>
  <si>
    <t xml:space="preserve">Config!B27 Input Tokens</t>
  </si>
  <si>
    <t xml:space="preserve">TL E2E 1.819s→3.621s; throughput and revenue changed.</t>
  </si>
  <si>
    <t xml:space="preserve">Config!B31 Parameters</t>
  </si>
  <si>
    <t xml:space="preserve">TL E2E 1.819s→3.230s; memory, throughput, pricing/revenue changed.</t>
  </si>
  <si>
    <t xml:space="preserve">Config!B32 Type</t>
  </si>
  <si>
    <t xml:space="preserve">Dense→MoE: active params 1.0T→0.415T; E2E 1.819s→1.299s.</t>
  </si>
  <si>
    <t xml:space="preserve">Config!B46 MFU</t>
  </si>
  <si>
    <t xml:space="preserve">MFU 0.5→0.8: E2E 1.819s→1.476s; revenue changed.</t>
  </si>
  <si>
    <t xml:space="preserve">Config!B56 Batch Size</t>
  </si>
  <si>
    <t xml:space="preserve">Batch 64→32: memory headroom, throughput and revenue changed.</t>
  </si>
  <si>
    <t xml:space="preserve">Config!B76 Switch latency</t>
  </si>
  <si>
    <t xml:space="preserve">0.1→5 μs: E2E 1.819s→1.825s; throughput/revenue changed.</t>
  </si>
  <si>
    <t xml:space="preserve">Config!B7 Rack Type</t>
  </si>
  <si>
    <t xml:space="preserve">Downstream selected-rack cost/workload changed, but VR independent output moved ~2.2%.</t>
  </si>
  <si>
    <t xml:space="preserve">Partial</t>
  </si>
  <si>
    <t xml:space="preserve">Hardcoded-cell assessment</t>
  </si>
  <si>
    <t xml:space="preserve">Acceptable controls</t>
  </si>
  <si>
    <t xml:space="preserve">Config presets and blue input cells; DC unit costs; Revenue utilization/uptime; TL stress-scenario assumptions; OpenAI forecast assumptions. These are scenario drivers and should remain hardcoded/editable.</t>
  </si>
  <si>
    <t xml:space="preserve">Derived outputs</t>
  </si>
  <si>
    <t xml:space="preserve">Core latency, throughput, rack count, CapEx/OpEx totals, revenue, and P&amp;L subtotal/output rows are formula-driven after corrections.</t>
  </si>
  <si>
    <t xml:space="preserve">Caution</t>
  </si>
  <si>
    <t xml:space="preserve">OpenAI_Sim is a scenario model, not a fully endogenous forecast. Customer counts, prices, fleet shares, growth, margins, and token-use assumptions are intentionally hardcoded and must be reviewed as an assumption block.</t>
  </si>
  <si>
    <t xml:space="preserve">Structural limitation</t>
  </si>
  <si>
    <t xml:space="preserve">VR-vs-GB200 rack-independent comparison rescales the currently selected rack calculation. Rack dropdown testing moved the nominal VR output by ~2.2%, so it is not fully rack-independent. For investment use, build separate full WP/TL calculation blocks for each rack instead of ratio scaling.</t>
  </si>
  <si>
    <r>
      <rPr>
        <sz val="10"/>
        <color rgb="FF000000"/>
        <rFont val="Arial"/>
        <family val="0"/>
        <charset val="1"/>
      </rPr>
      <t xml:space="preserve">2026-07-15 </t>
    </r>
    <r>
      <rPr>
        <sz val="10"/>
        <color rgb="FF000000"/>
        <rFont val="Noto Sans CJK SC"/>
        <family val="2"/>
      </rPr>
      <t xml:space="preserve">複核修正 </t>
    </r>
    <r>
      <rPr>
        <sz val="10"/>
        <color rgb="FF000000"/>
        <rFont val="Arial"/>
        <family val="0"/>
        <charset val="1"/>
      </rPr>
      <t xml:space="preserve">(Re-audit, corrections applied)</t>
    </r>
  </si>
  <si>
    <t xml:space="preserve">B87</t>
  </si>
  <si>
    <t xml:space="preserve">'=2*B38*B39*B48*(B27+B28)</t>
  </si>
  <si>
    <t xml:space="preserve">'=2*B41*B55*B39*B48*(B27+B28)</t>
  </si>
  <si>
    <r>
      <rPr>
        <sz val="10"/>
        <color rgb="FF000000"/>
        <rFont val="Arial"/>
        <family val="0"/>
        <charset val="1"/>
      </rPr>
      <t xml:space="preserve">M1: KV cache </t>
    </r>
    <r>
      <rPr>
        <sz val="10"/>
        <color rgb="FF000000"/>
        <rFont val="Noto Sans CJK SC"/>
        <family val="2"/>
      </rPr>
      <t xml:space="preserve">傳輸原用全 </t>
    </r>
    <r>
      <rPr>
        <sz val="10"/>
        <color rgb="FF000000"/>
        <rFont val="Arial"/>
        <family val="0"/>
        <charset val="1"/>
      </rPr>
      <t xml:space="preserve">MHA (2×d_model),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路徑之 </t>
    </r>
    <r>
      <rPr>
        <sz val="10"/>
        <color rgb="FF000000"/>
        <rFont val="Arial"/>
        <family val="0"/>
        <charset val="1"/>
      </rPr>
      <t xml:space="preserve">GQA (B55=8 KV heads) </t>
    </r>
    <r>
      <rPr>
        <sz val="10"/>
        <color rgb="FF000000"/>
        <rFont val="Noto Sans CJK SC"/>
        <family val="2"/>
      </rPr>
      <t xml:space="preserve">不一致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高估 </t>
    </r>
    <r>
      <rPr>
        <sz val="10"/>
        <color rgb="FF000000"/>
        <rFont val="Arial"/>
        <family val="0"/>
        <charset val="1"/>
      </rPr>
      <t xml:space="preserve">23.1×</t>
    </r>
    <r>
      <rPr>
        <sz val="10"/>
        <color rgb="FF000000"/>
        <rFont val="Noto Sans CJK SC"/>
        <family val="2"/>
      </rPr>
      <t xml:space="preserve">。修正後 </t>
    </r>
    <r>
      <rPr>
        <sz val="10"/>
        <color rgb="FF000000"/>
        <rFont val="Arial"/>
        <family val="0"/>
        <charset val="1"/>
      </rPr>
      <t xml:space="preserve">KV=1.52GB/request</t>
    </r>
    <r>
      <rPr>
        <sz val="10"/>
        <color rgb="FF000000"/>
        <rFont val="Noto Sans CJK SC"/>
        <family val="2"/>
      </rPr>
      <t xml:space="preserve">。</t>
    </r>
  </si>
  <si>
    <t xml:space="preserve">B227</t>
  </si>
  <si>
    <t xml:space="preserve">'=2*B29*B30*Config!B48*(B22+B23)</t>
  </si>
  <si>
    <t xml:space="preserve">'=2*B32*B159*B30*Config!B48*(B22+B23)</t>
  </si>
  <si>
    <r>
      <rPr>
        <sz val="10"/>
        <color rgb="FF000000"/>
        <rFont val="Arial"/>
        <family val="0"/>
        <charset val="1"/>
      </rPr>
      <t xml:space="preserve">M1 </t>
    </r>
    <r>
      <rPr>
        <sz val="10"/>
        <color rgb="FF000000"/>
        <rFont val="Noto Sans CJK SC"/>
        <family val="2"/>
      </rPr>
      <t xml:space="preserve">同步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P→D </t>
    </r>
    <r>
      <rPr>
        <sz val="10"/>
        <color rgb="FF000000"/>
        <rFont val="Noto Sans CJK SC"/>
        <family val="2"/>
      </rPr>
      <t xml:space="preserve">傳輸的是 </t>
    </r>
    <r>
      <rPr>
        <sz val="10"/>
        <color rgb="FF000000"/>
        <rFont val="Arial"/>
        <family val="0"/>
        <charset val="1"/>
      </rPr>
      <t xml:space="preserve">GQA </t>
    </r>
    <r>
      <rPr>
        <sz val="10"/>
        <color rgb="FF000000"/>
        <rFont val="Noto Sans CJK SC"/>
        <family val="2"/>
      </rPr>
      <t xml:space="preserve">壓縮後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Disaggregated </t>
    </r>
    <r>
      <rPr>
        <sz val="10"/>
        <color rgb="FF000000"/>
        <rFont val="Noto Sans CJK SC"/>
        <family val="2"/>
      </rPr>
      <t xml:space="preserve">吞吐損失 </t>
    </r>
    <r>
      <rPr>
        <sz val="10"/>
        <color rgb="FF000000"/>
        <rFont val="Arial"/>
        <family val="0"/>
        <charset val="1"/>
      </rPr>
      <t xml:space="preserve">32.2%→1.98%; Scenario E 79.4%→17.2%</t>
    </r>
    <r>
      <rPr>
        <sz val="10"/>
        <color rgb="FF000000"/>
        <rFont val="Noto Sans CJK SC"/>
        <family val="2"/>
      </rPr>
      <t xml:space="preserve">。</t>
    </r>
  </si>
  <si>
    <t xml:space="preserve">D67:H67</t>
  </si>
  <si>
    <t xml:space="preserve">'=X65*Revenue_Model!B38</t>
  </si>
  <si>
    <t xml:space="preserve">'=X65*Revenue_Model!B39</t>
  </si>
  <si>
    <r>
      <rPr>
        <sz val="10"/>
        <color rgb="FF000000"/>
        <rFont val="Arial"/>
        <family val="0"/>
        <charset val="1"/>
      </rPr>
      <t xml:space="preserve">M2: </t>
    </r>
    <r>
      <rPr>
        <sz val="10"/>
        <color rgb="FF000000"/>
        <rFont val="Noto Sans CJK SC"/>
        <family val="2"/>
      </rPr>
      <t xml:space="preserve">吞吐損失等比例壓縮 </t>
    </r>
    <r>
      <rPr>
        <sz val="10"/>
        <color rgb="FF000000"/>
        <rFont val="Arial"/>
        <family val="0"/>
        <charset val="1"/>
      </rPr>
      <t xml:space="preserve">input+output </t>
    </r>
    <r>
      <rPr>
        <sz val="10"/>
        <color rgb="FF000000"/>
        <rFont val="Noto Sans CJK SC"/>
        <family val="2"/>
      </rPr>
      <t xml:space="preserve">營收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基底應為總營收 </t>
    </r>
    <r>
      <rPr>
        <sz val="10"/>
        <color rgb="FF000000"/>
        <rFont val="Arial"/>
        <family val="0"/>
        <charset val="1"/>
      </rPr>
      <t xml:space="preserve">B39 </t>
    </r>
    <r>
      <rPr>
        <sz val="10"/>
        <color rgb="FF000000"/>
        <rFont val="Noto Sans CJK SC"/>
        <family val="2"/>
      </rPr>
      <t xml:space="preserve">而非僅 </t>
    </r>
    <r>
      <rPr>
        <sz val="10"/>
        <color rgb="FF000000"/>
        <rFont val="Arial"/>
        <family val="0"/>
        <charset val="1"/>
      </rPr>
      <t xml:space="preserve">output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B38 (</t>
    </r>
    <r>
      <rPr>
        <sz val="10"/>
        <color rgb="FF000000"/>
        <rFont val="Noto Sans CJK SC"/>
        <family val="2"/>
      </rPr>
      <t xml:space="preserve">原低估 </t>
    </r>
    <r>
      <rPr>
        <sz val="10"/>
        <color rgb="FF000000"/>
        <rFont val="Arial"/>
        <family val="0"/>
        <charset val="1"/>
      </rPr>
      <t xml:space="preserve">2×)</t>
    </r>
    <r>
      <rPr>
        <sz val="10"/>
        <color rgb="FF000000"/>
        <rFont val="Noto Sans CJK SC"/>
        <family val="2"/>
      </rPr>
      <t xml:space="preserve">。</t>
    </r>
  </si>
  <si>
    <t xml:space="preserve">B433/C433</t>
  </si>
  <si>
    <r>
      <rPr>
        <sz val="10"/>
        <color rgb="FF000000"/>
        <rFont val="Arial"/>
        <family val="0"/>
        <charset val="1"/>
      </rPr>
      <t xml:space="preserve">...C369... (input </t>
    </r>
    <r>
      <rPr>
        <sz val="10"/>
        <color rgb="FF000000"/>
        <rFont val="Noto Sans CJK SC"/>
        <family val="2"/>
      </rPr>
      <t xml:space="preserve">單價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</si>
  <si>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...C371... (I:O </t>
    </r>
    <r>
      <rPr>
        <sz val="10"/>
        <color rgb="FF000000"/>
        <rFont val="Noto Sans CJK SC"/>
        <family val="2"/>
      </rPr>
      <t xml:space="preserve">比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</si>
  <si>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M3: 2027E API I/O </t>
    </r>
    <r>
      <rPr>
        <sz val="10"/>
        <color rgb="FF000000"/>
        <rFont val="Noto Sans CJK SC"/>
        <family val="2"/>
      </rPr>
      <t xml:space="preserve">拆分誤用單價列。修正後 </t>
    </r>
    <r>
      <rPr>
        <sz val="10"/>
        <color rgb="FF000000"/>
        <rFont val="Arial"/>
        <family val="0"/>
        <charset val="1"/>
      </rPr>
      <t xml:space="preserve">input 8.48T/output 2.42T, </t>
    </r>
    <r>
      <rPr>
        <sz val="10"/>
        <color rgb="FF000000"/>
        <rFont val="Noto Sans CJK SC"/>
        <family val="2"/>
      </rPr>
      <t xml:space="preserve">與分層加總 </t>
    </r>
    <r>
      <rPr>
        <sz val="10"/>
        <color rgb="FF000000"/>
        <rFont val="Arial"/>
        <family val="0"/>
        <charset val="1"/>
      </rPr>
      <t xml:space="preserve">E428/F428 </t>
    </r>
    <r>
      <rPr>
        <sz val="10"/>
        <color rgb="FF000000"/>
        <rFont val="Noto Sans CJK SC"/>
        <family val="2"/>
      </rPr>
      <t xml:space="preserve">一致。</t>
    </r>
  </si>
  <si>
    <t xml:space="preserve">B503/C503</t>
  </si>
  <si>
    <t xml:space="preserve">...C442...</t>
  </si>
  <si>
    <t xml:space="preserve">...C444...</t>
  </si>
  <si>
    <r>
      <rPr>
        <sz val="10"/>
        <color rgb="FF000000"/>
        <rFont val="Arial"/>
        <family val="0"/>
        <charset val="1"/>
      </rPr>
      <t xml:space="preserve">M3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(2028E)</t>
    </r>
    <r>
      <rPr>
        <sz val="10"/>
        <color rgb="FF000000"/>
        <rFont val="Noto Sans CJK SC"/>
        <family val="2"/>
      </rPr>
      <t xml:space="preserve">。</t>
    </r>
  </si>
  <si>
    <t xml:space="preserve">B574/C574</t>
  </si>
  <si>
    <t xml:space="preserve">...C512...</t>
  </si>
  <si>
    <t xml:space="preserve">...C514...</t>
  </si>
  <si>
    <r>
      <rPr>
        <sz val="10"/>
        <color rgb="FF000000"/>
        <rFont val="Arial"/>
        <family val="0"/>
        <charset val="1"/>
      </rPr>
      <t xml:space="preserve">M3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(2029E)</t>
    </r>
    <r>
      <rPr>
        <sz val="10"/>
        <color rgb="FF000000"/>
        <rFont val="Noto Sans CJK SC"/>
        <family val="2"/>
      </rPr>
      <t xml:space="preserve">。</t>
    </r>
  </si>
  <si>
    <t xml:space="preserve">B645/C645</t>
  </si>
  <si>
    <t xml:space="preserve">...C583...</t>
  </si>
  <si>
    <t xml:space="preserve">...C585...</t>
  </si>
  <si>
    <r>
      <rPr>
        <sz val="10"/>
        <color rgb="FF000000"/>
        <rFont val="Arial"/>
        <family val="0"/>
        <charset val="1"/>
      </rPr>
      <t xml:space="preserve">M3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(2030E): </t>
    </r>
    <r>
      <rPr>
        <sz val="10"/>
        <color rgb="FF000000"/>
        <rFont val="Noto Sans CJK SC"/>
        <family val="2"/>
      </rPr>
      <t xml:space="preserve">原 </t>
    </r>
    <r>
      <rPr>
        <sz val="10"/>
        <color rgb="FF000000"/>
        <rFont val="Arial"/>
        <family val="0"/>
        <charset val="1"/>
      </rPr>
      <t xml:space="preserve">in/out </t>
    </r>
    <r>
      <rPr>
        <sz val="10"/>
        <color rgb="FF000000"/>
        <rFont val="Noto Sans CJK SC"/>
        <family val="2"/>
      </rPr>
      <t xml:space="preserve">恰完全顛倒</t>
    </r>
    <r>
      <rPr>
        <sz val="10"/>
        <color rgb="FF000000"/>
        <rFont val="Arial"/>
        <family val="0"/>
        <charset val="1"/>
      </rPr>
      <t xml:space="preserve">; </t>
    </r>
    <r>
      <rPr>
        <sz val="10"/>
        <color rgb="FF000000"/>
        <rFont val="Noto Sans CJK SC"/>
        <family val="2"/>
      </rPr>
      <t xml:space="preserve">修正後 </t>
    </r>
    <r>
      <rPr>
        <sz val="10"/>
        <color rgb="FF000000"/>
        <rFont val="Arial"/>
        <family val="0"/>
        <charset val="1"/>
      </rPr>
      <t xml:space="preserve">in 45.11T/out 22.56T = </t>
    </r>
    <r>
      <rPr>
        <sz val="10"/>
        <color rgb="FF000000"/>
        <rFont val="Noto Sans CJK SC"/>
        <family val="2"/>
      </rPr>
      <t xml:space="preserve">分層加總 </t>
    </r>
    <r>
      <rPr>
        <sz val="10"/>
        <color rgb="FF000000"/>
        <rFont val="Arial"/>
        <family val="0"/>
        <charset val="1"/>
      </rPr>
      <t xml:space="preserve">E639/F639</t>
    </r>
    <r>
      <rPr>
        <sz val="10"/>
        <color rgb="FF000000"/>
        <rFont val="Noto Sans CJK SC"/>
        <family val="2"/>
      </rPr>
      <t xml:space="preserve">。</t>
    </r>
  </si>
  <si>
    <t xml:space="preserve">B5,B6,B8,B9,B10,B18,A18</t>
  </si>
  <si>
    <r>
      <rPr>
        <sz val="10"/>
        <color rgb="FF000000"/>
        <rFont val="Arial"/>
        <family val="0"/>
        <charset val="1"/>
      </rPr>
      <t xml:space="preserve">'=Config!B5/B6/B7/B8/B14/B24 (</t>
    </r>
    <r>
      <rPr>
        <sz val="10"/>
        <color rgb="FF000000"/>
        <rFont val="Noto Sans CJK SC"/>
        <family val="2"/>
      </rPr>
      <t xml:space="preserve">跟隨下拉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</si>
  <si>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'=Config!F5/F6/F7/F8/F14/F27 (</t>
    </r>
    <r>
      <rPr>
        <sz val="10"/>
        <color rgb="FF000000"/>
        <rFont val="Noto Sans CJK SC"/>
        <family val="2"/>
      </rPr>
      <t xml:space="preserve">釘選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預設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</si>
  <si>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M4: VR Facility </t>
    </r>
    <r>
      <rPr>
        <sz val="10"/>
        <color rgb="FF000000"/>
        <rFont val="Noto Sans CJK SC"/>
        <family val="2"/>
      </rPr>
      <t xml:space="preserve">專區原跟隨下拉選單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時整區變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成本卻掛 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標題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汙染 </t>
    </r>
    <r>
      <rPr>
        <sz val="10"/>
        <color rgb="FF000000"/>
        <rFont val="Arial"/>
        <family val="0"/>
        <charset val="1"/>
      </rPr>
      <t xml:space="preserve">OpenAI_Sim B38/B57</t>
    </r>
    <r>
      <rPr>
        <sz val="10"/>
        <color rgb="FF000000"/>
        <rFont val="Noto Sans CJK SC"/>
        <family val="2"/>
      </rPr>
      <t xml:space="preserve">。實測修正後切換下拉 </t>
    </r>
    <r>
      <rPr>
        <sz val="10"/>
        <color rgb="FF000000"/>
        <rFont val="Arial"/>
        <family val="0"/>
        <charset val="1"/>
      </rPr>
      <t xml:space="preserve">D54/D88 </t>
    </r>
    <r>
      <rPr>
        <sz val="10"/>
        <color rgb="FF000000"/>
        <rFont val="Noto Sans CJK SC"/>
        <family val="2"/>
      </rPr>
      <t xml:space="preserve">不動。</t>
    </r>
  </si>
  <si>
    <t xml:space="preserve">B149</t>
  </si>
  <si>
    <t xml:space="preserve">'=2*Config!$B$64*256*Config!$B$60/1000000</t>
  </si>
  <si>
    <t xml:space="preserve">'=2*Config!$B$64*$B$145*Config!$B$60/1000000</t>
  </si>
  <si>
    <t xml:space="preserve">動態性: all-reduce 數 256 為舊 128 層模型遺留, 改引 B145 (=2×n_layers, 現 296) 隨模型深度縮放。</t>
  </si>
  <si>
    <t xml:space="preserve">B206</t>
  </si>
  <si>
    <t xml:space="preserve">'=1*Config!$B$64*256*Config!$B$60/1000000</t>
  </si>
  <si>
    <t xml:space="preserve">'=1*Config!$B$64*$B$145*Config!$B$60/1000000</t>
  </si>
  <si>
    <t xml:space="preserve">同上 (optimized 路徑)。</t>
  </si>
  <si>
    <t xml:space="preserve">C39/D39</t>
  </si>
  <si>
    <t xml:space="preserve">'=(I17+I20)/X38</t>
  </si>
  <si>
    <t xml:space="preserve">'=(I17+I18+I20)/X38</t>
  </si>
  <si>
    <r>
      <rPr>
        <sz val="10"/>
        <color rgb="FF000000"/>
        <rFont val="Arial"/>
        <family val="0"/>
        <charset val="1"/>
      </rPr>
      <t xml:space="preserve">Overhead% </t>
    </r>
    <r>
      <rPr>
        <sz val="10"/>
        <color rgb="FF000000"/>
        <rFont val="Noto Sans CJK SC"/>
        <family val="2"/>
      </rPr>
      <t xml:space="preserve">漏加 </t>
    </r>
    <r>
      <rPr>
        <sz val="10"/>
        <color rgb="FF000000"/>
        <rFont val="Arial"/>
        <family val="0"/>
        <charset val="1"/>
      </rPr>
      <t xml:space="preserve">prefill inter-rack </t>
    </r>
    <r>
      <rPr>
        <sz val="10"/>
        <color rgb="FF000000"/>
        <rFont val="Noto Sans CJK SC"/>
        <family val="2"/>
      </rPr>
      <t xml:space="preserve">項 </t>
    </r>
    <r>
      <rPr>
        <sz val="10"/>
        <color rgb="FF000000"/>
        <rFont val="Arial"/>
        <family val="0"/>
        <charset val="1"/>
      </rPr>
      <t xml:space="preserve">I18 (</t>
    </r>
    <r>
      <rPr>
        <sz val="10"/>
        <color rgb="FF000000"/>
        <rFont val="Noto Sans CJK SC"/>
        <family val="2"/>
      </rPr>
      <t xml:space="preserve">多機櫃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時會低估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</si>
  <si>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多處</t>
    </r>
    <r>
      <rPr>
        <sz val="10"/>
        <color rgb="FF000000"/>
        <rFont val="Arial"/>
        <family val="0"/>
        <charset val="1"/>
      </rPr>
      <t xml:space="preserve">)</t>
    </r>
  </si>
  <si>
    <t xml:space="preserve">註記更新</t>
  </si>
  <si>
    <t xml:space="preserve">過期註記</t>
  </si>
  <si>
    <t xml:space="preserve">已更新</t>
  </si>
  <si>
    <t xml:space="preserve">含: Config C28 (B28 為公式非輸入), Revenue E11/E59 (TL 座標), DC E5-E18 (釘選說明+單價), OpenAI I34/I103/I144 (GB200≈0.39x), I288 (2025 推導值 48%), I127/I130 (使用率已內含警語), Sec.10/12 標題營收數字, WP C16/C18 (PFLOPS 註記歸位)。</t>
  </si>
  <si>
    <t xml:space="preserve">修正後關鍵值變化</t>
  </si>
  <si>
    <t xml:space="preserve">Optimized tok/s per rack</t>
  </si>
  <si>
    <t xml:space="preserve">21,661 → 21,301 (-1.7%)</t>
  </si>
  <si>
    <r>
      <rPr>
        <sz val="10"/>
        <color rgb="FF000000"/>
        <rFont val="Arial"/>
        <family val="0"/>
        <charset val="1"/>
      </rPr>
      <t xml:space="preserve">NVLink latency </t>
    </r>
    <r>
      <rPr>
        <sz val="10"/>
        <color rgb="FF000000"/>
        <rFont val="Noto Sans CJK SC"/>
        <family val="2"/>
      </rPr>
      <t xml:space="preserve">項由 </t>
    </r>
    <r>
      <rPr>
        <sz val="10"/>
        <color rgb="FF000000"/>
        <rFont val="Arial"/>
        <family val="0"/>
        <charset val="1"/>
      </rPr>
      <t xml:space="preserve">256→296 all-reduces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</si>
  <si>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年營收 </t>
    </r>
    <r>
      <rPr>
        <sz val="10"/>
        <color rgb="FF000000"/>
        <rFont val="Arial"/>
        <family val="0"/>
        <charset val="1"/>
      </rPr>
      <t xml:space="preserve">($M)</t>
    </r>
  </si>
  <si>
    <t xml:space="preserve">50,082 → 49,248</t>
  </si>
  <si>
    <t xml:space="preserve">同上連動。</t>
  </si>
  <si>
    <r>
      <rPr>
        <sz val="10"/>
        <color rgb="FF000000"/>
        <rFont val="Arial"/>
        <family val="0"/>
        <charset val="1"/>
      </rPr>
      <t xml:space="preserve">Disaggregated </t>
    </r>
    <r>
      <rPr>
        <sz val="10"/>
        <color rgb="FF000000"/>
        <rFont val="Noto Sans CJK SC"/>
        <family val="2"/>
      </rPr>
      <t xml:space="preserve">吞吐損失</t>
    </r>
  </si>
  <si>
    <t xml:space="preserve">32.2% → 1.98%</t>
  </si>
  <si>
    <r>
      <rPr>
        <sz val="10"/>
        <color rgb="FF000000"/>
        <rFont val="Arial"/>
        <family val="0"/>
        <charset val="1"/>
      </rPr>
      <t xml:space="preserve">M1</t>
    </r>
    <r>
      <rPr>
        <sz val="10"/>
        <color rgb="FF000000"/>
        <rFont val="Noto Sans CJK SC"/>
        <family val="2"/>
      </rPr>
      <t xml:space="preserve">。分離式推論在 </t>
    </r>
    <r>
      <rPr>
        <sz val="10"/>
        <color rgb="FF000000"/>
        <rFont val="Arial"/>
        <family val="0"/>
        <charset val="1"/>
      </rPr>
      <t xml:space="preserve">IB XDR + GQA </t>
    </r>
    <r>
      <rPr>
        <sz val="10"/>
        <color rgb="FF000000"/>
        <rFont val="Noto Sans CJK SC"/>
        <family val="2"/>
      </rPr>
      <t xml:space="preserve">下代價輕微 — 先前結論反轉。</t>
    </r>
  </si>
  <si>
    <r>
      <rPr>
        <sz val="10"/>
        <color rgb="FF000000"/>
        <rFont val="Arial"/>
        <family val="0"/>
        <charset val="1"/>
      </rPr>
      <t xml:space="preserve">Scenario E (</t>
    </r>
    <r>
      <rPr>
        <sz val="10"/>
        <color rgb="FF000000"/>
        <rFont val="Noto Sans CJK SC"/>
        <family val="2"/>
      </rPr>
      <t xml:space="preserve">全惡化</t>
    </r>
    <r>
      <rPr>
        <sz val="10"/>
        <color rgb="FF000000"/>
        <rFont val="Arial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損失</t>
    </r>
  </si>
  <si>
    <t xml:space="preserve">79.4% → 17.2% ($8.48B/yr)</t>
  </si>
  <si>
    <r>
      <rPr>
        <sz val="10"/>
        <color rgb="FF000000"/>
        <rFont val="Arial"/>
        <family val="0"/>
        <charset val="1"/>
      </rPr>
      <t xml:space="preserve">M1+M2 </t>
    </r>
    <r>
      <rPr>
        <sz val="10"/>
        <color rgb="FF000000"/>
        <rFont val="Noto Sans CJK SC"/>
        <family val="2"/>
      </rPr>
      <t xml:space="preserve">綜合。</t>
    </r>
  </si>
  <si>
    <t xml:space="preserve">未結事項 (需建模決策, 未修改)</t>
  </si>
  <si>
    <t xml:space="preserve">row 86</t>
  </si>
  <si>
    <t xml:space="preserve">現金消耗 = OpInc-CapEx+SBC 未加回 COGS 內含折舊 (~75%), 基建成本雙重計入; 語意取決於自建 vs 租賃假設。</t>
  </si>
  <si>
    <t xml:space="preserve">B130</t>
  </si>
  <si>
    <t xml:space="preserve">使用率重複折減 (B127 已含 70%, 再除 0.6); 已加警語註記, 公式保留待決。</t>
  </si>
  <si>
    <t xml:space="preserve">10C-12C</t>
  </si>
  <si>
    <t xml:space="preserve">分層費率欄與 I 欄註記錯位且被 Assumed Blended Rate 繞過; 三年度架構不一致, 屬情境區塊重整範疇。</t>
  </si>
  <si>
    <t xml:space="preserve">row 668-669</t>
  </si>
  <si>
    <r>
      <rPr>
        <sz val="10"/>
        <color rgb="FF000000"/>
        <rFont val="Arial"/>
        <family val="0"/>
        <charset val="1"/>
      </rPr>
      <t xml:space="preserve">Realized% 2029=118%/2030=139% &gt;100%: token </t>
    </r>
    <r>
      <rPr>
        <sz val="10"/>
        <color rgb="FF000000"/>
        <rFont val="Noto Sans CJK SC"/>
        <family val="2"/>
      </rPr>
      <t xml:space="preserve">投射超出艦隊理論容量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為實質可行性張力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建議正式標記於研究結論。</t>
    </r>
  </si>
  <si>
    <t xml:space="preserve">TL/Revenue</t>
  </si>
  <si>
    <t xml:space="preserve">結構性</t>
  </si>
  <si>
    <t xml:space="preserve">機櫃比例縮放比較 (C30:D39) 非完全獨立 (下拉切換漂移約 ±5.7%); 投資級使用應為兩機櫃各建完整計算塊。</t>
  </si>
  <si>
    <r>
      <rPr>
        <b val="true"/>
        <sz val="9"/>
        <color rgb="FF000000"/>
        <rFont val="微軟正黑體"/>
        <family val="0"/>
        <charset val="1"/>
      </rPr>
      <t xml:space="preserve">2026-09-22 v3 </t>
    </r>
    <r>
      <rPr>
        <b val="true"/>
        <sz val="9"/>
        <color rgb="FF000000"/>
        <rFont val="Noto Sans CJK SC"/>
        <family val="2"/>
      </rPr>
      <t xml:space="preserve">更新 </t>
    </r>
    <r>
      <rPr>
        <b val="true"/>
        <sz val="9"/>
        <color rgb="FF000000"/>
        <rFont val="微軟正黑體"/>
        <family val="0"/>
        <charset val="1"/>
      </rPr>
      <t xml:space="preserve">(FT Sep-2026)</t>
    </r>
  </si>
  <si>
    <t xml:space="preserve">Previous</t>
  </si>
  <si>
    <t xml:space="preserve">New</t>
  </si>
  <si>
    <t xml:space="preserve">D8/E8/H8, G8</t>
  </si>
  <si>
    <t xml:space="preserve">-17 / — / — ; +2</t>
  </si>
  <si>
    <r>
      <rPr>
        <sz val="9"/>
        <color rgb="FF000000"/>
        <rFont val="微軟正黑體"/>
        <family val="0"/>
        <charset val="1"/>
      </rPr>
      <t xml:space="preserve">-25 / -57 / +39 ; </t>
    </r>
    <r>
      <rPr>
        <sz val="9"/>
        <color rgb="FF000000"/>
        <rFont val="Noto Sans CJK SC"/>
        <family val="2"/>
      </rPr>
      <t xml:space="preserve">清空</t>
    </r>
  </si>
  <si>
    <t xml:space="preserve">揭露列原為 Sep-2025 版, 更新至 Feb-2026 版; 2028-29 未分年揭露</t>
  </si>
  <si>
    <t xml:space="preserve">D46:H46</t>
  </si>
  <si>
    <r>
      <rPr>
        <sz val="9"/>
        <color rgb="FF000000"/>
        <rFont val="微軟正黑體"/>
        <family val="0"/>
        <charset val="1"/>
      </rPr>
      <t xml:space="preserve">1.5/0.85/0.85/0.6/0.6 (</t>
    </r>
    <r>
      <rPr>
        <sz val="9"/>
        <color rgb="FF000000"/>
        <rFont val="Noto Sans CJK SC"/>
        <family val="2"/>
      </rPr>
      <t xml:space="preserve">硬編</t>
    </r>
    <r>
      <rPr>
        <sz val="9"/>
        <color rgb="FF000000"/>
        <rFont val="微軟正黑體"/>
        <family val="0"/>
        <charset val="1"/>
      </rPr>
      <t xml:space="preserve">)</t>
    </r>
  </si>
  <si>
    <t xml:space="preserve">'=FT_Sep2026!B25:F25</t>
  </si>
  <si>
    <t xml:space="preserve">營收路徑改依七月簡報 ($36B→$350B, Σ$840B)</t>
  </si>
  <si>
    <t xml:space="preserve">D86:H86</t>
  </si>
  <si>
    <t xml:space="preserve">'=OpInc−CapEx+SBC</t>
  </si>
  <si>
    <t xml:space="preserve">'=FT_Sep2026!B46:F46</t>
  </si>
  <si>
    <t xml:space="preserve">修正折舊雙計並納入完整算力 (項目 4+5 同步)</t>
  </si>
  <si>
    <t xml:space="preserve">B17/B19/B113, B20/B21</t>
  </si>
  <si>
    <t xml:space="preserve">$110B/$840B/840, =840/…</t>
  </si>
  <si>
    <t xml:space="preserve">$122B/$852B/852, =B113/…</t>
  </si>
  <si>
    <r>
      <rPr>
        <sz val="9"/>
        <color rgb="FF000000"/>
        <rFont val="微軟正黑體"/>
        <family val="0"/>
        <charset val="1"/>
      </rPr>
      <t xml:space="preserve">3 </t>
    </r>
    <r>
      <rPr>
        <sz val="9"/>
        <color rgb="FF000000"/>
        <rFont val="Noto Sans CJK SC"/>
        <family val="2"/>
      </rPr>
      <t xml:space="preserve">月實際交割</t>
    </r>
    <r>
      <rPr>
        <sz val="9"/>
        <color rgb="FF000000"/>
        <rFont val="微軟正黑體"/>
        <family val="0"/>
        <charset val="1"/>
      </rPr>
      <t xml:space="preserve">; </t>
    </r>
    <r>
      <rPr>
        <sz val="9"/>
        <color rgb="FF000000"/>
        <rFont val="Noto Sans CJK SC"/>
        <family val="2"/>
      </rPr>
      <t xml:space="preserve">移除硬編 </t>
    </r>
    <r>
      <rPr>
        <sz val="9"/>
        <color rgb="FF000000"/>
        <rFont val="微軟正黑體"/>
        <family val="0"/>
        <charset val="1"/>
      </rPr>
      <t xml:space="preserve">840</t>
    </r>
  </si>
  <si>
    <t xml:space="preserve">B129/B133/B153</t>
  </si>
  <si>
    <t xml:space="preserve">硬編 280</t>
  </si>
  <si>
    <t xml:space="preserve">'=B128 / =H5</t>
  </si>
  <si>
    <r>
      <rPr>
        <sz val="9"/>
        <color rgb="FF000000"/>
        <rFont val="微軟正黑體"/>
        <family val="0"/>
        <charset val="1"/>
      </rPr>
      <t xml:space="preserve">2030 </t>
    </r>
    <r>
      <rPr>
        <sz val="9"/>
        <color rgb="FF000000"/>
        <rFont val="Noto Sans CJK SC"/>
        <family val="2"/>
      </rPr>
      <t xml:space="preserve">目標隨版本連動</t>
    </r>
  </si>
  <si>
    <t xml:space="preserve">row 675-676, CF C669:H669</t>
  </si>
  <si>
    <t xml:space="preserve">—</t>
  </si>
  <si>
    <t xml:space="preserve">旗標 + 所需 GW</t>
  </si>
  <si>
    <t xml:space="preserve">項目 6: 容量張力明確標示 (未上調 H11/H95)</t>
  </si>
  <si>
    <t xml:space="preserve">FT_Sep2026</t>
  </si>
  <si>
    <t xml:space="preserve">全表</t>
  </si>
  <si>
    <t xml:space="preserve">新增</t>
  </si>
  <si>
    <t xml:space="preserve">版本表、v3 營收路徑、現金橋、敏感度、資金跑道、容量張力</t>
  </si>
  <si>
    <t xml:space="preserve">未結</t>
  </si>
  <si>
    <t xml:space="preserve">OpenAI_Sim row 60-83</t>
  </si>
  <si>
    <r>
      <rPr>
        <sz val="9"/>
        <color rgb="FF000000"/>
        <rFont val="微軟正黑體"/>
        <family val="0"/>
        <charset val="1"/>
      </rPr>
      <t xml:space="preserve">P&amp;L </t>
    </r>
    <r>
      <rPr>
        <sz val="9"/>
        <color rgb="FF000000"/>
        <rFont val="Noto Sans CJK SC"/>
        <family val="2"/>
      </rPr>
      <t xml:space="preserve">之 </t>
    </r>
    <r>
      <rPr>
        <sz val="9"/>
        <color rgb="FF000000"/>
        <rFont val="微軟正黑體"/>
        <family val="0"/>
        <charset val="1"/>
      </rPr>
      <t xml:space="preserve">COGS </t>
    </r>
    <r>
      <rPr>
        <sz val="9"/>
        <color rgb="FF000000"/>
        <rFont val="Noto Sans CJK SC"/>
        <family val="2"/>
      </rPr>
      <t xml:space="preserve">仍以 </t>
    </r>
    <r>
      <rPr>
        <sz val="9"/>
        <color rgb="FF000000"/>
        <rFont val="微軟正黑體"/>
        <family val="0"/>
        <charset val="1"/>
      </rPr>
      <t xml:space="preserve">DC </t>
    </r>
    <r>
      <rPr>
        <sz val="9"/>
        <color rgb="FF000000"/>
        <rFont val="Noto Sans CJK SC"/>
        <family val="2"/>
      </rPr>
      <t xml:space="preserve">模型推算</t>
    </r>
    <r>
      <rPr>
        <sz val="9"/>
        <color rgb="FF000000"/>
        <rFont val="微軟正黑體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未反映 </t>
    </r>
    <r>
      <rPr>
        <sz val="9"/>
        <color rgb="FF000000"/>
        <rFont val="微軟正黑體"/>
        <family val="0"/>
        <charset val="1"/>
      </rPr>
      <t xml:space="preserve">$856B </t>
    </r>
    <r>
      <rPr>
        <sz val="9"/>
        <color rgb="FF000000"/>
        <rFont val="Noto Sans CJK SC"/>
        <family val="2"/>
      </rPr>
      <t xml:space="preserve">算力口徑</t>
    </r>
    <r>
      <rPr>
        <sz val="9"/>
        <color rgb="FF000000"/>
        <rFont val="微軟正黑體"/>
        <family val="0"/>
        <charset val="1"/>
      </rPr>
      <t xml:space="preserve">; </t>
    </r>
    <r>
      <rPr>
        <sz val="9"/>
        <color rgb="FF000000"/>
        <rFont val="Noto Sans CJK SC"/>
        <family val="2"/>
      </rPr>
      <t xml:space="preserve">營業利益僅供參考</t>
    </r>
    <r>
      <rPr>
        <sz val="9"/>
        <color rgb="FF000000"/>
        <rFont val="微軟正黑體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現金以 </t>
    </r>
    <r>
      <rPr>
        <sz val="9"/>
        <color rgb="FF000000"/>
        <rFont val="微軟正黑體"/>
        <family val="0"/>
        <charset val="1"/>
      </rPr>
      <t xml:space="preserve">FT_Sep2026 </t>
    </r>
    <r>
      <rPr>
        <sz val="9"/>
        <color rgb="FF000000"/>
        <rFont val="Noto Sans CJK SC"/>
        <family val="2"/>
      </rPr>
      <t xml:space="preserve">為準</t>
    </r>
  </si>
  <si>
    <t xml:space="preserve">OpenAI_Sim 8C-12C</t>
  </si>
  <si>
    <t xml:space="preserve">營收上調使 API 目標營收上升, 分層客戶數/token 量依原校準機制放大; Realized% 見旗標</t>
  </si>
  <si>
    <r>
      <rPr>
        <b val="true"/>
        <sz val="9"/>
        <rFont val="微軟正黑體"/>
        <family val="0"/>
        <charset val="1"/>
      </rPr>
      <t xml:space="preserve">2026-09-22 v4 </t>
    </r>
    <r>
      <rPr>
        <b val="true"/>
        <sz val="9"/>
        <rFont val="Noto Sans CJK SC"/>
        <family val="2"/>
      </rPr>
      <t xml:space="preserve">更新 </t>
    </r>
    <r>
      <rPr>
        <b val="true"/>
        <sz val="9"/>
        <rFont val="微軟正黑體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前沿模型</t>
    </r>
    <r>
      <rPr>
        <b val="true"/>
        <sz val="9"/>
        <rFont val="微軟正黑體"/>
        <family val="0"/>
        <charset val="1"/>
      </rPr>
      <t xml:space="preserve">)</t>
    </r>
  </si>
  <si>
    <t xml:space="preserve">J26:Q55, B29</t>
  </si>
  <si>
    <r>
      <rPr>
        <sz val="9"/>
        <rFont val="Noto Sans CJK SC"/>
        <family val="2"/>
      </rPr>
      <t xml:space="preserve">前沿 </t>
    </r>
    <r>
      <rPr>
        <sz val="9"/>
        <rFont val="微軟正黑體"/>
        <family val="0"/>
        <charset val="1"/>
      </rPr>
      <t xml:space="preserve">MoE </t>
    </r>
    <r>
      <rPr>
        <sz val="9"/>
        <rFont val="Noto Sans CJK SC"/>
        <family val="2"/>
      </rPr>
      <t xml:space="preserve">預設表 </t>
    </r>
    <r>
      <rPr>
        <sz val="9"/>
        <rFont val="微軟正黑體"/>
        <family val="0"/>
        <charset val="1"/>
      </rPr>
      <t xml:space="preserve">+ </t>
    </r>
    <r>
      <rPr>
        <sz val="9"/>
        <rFont val="Noto Sans CJK SC"/>
        <family val="2"/>
      </rPr>
      <t xml:space="preserve">選單</t>
    </r>
  </si>
  <si>
    <r>
      <rPr>
        <sz val="9"/>
        <rFont val="Noto Sans CJK SC"/>
        <family val="2"/>
      </rPr>
      <t xml:space="preserve">以公開 </t>
    </r>
    <r>
      <rPr>
        <sz val="9"/>
        <rFont val="微軟正黑體"/>
        <family val="0"/>
        <charset val="1"/>
      </rPr>
      <t xml:space="preserve">config.json/</t>
    </r>
    <r>
      <rPr>
        <sz val="9"/>
        <rFont val="Noto Sans CJK SC"/>
        <family val="2"/>
      </rPr>
      <t xml:space="preserve">模型卡建模</t>
    </r>
    <r>
      <rPr>
        <sz val="9"/>
        <rFont val="微軟正黑體"/>
        <family val="0"/>
        <charset val="1"/>
      </rPr>
      <t xml:space="preserve">; </t>
    </r>
    <r>
      <rPr>
        <sz val="9"/>
        <rFont val="Noto Sans CJK SC"/>
        <family val="2"/>
      </rPr>
      <t xml:space="preserve">專家大小與非專家參數由公開總</t>
    </r>
    <r>
      <rPr>
        <sz val="9"/>
        <rFont val="微軟正黑體"/>
        <family val="0"/>
        <charset val="1"/>
      </rPr>
      <t xml:space="preserve">/</t>
    </r>
    <r>
      <rPr>
        <sz val="9"/>
        <rFont val="Noto Sans CJK SC"/>
        <family val="2"/>
      </rPr>
      <t xml:space="preserve">活躍參數反推</t>
    </r>
    <r>
      <rPr>
        <sz val="9"/>
        <rFont val="微軟正黑體"/>
        <family val="0"/>
        <charset val="1"/>
      </rPr>
      <t xml:space="preserve">, </t>
    </r>
    <r>
      <rPr>
        <sz val="9"/>
        <rFont val="Noto Sans CJK SC"/>
        <family val="2"/>
      </rPr>
      <t xml:space="preserve">精確閉合</t>
    </r>
  </si>
  <si>
    <t xml:space="preserve">B31–B43</t>
  </si>
  <si>
    <r>
      <rPr>
        <sz val="9"/>
        <rFont val="Noto Sans CJK SC"/>
        <family val="2"/>
      </rPr>
      <t xml:space="preserve">自動縮放 </t>
    </r>
    <r>
      <rPr>
        <sz val="9"/>
        <rFont val="微軟正黑體"/>
        <family val="0"/>
        <charset val="1"/>
      </rPr>
      <t xml:space="preserve">(aspect 160)</t>
    </r>
  </si>
  <si>
    <r>
      <rPr>
        <sz val="9"/>
        <rFont val="Noto Sans CJK SC"/>
        <family val="2"/>
      </rPr>
      <t xml:space="preserve">預設驅動</t>
    </r>
    <r>
      <rPr>
        <sz val="9"/>
        <rFont val="微軟正黑體"/>
        <family val="0"/>
        <charset val="1"/>
      </rPr>
      <t xml:space="preserve">; Dense </t>
    </r>
    <r>
      <rPr>
        <sz val="9"/>
        <rFont val="Noto Sans CJK SC"/>
        <family val="2"/>
      </rPr>
      <t xml:space="preserve">仍可自動</t>
    </r>
  </si>
  <si>
    <r>
      <rPr>
        <sz val="9"/>
        <rFont val="微軟正黑體"/>
        <family val="0"/>
        <charset val="1"/>
      </rPr>
      <t xml:space="preserve">MoE </t>
    </r>
    <r>
      <rPr>
        <sz val="9"/>
        <rFont val="Noto Sans CJK SC"/>
        <family val="2"/>
      </rPr>
      <t xml:space="preserve">總參數不應決定寬度</t>
    </r>
    <r>
      <rPr>
        <sz val="9"/>
        <rFont val="微軟正黑體"/>
        <family val="0"/>
        <charset val="1"/>
      </rPr>
      <t xml:space="preserve">/</t>
    </r>
    <r>
      <rPr>
        <sz val="9"/>
        <rFont val="Noto Sans CJK SC"/>
        <family val="2"/>
      </rPr>
      <t xml:space="preserve">層數 </t>
    </r>
    <r>
      <rPr>
        <sz val="9"/>
        <rFont val="微軟正黑體"/>
        <family val="0"/>
        <charset val="1"/>
      </rPr>
      <t xml:space="preserve">(v3 </t>
    </r>
    <r>
      <rPr>
        <sz val="9"/>
        <rFont val="Noto Sans CJK SC"/>
        <family val="2"/>
      </rPr>
      <t xml:space="preserve">對 </t>
    </r>
    <r>
      <rPr>
        <sz val="9"/>
        <rFont val="微軟正黑體"/>
        <family val="0"/>
        <charset val="1"/>
      </rPr>
      <t xml:space="preserve">1T MoE </t>
    </r>
    <r>
      <rPr>
        <sz val="9"/>
        <rFont val="Noto Sans CJK SC"/>
        <family val="2"/>
      </rPr>
      <t xml:space="preserve">推出 </t>
    </r>
    <r>
      <rPr>
        <sz val="9"/>
        <rFont val="微軟正黑體"/>
        <family val="0"/>
        <charset val="1"/>
      </rPr>
      <t xml:space="preserve">148 </t>
    </r>
    <r>
      <rPr>
        <sz val="9"/>
        <rFont val="Noto Sans CJK SC"/>
        <family val="2"/>
      </rPr>
      <t xml:space="preserve">層</t>
    </r>
    <r>
      <rPr>
        <sz val="9"/>
        <rFont val="微軟正黑體"/>
        <family val="0"/>
        <charset val="1"/>
      </rPr>
      <t xml:space="preserve">×23,680, </t>
    </r>
    <r>
      <rPr>
        <sz val="9"/>
        <rFont val="Noto Sans CJK SC"/>
        <family val="2"/>
      </rPr>
      <t xml:space="preserve">與實際 </t>
    </r>
    <r>
      <rPr>
        <sz val="9"/>
        <rFont val="微軟正黑體"/>
        <family val="0"/>
        <charset val="1"/>
      </rPr>
      <t xml:space="preserve">61×7,168 </t>
    </r>
    <r>
      <rPr>
        <sz val="9"/>
        <rFont val="Noto Sans CJK SC"/>
        <family val="2"/>
      </rPr>
      <t xml:space="preserve">不符</t>
    </r>
    <r>
      <rPr>
        <sz val="9"/>
        <rFont val="微軟正黑體"/>
        <family val="0"/>
        <charset val="1"/>
      </rPr>
      <t xml:space="preserve">)</t>
    </r>
  </si>
  <si>
    <t xml:space="preserve">B55, B87</t>
  </si>
  <si>
    <r>
      <rPr>
        <sz val="9"/>
        <rFont val="微軟正黑體"/>
        <family val="0"/>
        <charset val="1"/>
      </rPr>
      <t xml:space="preserve">GQA 8 heads; KV </t>
    </r>
    <r>
      <rPr>
        <sz val="9"/>
        <rFont val="Noto Sans CJK SC"/>
        <family val="2"/>
      </rPr>
      <t xml:space="preserve">以權重位元組計</t>
    </r>
  </si>
  <si>
    <r>
      <rPr>
        <sz val="9"/>
        <rFont val="微軟正黑體"/>
        <family val="0"/>
        <charset val="1"/>
      </rPr>
      <t xml:space="preserve">KV </t>
    </r>
    <r>
      <rPr>
        <sz val="9"/>
        <rFont val="Noto Sans CJK SC"/>
        <family val="2"/>
      </rPr>
      <t xml:space="preserve">元素</t>
    </r>
    <r>
      <rPr>
        <sz val="9"/>
        <rFont val="微軟正黑體"/>
        <family val="0"/>
        <charset val="1"/>
      </rPr>
      <t xml:space="preserve">/token/</t>
    </r>
    <r>
      <rPr>
        <sz val="9"/>
        <rFont val="Noto Sans CJK SC"/>
        <family val="2"/>
      </rPr>
      <t xml:space="preserve">層 </t>
    </r>
    <r>
      <rPr>
        <sz val="9"/>
        <rFont val="微軟正黑體"/>
        <family val="0"/>
        <charset val="1"/>
      </rPr>
      <t xml:space="preserve">(K45) × KV bytes (K46)</t>
    </r>
  </si>
  <si>
    <r>
      <rPr>
        <sz val="9"/>
        <rFont val="微軟正黑體"/>
        <family val="0"/>
        <charset val="1"/>
      </rPr>
      <t xml:space="preserve">MLA/CSA/HCA </t>
    </r>
    <r>
      <rPr>
        <sz val="9"/>
        <rFont val="Noto Sans CJK SC"/>
        <family val="2"/>
      </rPr>
      <t xml:space="preserve">壓縮 </t>
    </r>
    <r>
      <rPr>
        <sz val="9"/>
        <rFont val="微軟正黑體"/>
        <family val="0"/>
        <charset val="1"/>
      </rPr>
      <t xml:space="preserve">KV; </t>
    </r>
    <r>
      <rPr>
        <sz val="9"/>
        <rFont val="Noto Sans CJK SC"/>
        <family val="2"/>
      </rPr>
      <t xml:space="preserve">權重位元組 </t>
    </r>
    <r>
      <rPr>
        <sz val="9"/>
        <rFont val="微軟正黑體"/>
        <family val="0"/>
        <charset val="1"/>
      </rPr>
      <t xml:space="preserve">(FP4) </t>
    </r>
    <r>
      <rPr>
        <sz val="9"/>
        <rFont val="Noto Sans CJK SC"/>
        <family val="2"/>
      </rPr>
      <t xml:space="preserve">不應套用於 </t>
    </r>
    <r>
      <rPr>
        <sz val="9"/>
        <rFont val="微軟正黑體"/>
        <family val="0"/>
        <charset val="1"/>
      </rPr>
      <t xml:space="preserve">KV</t>
    </r>
  </si>
  <si>
    <t xml:space="preserve">E29:H43</t>
  </si>
  <si>
    <r>
      <rPr>
        <sz val="9"/>
        <rFont val="Noto Sans CJK SC"/>
        <family val="2"/>
      </rPr>
      <t xml:space="preserve">依參數門檻自動選層 </t>
    </r>
    <r>
      <rPr>
        <sz val="9"/>
        <rFont val="微軟正黑體"/>
        <family val="0"/>
        <charset val="1"/>
      </rPr>
      <t xml:space="preserve">(Mar-2026)</t>
    </r>
  </si>
  <si>
    <r>
      <rPr>
        <sz val="9"/>
        <rFont val="Noto Sans CJK SC"/>
        <family val="2"/>
      </rPr>
      <t xml:space="preserve">六層 </t>
    </r>
    <r>
      <rPr>
        <sz val="9"/>
        <rFont val="微軟正黑體"/>
        <family val="0"/>
        <charset val="1"/>
      </rPr>
      <t xml:space="preserve">Sep-2026 </t>
    </r>
    <r>
      <rPr>
        <sz val="9"/>
        <rFont val="Noto Sans CJK SC"/>
        <family val="2"/>
      </rPr>
      <t xml:space="preserve">定價</t>
    </r>
    <r>
      <rPr>
        <sz val="9"/>
        <rFont val="微軟正黑體"/>
        <family val="0"/>
        <charset val="1"/>
      </rPr>
      <t xml:space="preserve">, F41 </t>
    </r>
    <r>
      <rPr>
        <sz val="9"/>
        <rFont val="Noto Sans CJK SC"/>
        <family val="2"/>
      </rPr>
      <t xml:space="preserve">選單</t>
    </r>
  </si>
  <si>
    <r>
      <rPr>
        <sz val="9"/>
        <rFont val="微軟正黑體"/>
        <family val="0"/>
        <charset val="1"/>
      </rPr>
      <t xml:space="preserve">MoE </t>
    </r>
    <r>
      <rPr>
        <sz val="9"/>
        <rFont val="Noto Sans CJK SC"/>
        <family val="2"/>
      </rPr>
      <t xml:space="preserve">總參數選價失真 </t>
    </r>
    <r>
      <rPr>
        <sz val="9"/>
        <rFont val="微軟正黑體"/>
        <family val="0"/>
        <charset val="1"/>
      </rPr>
      <t xml:space="preserve">(1.6T </t>
    </r>
    <r>
      <rPr>
        <sz val="9"/>
        <rFont val="Noto Sans CJK SC"/>
        <family val="2"/>
      </rPr>
      <t xml:space="preserve">會落入 </t>
    </r>
    <r>
      <rPr>
        <sz val="9"/>
        <rFont val="微軟正黑體"/>
        <family val="0"/>
        <charset val="1"/>
      </rPr>
      <t xml:space="preserve">Premium)</t>
    </r>
  </si>
  <si>
    <t xml:space="preserve">B27/B28, B46, B57</t>
  </si>
  <si>
    <t xml:space="preserve">4000/=B27/4, 0.5, 8</t>
  </si>
  <si>
    <t xml:space="preserve">16000/1000, 0.35, 5</t>
  </si>
  <si>
    <r>
      <rPr>
        <sz val="9"/>
        <rFont val="Noto Sans CJK SC"/>
        <family val="2"/>
      </rPr>
      <t xml:space="preserve">代理式工作負載 </t>
    </r>
    <r>
      <rPr>
        <sz val="9"/>
        <rFont val="微軟正黑體"/>
        <family val="0"/>
        <charset val="1"/>
      </rPr>
      <t xml:space="preserve">(OpenRouter); MFU </t>
    </r>
    <r>
      <rPr>
        <sz val="9"/>
        <rFont val="Noto Sans CJK SC"/>
        <family val="2"/>
      </rPr>
      <t xml:space="preserve">稽核建議</t>
    </r>
    <r>
      <rPr>
        <sz val="9"/>
        <rFont val="微軟正黑體"/>
        <family val="0"/>
        <charset val="1"/>
      </rPr>
      <t xml:space="preserve">; DSpark block 5</t>
    </r>
  </si>
  <si>
    <t xml:space="preserve">DV B32:B36</t>
  </si>
  <si>
    <r>
      <rPr>
        <sz val="9"/>
        <rFont val="微軟正黑體"/>
        <family val="0"/>
        <charset val="1"/>
      </rPr>
      <t xml:space="preserve">Dense/MoE </t>
    </r>
    <r>
      <rPr>
        <sz val="9"/>
        <rFont val="Noto Sans CJK SC"/>
        <family val="2"/>
      </rPr>
      <t xml:space="preserve">清單套用至數值格</t>
    </r>
  </si>
  <si>
    <r>
      <rPr>
        <sz val="9"/>
        <rFont val="Noto Sans CJK SC"/>
        <family val="2"/>
      </rPr>
      <t xml:space="preserve">僅 </t>
    </r>
    <r>
      <rPr>
        <sz val="9"/>
        <rFont val="微軟正黑體"/>
        <family val="0"/>
        <charset val="1"/>
      </rPr>
      <t xml:space="preserve">B32</t>
    </r>
  </si>
  <si>
    <t xml:space="preserve">資料驗證範圍錯誤</t>
  </si>
  <si>
    <t xml:space="preserve">B46</t>
  </si>
  <si>
    <t xml:space="preserve">'=Config!B51</t>
  </si>
  <si>
    <t xml:space="preserve">'=Config!B52</t>
  </si>
  <si>
    <r>
      <rPr>
        <sz val="9"/>
        <rFont val="Noto Sans CJK SC"/>
        <family val="2"/>
      </rPr>
      <t xml:space="preserve">原連到標題格 </t>
    </r>
    <r>
      <rPr>
        <sz val="9"/>
        <rFont val="微軟正黑體"/>
        <family val="0"/>
        <charset val="1"/>
      </rPr>
      <t xml:space="preserve">"Data"</t>
    </r>
  </si>
  <si>
    <t xml:space="preserve">B50–B53, B104–B107</t>
  </si>
  <si>
    <t xml:space="preserve">4d² / 2·in²·d</t>
  </si>
  <si>
    <r>
      <rPr>
        <sz val="9"/>
        <rFont val="微軟正黑體"/>
        <family val="0"/>
        <charset val="1"/>
      </rPr>
      <t xml:space="preserve">attn params </t>
    </r>
    <r>
      <rPr>
        <sz val="9"/>
        <rFont val="Noto Sans CJK SC"/>
        <family val="2"/>
      </rPr>
      <t xml:space="preserve">與 </t>
    </r>
    <r>
      <rPr>
        <sz val="9"/>
        <rFont val="微軟正黑體"/>
        <family val="0"/>
        <charset val="1"/>
      </rPr>
      <t xml:space="preserve">heads×head_dim×</t>
    </r>
    <r>
      <rPr>
        <sz val="9"/>
        <rFont val="Noto Sans CJK SC"/>
        <family val="2"/>
      </rPr>
      <t xml:space="preserve">有效跨度</t>
    </r>
  </si>
  <si>
    <r>
      <rPr>
        <sz val="9"/>
        <rFont val="Noto Sans CJK SC"/>
        <family val="2"/>
      </rPr>
      <t xml:space="preserve">泛化至 </t>
    </r>
    <r>
      <rPr>
        <sz val="9"/>
        <rFont val="微軟正黑體"/>
        <family val="0"/>
        <charset val="1"/>
      </rPr>
      <t xml:space="preserve">MLA/</t>
    </r>
    <r>
      <rPr>
        <sz val="9"/>
        <rFont val="Noto Sans CJK SC"/>
        <family val="2"/>
      </rPr>
      <t xml:space="preserve">稀疏注意力</t>
    </r>
    <r>
      <rPr>
        <sz val="9"/>
        <rFont val="微軟正黑體"/>
        <family val="0"/>
        <charset val="1"/>
      </rPr>
      <t xml:space="preserve">; Dense </t>
    </r>
    <r>
      <rPr>
        <sz val="9"/>
        <rFont val="Noto Sans CJK SC"/>
        <family val="2"/>
      </rPr>
      <t xml:space="preserve">預設結果不變</t>
    </r>
  </si>
  <si>
    <t xml:space="preserve">B39/B40/B75/B127/B128/B162/B227</t>
  </si>
  <si>
    <r>
      <rPr>
        <sz val="9"/>
        <rFont val="Noto Sans CJK SC"/>
        <family val="2"/>
      </rPr>
      <t xml:space="preserve">全 </t>
    </r>
    <r>
      <rPr>
        <sz val="9"/>
        <rFont val="微軟正黑體"/>
        <family val="0"/>
        <charset val="1"/>
      </rPr>
      <t xml:space="preserve">MHA KV, </t>
    </r>
    <r>
      <rPr>
        <sz val="9"/>
        <rFont val="Noto Sans CJK SC"/>
        <family val="2"/>
      </rPr>
      <t xml:space="preserve">無 </t>
    </r>
    <r>
      <rPr>
        <sz val="9"/>
        <rFont val="微軟正黑體"/>
        <family val="0"/>
        <charset val="1"/>
      </rPr>
      <t xml:space="preserve">bytes</t>
    </r>
  </si>
  <si>
    <r>
      <rPr>
        <sz val="9"/>
        <rFont val="Noto Sans CJK SC"/>
        <family val="2"/>
      </rPr>
      <t xml:space="preserve">架構 </t>
    </r>
    <r>
      <rPr>
        <sz val="9"/>
        <rFont val="微軟正黑體"/>
        <family val="0"/>
        <charset val="1"/>
      </rPr>
      <t xml:space="preserve">KV × KV bytes</t>
    </r>
  </si>
  <si>
    <r>
      <rPr>
        <sz val="9"/>
        <rFont val="Noto Sans CJK SC"/>
        <family val="2"/>
      </rPr>
      <t xml:space="preserve">記憶體與頻寬以實際壓縮 </t>
    </r>
    <r>
      <rPr>
        <sz val="9"/>
        <rFont val="微軟正黑體"/>
        <family val="0"/>
        <charset val="1"/>
      </rPr>
      <t xml:space="preserve">KV </t>
    </r>
    <r>
      <rPr>
        <sz val="9"/>
        <rFont val="Noto Sans CJK SC"/>
        <family val="2"/>
      </rPr>
      <t xml:space="preserve">計</t>
    </r>
  </si>
  <si>
    <t xml:space="preserve">B158, B168</t>
  </si>
  <si>
    <t xml:space="preserve">全模型權重</t>
  </si>
  <si>
    <r>
      <rPr>
        <sz val="9"/>
        <rFont val="Noto Sans CJK SC"/>
        <family val="2"/>
      </rPr>
      <t xml:space="preserve">單請求</t>
    </r>
    <r>
      <rPr>
        <sz val="9"/>
        <rFont val="微軟正黑體"/>
        <family val="0"/>
        <charset val="1"/>
      </rPr>
      <t xml:space="preserve">=</t>
    </r>
    <r>
      <rPr>
        <sz val="9"/>
        <rFont val="Noto Sans CJK SC"/>
        <family val="2"/>
      </rPr>
      <t xml:space="preserve">活躍</t>
    </r>
    <r>
      <rPr>
        <sz val="9"/>
        <rFont val="微軟正黑體"/>
        <family val="0"/>
        <charset val="1"/>
      </rPr>
      <t xml:space="preserve">; </t>
    </r>
    <r>
      <rPr>
        <sz val="9"/>
        <rFont val="Noto Sans CJK SC"/>
        <family val="2"/>
      </rPr>
      <t xml:space="preserve">批次</t>
    </r>
    <r>
      <rPr>
        <sz val="9"/>
        <rFont val="微軟正黑體"/>
        <family val="0"/>
        <charset val="1"/>
      </rPr>
      <t xml:space="preserve">=</t>
    </r>
    <r>
      <rPr>
        <sz val="9"/>
        <rFont val="Noto Sans CJK SC"/>
        <family val="2"/>
      </rPr>
      <t xml:space="preserve">非專家</t>
    </r>
    <r>
      <rPr>
        <sz val="9"/>
        <rFont val="微軟正黑體"/>
        <family val="0"/>
        <charset val="1"/>
      </rPr>
      <t xml:space="preserve">+</t>
    </r>
    <r>
      <rPr>
        <sz val="9"/>
        <rFont val="Noto Sans CJK SC"/>
        <family val="2"/>
      </rPr>
      <t xml:space="preserve">共享</t>
    </r>
    <r>
      <rPr>
        <sz val="9"/>
        <rFont val="微軟正黑體"/>
        <family val="0"/>
        <charset val="1"/>
      </rPr>
      <t xml:space="preserve">+</t>
    </r>
    <r>
      <rPr>
        <sz val="9"/>
        <rFont val="Noto Sans CJK SC"/>
        <family val="2"/>
      </rPr>
      <t xml:space="preserve">路由</t>
    </r>
    <r>
      <rPr>
        <sz val="9"/>
        <rFont val="微軟正黑體"/>
        <family val="0"/>
        <charset val="1"/>
      </rPr>
      <t xml:space="preserve">×</t>
    </r>
    <r>
      <rPr>
        <sz val="9"/>
        <rFont val="Noto Sans CJK SC"/>
        <family val="2"/>
      </rPr>
      <t xml:space="preserve">命中機率</t>
    </r>
  </si>
  <si>
    <r>
      <rPr>
        <sz val="9"/>
        <rFont val="微軟正黑體"/>
        <family val="0"/>
        <charset val="1"/>
      </rPr>
      <t xml:space="preserve">MoE </t>
    </r>
    <r>
      <rPr>
        <sz val="9"/>
        <rFont val="Noto Sans CJK SC"/>
        <family val="2"/>
      </rPr>
      <t xml:space="preserve">批次解碼權重讀取</t>
    </r>
  </si>
  <si>
    <t xml:space="preserve">F20</t>
  </si>
  <si>
    <t xml:space="preserve">'=WP_Param!B122</t>
  </si>
  <si>
    <t xml:space="preserve">'=B122×batch×(N+1)/E[accepted]/MFU</t>
  </si>
  <si>
    <r>
      <rPr>
        <sz val="9"/>
        <rFont val="微軟正黑體"/>
        <family val="0"/>
        <charset val="1"/>
      </rPr>
      <t xml:space="preserve">v3 </t>
    </r>
    <r>
      <rPr>
        <sz val="9"/>
        <rFont val="Noto Sans CJK SC"/>
        <family val="2"/>
      </rPr>
      <t xml:space="preserve">解碼運算未乘批次</t>
    </r>
  </si>
  <si>
    <t xml:space="preserve">TL/WP NVLink</t>
  </si>
  <si>
    <r>
      <rPr>
        <sz val="9"/>
        <rFont val="Noto Sans CJK SC"/>
        <family val="2"/>
      </rPr>
      <t xml:space="preserve">仍以 </t>
    </r>
    <r>
      <rPr>
        <sz val="9"/>
        <rFont val="微軟正黑體"/>
        <family val="0"/>
        <charset val="1"/>
      </rPr>
      <t xml:space="preserve">TP all-reduce </t>
    </r>
    <r>
      <rPr>
        <sz val="9"/>
        <rFont val="Noto Sans CJK SC"/>
        <family val="2"/>
      </rPr>
      <t xml:space="preserve">建模</t>
    </r>
    <r>
      <rPr>
        <sz val="9"/>
        <rFont val="微軟正黑體"/>
        <family val="0"/>
        <charset val="1"/>
      </rPr>
      <t xml:space="preserve">; MoE </t>
    </r>
    <r>
      <rPr>
        <sz val="9"/>
        <rFont val="Noto Sans CJK SC"/>
        <family val="2"/>
      </rPr>
      <t xml:space="preserve">實務為 </t>
    </r>
    <r>
      <rPr>
        <sz val="9"/>
        <rFont val="微軟正黑體"/>
        <family val="0"/>
        <charset val="1"/>
      </rPr>
      <t xml:space="preserve">EP all-to-all, </t>
    </r>
    <r>
      <rPr>
        <sz val="9"/>
        <rFont val="Noto Sans CJK SC"/>
        <family val="2"/>
      </rPr>
      <t xml:space="preserve">預填 </t>
    </r>
    <r>
      <rPr>
        <sz val="9"/>
        <rFont val="微軟正黑體"/>
        <family val="0"/>
        <charset val="1"/>
      </rPr>
      <t xml:space="preserve">NVLink </t>
    </r>
    <r>
      <rPr>
        <sz val="9"/>
        <rFont val="Noto Sans CJK SC"/>
        <family val="2"/>
      </rPr>
      <t xml:space="preserve">可能高估</t>
    </r>
  </si>
  <si>
    <r>
      <rPr>
        <sz val="9"/>
        <rFont val="Noto Sans CJK SC"/>
        <family val="2"/>
      </rPr>
      <t xml:space="preserve">未含 </t>
    </r>
    <r>
      <rPr>
        <sz val="9"/>
        <rFont val="微軟正黑體"/>
        <family val="0"/>
        <charset val="1"/>
      </rPr>
      <t xml:space="preserve">prompt caching </t>
    </r>
    <r>
      <rPr>
        <sz val="9"/>
        <rFont val="Noto Sans CJK SC"/>
        <family val="2"/>
      </rPr>
      <t xml:space="preserve">折價與使用率需求上限</t>
    </r>
    <r>
      <rPr>
        <sz val="9"/>
        <rFont val="微軟正黑體"/>
        <family val="0"/>
        <charset val="1"/>
      </rPr>
      <t xml:space="preserve">; </t>
    </r>
    <r>
      <rPr>
        <sz val="9"/>
        <rFont val="Noto Sans CJK SC"/>
        <family val="2"/>
      </rPr>
      <t xml:space="preserve">前沿 </t>
    </r>
    <r>
      <rPr>
        <sz val="9"/>
        <rFont val="微軟正黑體"/>
        <family val="0"/>
        <charset val="1"/>
      </rPr>
      <t xml:space="preserve">MoE </t>
    </r>
    <r>
      <rPr>
        <sz val="9"/>
        <rFont val="Noto Sans CJK SC"/>
        <family val="2"/>
      </rPr>
      <t xml:space="preserve">下營收為理論上限</t>
    </r>
  </si>
  <si>
    <t xml:space="preserve">OpenAI_Sim Realized%</t>
  </si>
  <si>
    <r>
      <rPr>
        <sz val="9"/>
        <rFont val="Noto Sans CJK SC"/>
        <family val="2"/>
      </rPr>
      <t xml:space="preserve">隨架構預設大幅變動 </t>
    </r>
    <r>
      <rPr>
        <sz val="9"/>
        <rFont val="微軟正黑體"/>
        <family val="0"/>
        <charset val="1"/>
      </rPr>
      <t xml:space="preserve">(V4-Pro 10.6% vs Legacy 149%); FT_Sep2026 </t>
    </r>
    <r>
      <rPr>
        <sz val="9"/>
        <rFont val="Noto Sans CJK SC"/>
        <family val="2"/>
      </rPr>
      <t xml:space="preserve">容量旗標依賴此假設</t>
    </r>
  </si>
</sst>
</file>

<file path=xl/styles.xml><?xml version="1.0" encoding="utf-8"?>
<styleSheet xmlns="http://schemas.openxmlformats.org/spreadsheetml/2006/main">
  <numFmts count="37">
    <numFmt numFmtId="164" formatCode="General"/>
    <numFmt numFmtId="165" formatCode="\$#,##0"/>
    <numFmt numFmtId="166" formatCode="0.00E+00"/>
    <numFmt numFmtId="167" formatCode="\$#,##0.00"/>
    <numFmt numFmtId="168" formatCode="0"/>
    <numFmt numFmtId="169" formatCode="General"/>
    <numFmt numFmtId="170" formatCode="#,##0"/>
    <numFmt numFmtId="171" formatCode="0.0"/>
    <numFmt numFmtId="172" formatCode="0.000"/>
    <numFmt numFmtId="173" formatCode="0.00000"/>
    <numFmt numFmtId="174" formatCode="0.0%"/>
    <numFmt numFmtId="175" formatCode="0.0000"/>
    <numFmt numFmtId="176" formatCode="0.00"/>
    <numFmt numFmtId="177" formatCode="0.0000000"/>
    <numFmt numFmtId="178" formatCode="0.0E+00"/>
    <numFmt numFmtId="179" formatCode="#,##0.00"/>
    <numFmt numFmtId="180" formatCode="0.000%"/>
    <numFmt numFmtId="181" formatCode="0%"/>
    <numFmt numFmtId="182" formatCode="0.00%"/>
    <numFmt numFmtId="183" formatCode="_(* #,##0_);_(* \(#,##0\);_(* \-??_);_(@_)"/>
    <numFmt numFmtId="184" formatCode="0.0000E+00"/>
    <numFmt numFmtId="185" formatCode="#,##0.0"/>
    <numFmt numFmtId="186" formatCode="\$#,##0.0\M"/>
    <numFmt numFmtId="187" formatCode="\$#,##0.0"/>
    <numFmt numFmtId="188" formatCode="\$0.000"/>
    <numFmt numFmtId="189" formatCode="\$#,##0.000"/>
    <numFmt numFmtId="190" formatCode="\$#,##0.0;&quot;($&quot;#,##0.0\);\-"/>
    <numFmt numFmtId="191" formatCode="\$#,##0.0;&quot;($&quot;#,##0.0\)"/>
    <numFmt numFmtId="192" formatCode="0.0\x"/>
    <numFmt numFmtId="193" formatCode="0.0000\x"/>
    <numFmt numFmtId="194" formatCode="_-* #,##0.000_-;\-* #,##0.000_-;_-* \-??_-;_-@"/>
    <numFmt numFmtId="195" formatCode="_-* #,##0.00_-;\-* #,##0.00_-;_-* \-??_-;_-@"/>
    <numFmt numFmtId="196" formatCode="#,##0.000"/>
    <numFmt numFmtId="197" formatCode="_-* #,##0_-;\-* #,##0_-;_-* \-??_-;_-@"/>
    <numFmt numFmtId="198" formatCode="0.0%;\(0.0%\);\-"/>
    <numFmt numFmtId="199" formatCode="m/d/yyyy"/>
    <numFmt numFmtId="200" formatCode="yyyy\-mm\-dd"/>
  </numFmts>
  <fonts count="6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微軟正黑體"/>
      <family val="0"/>
      <charset val="1"/>
    </font>
    <font>
      <sz val="10"/>
      <color rgb="FF000000"/>
      <name val="Microsoft JhengHei"/>
      <family val="2"/>
      <charset val="136"/>
    </font>
    <font>
      <b val="true"/>
      <sz val="10"/>
      <color rgb="FF000000"/>
      <name val="Microsoft JhengHei"/>
      <family val="2"/>
      <charset val="136"/>
    </font>
    <font>
      <i val="true"/>
      <sz val="10"/>
      <color rgb="FF555555"/>
      <name val="Microsoft JhengHei"/>
      <family val="2"/>
      <charset val="136"/>
    </font>
    <font>
      <b val="true"/>
      <sz val="10"/>
      <color rgb="FF0000FF"/>
      <name val="Microsoft JhengHei"/>
      <family val="2"/>
      <charset val="136"/>
    </font>
    <font>
      <sz val="9"/>
      <color rgb="FF0000FF"/>
      <name val="微軟正黑體"/>
      <family val="0"/>
      <charset val="1"/>
    </font>
    <font>
      <sz val="9"/>
      <color rgb="FF000000"/>
      <name val="微軟正黑體"/>
      <family val="0"/>
      <charset val="1"/>
    </font>
    <font>
      <sz val="10"/>
      <color rgb="FF0000FF"/>
      <name val="Microsoft JhengHei"/>
      <family val="2"/>
      <charset val="136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2"/>
      <color rgb="FF000000"/>
      <name val="Microsoft JhengHei"/>
      <family val="2"/>
      <charset val="136"/>
    </font>
    <font>
      <b val="true"/>
      <sz val="10"/>
      <color rgb="FFFFFFFF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b val="true"/>
      <sz val="10"/>
      <color rgb="FFFF0000"/>
      <name val="Microsoft JhengHei"/>
      <family val="2"/>
      <charset val="136"/>
    </font>
    <font>
      <sz val="10"/>
      <color theme="1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8000"/>
      <name val="微軟正黑體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theme="1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00000"/>
      <name val="微軟正黑體"/>
      <family val="2"/>
      <charset val="136"/>
    </font>
    <font>
      <b val="true"/>
      <sz val="9"/>
      <color rgb="FFFFFFFF"/>
      <name val="微軟正黑體"/>
      <family val="2"/>
      <charset val="136"/>
    </font>
    <font>
      <sz val="9"/>
      <color rgb="FF008000"/>
      <name val="微軟正黑體"/>
      <family val="2"/>
      <charset val="136"/>
    </font>
    <font>
      <sz val="9"/>
      <color rgb="FF0000FF"/>
      <name val="微軟正黑體"/>
      <family val="2"/>
      <charset val="136"/>
    </font>
    <font>
      <b val="true"/>
      <sz val="9"/>
      <color rgb="FF000000"/>
      <name val="微軟正黑體"/>
      <family val="2"/>
      <charset val="136"/>
    </font>
    <font>
      <sz val="9"/>
      <color theme="1"/>
      <name val="微軟正黑體"/>
      <family val="2"/>
      <charset val="136"/>
    </font>
    <font>
      <b val="true"/>
      <i val="true"/>
      <sz val="9"/>
      <color rgb="FF000000"/>
      <name val="微軟正黑體"/>
      <family val="2"/>
      <charset val="136"/>
    </font>
    <font>
      <b val="true"/>
      <i val="true"/>
      <sz val="9"/>
      <color theme="1"/>
      <name val="微軟正黑體"/>
      <family val="2"/>
      <charset val="136"/>
    </font>
    <font>
      <b val="true"/>
      <sz val="9"/>
      <color theme="1"/>
      <name val="微軟正黑體"/>
      <family val="2"/>
      <charset val="136"/>
    </font>
    <font>
      <b val="true"/>
      <sz val="9"/>
      <color rgb="FF0000FF"/>
      <name val="微軟正黑體"/>
      <family val="2"/>
      <charset val="136"/>
    </font>
    <font>
      <b val="true"/>
      <sz val="9"/>
      <color rgb="FFFF0000"/>
      <name val="微軟正黑體"/>
      <family val="2"/>
      <charset val="136"/>
    </font>
    <font>
      <b val="true"/>
      <sz val="9"/>
      <color rgb="FF008000"/>
      <name val="微軟正黑體"/>
      <family val="2"/>
      <charset val="136"/>
    </font>
    <font>
      <sz val="9"/>
      <color rgb="FF808080"/>
      <name val="微軟正黑體"/>
      <family val="2"/>
      <charset val="136"/>
    </font>
    <font>
      <i val="true"/>
      <sz val="9"/>
      <color rgb="FF000000"/>
      <name val="微軟正黑體"/>
      <family val="2"/>
      <charset val="136"/>
    </font>
    <font>
      <b val="true"/>
      <sz val="9"/>
      <color rgb="FF008000"/>
      <name val="微軟正黑體"/>
      <family val="0"/>
      <charset val="1"/>
    </font>
    <font>
      <b val="true"/>
      <sz val="9"/>
      <color rgb="FFFFFFFF"/>
      <name val="微軟正黑體"/>
      <family val="0"/>
      <charset val="1"/>
    </font>
    <font>
      <sz val="9"/>
      <color rgb="FF000000"/>
      <name val="微軟正黑體"/>
      <family val="2"/>
      <charset val="1"/>
    </font>
    <font>
      <b val="true"/>
      <sz val="9"/>
      <color rgb="FFFFFFFF"/>
      <name val="微軟正黑體"/>
      <family val="2"/>
      <charset val="1"/>
    </font>
    <font>
      <sz val="9"/>
      <color theme="1"/>
      <name val="微軟正黑體"/>
      <family val="2"/>
      <charset val="1"/>
    </font>
    <font>
      <sz val="9"/>
      <color rgb="FF000000"/>
      <name val="Noto Sans CJK SC"/>
      <family val="2"/>
      <charset val="1"/>
    </font>
    <font>
      <sz val="9"/>
      <name val="微軟正黑體"/>
      <family val="0"/>
      <charset val="1"/>
    </font>
    <font>
      <sz val="9"/>
      <name val="Noto Sans CJK SC"/>
      <family val="2"/>
    </font>
    <font>
      <b val="true"/>
      <sz val="14"/>
      <color rgb="FFFFFFFF"/>
      <name val="Cambria"/>
      <family val="0"/>
      <charset val="1"/>
    </font>
    <font>
      <sz val="10"/>
      <color rgb="FF000000"/>
      <name val="Aptos"/>
      <family val="0"/>
      <charset val="1"/>
    </font>
    <font>
      <sz val="10"/>
      <color rgb="FF000000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10"/>
      <name val="Aptos"/>
      <family val="0"/>
      <charset val="1"/>
    </font>
    <font>
      <sz val="10"/>
      <color rgb="FF000000"/>
      <name val="Noto Sans CJK SC"/>
      <family val="2"/>
      <charset val="1"/>
    </font>
    <font>
      <b val="true"/>
      <sz val="9"/>
      <color rgb="FF000000"/>
      <name val="Noto Sans CJK SC"/>
      <family val="2"/>
    </font>
    <font>
      <sz val="9"/>
      <color rgb="FF000000"/>
      <name val="Noto Sans CJK SC"/>
      <family val="2"/>
    </font>
    <font>
      <b val="true"/>
      <sz val="9"/>
      <name val="微軟正黑體"/>
      <family val="0"/>
      <charset val="1"/>
    </font>
    <font>
      <b val="true"/>
      <sz val="9"/>
      <name val="Noto Sans CJK SC"/>
      <family val="2"/>
    </font>
  </fonts>
  <fills count="34">
    <fill>
      <patternFill patternType="none"/>
    </fill>
    <fill>
      <patternFill patternType="gray125"/>
    </fill>
    <fill>
      <patternFill patternType="solid">
        <fgColor rgb="FFD9E2F3"/>
        <bgColor rgb="FFD6E4F0"/>
      </patternFill>
    </fill>
    <fill>
      <patternFill patternType="solid">
        <fgColor rgb="FFC6EFCE"/>
        <bgColor rgb="FFD2F1DA"/>
      </patternFill>
    </fill>
    <fill>
      <patternFill patternType="solid">
        <fgColor rgb="FFFCE4D6"/>
        <bgColor rgb="FFFEE1CC"/>
      </patternFill>
    </fill>
    <fill>
      <patternFill patternType="solid">
        <fgColor rgb="FFFFFF00"/>
        <bgColor rgb="FFFDE49A"/>
      </patternFill>
    </fill>
    <fill>
      <patternFill patternType="solid">
        <fgColor rgb="FFFFF2CC"/>
        <bgColor rgb="FFFEF1CC"/>
      </patternFill>
    </fill>
    <fill>
      <patternFill patternType="solid">
        <fgColor rgb="FFE2EFDA"/>
        <bgColor rgb="FFE2F0D9"/>
      </patternFill>
    </fill>
    <fill>
      <patternFill patternType="solid">
        <fgColor theme="4" tint="0.3997"/>
        <bgColor rgb="FFA4C2F4"/>
      </patternFill>
    </fill>
    <fill>
      <patternFill patternType="solid">
        <fgColor rgb="FFA6E3B6"/>
        <bgColor rgb="FFC6EFCE"/>
      </patternFill>
    </fill>
    <fill>
      <patternFill patternType="solid">
        <fgColor theme="7" tint="0.3997"/>
        <bgColor rgb="FFA6E3B6"/>
      </patternFill>
    </fill>
    <fill>
      <patternFill patternType="solid">
        <fgColor theme="5" tint="0.5997"/>
        <bgColor rgb="FFF4B084"/>
      </patternFill>
    </fill>
    <fill>
      <patternFill patternType="solid">
        <fgColor theme="5" tint="0.7998"/>
        <bgColor rgb="FFFEE1CC"/>
      </patternFill>
    </fill>
    <fill>
      <patternFill patternType="solid">
        <fgColor rgb="FFF4B084"/>
        <bgColor rgb="FFF7B4AE"/>
      </patternFill>
    </fill>
    <fill>
      <patternFill patternType="solid">
        <fgColor rgb="FFFF0000"/>
        <bgColor rgb="FFC00000"/>
      </patternFill>
    </fill>
    <fill>
      <patternFill patternType="solid">
        <fgColor rgb="FFF2F2F2"/>
        <bgColor rgb="FFE7E6E6"/>
      </patternFill>
    </fill>
    <fill>
      <patternFill patternType="solid">
        <fgColor rgb="FF2F5496"/>
        <bgColor rgb="FF1F3864"/>
      </patternFill>
    </fill>
    <fill>
      <patternFill patternType="solid">
        <fgColor rgb="FFA4C2F4"/>
        <bgColor rgb="FF9FC5E8"/>
      </patternFill>
    </fill>
    <fill>
      <patternFill patternType="solid">
        <fgColor rgb="FF6D9EEB"/>
        <bgColor rgb="FF8EB6F8"/>
      </patternFill>
    </fill>
    <fill>
      <patternFill patternType="solid">
        <fgColor rgb="FFCFE2F3"/>
        <bgColor rgb="FFD6E4F0"/>
      </patternFill>
    </fill>
    <fill>
      <patternFill patternType="solid">
        <fgColor rgb="FFD9D2E9"/>
        <bgColor rgb="FFD9E2F3"/>
      </patternFill>
    </fill>
    <fill>
      <patternFill patternType="solid">
        <fgColor rgb="FF803600"/>
        <bgColor rgb="FF993366"/>
      </patternFill>
    </fill>
    <fill>
      <patternFill patternType="solid">
        <fgColor rgb="FF9FC5E8"/>
        <bgColor rgb="FFA4C2F4"/>
      </patternFill>
    </fill>
    <fill>
      <patternFill patternType="solid">
        <fgColor rgb="FF1F3864"/>
        <bgColor rgb="FF17365D"/>
      </patternFill>
    </fill>
    <fill>
      <patternFill patternType="solid">
        <fgColor rgb="FFD6E4F0"/>
        <bgColor rgb="FFD9E2F3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9C0006"/>
      </patternFill>
    </fill>
    <fill>
      <patternFill patternType="solid">
        <fgColor rgb="FF4472C4"/>
        <bgColor rgb="FF2F5496"/>
      </patternFill>
    </fill>
    <fill>
      <patternFill patternType="solid">
        <fgColor rgb="FFD2F1DA"/>
        <bgColor rgb="FFC6EFCE"/>
      </patternFill>
    </fill>
    <fill>
      <patternFill patternType="solid">
        <fgColor rgb="FFFDE49A"/>
        <bgColor rgb="FFFEE1CC"/>
      </patternFill>
    </fill>
    <fill>
      <patternFill patternType="solid">
        <fgColor rgb="FF17365D"/>
        <bgColor rgb="FF1F3864"/>
      </patternFill>
    </fill>
    <fill>
      <patternFill patternType="solid">
        <fgColor rgb="FFE2F0D9"/>
        <bgColor rgb="FFE2EFDA"/>
      </patternFill>
    </fill>
    <fill>
      <patternFill patternType="solid">
        <fgColor rgb="FFF4CCCC"/>
        <bgColor rgb="FFFFC7CE"/>
      </patternFill>
    </fill>
    <fill>
      <patternFill patternType="solid">
        <fgColor rgb="FFE7E6E6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1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5" fillId="1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2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8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1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12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7" fillId="1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7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2" fontId="27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8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12" fillId="1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8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27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1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8" fillId="1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1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4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2" fillId="1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2" fillId="2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8" fillId="2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9" fontId="28" fillId="1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9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9" fillId="1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8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2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2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2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3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5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3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30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1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8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1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3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3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1" fontId="3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3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3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3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6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6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5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3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7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2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7" fontId="28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28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8" fillId="2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8" fillId="2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2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97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3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0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8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8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8" fontId="4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2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9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9" fontId="4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00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00" fontId="4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0" fillId="3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200" fontId="5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3" fillId="3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1" fillId="3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1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1" fillId="3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3" fillId="3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4" fillId="3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5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5" fillId="3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6" fillId="3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8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90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E2EFDA"/>
      <rgbColor rgb="FF9C0006"/>
      <rgbColor rgb="FF008000"/>
      <rgbColor rgb="FF000080"/>
      <rgbColor rgb="FFD9E2F3"/>
      <rgbColor rgb="FF800080"/>
      <rgbColor rgb="FF008080"/>
      <rgbColor rgb="FFA4C2F4"/>
      <rgbColor rgb="FF808080"/>
      <rgbColor rgb="FF8EB6F8"/>
      <rgbColor rgb="FF7030A0"/>
      <rgbColor rgb="FFFFF2CC"/>
      <rgbColor rgb="FFC6EFCE"/>
      <rgbColor rgb="FF660066"/>
      <rgbColor rgb="FFF4B084"/>
      <rgbColor rgb="FF0C5ADB"/>
      <rgbColor rgb="FFD9D2E9"/>
      <rgbColor rgb="FF000080"/>
      <rgbColor rgb="FFFF00FF"/>
      <rgbColor rgb="FFFEE1CC"/>
      <rgbColor rgb="FFE7E6E6"/>
      <rgbColor rgb="FF800080"/>
      <rgbColor rgb="FFC00000"/>
      <rgbColor rgb="FF008080"/>
      <rgbColor rgb="FF0000FF"/>
      <rgbColor rgb="FFD6E4F0"/>
      <rgbColor rgb="FFE2F0D9"/>
      <rgbColor rgb="FFD2F1DA"/>
      <rgbColor rgb="FFFEF1CC"/>
      <rgbColor rgb="FF9FC5E8"/>
      <rgbColor rgb="FFF7B4AE"/>
      <rgbColor rgb="FFFFC7CE"/>
      <rgbColor rgb="FFF4CCCC"/>
      <rgbColor rgb="FF4472C4"/>
      <rgbColor rgb="FF7AD693"/>
      <rgbColor rgb="FFA6E3B6"/>
      <rgbColor rgb="FFFDE49A"/>
      <rgbColor rgb="FFFBD9D7"/>
      <rgbColor rgb="FFFCE4D6"/>
      <rgbColor rgb="FF555555"/>
      <rgbColor rgb="FF6D9EEB"/>
      <rgbColor rgb="FF17365D"/>
      <rgbColor rgb="FFCFE2F3"/>
      <rgbColor rgb="FF003300"/>
      <rgbColor rgb="FF333300"/>
      <rgbColor rgb="FF803600"/>
      <rgbColor rgb="FF993366"/>
      <rgbColor rgb="FF2F5496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04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B57" activeCellId="0" sqref="B57"/>
    </sheetView>
  </sheetViews>
  <sheetFormatPr defaultColWidth="12.66796875" defaultRowHeight="12.75" zeroHeight="false" outlineLevelRow="0" outlineLevelCol="0"/>
  <cols>
    <col collapsed="false" customWidth="true" hidden="false" outlineLevel="0" max="1" min="1" style="1" width="33.33"/>
    <col collapsed="false" customWidth="true" hidden="false" outlineLevel="0" max="2" min="2" style="1" width="19.88"/>
    <col collapsed="false" customWidth="true" hidden="false" outlineLevel="0" max="3" min="3" style="1" width="48.44"/>
    <col collapsed="false" customWidth="true" hidden="false" outlineLevel="0" max="4" min="4" style="1" width="6.11"/>
    <col collapsed="false" customWidth="true" hidden="false" outlineLevel="0" max="5" min="5" style="1" width="25.11"/>
    <col collapsed="false" customWidth="true" hidden="false" outlineLevel="0" max="7" min="6" style="1" width="17.33"/>
    <col collapsed="false" customWidth="true" hidden="false" outlineLevel="0" max="8" min="8" style="1" width="29.11"/>
    <col collapsed="false" customWidth="true" hidden="false" outlineLevel="0" max="26" min="9" style="1" width="6.11"/>
  </cols>
  <sheetData>
    <row r="1" customFormat="false" ht="13.5" hidden="false" customHeight="true" outlineLevel="0" collapsed="false">
      <c r="A1" s="2" t="s">
        <v>0</v>
      </c>
      <c r="B1" s="3"/>
      <c r="C1" s="3"/>
      <c r="D1" s="3"/>
      <c r="E1" s="4" t="s">
        <v>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3.5" hidden="false" customHeight="true" outlineLevel="0" collapsed="false">
      <c r="A2" s="5" t="s">
        <v>2</v>
      </c>
      <c r="B2" s="3"/>
      <c r="C2" s="3"/>
      <c r="D2" s="3"/>
      <c r="E2" s="5" t="s">
        <v>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3.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3.5" hidden="false" customHeight="true" outlineLevel="0" collapsed="false">
      <c r="A4" s="6" t="s">
        <v>4</v>
      </c>
      <c r="B4" s="6" t="s">
        <v>5</v>
      </c>
      <c r="C4" s="6" t="s">
        <v>6</v>
      </c>
      <c r="D4" s="3"/>
      <c r="E4" s="6" t="s">
        <v>4</v>
      </c>
      <c r="F4" s="7" t="s">
        <v>7</v>
      </c>
      <c r="G4" s="8" t="s">
        <v>8</v>
      </c>
      <c r="H4" s="6" t="s">
        <v>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3.5" hidden="false" customHeight="true" outlineLevel="0" collapsed="false">
      <c r="A5" s="3" t="s">
        <v>9</v>
      </c>
      <c r="B5" s="3" t="n">
        <f aca="false">IF($B$7=F$4,F5,G5)</f>
        <v>1000000000</v>
      </c>
      <c r="C5" s="3"/>
      <c r="D5" s="3"/>
      <c r="E5" s="3" t="s">
        <v>9</v>
      </c>
      <c r="F5" s="3" t="n">
        <v>1000000000</v>
      </c>
      <c r="G5" s="3" t="n">
        <v>1000000000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3.5" hidden="false" customHeight="true" outlineLevel="0" collapsed="false">
      <c r="A6" s="3" t="s">
        <v>10</v>
      </c>
      <c r="B6" s="3" t="n">
        <f aca="false">IF($B$7=F$4,F6,G6)</f>
        <v>1.2</v>
      </c>
      <c r="C6" s="3"/>
      <c r="D6" s="3"/>
      <c r="E6" s="3" t="s">
        <v>10</v>
      </c>
      <c r="F6" s="3" t="n">
        <v>1.2</v>
      </c>
      <c r="G6" s="3" t="n">
        <v>1.2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3.5" hidden="false" customHeight="true" outlineLevel="0" collapsed="false">
      <c r="A7" s="3" t="s">
        <v>11</v>
      </c>
      <c r="B7" s="9" t="s">
        <v>7</v>
      </c>
      <c r="C7" s="3"/>
      <c r="D7" s="3"/>
      <c r="E7" s="3" t="s">
        <v>11</v>
      </c>
      <c r="F7" s="3" t="s">
        <v>7</v>
      </c>
      <c r="G7" s="3" t="s">
        <v>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3.5" hidden="false" customHeight="true" outlineLevel="0" collapsed="false">
      <c r="A8" s="3" t="s">
        <v>12</v>
      </c>
      <c r="B8" s="3" t="n">
        <f aca="false">IF($B$7=F$4,F8,G8)</f>
        <v>5263</v>
      </c>
      <c r="C8" s="3" t="s">
        <v>13</v>
      </c>
      <c r="D8" s="3"/>
      <c r="E8" s="3" t="s">
        <v>12</v>
      </c>
      <c r="F8" s="3" t="n">
        <f aca="false">FLOOR(F5/1000/F23,1)</f>
        <v>5263</v>
      </c>
      <c r="G8" s="3" t="n">
        <f aca="false">FLOOR(G5/1000/G23,1)</f>
        <v>7194</v>
      </c>
      <c r="H8" s="3" t="s">
        <v>14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3.5" hidden="false" customHeight="tru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3.5" hidden="false" customHeight="true" outlineLevel="0" collapsed="false">
      <c r="A10" s="6" t="s">
        <v>15</v>
      </c>
      <c r="B10" s="6" t="s">
        <v>5</v>
      </c>
      <c r="C10" s="6" t="s">
        <v>6</v>
      </c>
      <c r="D10" s="3"/>
      <c r="E10" s="6" t="s">
        <v>15</v>
      </c>
      <c r="F10" s="7" t="s">
        <v>7</v>
      </c>
      <c r="G10" s="8" t="s">
        <v>8</v>
      </c>
      <c r="H10" s="6" t="s">
        <v>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3.5" hidden="false" customHeight="true" outlineLevel="0" collapsed="false">
      <c r="A11" s="3" t="s">
        <v>16</v>
      </c>
      <c r="B11" s="3" t="str">
        <f aca="false">IF($B$7=F$4,F11,G11)</f>
        <v>Vera CPU</v>
      </c>
      <c r="C11" s="3"/>
      <c r="D11" s="3"/>
      <c r="E11" s="3" t="s">
        <v>16</v>
      </c>
      <c r="F11" s="3" t="s">
        <v>17</v>
      </c>
      <c r="G11" s="3" t="s">
        <v>18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3.5" hidden="false" customHeight="true" outlineLevel="0" collapsed="false">
      <c r="A12" s="3" t="s">
        <v>19</v>
      </c>
      <c r="B12" s="3" t="n">
        <f aca="false">IF($B$7=F$4,F12,G12)</f>
        <v>36</v>
      </c>
      <c r="C12" s="3"/>
      <c r="D12" s="3"/>
      <c r="E12" s="3" t="s">
        <v>19</v>
      </c>
      <c r="F12" s="3" t="n">
        <v>36</v>
      </c>
      <c r="G12" s="3" t="n">
        <v>36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3.5" hidden="false" customHeight="true" outlineLevel="0" collapsed="false">
      <c r="A13" s="3" t="s">
        <v>20</v>
      </c>
      <c r="B13" s="3" t="str">
        <f aca="false">IF($B$7=F$4,F13,G13)</f>
        <v>Rubin GPU</v>
      </c>
      <c r="C13" s="3"/>
      <c r="D13" s="3"/>
      <c r="E13" s="3" t="s">
        <v>20</v>
      </c>
      <c r="F13" s="3" t="s">
        <v>21</v>
      </c>
      <c r="G13" s="3" t="s">
        <v>22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3.5" hidden="false" customHeight="true" outlineLevel="0" collapsed="false">
      <c r="A14" s="3" t="s">
        <v>23</v>
      </c>
      <c r="B14" s="3" t="n">
        <f aca="false">IF($B$7=F$4,F14,G14)</f>
        <v>72</v>
      </c>
      <c r="C14" s="3" t="s">
        <v>24</v>
      </c>
      <c r="D14" s="3"/>
      <c r="E14" s="3" t="s">
        <v>23</v>
      </c>
      <c r="F14" s="3" t="n">
        <v>72</v>
      </c>
      <c r="G14" s="3" t="n">
        <v>72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3.5" hidden="false" customHeight="true" outlineLevel="0" collapsed="false">
      <c r="A15" s="3" t="s">
        <v>25</v>
      </c>
      <c r="B15" s="3" t="n">
        <f aca="false">IF($B$7=F$4,F15,G15)</f>
        <v>260</v>
      </c>
      <c r="C15" s="3" t="s">
        <v>26</v>
      </c>
      <c r="D15" s="3"/>
      <c r="E15" s="3" t="s">
        <v>27</v>
      </c>
      <c r="F15" s="3" t="n">
        <v>260</v>
      </c>
      <c r="G15" s="3" t="n">
        <v>130</v>
      </c>
      <c r="H15" s="3" t="s">
        <v>28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3.5" hidden="false" customHeight="true" outlineLevel="0" collapsed="false">
      <c r="A16" s="3" t="s">
        <v>29</v>
      </c>
      <c r="B16" s="3" t="n">
        <f aca="false">IF($B$7=F$4,F16,G16)</f>
        <v>65</v>
      </c>
      <c r="C16" s="3"/>
      <c r="D16" s="3"/>
      <c r="E16" s="3" t="s">
        <v>30</v>
      </c>
      <c r="F16" s="3" t="n">
        <v>65</v>
      </c>
      <c r="G16" s="3" t="n">
        <v>32.4</v>
      </c>
      <c r="H16" s="3" t="s">
        <v>31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3.5" hidden="false" customHeight="true" outlineLevel="0" collapsed="false">
      <c r="A17" s="3" t="s">
        <v>32</v>
      </c>
      <c r="B17" s="3" t="n">
        <f aca="false">IF($B$7=F$4,F17,G17)</f>
        <v>20.7</v>
      </c>
      <c r="C17" s="3" t="s">
        <v>33</v>
      </c>
      <c r="D17" s="3"/>
      <c r="E17" s="3" t="s">
        <v>32</v>
      </c>
      <c r="F17" s="3" t="n">
        <v>20.7</v>
      </c>
      <c r="G17" s="3" t="n">
        <v>13.5</v>
      </c>
      <c r="H17" s="3" t="s">
        <v>34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3.5" hidden="false" customHeight="true" outlineLevel="0" collapsed="false">
      <c r="A18" s="3" t="s">
        <v>35</v>
      </c>
      <c r="B18" s="3" t="n">
        <f aca="false">IF($B$7=F$4,F18,G18)</f>
        <v>1580</v>
      </c>
      <c r="C18" s="3" t="s">
        <v>36</v>
      </c>
      <c r="D18" s="3"/>
      <c r="E18" s="3" t="s">
        <v>37</v>
      </c>
      <c r="F18" s="3" t="n">
        <v>1580</v>
      </c>
      <c r="G18" s="3" t="n">
        <v>576</v>
      </c>
      <c r="H18" s="3" t="s">
        <v>38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3.5" hidden="false" customHeight="true" outlineLevel="0" collapsed="false">
      <c r="A19" s="3" t="s">
        <v>39</v>
      </c>
      <c r="B19" s="3" t="n">
        <f aca="false">IF($B$7=F$4,F19,G19)</f>
        <v>3600</v>
      </c>
      <c r="C19" s="3" t="s">
        <v>40</v>
      </c>
      <c r="D19" s="3"/>
      <c r="E19" s="3" t="s">
        <v>39</v>
      </c>
      <c r="F19" s="3" t="n">
        <v>3600</v>
      </c>
      <c r="G19" s="3" t="n">
        <v>648</v>
      </c>
      <c r="H19" s="3" t="s">
        <v>41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3.5" hidden="false" customHeight="true" outlineLevel="0" collapsed="false">
      <c r="A20" s="3" t="s">
        <v>42</v>
      </c>
      <c r="B20" s="3" t="n">
        <f aca="false">IF($B$7=F$4,F20,G20)</f>
        <v>2520</v>
      </c>
      <c r="C20" s="3" t="s">
        <v>43</v>
      </c>
      <c r="D20" s="3"/>
      <c r="E20" s="3" t="s">
        <v>42</v>
      </c>
      <c r="F20" s="3" t="n">
        <v>2520</v>
      </c>
      <c r="G20" s="3" t="n">
        <v>648</v>
      </c>
      <c r="H20" s="3" t="s">
        <v>44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3.5" hidden="false" customHeight="true" outlineLevel="0" collapsed="false">
      <c r="A21" s="3" t="s">
        <v>45</v>
      </c>
      <c r="B21" s="3" t="n">
        <f aca="false">IF($B$7=F$4,F21,G21)</f>
        <v>1152</v>
      </c>
      <c r="C21" s="3" t="s">
        <v>46</v>
      </c>
      <c r="D21" s="3"/>
      <c r="E21" s="3" t="s">
        <v>45</v>
      </c>
      <c r="F21" s="3" t="n">
        <v>1152</v>
      </c>
      <c r="G21" s="3" t="n">
        <v>324</v>
      </c>
      <c r="H21" s="3" t="s">
        <v>47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3.5" hidden="false" customHeight="true" outlineLevel="0" collapsed="false">
      <c r="A22" s="3" t="s">
        <v>48</v>
      </c>
      <c r="B22" s="3" t="n">
        <f aca="false">IF($B$7=F$4,F22,G22)</f>
        <v>288</v>
      </c>
      <c r="C22" s="3" t="s">
        <v>49</v>
      </c>
      <c r="D22" s="3"/>
      <c r="E22" s="3" t="s">
        <v>48</v>
      </c>
      <c r="F22" s="3" t="n">
        <v>288</v>
      </c>
      <c r="G22" s="3" t="n">
        <v>162</v>
      </c>
      <c r="H22" s="3" t="s">
        <v>50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3.5" hidden="false" customHeight="true" outlineLevel="0" collapsed="false">
      <c r="A23" s="3" t="s">
        <v>51</v>
      </c>
      <c r="B23" s="3" t="n">
        <f aca="false">IF($B$7=F$4,F23,G23)</f>
        <v>190</v>
      </c>
      <c r="C23" s="3" t="s">
        <v>52</v>
      </c>
      <c r="D23" s="3"/>
      <c r="E23" s="3" t="s">
        <v>53</v>
      </c>
      <c r="F23" s="3" t="n">
        <v>190</v>
      </c>
      <c r="G23" s="3" t="n">
        <v>139</v>
      </c>
      <c r="H23" s="3" t="s">
        <v>54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3.5" hidden="false" customHeight="true" outlineLevel="0" collapsed="false">
      <c r="A24" s="4" t="s">
        <v>55</v>
      </c>
      <c r="B24" s="10" t="n">
        <f aca="false">IF($B$7=F$4,F27,G27)</f>
        <v>6000000</v>
      </c>
      <c r="C24" s="3" t="s">
        <v>56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3.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3.5" hidden="false" customHeight="true" outlineLevel="0" collapsed="false">
      <c r="A26" s="11" t="s">
        <v>57</v>
      </c>
      <c r="B26" s="11" t="s">
        <v>5</v>
      </c>
      <c r="C26" s="11" t="s">
        <v>6</v>
      </c>
      <c r="D26" s="3"/>
      <c r="E26" s="6" t="s">
        <v>58</v>
      </c>
      <c r="F26" s="7" t="s">
        <v>7</v>
      </c>
      <c r="G26" s="8" t="s">
        <v>8</v>
      </c>
      <c r="H26" s="6" t="s">
        <v>6</v>
      </c>
      <c r="I26" s="3"/>
      <c r="J26" s="12" t="s">
        <v>59</v>
      </c>
      <c r="K26" s="13"/>
      <c r="L26" s="13"/>
      <c r="M26" s="13"/>
      <c r="N26" s="13"/>
      <c r="O26" s="13"/>
      <c r="P26" s="13"/>
      <c r="Q26" s="1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3.5" hidden="false" customHeight="true" outlineLevel="0" collapsed="false">
      <c r="A27" s="4" t="s">
        <v>60</v>
      </c>
      <c r="B27" s="14" t="n">
        <v>16000</v>
      </c>
      <c r="C27" s="15" t="s">
        <v>61</v>
      </c>
      <c r="D27" s="3"/>
      <c r="E27" s="3" t="s">
        <v>55</v>
      </c>
      <c r="F27" s="16" t="n">
        <v>6000000</v>
      </c>
      <c r="G27" s="16" t="n">
        <v>3000000</v>
      </c>
      <c r="H27" s="3" t="s">
        <v>62</v>
      </c>
      <c r="I27" s="3"/>
      <c r="J27" s="15" t="s">
        <v>63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3.5" hidden="false" customHeight="true" outlineLevel="0" collapsed="false">
      <c r="A28" s="4" t="s">
        <v>64</v>
      </c>
      <c r="B28" s="14" t="n">
        <v>1000</v>
      </c>
      <c r="C28" s="15" t="s">
        <v>65</v>
      </c>
      <c r="D28" s="3"/>
      <c r="E28" s="3"/>
      <c r="F28" s="3"/>
      <c r="G28" s="3"/>
      <c r="H28" s="3"/>
      <c r="I28" s="3"/>
      <c r="J28" s="17" t="s">
        <v>66</v>
      </c>
      <c r="K28" s="17" t="s">
        <v>67</v>
      </c>
      <c r="L28" s="17" t="s">
        <v>68</v>
      </c>
      <c r="M28" s="17" t="s">
        <v>69</v>
      </c>
      <c r="N28" s="17" t="s">
        <v>70</v>
      </c>
      <c r="O28" s="17" t="s">
        <v>71</v>
      </c>
      <c r="P28" s="17" t="s">
        <v>72</v>
      </c>
      <c r="Q28" s="17" t="s">
        <v>73</v>
      </c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3.5" hidden="false" customHeight="true" outlineLevel="0" collapsed="false">
      <c r="A29" s="2" t="s">
        <v>74</v>
      </c>
      <c r="B29" s="14" t="s">
        <v>68</v>
      </c>
      <c r="C29" s="15" t="s">
        <v>75</v>
      </c>
      <c r="D29" s="3"/>
      <c r="E29" s="12" t="s">
        <v>76</v>
      </c>
      <c r="F29" s="13"/>
      <c r="G29" s="13"/>
      <c r="H29" s="13"/>
      <c r="I29" s="3"/>
      <c r="J29" s="15" t="s">
        <v>77</v>
      </c>
      <c r="K29" s="18" t="n">
        <f aca="false">IF(INDEX($L29:$P29,MATCH($B$29,$L$28:$P$28,0))="","",INDEX($L29:$P29,MATCH($B$29,$L$28:$P$28,0)))</f>
        <v>1600000000000</v>
      </c>
      <c r="L29" s="19" t="n">
        <v>1600000000000</v>
      </c>
      <c r="M29" s="19" t="n">
        <v>2800000000000</v>
      </c>
      <c r="N29" s="19" t="n">
        <v>284000000000</v>
      </c>
      <c r="O29" s="19" t="n">
        <v>4000000000000</v>
      </c>
      <c r="P29" s="19" t="n">
        <v>1000000000000</v>
      </c>
      <c r="Q29" s="20" t="s">
        <v>78</v>
      </c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3.5" hidden="false" customHeight="true" outlineLevel="0" collapsed="false">
      <c r="A30" s="6" t="s">
        <v>79</v>
      </c>
      <c r="B30" s="6" t="s">
        <v>5</v>
      </c>
      <c r="C30" s="6" t="s">
        <v>6</v>
      </c>
      <c r="D30" s="3"/>
      <c r="E30" s="15" t="s">
        <v>80</v>
      </c>
      <c r="F30" s="3"/>
      <c r="G30" s="3"/>
      <c r="H30" s="3"/>
      <c r="I30" s="3"/>
      <c r="J30" s="15" t="s">
        <v>81</v>
      </c>
      <c r="K30" s="18" t="n">
        <f aca="false">IF(INDEX($L30:$P30,MATCH($B$29,$L$28:$P$28,0))="","",INDEX($L30:$P30,MATCH($B$29,$L$28:$P$28,0)))</f>
        <v>49000000000</v>
      </c>
      <c r="L30" s="19" t="n">
        <v>49000000000</v>
      </c>
      <c r="M30" s="19" t="n">
        <v>104000000000</v>
      </c>
      <c r="N30" s="19" t="n">
        <v>13000000000</v>
      </c>
      <c r="O30" s="19" t="n">
        <v>180000000000</v>
      </c>
      <c r="P30" s="19" t="n">
        <v>1000000000000</v>
      </c>
      <c r="Q30" s="20" t="s">
        <v>82</v>
      </c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3.5" hidden="false" customHeight="true" outlineLevel="0" collapsed="false">
      <c r="A31" s="4" t="s">
        <v>83</v>
      </c>
      <c r="B31" s="21" t="n">
        <f aca="false">K29</f>
        <v>1600000000000</v>
      </c>
      <c r="C31" s="15" t="s">
        <v>84</v>
      </c>
      <c r="D31" s="3"/>
      <c r="E31" s="17" t="s">
        <v>85</v>
      </c>
      <c r="F31" s="17" t="s">
        <v>86</v>
      </c>
      <c r="G31" s="17" t="s">
        <v>87</v>
      </c>
      <c r="H31" s="17" t="s">
        <v>88</v>
      </c>
      <c r="I31" s="3"/>
      <c r="J31" s="15" t="s">
        <v>89</v>
      </c>
      <c r="K31" s="2" t="str">
        <f aca="false">IF(INDEX($L31:$P31,MATCH($B$29,$L$28:$P$28,0))="","",INDEX($L31:$P31,MATCH($B$29,$L$28:$P$28,0)))</f>
        <v>MoE</v>
      </c>
      <c r="L31" s="22" t="s">
        <v>90</v>
      </c>
      <c r="M31" s="22" t="s">
        <v>90</v>
      </c>
      <c r="N31" s="22" t="s">
        <v>90</v>
      </c>
      <c r="O31" s="22" t="s">
        <v>90</v>
      </c>
      <c r="P31" s="22" t="s">
        <v>91</v>
      </c>
      <c r="Q31" s="20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3.5" hidden="false" customHeight="true" outlineLevel="0" collapsed="false">
      <c r="A32" s="4" t="s">
        <v>89</v>
      </c>
      <c r="B32" s="23" t="str">
        <f aca="false">K31</f>
        <v>MoE</v>
      </c>
      <c r="C32" s="15" t="s">
        <v>92</v>
      </c>
      <c r="D32" s="3"/>
      <c r="E32" s="15" t="s">
        <v>93</v>
      </c>
      <c r="F32" s="24" t="s">
        <v>94</v>
      </c>
      <c r="G32" s="25" t="n">
        <v>0.035</v>
      </c>
      <c r="H32" s="25" t="n">
        <v>0.14</v>
      </c>
      <c r="I32" s="3"/>
      <c r="J32" s="15" t="s">
        <v>95</v>
      </c>
      <c r="K32" s="26" t="n">
        <f aca="false">IF(INDEX($L32:$P32,MATCH($B$29,$L$28:$P$28,0))="","",INDEX($L32:$P32,MATCH($B$29,$L$28:$P$28,0)))</f>
        <v>61</v>
      </c>
      <c r="L32" s="27" t="n">
        <v>61</v>
      </c>
      <c r="M32" s="27" t="n">
        <v>93</v>
      </c>
      <c r="N32" s="27" t="n">
        <v>43</v>
      </c>
      <c r="O32" s="27" t="n">
        <v>100</v>
      </c>
      <c r="P32" s="3"/>
      <c r="Q32" s="20" t="s">
        <v>96</v>
      </c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3.5" hidden="false" customHeight="true" outlineLevel="0" collapsed="false">
      <c r="A33" s="4" t="s">
        <v>97</v>
      </c>
      <c r="B33" s="28" t="n">
        <f aca="false">N(K36)</f>
        <v>384</v>
      </c>
      <c r="C33" s="15" t="s">
        <v>98</v>
      </c>
      <c r="D33" s="3"/>
      <c r="E33" s="15" t="s">
        <v>99</v>
      </c>
      <c r="F33" s="24" t="s">
        <v>100</v>
      </c>
      <c r="G33" s="25" t="n">
        <v>0.44</v>
      </c>
      <c r="H33" s="25" t="n">
        <v>1.32</v>
      </c>
      <c r="I33" s="3"/>
      <c r="J33" s="15" t="s">
        <v>101</v>
      </c>
      <c r="K33" s="29" t="n">
        <f aca="false">IF(INDEX($L33:$P33,MATCH($B$29,$L$28:$P$28,0))="","",INDEX($L33:$P33,MATCH($B$29,$L$28:$P$28,0)))</f>
        <v>7168</v>
      </c>
      <c r="L33" s="30" t="n">
        <v>7168</v>
      </c>
      <c r="M33" s="30" t="n">
        <v>7168</v>
      </c>
      <c r="N33" s="31" t="n">
        <f aca="false">N55</f>
        <v>4096</v>
      </c>
      <c r="O33" s="30" t="n">
        <v>12288</v>
      </c>
      <c r="P33" s="3"/>
      <c r="Q33" s="20" t="s">
        <v>102</v>
      </c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3.5" hidden="false" customHeight="true" outlineLevel="0" collapsed="false">
      <c r="A34" s="4" t="s">
        <v>103</v>
      </c>
      <c r="B34" s="28" t="n">
        <f aca="false">N(K37)</f>
        <v>6</v>
      </c>
      <c r="C34" s="15" t="s">
        <v>104</v>
      </c>
      <c r="D34" s="3"/>
      <c r="E34" s="15" t="s">
        <v>105</v>
      </c>
      <c r="F34" s="24" t="s">
        <v>106</v>
      </c>
      <c r="G34" s="25" t="n">
        <v>1.36</v>
      </c>
      <c r="H34" s="25" t="n">
        <v>4.18</v>
      </c>
      <c r="I34" s="3"/>
      <c r="J34" s="15" t="s">
        <v>107</v>
      </c>
      <c r="K34" s="26" t="n">
        <f aca="false">IF(INDEX($L34:$P34,MATCH($B$29,$L$28:$P$28,0))="","",INDEX($L34:$P34,MATCH($B$29,$L$28:$P$28,0)))</f>
        <v>128</v>
      </c>
      <c r="L34" s="27" t="n">
        <v>128</v>
      </c>
      <c r="M34" s="27" t="n">
        <v>96</v>
      </c>
      <c r="N34" s="27" t="n">
        <v>64</v>
      </c>
      <c r="O34" s="27" t="n">
        <v>96</v>
      </c>
      <c r="P34" s="3"/>
      <c r="Q34" s="20" t="s">
        <v>108</v>
      </c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3.5" hidden="false" customHeight="true" outlineLevel="0" collapsed="false">
      <c r="A35" s="4" t="s">
        <v>109</v>
      </c>
      <c r="B35" s="28" t="n">
        <f aca="false">IF(B32="Dense",1,(B34+N(K38))/(B33+N(K38)))</f>
        <v>0.0181818181818182</v>
      </c>
      <c r="C35" s="15" t="s">
        <v>110</v>
      </c>
      <c r="D35" s="3"/>
      <c r="E35" s="15" t="s">
        <v>111</v>
      </c>
      <c r="F35" s="24" t="s">
        <v>112</v>
      </c>
      <c r="G35" s="25" t="n">
        <v>3</v>
      </c>
      <c r="H35" s="25" t="n">
        <v>15</v>
      </c>
      <c r="I35" s="3"/>
      <c r="J35" s="15" t="s">
        <v>113</v>
      </c>
      <c r="K35" s="26" t="n">
        <f aca="false">IF(INDEX($L35:$P35,MATCH($B$29,$L$28:$P$28,0))="","",INDEX($L35:$P35,MATCH($B$29,$L$28:$P$28,0)))</f>
        <v>512</v>
      </c>
      <c r="L35" s="27" t="n">
        <v>512</v>
      </c>
      <c r="M35" s="27" t="n">
        <v>128</v>
      </c>
      <c r="N35" s="27" t="n">
        <v>512</v>
      </c>
      <c r="O35" s="27" t="n">
        <v>128</v>
      </c>
      <c r="P35" s="27" t="n">
        <v>128</v>
      </c>
      <c r="Q35" s="20" t="s">
        <v>114</v>
      </c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3.5" hidden="false" customHeight="true" outlineLevel="0" collapsed="false">
      <c r="A36" s="4" t="s">
        <v>115</v>
      </c>
      <c r="B36" s="32" t="n">
        <f aca="false">IF(B32="Dense",B31,B39*(B43+B44*B35)+K40)</f>
        <v>49000000000</v>
      </c>
      <c r="C36" s="15" t="s">
        <v>116</v>
      </c>
      <c r="D36" s="3"/>
      <c r="E36" s="15" t="s">
        <v>117</v>
      </c>
      <c r="F36" s="24" t="s">
        <v>118</v>
      </c>
      <c r="G36" s="25" t="n">
        <v>5</v>
      </c>
      <c r="H36" s="25" t="n">
        <v>25</v>
      </c>
      <c r="I36" s="3"/>
      <c r="J36" s="15" t="s">
        <v>119</v>
      </c>
      <c r="K36" s="26" t="n">
        <f aca="false">IF(INDEX($L36:$P36,MATCH($B$29,$L$28:$P$28,0))="","",INDEX($L36:$P36,MATCH($B$29,$L$28:$P$28,0)))</f>
        <v>384</v>
      </c>
      <c r="L36" s="27" t="n">
        <v>384</v>
      </c>
      <c r="M36" s="27" t="n">
        <v>896</v>
      </c>
      <c r="N36" s="27" t="n">
        <v>256</v>
      </c>
      <c r="O36" s="27" t="n">
        <v>512</v>
      </c>
      <c r="P36" s="27" t="n">
        <v>0</v>
      </c>
      <c r="Q36" s="20" t="s">
        <v>120</v>
      </c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3.5" hidden="false" customHeight="true" outlineLevel="0" collapsed="false">
      <c r="A37" s="4" t="s">
        <v>121</v>
      </c>
      <c r="B37" s="31" t="n">
        <f aca="false">K39</f>
        <v>129280</v>
      </c>
      <c r="C37" s="15" t="s">
        <v>122</v>
      </c>
      <c r="D37" s="3"/>
      <c r="E37" s="15" t="s">
        <v>123</v>
      </c>
      <c r="F37" s="15" t="s">
        <v>124</v>
      </c>
      <c r="G37" s="25" t="n">
        <v>10</v>
      </c>
      <c r="H37" s="25" t="n">
        <v>50</v>
      </c>
      <c r="I37" s="3"/>
      <c r="J37" s="15" t="s">
        <v>125</v>
      </c>
      <c r="K37" s="26" t="n">
        <f aca="false">IF(INDEX($L37:$P37,MATCH($B$29,$L$28:$P$28,0))="","",INDEX($L37:$P37,MATCH($B$29,$L$28:$P$28,0)))</f>
        <v>6</v>
      </c>
      <c r="L37" s="27" t="n">
        <v>6</v>
      </c>
      <c r="M37" s="27" t="n">
        <v>16</v>
      </c>
      <c r="N37" s="27" t="n">
        <v>6</v>
      </c>
      <c r="O37" s="27" t="n">
        <v>16</v>
      </c>
      <c r="P37" s="27" t="n">
        <v>0</v>
      </c>
      <c r="Q37" s="20" t="s">
        <v>126</v>
      </c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3.5" hidden="false" customHeight="true" outlineLevel="0" collapsed="false">
      <c r="A38" s="4" t="s">
        <v>127</v>
      </c>
      <c r="B38" s="31" t="n">
        <f aca="false">IF(N(K33)&gt;0,K33,MROUND(160*B39,128))</f>
        <v>7168</v>
      </c>
      <c r="C38" s="15" t="s">
        <v>128</v>
      </c>
      <c r="D38" s="3"/>
      <c r="E38" s="15" t="s">
        <v>129</v>
      </c>
      <c r="F38" s="15" t="s">
        <v>130</v>
      </c>
      <c r="I38" s="3"/>
      <c r="J38" s="15" t="s">
        <v>131</v>
      </c>
      <c r="K38" s="26" t="n">
        <f aca="false">IF(INDEX($L38:$P38,MATCH($B$29,$L$28:$P$28,0))="","",INDEX($L38:$P38,MATCH($B$29,$L$28:$P$28,0)))</f>
        <v>1</v>
      </c>
      <c r="L38" s="27" t="n">
        <v>1</v>
      </c>
      <c r="M38" s="27" t="n">
        <v>2</v>
      </c>
      <c r="N38" s="27" t="n">
        <v>1</v>
      </c>
      <c r="O38" s="27" t="n">
        <v>1</v>
      </c>
      <c r="P38" s="27" t="n">
        <v>0</v>
      </c>
      <c r="Q38" s="20" t="s">
        <v>132</v>
      </c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3.5" hidden="false" customHeight="true" outlineLevel="0" collapsed="false">
      <c r="A39" s="4" t="s">
        <v>133</v>
      </c>
      <c r="B39" s="33" t="n">
        <f aca="false">IF(N(K32)&gt;0,K32,ROUND((B31/(12*160^2))^(1/3),0))</f>
        <v>61</v>
      </c>
      <c r="C39" s="15" t="s">
        <v>134</v>
      </c>
      <c r="D39" s="3"/>
      <c r="I39" s="3"/>
      <c r="J39" s="15" t="s">
        <v>135</v>
      </c>
      <c r="K39" s="29" t="n">
        <f aca="false">IF(INDEX($L39:$P39,MATCH($B$29,$L$28:$P$28,0))="","",INDEX($L39:$P39,MATCH($B$29,$L$28:$P$28,0)))</f>
        <v>129280</v>
      </c>
      <c r="L39" s="30" t="n">
        <v>129280</v>
      </c>
      <c r="M39" s="30" t="n">
        <v>163840</v>
      </c>
      <c r="N39" s="30" t="n">
        <v>129280</v>
      </c>
      <c r="O39" s="30" t="n">
        <v>200000</v>
      </c>
      <c r="P39" s="30" t="n">
        <v>128000</v>
      </c>
      <c r="Q39" s="20" t="s">
        <v>136</v>
      </c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3.5" hidden="false" customHeight="true" outlineLevel="0" collapsed="false">
      <c r="A40" s="4" t="s">
        <v>137</v>
      </c>
      <c r="B40" s="33" t="n">
        <f aca="false">IF(N(K34)&gt;0,K34,B38/B41)</f>
        <v>128</v>
      </c>
      <c r="C40" s="15" t="s">
        <v>138</v>
      </c>
      <c r="D40" s="3"/>
      <c r="E40" s="34" t="s">
        <v>139</v>
      </c>
      <c r="F40" s="35"/>
      <c r="G40" s="35"/>
      <c r="H40" s="35"/>
      <c r="I40" s="3"/>
      <c r="J40" s="15" t="s">
        <v>140</v>
      </c>
      <c r="K40" s="18" t="n">
        <f aca="false">INDEX($L40:$P40,MATCH($B$29,$L$28:$P$28,0))</f>
        <v>1853358080</v>
      </c>
      <c r="L40" s="24" t="n">
        <f aca="false">L39*IF(N(L33)&gt;0,L33,$B$38)*2</f>
        <v>1853358080</v>
      </c>
      <c r="M40" s="24" t="n">
        <f aca="false">M39*IF(N(M33)&gt;0,M33,$B$38)*2</f>
        <v>2348810240</v>
      </c>
      <c r="N40" s="24" t="n">
        <f aca="false">N39*IF(N(N33)&gt;0,N33,$B$38)*2</f>
        <v>1059061760</v>
      </c>
      <c r="O40" s="24" t="n">
        <f aca="false">O39*IF(N(O33)&gt;0,O33,$B$38)*2</f>
        <v>4915200000</v>
      </c>
      <c r="P40" s="24" t="n">
        <f aca="false">P39*IF(N(P33)&gt;0,P33,$B$38)*2</f>
        <v>1835008000</v>
      </c>
      <c r="Q40" s="15" t="s">
        <v>141</v>
      </c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3.5" hidden="false" customHeight="true" outlineLevel="0" collapsed="false">
      <c r="A41" s="4" t="s">
        <v>142</v>
      </c>
      <c r="B41" s="33" t="n">
        <f aca="false">IF(N(K35)&gt;0,K35,128)</f>
        <v>512</v>
      </c>
      <c r="C41" s="15" t="s">
        <v>143</v>
      </c>
      <c r="D41" s="3"/>
      <c r="E41" s="15" t="s">
        <v>144</v>
      </c>
      <c r="F41" s="14" t="s">
        <v>117</v>
      </c>
      <c r="H41" s="15" t="s">
        <v>145</v>
      </c>
      <c r="I41" s="3"/>
      <c r="J41" s="15" t="s">
        <v>146</v>
      </c>
      <c r="K41" s="18" t="n">
        <f aca="false">IF(INDEX($L41:$P41,MATCH($B$29,$L$28:$P$28,0))="","",INDEX($L41:$P41,MATCH($B$29,$L$28:$P$28,0)))</f>
        <v>67265157.4290919</v>
      </c>
      <c r="L41" s="24" t="n">
        <f aca="false">IF(L31="MoE",(L29-L30)/(L32*(L36-L37)),"")</f>
        <v>67265157.4290919</v>
      </c>
      <c r="M41" s="24" t="n">
        <f aca="false">IF(M31="MoE",(M29-M30)/(M32*(M36-M37)),"")</f>
        <v>32942326.4907136</v>
      </c>
      <c r="N41" s="24" t="n">
        <f aca="false">IF(N31="MoE",(N29-N30)/(N32*(N36-N37)),"")</f>
        <v>25209302.3255814</v>
      </c>
      <c r="O41" s="24" t="n">
        <f aca="false">IF(O31="MoE",(O29-O30)/(O32*(O36-O37)),"")</f>
        <v>77016129.0322581</v>
      </c>
      <c r="P41" s="24" t="str">
        <f aca="false">IF(P31="MoE",(P29-P30)/(P32*(P36-P37)),"")</f>
        <v/>
      </c>
      <c r="Q41" s="20" t="s">
        <v>147</v>
      </c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3.5" hidden="false" customHeight="true" outlineLevel="0" collapsed="false">
      <c r="A42" s="4" t="s">
        <v>148</v>
      </c>
      <c r="B42" s="24" t="n">
        <f aca="false">IF(B32="MoE",K43,(B31/B39-4*B38^2)/(3*B38))</f>
        <v>1204291.55553387</v>
      </c>
      <c r="C42" s="15" t="s">
        <v>149</v>
      </c>
      <c r="D42" s="3"/>
      <c r="E42" s="36" t="s">
        <v>150</v>
      </c>
      <c r="F42" s="37" t="n">
        <f aca="false">INDEX(G32:G37,MATCH(F41,E32:E37,0))</f>
        <v>5</v>
      </c>
      <c r="I42" s="3"/>
      <c r="J42" s="15" t="s">
        <v>151</v>
      </c>
      <c r="K42" s="18" t="n">
        <f aca="false">IF(INDEX($L42:$P42,MATCH($B$29,$L$28:$P$28,0))="","",INDEX($L42:$P42,MATCH($B$29,$L$28:$P$28,0)))</f>
        <v>302039667.176685</v>
      </c>
      <c r="L42" s="24" t="n">
        <f aca="false">IF(L31="MoE",(L30-L40-L32*(L37+L38)*L41)/L32,"")</f>
        <v>302039667.176685</v>
      </c>
      <c r="M42" s="24" t="n">
        <f aca="false">IF(M31="MoE",(M30-M40-M32*(M37+M38)*M41)/M32,"")</f>
        <v>500061668.973607</v>
      </c>
      <c r="N42" s="24" t="n">
        <f aca="false">IF(N31="MoE",(N30-N40-N32*(N37+N38)*N41)/N32,"")</f>
        <v>101231121.860465</v>
      </c>
      <c r="O42" s="24" t="n">
        <f aca="false">IF(O31="MoE",(O30-O40-O32*(O37+O38)*O41)/O32,"")</f>
        <v>441573806.451613</v>
      </c>
      <c r="P42" s="24" t="str">
        <f aca="false">IF(P31="MoE",(P30-P40-P32*(P37+P38)*P41)/P32,"")</f>
        <v/>
      </c>
      <c r="Q42" s="20" t="s">
        <v>152</v>
      </c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3.5" hidden="false" customHeight="true" outlineLevel="0" collapsed="false">
      <c r="A43" s="4" t="s">
        <v>153</v>
      </c>
      <c r="B43" s="24" t="n">
        <f aca="false">IF(B32="MoE",K42,4*B38^2)</f>
        <v>302039667.176685</v>
      </c>
      <c r="C43" s="15" t="s">
        <v>154</v>
      </c>
      <c r="D43" s="3"/>
      <c r="E43" s="36" t="s">
        <v>155</v>
      </c>
      <c r="F43" s="37" t="n">
        <f aca="false">INDEX(H32:H37,MATCH(F41,E32:E37,0))</f>
        <v>25</v>
      </c>
      <c r="I43" s="3"/>
      <c r="J43" s="15" t="s">
        <v>156</v>
      </c>
      <c r="K43" s="29" t="n">
        <f aca="false">IF(INDEX($L43:$P43,MATCH($B$29,$L$28:$P$28,0))="","",INDEX($L43:$P43,MATCH($B$29,$L$28:$P$28,0)))</f>
        <v>1204291.55553387</v>
      </c>
      <c r="L43" s="31" t="n">
        <f aca="false">IF(L31="MoE",(L36+L38)*L41/(3*IF(N(L33)&gt;0,L33,$B$38)),"")</f>
        <v>1204291.55553387</v>
      </c>
      <c r="M43" s="31" t="n">
        <f aca="false">IF(M31="MoE",(M36+M38)*M41/(3*IF(N(M33)&gt;0,M33,$B$38)),"")</f>
        <v>1375660.76956198</v>
      </c>
      <c r="N43" s="31" t="n">
        <f aca="false">IF(N31="MoE",(N36+N38)*N41/(3*IF(N(N33)&gt;0,N33,$B$38)),"")</f>
        <v>527245.336724806</v>
      </c>
      <c r="O43" s="31" t="n">
        <f aca="false">IF(O31="MoE",(O36+O38)*O41/(3*IF(N(O33)&gt;0,O33,$B$38)),"")</f>
        <v>1071757.65498992</v>
      </c>
      <c r="P43" s="31" t="str">
        <f aca="false">IF(P31="MoE",(P36+P38)*P41/(3*IF(N(P33)&gt;0,P33,$B$38)),"")</f>
        <v/>
      </c>
      <c r="Q43" s="20" t="s">
        <v>157</v>
      </c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3.5" hidden="false" customHeight="true" outlineLevel="0" collapsed="false">
      <c r="A44" s="4" t="s">
        <v>158</v>
      </c>
      <c r="B44" s="38" t="n">
        <f aca="false">3*B38*B42</f>
        <v>25897085610.2004</v>
      </c>
      <c r="C44" s="3" t="s">
        <v>159</v>
      </c>
      <c r="D44" s="3"/>
      <c r="I44" s="3"/>
      <c r="J44" s="15" t="s">
        <v>160</v>
      </c>
      <c r="K44" s="18" t="n">
        <f aca="false">IF(INDEX($L44:$P44,MATCH($B$29,$L$28:$P$28,0))="","",INDEX($L44:$P44,MATCH($B$29,$L$28:$P$28,0)))</f>
        <v>1600000000000</v>
      </c>
      <c r="L44" s="24" t="n">
        <f aca="false">IF(L31="MoE",L32*(L42+(L36+L38)*L41)+L40,"")</f>
        <v>1600000000000</v>
      </c>
      <c r="M44" s="24" t="n">
        <f aca="false">IF(M31="MoE",M32*(M42+(M36+M38)*M41)+M40,"")</f>
        <v>2800000000000</v>
      </c>
      <c r="N44" s="24" t="n">
        <f aca="false">IF(N31="MoE",N32*(N42+(N36+N38)*N41)+N40,"")</f>
        <v>284000000000</v>
      </c>
      <c r="O44" s="24" t="n">
        <f aca="false">IF(O31="MoE",O32*(O42+(O36+O38)*O41)+O40,"")</f>
        <v>4000000000000</v>
      </c>
      <c r="P44" s="24" t="str">
        <f aca="false">IF(P31="MoE",P32*(P42+(P36+P38)*P41)+P40,"")</f>
        <v/>
      </c>
      <c r="Q44" s="15" t="s">
        <v>161</v>
      </c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3.5" hidden="false" customHeight="true" outlineLevel="0" collapsed="false">
      <c r="A45" s="4" t="s">
        <v>162</v>
      </c>
      <c r="B45" s="38" t="n">
        <f aca="false">B43+B44</f>
        <v>26199125277.3771</v>
      </c>
      <c r="C45" s="3"/>
      <c r="D45" s="3"/>
      <c r="I45" s="3"/>
      <c r="J45" s="15" t="s">
        <v>163</v>
      </c>
      <c r="K45" s="29" t="n">
        <f aca="false">IF(INDEX($L45:$P45,MATCH($B$29,$L$28:$P$28,0))="","",INDEX($L45:$P45,MATCH($B$29,$L$28:$P$28,0)))</f>
        <v>65</v>
      </c>
      <c r="L45" s="30" t="n">
        <v>65</v>
      </c>
      <c r="M45" s="30" t="n">
        <v>149</v>
      </c>
      <c r="N45" s="30" t="n">
        <v>65</v>
      </c>
      <c r="O45" s="30" t="n">
        <v>2048</v>
      </c>
      <c r="P45" s="30" t="n">
        <v>2048</v>
      </c>
      <c r="Q45" s="20" t="s">
        <v>164</v>
      </c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3.5" hidden="false" customHeight="true" outlineLevel="0" collapsed="false">
      <c r="A46" s="4" t="s">
        <v>165</v>
      </c>
      <c r="B46" s="22" t="n">
        <v>0.35</v>
      </c>
      <c r="C46" s="15" t="s">
        <v>166</v>
      </c>
      <c r="D46" s="3"/>
      <c r="E46" s="39"/>
      <c r="I46" s="3"/>
      <c r="J46" s="15" t="s">
        <v>167</v>
      </c>
      <c r="K46" s="40" t="n">
        <f aca="false">IF(INDEX($L46:$P46,MATCH($B$29,$L$28:$P$28,0))="","",INDEX($L46:$P46,MATCH($B$29,$L$28:$P$28,0)))</f>
        <v>1</v>
      </c>
      <c r="L46" s="41" t="n">
        <v>1</v>
      </c>
      <c r="M46" s="41" t="n">
        <v>1</v>
      </c>
      <c r="N46" s="41" t="n">
        <v>1</v>
      </c>
      <c r="O46" s="41" t="n">
        <v>1</v>
      </c>
      <c r="P46" s="41" t="n">
        <v>1</v>
      </c>
      <c r="Q46" s="15" t="s">
        <v>168</v>
      </c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3.5" hidden="false" customHeight="true" outlineLevel="0" collapsed="false">
      <c r="A47" s="4" t="s">
        <v>169</v>
      </c>
      <c r="B47" s="42" t="str">
        <f aca="false">K51</f>
        <v>FP4</v>
      </c>
      <c r="C47" s="15" t="s">
        <v>170</v>
      </c>
      <c r="D47" s="3"/>
      <c r="E47" s="39"/>
      <c r="I47" s="3"/>
      <c r="J47" s="15" t="s">
        <v>171</v>
      </c>
      <c r="K47" s="43" t="n">
        <f aca="false">IF(INDEX($L47:$P47,MATCH($B$29,$L$28:$P$28,0))="","",INDEX($L47:$P47,MATCH($B$29,$L$28:$P$28,0)))</f>
        <v>0.5</v>
      </c>
      <c r="L47" s="44" t="n">
        <v>0.5</v>
      </c>
      <c r="M47" s="44" t="n">
        <v>0.258064516129032</v>
      </c>
      <c r="N47" s="44" t="n">
        <v>0.5</v>
      </c>
      <c r="O47" s="44" t="n">
        <v>1</v>
      </c>
      <c r="P47" s="44" t="n">
        <v>1</v>
      </c>
      <c r="Q47" s="20" t="s">
        <v>172</v>
      </c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3.5" hidden="false" customHeight="true" outlineLevel="0" collapsed="false">
      <c r="A48" s="4" t="s">
        <v>173</v>
      </c>
      <c r="B48" s="45" t="n">
        <f aca="false">IF(N(K50)&gt;0,K50,IF(B47="FP4",0.5,IF(B47="FP8",1,IF(B47="FP16",2,"ERR"))))</f>
        <v>0.507</v>
      </c>
      <c r="C48" s="15" t="s">
        <v>174</v>
      </c>
      <c r="D48" s="3"/>
      <c r="I48" s="3"/>
      <c r="J48" s="15" t="s">
        <v>175</v>
      </c>
      <c r="K48" s="29" t="n">
        <f aca="false">IF(INDEX($L48:$P48,MATCH($B$29,$L$28:$P$28,0))="","",INDEX($L48:$P48,MATCH($B$29,$L$28:$P$28,0)))</f>
        <v>4224</v>
      </c>
      <c r="L48" s="30" t="n">
        <v>4224</v>
      </c>
      <c r="M48" s="30" t="n">
        <v>0</v>
      </c>
      <c r="N48" s="30" t="n">
        <v>4224</v>
      </c>
      <c r="O48" s="30" t="n">
        <v>0</v>
      </c>
      <c r="P48" s="30" t="n">
        <v>0</v>
      </c>
      <c r="Q48" s="20" t="s">
        <v>176</v>
      </c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3.5" hidden="false" customHeight="true" outlineLevel="0" collapsed="false">
      <c r="A49" s="4" t="s">
        <v>177</v>
      </c>
      <c r="B49" s="46" t="n">
        <f aca="false">IF(B47="FP4",B19,IF(B47="FP8",B21,IF(B47="FP16",B22,"ERR")))</f>
        <v>3600</v>
      </c>
      <c r="C49" s="3" t="s">
        <v>178</v>
      </c>
      <c r="D49" s="3"/>
      <c r="E49" s="3"/>
      <c r="F49" s="3"/>
      <c r="G49" s="3"/>
      <c r="H49" s="3"/>
      <c r="I49" s="3"/>
      <c r="J49" s="15" t="s">
        <v>179</v>
      </c>
      <c r="K49" s="29" t="n">
        <f aca="false">IF(INDEX($L49:$P49,MATCH($B$29,$L$28:$P$28,0))="","",INDEX($L49:$P49,MATCH($B$29,$L$28:$P$28,0)))</f>
        <v>256</v>
      </c>
      <c r="L49" s="30" t="n">
        <v>256</v>
      </c>
      <c r="M49" s="30" t="n">
        <v>128</v>
      </c>
      <c r="N49" s="30" t="n">
        <v>256</v>
      </c>
      <c r="O49" s="30" t="n">
        <v>0</v>
      </c>
      <c r="P49" s="30" t="n">
        <v>0</v>
      </c>
      <c r="Q49" s="20" t="s">
        <v>180</v>
      </c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3.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15" t="s">
        <v>181</v>
      </c>
      <c r="K50" s="43" t="n">
        <f aca="false">IF(INDEX($L50:$P50,MATCH($B$29,$L$28:$P$28,0))="","",INDEX($L50:$P50,MATCH($B$29,$L$28:$P$28,0)))</f>
        <v>0.507</v>
      </c>
      <c r="L50" s="44" t="n">
        <v>0.507</v>
      </c>
      <c r="M50" s="44" t="n">
        <v>0.53</v>
      </c>
      <c r="N50" s="44" t="n">
        <v>0.51</v>
      </c>
      <c r="O50" s="44" t="n">
        <v>0.53</v>
      </c>
      <c r="P50" s="3"/>
      <c r="Q50" s="20" t="s">
        <v>182</v>
      </c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3.5" hidden="false" customHeight="true" outlineLevel="0" collapsed="false">
      <c r="A51" s="6" t="s">
        <v>183</v>
      </c>
      <c r="B51" s="6" t="s">
        <v>5</v>
      </c>
      <c r="C51" s="6" t="s">
        <v>6</v>
      </c>
      <c r="D51" s="3"/>
      <c r="E51" s="3"/>
      <c r="F51" s="3"/>
      <c r="G51" s="3"/>
      <c r="H51" s="3"/>
      <c r="I51" s="3"/>
      <c r="J51" s="15" t="s">
        <v>184</v>
      </c>
      <c r="K51" s="2" t="str">
        <f aca="false">IF(INDEX($L51:$P51,MATCH($B$29,$L$28:$P$28,0))="","",INDEX($L51:$P51,MATCH($B$29,$L$28:$P$28,0)))</f>
        <v>FP4</v>
      </c>
      <c r="L51" s="22" t="s">
        <v>185</v>
      </c>
      <c r="M51" s="22" t="s">
        <v>185</v>
      </c>
      <c r="N51" s="22" t="s">
        <v>185</v>
      </c>
      <c r="O51" s="22" t="s">
        <v>185</v>
      </c>
      <c r="P51" s="22" t="s">
        <v>186</v>
      </c>
      <c r="Q51" s="20" t="s">
        <v>187</v>
      </c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3.5" hidden="false" customHeight="true" outlineLevel="0" collapsed="false">
      <c r="A52" s="4" t="s">
        <v>188</v>
      </c>
      <c r="B52" s="46" t="n">
        <v>72</v>
      </c>
      <c r="C52" s="3"/>
      <c r="D52" s="3"/>
      <c r="E52" s="3"/>
      <c r="F52" s="3"/>
      <c r="G52" s="3"/>
      <c r="H52" s="3"/>
      <c r="I52" s="3"/>
      <c r="J52" s="15" t="s">
        <v>189</v>
      </c>
      <c r="K52" s="2" t="str">
        <f aca="false">IF(INDEX($L52:$P52,MATCH($B$29,$L$28:$P$28,0))="","",INDEX($L52:$P52,MATCH($B$29,$L$28:$P$28,0)))</f>
        <v>$1.32/$3.96 peak ($0.66/$1.98 off-peak)</v>
      </c>
      <c r="L52" s="22" t="s">
        <v>190</v>
      </c>
      <c r="M52" s="22" t="s">
        <v>191</v>
      </c>
      <c r="N52" s="22" t="s">
        <v>192</v>
      </c>
      <c r="O52" s="22" t="s">
        <v>193</v>
      </c>
      <c r="P52" s="22" t="s">
        <v>194</v>
      </c>
      <c r="Q52" s="20" t="s">
        <v>195</v>
      </c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3.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15" t="s">
        <v>196</v>
      </c>
      <c r="K53" s="2" t="str">
        <f aca="false">IF(INDEX($L53:$P53,MATCH($B$29,$L$28:$P$28,0))="","",INDEX($L53:$P53,MATCH($B$29,$L$28:$P$28,0)))</f>
        <v>Apr-24-2026 preview; GA 0813</v>
      </c>
      <c r="L53" s="22" t="s">
        <v>197</v>
      </c>
      <c r="M53" s="22" t="s">
        <v>198</v>
      </c>
      <c r="N53" s="22" t="s">
        <v>199</v>
      </c>
      <c r="O53" s="22" t="s">
        <v>200</v>
      </c>
      <c r="P53" s="22" t="s">
        <v>201</v>
      </c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3.5" hidden="false" customHeight="true" outlineLevel="0" collapsed="false">
      <c r="A54" s="47" t="s">
        <v>202</v>
      </c>
      <c r="B54" s="47" t="s">
        <v>5</v>
      </c>
      <c r="C54" s="47" t="s">
        <v>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3.5" hidden="false" customHeight="true" outlineLevel="0" collapsed="false">
      <c r="A55" s="15" t="s">
        <v>203</v>
      </c>
      <c r="B55" s="15" t="n">
        <f aca="false">K45/(2*B41)</f>
        <v>0.0634765625</v>
      </c>
      <c r="C55" s="15" t="s">
        <v>204</v>
      </c>
      <c r="D55" s="3"/>
      <c r="E55" s="3"/>
      <c r="F55" s="3"/>
      <c r="G55" s="3"/>
      <c r="H55" s="3"/>
      <c r="I55" s="3"/>
      <c r="J55" s="15" t="s">
        <v>205</v>
      </c>
      <c r="K55" s="3"/>
      <c r="L55" s="3"/>
      <c r="M55" s="3"/>
      <c r="N55" s="31" t="n">
        <f aca="false">MROUND((N29-N30)/(N32*(N36-N37))/(3*2048),128)</f>
        <v>4096</v>
      </c>
      <c r="O55" s="3"/>
      <c r="P55" s="3"/>
      <c r="Q55" s="20" t="s">
        <v>206</v>
      </c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3.5" hidden="false" customHeight="true" outlineLevel="0" collapsed="false">
      <c r="A56" s="3" t="s">
        <v>207</v>
      </c>
      <c r="B56" s="46" t="n">
        <v>64</v>
      </c>
      <c r="C56" s="3" t="s">
        <v>208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3.5" hidden="false" customHeight="true" outlineLevel="0" collapsed="false">
      <c r="A57" s="3" t="s">
        <v>209</v>
      </c>
      <c r="B57" s="22" t="n">
        <v>5</v>
      </c>
      <c r="C57" s="15" t="s">
        <v>210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3.5" hidden="false" customHeight="true" outlineLevel="0" collapsed="false">
      <c r="A58" s="3" t="s">
        <v>211</v>
      </c>
      <c r="B58" s="48" t="n">
        <v>0.7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3.5" hidden="false" customHeight="true" outlineLevel="0" collapsed="false">
      <c r="A59" s="3" t="s">
        <v>212</v>
      </c>
      <c r="B59" s="49" t="n">
        <f aca="false">(1-B58^(B57+1))/(1-B58)</f>
        <v>2.94117</v>
      </c>
      <c r="C59" s="3" t="s">
        <v>213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3.5" hidden="false" customHeight="true" outlineLevel="0" collapsed="false">
      <c r="A60" s="3" t="s">
        <v>214</v>
      </c>
      <c r="B60" s="50" t="n">
        <v>0.5</v>
      </c>
      <c r="C60" s="3" t="s">
        <v>215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3.5" hidden="false" customHeight="true" outlineLevel="0" collapsed="false">
      <c r="A61" s="3" t="s">
        <v>216</v>
      </c>
      <c r="B61" s="51" t="n">
        <v>0.0005</v>
      </c>
      <c r="C61" s="3" t="s">
        <v>217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3.5" hidden="false" customHeight="true" outlineLevel="0" collapsed="false">
      <c r="A62" s="3" t="s">
        <v>218</v>
      </c>
      <c r="B62" s="50" t="n">
        <v>0.5</v>
      </c>
      <c r="C62" s="3" t="s">
        <v>219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3.5" hidden="false" customHeight="true" outlineLevel="0" collapsed="false">
      <c r="A63" s="3" t="s">
        <v>220</v>
      </c>
      <c r="B63" s="46" t="n">
        <v>36</v>
      </c>
      <c r="C63" s="3" t="s">
        <v>221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3.5" hidden="false" customHeight="true" outlineLevel="0" collapsed="false">
      <c r="A64" s="3" t="s">
        <v>222</v>
      </c>
      <c r="B64" s="3" t="n">
        <f aca="false">B14/B63</f>
        <v>2</v>
      </c>
      <c r="C64" s="3" t="s">
        <v>223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3.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3.5" hidden="false" customHeight="true" outlineLevel="0" collapsed="false">
      <c r="A66" s="6" t="s">
        <v>224</v>
      </c>
      <c r="B66" s="6" t="s">
        <v>5</v>
      </c>
      <c r="C66" s="6" t="s">
        <v>6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3.5" hidden="false" customHeight="true" outlineLevel="0" collapsed="false">
      <c r="A67" s="3" t="s">
        <v>225</v>
      </c>
      <c r="B67" s="38" t="n">
        <f aca="false">B31*B48</f>
        <v>811200000000</v>
      </c>
      <c r="C67" s="3" t="s">
        <v>226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3.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3.5" hidden="false" customHeight="true" outlineLevel="0" collapsed="false">
      <c r="A69" s="47" t="s">
        <v>227</v>
      </c>
      <c r="B69" s="47" t="s">
        <v>5</v>
      </c>
      <c r="C69" s="47" t="s">
        <v>6</v>
      </c>
      <c r="D69" s="3"/>
      <c r="E69" s="47" t="s">
        <v>228</v>
      </c>
      <c r="F69" s="47" t="s">
        <v>7</v>
      </c>
      <c r="G69" s="47" t="s">
        <v>8</v>
      </c>
      <c r="H69" s="47" t="s">
        <v>6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3.5" hidden="false" customHeight="true" outlineLevel="0" collapsed="false">
      <c r="A70" s="4" t="s">
        <v>229</v>
      </c>
      <c r="B70" s="46" t="s">
        <v>230</v>
      </c>
      <c r="C70" s="3" t="s">
        <v>231</v>
      </c>
      <c r="D70" s="3"/>
      <c r="E70" s="3" t="s">
        <v>229</v>
      </c>
      <c r="F70" s="3" t="s">
        <v>230</v>
      </c>
      <c r="G70" s="3" t="s">
        <v>230</v>
      </c>
      <c r="H70" s="3" t="s">
        <v>232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3.5" hidden="false" customHeight="true" outlineLevel="0" collapsed="false">
      <c r="A71" s="3" t="s">
        <v>233</v>
      </c>
      <c r="B71" s="46" t="s">
        <v>234</v>
      </c>
      <c r="C71" s="3" t="s">
        <v>235</v>
      </c>
      <c r="D71" s="3"/>
      <c r="E71" s="3" t="s">
        <v>233</v>
      </c>
      <c r="F71" s="22" t="s">
        <v>234</v>
      </c>
      <c r="G71" s="3" t="s">
        <v>236</v>
      </c>
      <c r="H71" s="15" t="s">
        <v>237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3.5" hidden="false" customHeight="true" outlineLevel="0" collapsed="false">
      <c r="A72" s="3" t="s">
        <v>238</v>
      </c>
      <c r="B72" s="46" t="n">
        <v>1600</v>
      </c>
      <c r="C72" s="3" t="s">
        <v>239</v>
      </c>
      <c r="D72" s="3"/>
      <c r="E72" s="3" t="s">
        <v>238</v>
      </c>
      <c r="F72" s="22" t="n">
        <v>1600</v>
      </c>
      <c r="G72" s="3" t="n">
        <v>800</v>
      </c>
      <c r="H72" s="15" t="s">
        <v>240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3.5" hidden="false" customHeight="true" outlineLevel="0" collapsed="false">
      <c r="A73" s="3" t="s">
        <v>241</v>
      </c>
      <c r="B73" s="52" t="n">
        <f aca="false">B72/8/1000</f>
        <v>0.2</v>
      </c>
      <c r="C73" s="3" t="s">
        <v>242</v>
      </c>
      <c r="D73" s="3"/>
      <c r="E73" s="3" t="s">
        <v>241</v>
      </c>
      <c r="F73" s="52" t="n">
        <f aca="false">F72/8/1000</f>
        <v>0.2</v>
      </c>
      <c r="G73" s="52" t="n">
        <f aca="false">G72/8/1000</f>
        <v>0.1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3.5" hidden="false" customHeight="true" outlineLevel="0" collapsed="false">
      <c r="A74" s="3" t="s">
        <v>243</v>
      </c>
      <c r="B74" s="53" t="n">
        <f aca="false">B73*B14</f>
        <v>14.4</v>
      </c>
      <c r="C74" s="3" t="s">
        <v>244</v>
      </c>
      <c r="D74" s="3"/>
      <c r="E74" s="3" t="s">
        <v>245</v>
      </c>
      <c r="F74" s="53" t="n">
        <f aca="false">F73*F14</f>
        <v>14.4</v>
      </c>
      <c r="G74" s="53" t="n">
        <f aca="false">G73*G14</f>
        <v>7.2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3.5" hidden="false" customHeight="true" outlineLevel="0" collapsed="false">
      <c r="A75" s="3" t="s">
        <v>246</v>
      </c>
      <c r="B75" s="46" t="s">
        <v>247</v>
      </c>
      <c r="C75" s="3" t="s">
        <v>248</v>
      </c>
      <c r="D75" s="3"/>
      <c r="E75" s="3" t="s">
        <v>249</v>
      </c>
      <c r="F75" s="3" t="s">
        <v>247</v>
      </c>
      <c r="G75" s="3" t="s">
        <v>247</v>
      </c>
      <c r="H75" s="3" t="s">
        <v>250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3.5" hidden="false" customHeight="true" outlineLevel="0" collapsed="false">
      <c r="A76" s="3" t="s">
        <v>251</v>
      </c>
      <c r="B76" s="48" t="n">
        <v>0.1</v>
      </c>
      <c r="C76" s="3" t="s">
        <v>252</v>
      </c>
      <c r="D76" s="3"/>
      <c r="E76" s="3" t="s">
        <v>253</v>
      </c>
      <c r="F76" s="53" t="n">
        <v>0.1</v>
      </c>
      <c r="G76" s="53" t="n">
        <v>0.1</v>
      </c>
      <c r="H76" s="3" t="s">
        <v>254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3.5" hidden="false" customHeight="true" outlineLevel="0" collapsed="false">
      <c r="A77" s="3" t="s">
        <v>255</v>
      </c>
      <c r="B77" s="46" t="n">
        <v>3</v>
      </c>
      <c r="C77" s="3" t="s">
        <v>256</v>
      </c>
      <c r="D77" s="3"/>
      <c r="E77" s="3" t="s">
        <v>257</v>
      </c>
      <c r="F77" s="3" t="n">
        <v>3</v>
      </c>
      <c r="G77" s="3" t="n">
        <v>3</v>
      </c>
      <c r="H77" s="3" t="s">
        <v>258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3.5" hidden="false" customHeight="true" outlineLevel="0" collapsed="false">
      <c r="A78" s="3" t="s">
        <v>259</v>
      </c>
      <c r="B78" s="46" t="n">
        <v>2</v>
      </c>
      <c r="C78" s="3" t="s">
        <v>260</v>
      </c>
      <c r="D78" s="3"/>
      <c r="E78" s="3" t="s">
        <v>261</v>
      </c>
      <c r="F78" s="3" t="n">
        <v>2</v>
      </c>
      <c r="G78" s="3" t="n">
        <v>2</v>
      </c>
      <c r="H78" s="3" t="s">
        <v>262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3.5" hidden="false" customHeight="true" outlineLevel="0" collapsed="false">
      <c r="A79" s="3" t="s">
        <v>263</v>
      </c>
      <c r="B79" s="52" t="n">
        <f aca="false">B73/B78</f>
        <v>0.1</v>
      </c>
      <c r="C79" s="3" t="s">
        <v>264</v>
      </c>
      <c r="D79" s="3"/>
      <c r="E79" s="3" t="s">
        <v>265</v>
      </c>
      <c r="F79" s="52" t="n">
        <f aca="false">F73/F78</f>
        <v>0.1</v>
      </c>
      <c r="G79" s="52" t="n">
        <f aca="false">G73/G78</f>
        <v>0.05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3.5" hidden="false" customHeight="true" outlineLevel="0" collapsed="false">
      <c r="A80" s="3" t="s">
        <v>266</v>
      </c>
      <c r="B80" s="38" t="n">
        <f aca="false">B76/1000000</f>
        <v>1E-007</v>
      </c>
      <c r="C80" s="3" t="s">
        <v>267</v>
      </c>
      <c r="D80" s="3"/>
      <c r="E80" s="3" t="s">
        <v>268</v>
      </c>
      <c r="F80" s="38" t="n">
        <f aca="false">F76/1000000</f>
        <v>1E-007</v>
      </c>
      <c r="G80" s="38" t="n">
        <f aca="false">G76/1000000</f>
        <v>1E-007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3.5" hidden="false" customHeight="true" outlineLevel="0" collapsed="false">
      <c r="A81" s="3" t="s">
        <v>269</v>
      </c>
      <c r="B81" s="38" t="n">
        <f aca="false">B80*B77</f>
        <v>3E-007</v>
      </c>
      <c r="C81" s="3" t="s">
        <v>270</v>
      </c>
      <c r="D81" s="3"/>
      <c r="E81" s="3" t="s">
        <v>271</v>
      </c>
      <c r="F81" s="38" t="n">
        <f aca="false">F80*F77</f>
        <v>3E-007</v>
      </c>
      <c r="G81" s="38" t="n">
        <f aca="false">G80*G77</f>
        <v>3E-007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3.5" hidden="false" customHeight="true" outlineLevel="0" collapsed="false">
      <c r="A82" s="3" t="s">
        <v>272</v>
      </c>
      <c r="B82" s="50" t="n">
        <v>0.5</v>
      </c>
      <c r="C82" s="3" t="s">
        <v>273</v>
      </c>
      <c r="D82" s="3"/>
      <c r="E82" s="3" t="s">
        <v>274</v>
      </c>
      <c r="F82" s="54" t="n">
        <v>0.5</v>
      </c>
      <c r="G82" s="54" t="n">
        <v>0.5</v>
      </c>
      <c r="H82" s="3" t="s">
        <v>275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3.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3.5" hidden="false" customHeight="true" outlineLevel="0" collapsed="false">
      <c r="A84" s="6" t="s">
        <v>276</v>
      </c>
      <c r="B84" s="6" t="s">
        <v>5</v>
      </c>
      <c r="C84" s="6" t="s">
        <v>6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3.5" hidden="false" customHeight="true" outlineLevel="0" collapsed="false">
      <c r="A85" s="3" t="s">
        <v>277</v>
      </c>
      <c r="B85" s="3" t="n">
        <f aca="false">B8</f>
        <v>5263</v>
      </c>
      <c r="C85" s="3" t="s">
        <v>278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3.5" hidden="false" customHeight="true" outlineLevel="0" collapsed="false">
      <c r="A86" s="3" t="s">
        <v>279</v>
      </c>
      <c r="B86" s="50" t="n">
        <v>0.8</v>
      </c>
      <c r="C86" s="3" t="s">
        <v>280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3.5" hidden="false" customHeight="true" outlineLevel="0" collapsed="false">
      <c r="A87" s="15" t="s">
        <v>281</v>
      </c>
      <c r="B87" s="24" t="n">
        <f aca="false">K45*B39*K46*(B27+B28)</f>
        <v>67405000</v>
      </c>
      <c r="C87" s="15" t="s">
        <v>282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3.5" hidden="false" customHeight="true" outlineLevel="0" collapsed="false">
      <c r="A88" s="3" t="s">
        <v>283</v>
      </c>
      <c r="B88" s="38" t="n">
        <f aca="false">B87/(B79*1000000000000)</f>
        <v>0.00067405</v>
      </c>
      <c r="C88" s="3" t="s">
        <v>284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3.5" hidden="false" customHeight="true" outlineLevel="0" collapsed="false">
      <c r="A89" s="3" t="s">
        <v>285</v>
      </c>
      <c r="B89" s="38" t="n">
        <f aca="false">B88+B81</f>
        <v>0.00067435</v>
      </c>
      <c r="C89" s="3" t="s">
        <v>286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3.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3.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3.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3.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3.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3.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3.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3.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3.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3.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3.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3.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3.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3.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3.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3.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3.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3.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3.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3.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3.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3.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3.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3.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3.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3.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3.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3.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3.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3.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3.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3.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3.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3.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3.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3.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3.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3.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3.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3.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3.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3.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3.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3.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3.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3.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3.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3.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3.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3.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3.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3.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3.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3.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3.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3.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3.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3.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3.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3.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3.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3.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3.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3.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3.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3.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3.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3.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3.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3.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3.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3.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3.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3.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3.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3.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3.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3.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3.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3.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3.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3.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3.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3.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3.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3.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3.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3.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3.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3.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3.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3.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3.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3.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3.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3.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3.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3.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3.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3.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3.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3.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3.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3.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3.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3.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3.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3.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3.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3.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3.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3.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3.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3.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3.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3.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3.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3.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3.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3.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3.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3.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3.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3.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3.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3.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3.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3.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3.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3.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3.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3.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3.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3.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3.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3.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3.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3.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3.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3.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3.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3.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3.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3.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3.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3.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3.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3.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3.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3.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3.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3.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3.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3.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3.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3.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3.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3.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3.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3.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3.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3.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3.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3.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3.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3.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3.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3.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3.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3.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3.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3.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3.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3.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3.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3.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3.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3.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dataValidations count="5">
    <dataValidation allowBlank="true" errorStyle="stop" operator="between" showDropDown="false" showErrorMessage="true" showInputMessage="false" sqref="B47" type="list">
      <formula1>"FP4,FP8,FP16"</formula1>
      <formula2>0</formula2>
    </dataValidation>
    <dataValidation allowBlank="true" errorStyle="stop" operator="between" showDropDown="false" showErrorMessage="true" showInputMessage="false" sqref="B7" type="list">
      <formula1>"Vera Rubin NVL72,GB200 NVL72"</formula1>
      <formula2>0</formula2>
    </dataValidation>
    <dataValidation allowBlank="false" errorStyle="stop" operator="between" showDropDown="false" showErrorMessage="false" showInputMessage="false" sqref="B32" type="list">
      <formula1>"Dense,MoE"</formula1>
      <formula2>0</formula2>
    </dataValidation>
    <dataValidation allowBlank="false" errorStyle="stop" operator="between" showDropDown="false" showErrorMessage="false" showInputMessage="false" sqref="B29" type="list">
      <formula1>$L$28:$P$28</formula1>
      <formula2>0</formula2>
    </dataValidation>
    <dataValidation allowBlank="false" errorStyle="stop" operator="between" showDropDown="false" showErrorMessage="false" showInputMessage="false" sqref="F41" type="list">
      <formula1>$E$32:$E$37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F1CC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12.66796875" defaultRowHeight="12.75" zeroHeight="false" outlineLevelRow="0" outlineLevelCol="0"/>
  <cols>
    <col collapsed="false" customWidth="true" hidden="false" outlineLevel="0" max="1" min="1" style="1" width="3.44"/>
    <col collapsed="false" customWidth="true" hidden="false" outlineLevel="0" max="2" min="2" style="1" width="24.11"/>
    <col collapsed="false" customWidth="true" hidden="false" outlineLevel="0" max="3" min="3" style="1" width="14.44"/>
    <col collapsed="false" customWidth="true" hidden="false" outlineLevel="0" max="4" min="4" style="1" width="15.44"/>
    <col collapsed="false" customWidth="true" hidden="false" outlineLevel="0" max="5" min="5" style="1" width="13.34"/>
    <col collapsed="false" customWidth="true" hidden="false" outlineLevel="0" max="6" min="6" style="1" width="14"/>
    <col collapsed="false" customWidth="true" hidden="false" outlineLevel="0" max="7" min="7" style="1" width="15.56"/>
    <col collapsed="false" customWidth="true" hidden="false" outlineLevel="0" max="9" min="9" style="1" width="13.67"/>
    <col collapsed="false" customWidth="true" hidden="false" outlineLevel="0" max="10" min="10" style="1" width="13"/>
    <col collapsed="false" customWidth="true" hidden="false" outlineLevel="0" max="11" min="11" style="1" width="11.56"/>
    <col collapsed="false" customWidth="true" hidden="false" outlineLevel="0" max="13" min="12" style="1" width="10.66"/>
    <col collapsed="false" customWidth="true" hidden="false" outlineLevel="0" max="15" min="14" style="1" width="10.33"/>
    <col collapsed="false" customWidth="true" hidden="false" outlineLevel="0" max="16" min="16" style="1" width="15.66"/>
    <col collapsed="false" customWidth="true" hidden="false" outlineLevel="0" max="26" min="17" style="1" width="5.88"/>
  </cols>
  <sheetData>
    <row r="1" customFormat="false" ht="12.75" hidden="false" customHeight="true" outlineLevel="0" collapsed="false">
      <c r="A1" s="3"/>
      <c r="B1" s="55" t="s">
        <v>287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2.75" hidden="false" customHeight="true" outlineLevel="0" collapsed="false">
      <c r="A2" s="6" t="s">
        <v>288</v>
      </c>
      <c r="B2" s="6" t="s">
        <v>289</v>
      </c>
      <c r="C2" s="56" t="s">
        <v>290</v>
      </c>
      <c r="D2" s="56" t="s">
        <v>291</v>
      </c>
      <c r="E2" s="56" t="s">
        <v>292</v>
      </c>
      <c r="F2" s="57" t="s">
        <v>293</v>
      </c>
      <c r="G2" s="57" t="s">
        <v>294</v>
      </c>
      <c r="H2" s="57" t="s">
        <v>295</v>
      </c>
      <c r="I2" s="57" t="s">
        <v>296</v>
      </c>
      <c r="J2" s="57" t="s">
        <v>297</v>
      </c>
      <c r="K2" s="57" t="s">
        <v>298</v>
      </c>
      <c r="L2" s="57" t="s">
        <v>299</v>
      </c>
      <c r="M2" s="57" t="s">
        <v>300</v>
      </c>
    </row>
    <row r="3" customFormat="false" ht="12.75" hidden="false" customHeight="true" outlineLevel="0" collapsed="false">
      <c r="A3" s="3" t="n">
        <v>1</v>
      </c>
      <c r="B3" s="3" t="s">
        <v>301</v>
      </c>
      <c r="C3" s="58" t="n">
        <v>0</v>
      </c>
      <c r="D3" s="58" t="n">
        <v>0.05</v>
      </c>
      <c r="E3" s="58" t="n">
        <f aca="false">C3+D3</f>
        <v>0.05</v>
      </c>
      <c r="F3" s="58" t="s">
        <v>302</v>
      </c>
      <c r="G3" s="58" t="s">
        <v>303</v>
      </c>
      <c r="H3" s="58" t="s">
        <v>303</v>
      </c>
      <c r="I3" s="58" t="s">
        <v>303</v>
      </c>
      <c r="J3" s="58" t="s">
        <v>304</v>
      </c>
      <c r="K3" s="58" t="s">
        <v>304</v>
      </c>
      <c r="L3" s="58" t="n">
        <v>0</v>
      </c>
      <c r="M3" s="58" t="n">
        <v>0</v>
      </c>
    </row>
    <row r="4" customFormat="false" ht="12.75" hidden="false" customHeight="true" outlineLevel="0" collapsed="false">
      <c r="A4" s="3" t="n">
        <v>2</v>
      </c>
      <c r="B4" s="3" t="s">
        <v>305</v>
      </c>
      <c r="C4" s="59" t="n">
        <f aca="false">E3</f>
        <v>0.05</v>
      </c>
      <c r="D4" s="59" t="n">
        <f aca="false">G4+H4+I4</f>
        <v>2.62643050784377E-006</v>
      </c>
      <c r="E4" s="59" t="n">
        <f aca="false">C4+D4</f>
        <v>0.0500026264305078</v>
      </c>
      <c r="F4" s="59" t="n">
        <v>0</v>
      </c>
      <c r="G4" s="58" t="n">
        <f aca="false">WP_Param!B28*WP_Param!B29/(WP_Param!B15*1000000000000)</f>
        <v>5.86505721518987E-007</v>
      </c>
      <c r="H4" s="58" t="n">
        <f aca="false">H17</f>
        <v>1.73992478632479E-006</v>
      </c>
      <c r="I4" s="60" t="n">
        <f aca="false">WP_Param!B293</f>
        <v>3E-007</v>
      </c>
      <c r="J4" s="58" t="str">
        <f aca="false">IF(MAX(F4,G4,H4,I4)=0,"N/A",IF(AND(MAX(F4,G4)&gt;=H4,MAX(F4,G4)&gt;=I4),"Memory",IF(H4&gt;=I4,"NVLink","Inter-Rack")))</f>
        <v>NVLink</v>
      </c>
      <c r="K4" s="58" t="str">
        <f aca="false">IF(MAX(F4,G4,H4,I4)=0,"N/A",IF(AND(G4&gt;=F4,G4&gt;=H4,G4&gt;=I4),"HBM BW",IF(AND(F4&gt;=G4,F4&gt;=H4,F4&gt;=I4),"GPU",IF(H4&gt;=I4,"NVLink","Inter-Rack"))))</f>
        <v>NVLink</v>
      </c>
      <c r="L4" s="58" t="n">
        <v>0</v>
      </c>
      <c r="M4" s="58" t="n">
        <f aca="false">WP_Param!B22*WP_Param!B29+WP_Param!B28*WP_Param!B29</f>
        <v>1041367040</v>
      </c>
    </row>
    <row r="5" customFormat="false" ht="12.75" hidden="false" customHeight="true" outlineLevel="0" collapsed="false">
      <c r="A5" s="3" t="n">
        <v>3</v>
      </c>
      <c r="B5" s="3" t="s">
        <v>306</v>
      </c>
      <c r="C5" s="59" t="n">
        <f aca="false">E4</f>
        <v>0.0500026264305078</v>
      </c>
      <c r="D5" s="59" t="n">
        <f aca="false">MAX(F5,G5)+H5+I5</f>
        <v>0.00929400142331624</v>
      </c>
      <c r="E5" s="59" t="n">
        <f aca="false">C5+D5</f>
        <v>0.0592966278538241</v>
      </c>
      <c r="F5" s="59" t="n">
        <f aca="false">WP_Param!B70</f>
        <v>0.00165225176177778</v>
      </c>
      <c r="G5" s="59" t="n">
        <f aca="false">WP_Param!B87</f>
        <v>0.000539430123704709</v>
      </c>
      <c r="H5" s="61" t="n">
        <f aca="false">WP_Param!B96</f>
        <v>0.00764174966153846</v>
      </c>
      <c r="I5" s="61" t="n">
        <f aca="false">WP_Param!B294</f>
        <v>0</v>
      </c>
      <c r="J5" s="58" t="str">
        <f aca="false">IF(F5&gt;=MAX(G5,H5,I5),"Compute",IF(G5&gt;=MAX(H5,I5),"Memory",IF(H5&gt;=I5,"NVLink","Inter-Rack")))</f>
        <v>NVLink</v>
      </c>
      <c r="K5" s="58" t="str">
        <f aca="false">IF(F5&gt;=MAX(G5,H5,I5),"GPU",IF(G5&gt;=MAX(H5,I5),"HBM BW",IF(H5&gt;=I5,"NVLink","Inter-Rack")))</f>
        <v>NVLink</v>
      </c>
      <c r="L5" s="58" t="n">
        <f aca="false">WP_Param!B65</f>
        <v>2081837219840000</v>
      </c>
      <c r="M5" s="60" t="n">
        <f aca="false">WP_Param!B84</f>
        <v>852299595453.44</v>
      </c>
    </row>
    <row r="6" customFormat="false" ht="12.75" hidden="false" customHeight="true" outlineLevel="0" collapsed="false">
      <c r="A6" s="3" t="n">
        <v>4</v>
      </c>
      <c r="B6" s="3" t="s">
        <v>307</v>
      </c>
      <c r="C6" s="59" t="n">
        <f aca="false">E5</f>
        <v>0.0592966278538241</v>
      </c>
      <c r="D6" s="59" t="n">
        <f aca="false">MAX(F6,G6)</f>
        <v>1.5170110074962E-005</v>
      </c>
      <c r="E6" s="59" t="n">
        <f aca="false">C6+D6</f>
        <v>0.0593117979638991</v>
      </c>
      <c r="F6" s="59" t="n">
        <f aca="false">WP_Param!B121</f>
        <v>3.61424E-008</v>
      </c>
      <c r="G6" s="59" t="n">
        <f aca="false">WP_Param!B138</f>
        <v>1.5170110074962E-005</v>
      </c>
      <c r="H6" s="61" t="s">
        <v>308</v>
      </c>
      <c r="I6" s="61" t="s">
        <v>308</v>
      </c>
      <c r="J6" s="58" t="str">
        <f aca="false">IF(F6&gt;=MAX(G6,H6,I6),"Compute",IF(G6&gt;=MAX(H6,I6),"Memory",IF(H6&gt;=I6,"NVLink","Inter-Rack")))</f>
        <v>Memory</v>
      </c>
      <c r="K6" s="58" t="str">
        <f aca="false">IF(F6&gt;=MAX(G6,H6,I6),"GPU",IF(G6&gt;=MAX(H6,I6),"HBM BW",IF(H6&gt;=I6,"NVLink","Inter-Rack")))</f>
        <v>HBM BW</v>
      </c>
      <c r="L6" s="60" t="n">
        <f aca="false">WP_Param!B117</f>
        <v>130112640000</v>
      </c>
      <c r="M6" s="60" t="n">
        <f aca="false">WP_Param!B135</f>
        <v>23968773918.44</v>
      </c>
    </row>
    <row r="7" customFormat="false" ht="12.75" hidden="false" customHeight="true" outlineLevel="0" collapsed="false">
      <c r="A7" s="3" t="n">
        <v>5</v>
      </c>
      <c r="B7" s="3" t="s">
        <v>309</v>
      </c>
      <c r="C7" s="59" t="n">
        <f aca="false">E6</f>
        <v>0.0593117979638991</v>
      </c>
      <c r="D7" s="59" t="n">
        <f aca="false">MAX(F7,G7)+H7+I7</f>
        <v>0.260005551305731</v>
      </c>
      <c r="E7" s="59" t="n">
        <f aca="false">C7+D7</f>
        <v>0.31931734926963</v>
      </c>
      <c r="F7" s="59" t="n">
        <f aca="false">WP_Param!B122</f>
        <v>3.61424E-005</v>
      </c>
      <c r="G7" s="59" t="n">
        <f aca="false">WP_Param!B138*WP_Param!B23</f>
        <v>0.015170110074962</v>
      </c>
      <c r="H7" s="59" t="n">
        <f aca="false">WP_Param!$B$149*WP_Param!$B$23+WP_Param!$B$200*WP_Param!$B$23</f>
        <v>0.244235441230769</v>
      </c>
      <c r="I7" s="59" t="n">
        <f aca="false">WP_Param!B295</f>
        <v>0.0006</v>
      </c>
      <c r="J7" s="58" t="str">
        <f aca="false">IF(F7&gt;=MAX(G7,H7,I7),"Compute",IF(G7&gt;=MAX(H7,I7),"Memory",IF(H7&gt;=I7,"NVLink","Inter-Rack")))</f>
        <v>NVLink</v>
      </c>
      <c r="K7" s="58" t="str">
        <f aca="false">IF(F7&gt;=MAX(G7,H7,I7),"GPU",IF(G7&gt;=MAX(H7,I7),"HBM BW",IF(H7&gt;=I7,"NVLink","Inter-Rack")))</f>
        <v>NVLink</v>
      </c>
      <c r="L7" s="58" t="n">
        <f aca="false">WP_Param!B118</f>
        <v>130112640000000</v>
      </c>
      <c r="M7" s="60" t="n">
        <f aca="false">WP_Param!B135*WP_Param!B23</f>
        <v>23968773918440</v>
      </c>
    </row>
    <row r="8" customFormat="false" ht="12.75" hidden="false" customHeight="true" outlineLevel="0" collapsed="false">
      <c r="A8" s="3" t="n">
        <v>6</v>
      </c>
      <c r="B8" s="3" t="s">
        <v>310</v>
      </c>
      <c r="C8" s="62" t="n">
        <f aca="false">E7</f>
        <v>0.31931734926963</v>
      </c>
      <c r="D8" s="62" t="n">
        <v>0.05</v>
      </c>
      <c r="E8" s="62" t="n">
        <f aca="false">C8+D8</f>
        <v>0.36931734926963</v>
      </c>
      <c r="F8" s="62" t="s">
        <v>302</v>
      </c>
      <c r="G8" s="62" t="s">
        <v>303</v>
      </c>
      <c r="H8" s="58" t="s">
        <v>303</v>
      </c>
      <c r="I8" s="58" t="s">
        <v>303</v>
      </c>
      <c r="J8" s="58" t="s">
        <v>304</v>
      </c>
      <c r="K8" s="58" t="s">
        <v>304</v>
      </c>
      <c r="L8" s="58" t="n">
        <v>0</v>
      </c>
      <c r="M8" s="58" t="n">
        <v>0</v>
      </c>
    </row>
    <row r="9" customFormat="false" ht="12.75" hidden="false" customHeight="true" outlineLevel="0" collapsed="false">
      <c r="A9" s="3"/>
      <c r="B9" s="11" t="s">
        <v>311</v>
      </c>
      <c r="C9" s="58"/>
      <c r="E9" s="63" t="n">
        <f aca="false">E8/WP_Param!B23</f>
        <v>0.00036931734926963</v>
      </c>
      <c r="F9" s="58"/>
      <c r="G9" s="58"/>
      <c r="H9" s="58"/>
      <c r="I9" s="58"/>
      <c r="J9" s="58"/>
      <c r="K9" s="58"/>
      <c r="L9" s="58"/>
      <c r="M9" s="58"/>
    </row>
    <row r="10" customFormat="false" ht="12.75" hidden="false" customHeight="true" outlineLevel="0" collapsed="false">
      <c r="A10" s="3"/>
      <c r="B10" s="64" t="s">
        <v>312</v>
      </c>
      <c r="C10" s="58"/>
      <c r="D10" s="58"/>
      <c r="E10" s="65" t="n">
        <f aca="false">1/E9</f>
        <v>2707.69841161706</v>
      </c>
      <c r="F10" s="58"/>
      <c r="G10" s="58"/>
      <c r="H10" s="58"/>
      <c r="I10" s="58"/>
      <c r="J10" s="58"/>
      <c r="K10" s="58"/>
      <c r="L10" s="58"/>
      <c r="M10" s="58"/>
    </row>
    <row r="11" customFormat="false" ht="12.75" hidden="false" customHeight="true" outlineLevel="0" collapsed="false">
      <c r="A11" s="3"/>
      <c r="B11" s="3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</row>
    <row r="12" customFormat="false" ht="12.75" hidden="false" customHeight="true" outlineLevel="0" collapsed="false">
      <c r="A12" s="3"/>
      <c r="B12" s="3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</row>
    <row r="13" customFormat="false" ht="12.75" hidden="false" customHeight="true" outlineLevel="0" collapsed="false">
      <c r="A13" s="3"/>
      <c r="B13" s="3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</row>
    <row r="14" customFormat="false" ht="12.75" hidden="false" customHeight="true" outlineLevel="0" collapsed="false">
      <c r="A14" s="3"/>
      <c r="B14" s="66" t="s">
        <v>313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</row>
    <row r="15" customFormat="false" ht="12.75" hidden="false" customHeight="true" outlineLevel="0" collapsed="false">
      <c r="A15" s="7" t="s">
        <v>288</v>
      </c>
      <c r="B15" s="7" t="s">
        <v>289</v>
      </c>
      <c r="C15" s="67" t="s">
        <v>290</v>
      </c>
      <c r="D15" s="67" t="s">
        <v>291</v>
      </c>
      <c r="E15" s="67" t="s">
        <v>292</v>
      </c>
      <c r="F15" s="68" t="s">
        <v>293</v>
      </c>
      <c r="G15" s="68" t="s">
        <v>294</v>
      </c>
      <c r="H15" s="68" t="s">
        <v>295</v>
      </c>
      <c r="I15" s="68" t="s">
        <v>296</v>
      </c>
      <c r="J15" s="68" t="s">
        <v>297</v>
      </c>
      <c r="K15" s="68" t="s">
        <v>298</v>
      </c>
      <c r="L15" s="68" t="s">
        <v>299</v>
      </c>
      <c r="M15" s="68" t="s">
        <v>300</v>
      </c>
    </row>
    <row r="16" customFormat="false" ht="12.75" hidden="false" customHeight="true" outlineLevel="0" collapsed="false">
      <c r="A16" s="3" t="n">
        <v>1</v>
      </c>
      <c r="B16" s="3" t="s">
        <v>301</v>
      </c>
      <c r="C16" s="58" t="n">
        <v>0</v>
      </c>
      <c r="D16" s="58" t="n">
        <v>0.05</v>
      </c>
      <c r="E16" s="58" t="n">
        <f aca="false">C16+D16</f>
        <v>0.05</v>
      </c>
      <c r="F16" s="58" t="s">
        <v>302</v>
      </c>
      <c r="G16" s="58" t="s">
        <v>303</v>
      </c>
      <c r="H16" s="58" t="s">
        <v>303</v>
      </c>
      <c r="I16" s="58" t="s">
        <v>303</v>
      </c>
      <c r="J16" s="58" t="s">
        <v>304</v>
      </c>
      <c r="K16" s="58" t="s">
        <v>304</v>
      </c>
      <c r="L16" s="58" t="n">
        <v>0</v>
      </c>
      <c r="M16" s="58" t="n">
        <v>0</v>
      </c>
    </row>
    <row r="17" customFormat="false" ht="12.75" hidden="false" customHeight="true" outlineLevel="0" collapsed="false">
      <c r="A17" s="3" t="n">
        <v>2</v>
      </c>
      <c r="B17" s="3" t="s">
        <v>305</v>
      </c>
      <c r="C17" s="58" t="n">
        <f aca="false">E16</f>
        <v>0.05</v>
      </c>
      <c r="D17" s="61" t="n">
        <f aca="false">G17+H17+I17</f>
        <v>2.62643050784377E-006</v>
      </c>
      <c r="E17" s="58" t="n">
        <f aca="false">C17+D17</f>
        <v>0.0500026264305078</v>
      </c>
      <c r="F17" s="58" t="n">
        <v>0</v>
      </c>
      <c r="G17" s="58" t="n">
        <f aca="false">WP_Param!B28*WP_Param!B29/(WP_Param!B15*1000000000000)</f>
        <v>5.86505721518987E-007</v>
      </c>
      <c r="H17" s="58" t="n">
        <f aca="false">2*WP_Param!B22*WP_Param!B29*2*(71/72)/(WP_Param!B12*1000000000000)</f>
        <v>1.73992478632479E-006</v>
      </c>
      <c r="I17" s="60" t="n">
        <f aca="false">WP_Param!B297</f>
        <v>3E-007</v>
      </c>
      <c r="J17" s="58" t="str">
        <f aca="false">IF(MAX(F17,G17,H17,I17)=0,"N/A",IF(AND(MAX(F17,G17)&gt;=H17,MAX(F17,G17)&gt;=I17),"Memory",IF(H17&gt;=I17,"NVLink","Inter-Rack")))</f>
        <v>NVLink</v>
      </c>
      <c r="K17" s="58" t="str">
        <f aca="false">IF(MAX(F17,G17,H17,I17)=0,"N/A",IF(AND(G17&gt;=F17,G17&gt;=H17,G17&gt;=I17),"HBM BW",IF(AND(F17&gt;=G17,F17&gt;=H17,F17&gt;=I17),"GPU",IF(H17&gt;=I17,"NVLink","Inter-Rack"))))</f>
        <v>NVLink</v>
      </c>
      <c r="L17" s="58" t="n">
        <v>0</v>
      </c>
      <c r="M17" s="58" t="n">
        <f aca="false">WP_Param!B22*WP_Param!B29+WP_Param!B28*WP_Param!B29</f>
        <v>1041367040</v>
      </c>
    </row>
    <row r="18" customFormat="false" ht="12.75" hidden="false" customHeight="true" outlineLevel="0" collapsed="false">
      <c r="A18" s="3" t="n">
        <v>3</v>
      </c>
      <c r="B18" s="3" t="s">
        <v>306</v>
      </c>
      <c r="C18" s="61" t="n">
        <f aca="false">E17</f>
        <v>0.0500026264305078</v>
      </c>
      <c r="D18" s="61" t="n">
        <f aca="false">MAX(F18,G18)+H18+I18</f>
        <v>0.350280101923009</v>
      </c>
      <c r="E18" s="61" t="n">
        <f aca="false">C18+D18</f>
        <v>0.400282728353516</v>
      </c>
      <c r="F18" s="61" t="n">
        <f aca="false">WP_Param!B70*WP_Param!B169</f>
        <v>0.105744112753778</v>
      </c>
      <c r="G18" s="61" t="n">
        <f aca="false">WP_Param!B87*WP_Param!B169</f>
        <v>0.0345235279171014</v>
      </c>
      <c r="H18" s="61" t="n">
        <f aca="false">WP_Param!B97*WP_Param!B169</f>
        <v>0.244535989169231</v>
      </c>
      <c r="I18" s="61" t="n">
        <f aca="false">WP_Param!B294</f>
        <v>0</v>
      </c>
      <c r="J18" s="58" t="str">
        <f aca="false">IF(F18&gt;=MAX(G18,H18,I18),"Compute",IF(G18&gt;=MAX(H18,I18),"Memory",IF(H18&gt;=I18,"NVLink","Inter-Rack")))</f>
        <v>NVLink</v>
      </c>
      <c r="K18" s="58" t="str">
        <f aca="false">IF(F18&gt;=MAX(G18,H18,I18),"GPU",IF(G18&gt;=MAX(H18,I18),"HBM BW",IF(H18&gt;=I18,"NVLink","Inter-Rack")))</f>
        <v>NVLink</v>
      </c>
      <c r="L18" s="60" t="n">
        <f aca="false">WP_Param!B65*WP_Param!B169</f>
        <v>1.3323758206976E+017</v>
      </c>
      <c r="M18" s="60" t="n">
        <f aca="false">WP_Param!B84*WP_Param!B169</f>
        <v>54547174109020.2</v>
      </c>
    </row>
    <row r="19" customFormat="false" ht="12.75" hidden="false" customHeight="true" outlineLevel="0" collapsed="false">
      <c r="A19" s="3" t="n">
        <v>4</v>
      </c>
      <c r="B19" s="3" t="s">
        <v>307</v>
      </c>
      <c r="C19" s="61" t="n">
        <f aca="false">E18</f>
        <v>0.400282728353516</v>
      </c>
      <c r="D19" s="61" t="n">
        <f aca="false">MAX(F19,G19)</f>
        <v>1.51701075654684E-005</v>
      </c>
      <c r="E19" s="61" t="n">
        <f aca="false">C19+D19</f>
        <v>0.400297898461082</v>
      </c>
      <c r="F19" s="61" t="n">
        <f aca="false">WP_Param!B121</f>
        <v>3.61424E-008</v>
      </c>
      <c r="G19" s="61" t="n">
        <f aca="false">WP_Param!B164</f>
        <v>1.51701075654684E-005</v>
      </c>
      <c r="H19" s="61" t="s">
        <v>308</v>
      </c>
      <c r="I19" s="61" t="s">
        <v>308</v>
      </c>
      <c r="J19" s="58" t="str">
        <f aca="false">IF(F19&gt;=MAX(G19,H19,I19),"Compute",IF(G19&gt;=MAX(H19,I19),"Memory",IF(H19&gt;=I19,"NVLink","Inter-Rack")))</f>
        <v>Memory</v>
      </c>
      <c r="K19" s="58" t="str">
        <f aca="false">IF(F19&gt;=MAX(G19,H19,I19),"GPU",IF(G19&gt;=MAX(H19,I19),"HBM BW",IF(H19&gt;=I19,"NVLink","Inter-Rack")))</f>
        <v>HBM BW</v>
      </c>
      <c r="L19" s="60" t="n">
        <f aca="false">WP_Param!B117</f>
        <v>130112640000</v>
      </c>
      <c r="M19" s="60" t="n">
        <f aca="false">WP_Param!B163</f>
        <v>23968769953.44</v>
      </c>
    </row>
    <row r="20" customFormat="false" ht="12.75" hidden="false" customHeight="true" outlineLevel="0" collapsed="false">
      <c r="A20" s="3" t="n">
        <v>5</v>
      </c>
      <c r="B20" s="3" t="s">
        <v>309</v>
      </c>
      <c r="C20" s="61" t="n">
        <f aca="false">E19</f>
        <v>0.400297898461082</v>
      </c>
      <c r="D20" s="61" t="n">
        <f aca="false">MAX(F20,G20)+H20+I20</f>
        <v>0.15678195194405</v>
      </c>
      <c r="E20" s="61" t="n">
        <f aca="false">C20+D20</f>
        <v>0.557079850405132</v>
      </c>
      <c r="F20" s="69" t="n">
        <f aca="false">WP_Param!B122*WP_Param!B169*(Config!B57+1)/Config!B59/Config!B46</f>
        <v>0.0134821775007905</v>
      </c>
      <c r="G20" s="61" t="n">
        <f aca="false">WP_Param!B172*WP_Param!B23*WP_Param!B169/WP_Param!B178</f>
        <v>0.112620254461546</v>
      </c>
      <c r="H20" s="70" t="n">
        <f aca="false">(WP_Param!$B$205*WP_Param!$B$169+WP_Param!B206)*WP_Param!$B$23/WP_Param!$B$178</f>
        <v>0.0440416974825037</v>
      </c>
      <c r="I20" s="70" t="n">
        <f aca="false">WP_Param!B296</f>
        <v>0.00012</v>
      </c>
      <c r="J20" s="58" t="str">
        <f aca="false">IF(F20&gt;=MAX(G20,H20,I20),"Compute",IF(G20&gt;=MAX(H20,I20),"Memory",IF(H20&gt;=I20,"NVLink","Inter-Rack")))</f>
        <v>Memory</v>
      </c>
      <c r="K20" s="58" t="str">
        <f aca="false">IF(F20&gt;=MAX(G20,H20,I20),"GPU",IF(G20&gt;=MAX(H20,I20),"HBM BW",IF(H20&gt;=I20,"NVLink","Inter-Rack")))</f>
        <v>HBM BW</v>
      </c>
      <c r="L20" s="60" t="n">
        <f aca="false">WP_Param!B118</f>
        <v>130112640000000</v>
      </c>
      <c r="M20" s="60" t="n">
        <f aca="false">WP_Param!B171*WP_Param!B23</f>
        <v>523351795827173</v>
      </c>
      <c r="N20" s="15" t="s">
        <v>314</v>
      </c>
    </row>
    <row r="21" customFormat="false" ht="12.75" hidden="false" customHeight="true" outlineLevel="0" collapsed="false">
      <c r="A21" s="3" t="n">
        <v>6</v>
      </c>
      <c r="B21" s="3" t="s">
        <v>310</v>
      </c>
      <c r="C21" s="61" t="n">
        <f aca="false">E20</f>
        <v>0.557079850405132</v>
      </c>
      <c r="D21" s="58" t="n">
        <v>0.05</v>
      </c>
      <c r="E21" s="61" t="n">
        <f aca="false">C21+D21</f>
        <v>0.607079850405132</v>
      </c>
      <c r="F21" s="58" t="s">
        <v>302</v>
      </c>
      <c r="G21" s="58" t="s">
        <v>303</v>
      </c>
      <c r="H21" s="58" t="s">
        <v>303</v>
      </c>
      <c r="I21" s="58" t="s">
        <v>303</v>
      </c>
      <c r="J21" s="58" t="s">
        <v>304</v>
      </c>
      <c r="K21" s="58" t="s">
        <v>304</v>
      </c>
      <c r="L21" s="58" t="n">
        <v>0</v>
      </c>
      <c r="M21" s="58" t="n">
        <v>0</v>
      </c>
    </row>
    <row r="22" customFormat="false" ht="12.75" hidden="false" customHeight="true" outlineLevel="0" collapsed="false">
      <c r="A22" s="3"/>
      <c r="B22" s="11" t="s">
        <v>311</v>
      </c>
      <c r="C22" s="58"/>
      <c r="D22" s="3"/>
      <c r="E22" s="63" t="n">
        <f aca="false">E21/(WP_Param!B169*WP_Param!B23)</f>
        <v>9.48562266258019E-006</v>
      </c>
      <c r="F22" s="58"/>
      <c r="G22" s="71" t="s">
        <v>315</v>
      </c>
      <c r="H22" s="58"/>
      <c r="I22" s="58"/>
      <c r="J22" s="58"/>
      <c r="K22" s="58"/>
      <c r="L22" s="58"/>
      <c r="M22" s="58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2.75" hidden="false" customHeight="true" outlineLevel="0" collapsed="false">
      <c r="B23" s="64" t="s">
        <v>312</v>
      </c>
      <c r="C23" s="58"/>
      <c r="D23" s="58"/>
      <c r="E23" s="65" t="n">
        <f aca="false">1/E22</f>
        <v>105422.705031784</v>
      </c>
    </row>
    <row r="24" customFormat="false" ht="12.75" hidden="false" customHeight="true" outlineLevel="0" collapsed="false">
      <c r="B24" s="4"/>
    </row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>
      <c r="B28" s="72" t="s">
        <v>316</v>
      </c>
    </row>
    <row r="29" customFormat="false" ht="12.75" hidden="false" customHeight="true" outlineLevel="0" collapsed="false">
      <c r="C29" s="73" t="s">
        <v>317</v>
      </c>
      <c r="D29" s="73" t="s">
        <v>318</v>
      </c>
    </row>
    <row r="30" customFormat="false" ht="12.75" hidden="false" customHeight="true" outlineLevel="0" collapsed="false">
      <c r="C30" s="74" t="n">
        <f aca="false">D16</f>
        <v>0.05</v>
      </c>
      <c r="D30" s="74" t="n">
        <f aca="false">D16</f>
        <v>0.05</v>
      </c>
    </row>
    <row r="31" customFormat="false" ht="12.75" hidden="false" customHeight="true" outlineLevel="0" collapsed="false">
      <c r="C31" s="75" t="n">
        <f aca="false">IF(Config!B7="Vera Rubin NVL72", D17, G17*(Config!G18/Config!F18) + H17*(Config!G15/Config!F15) + I17)</f>
        <v>2.62643050784377E-006</v>
      </c>
      <c r="D31" s="75" t="n">
        <f aca="false">IF(Config!B7="Vera Rubin NVL72", G17*(Config!F18/Config!G18) + H17*(Config!F15/Config!G15) + I17, D17)</f>
        <v>5.38866735042735E-006</v>
      </c>
    </row>
    <row r="32" customFormat="false" ht="12.75" hidden="false" customHeight="true" outlineLevel="0" collapsed="false">
      <c r="C32" s="74" t="n">
        <f aca="false">IF(Config!B7="Vera Rubin NVL72", D18, F18*(IF(Config!B47="FP4",Config!G19,IF(Config!B47="FP8",Config!G21,Config!G22))/IF(Config!B47="FP4",Config!F19,IF(Config!B47="FP8",Config!F21,Config!F22))) + H18*(Config!G15/Config!F15) + I18)</f>
        <v>0.350280101923009</v>
      </c>
      <c r="D32" s="74" t="n">
        <f aca="false">IF(Config!B7="Vera Rubin NVL72", F18*(IF(Config!B47="FP4",Config!F19,IF(Config!B47="FP8",Config!F21,Config!F22))/IF(Config!B47="FP4",Config!G19,IF(Config!B47="FP8",Config!G21,Config!G22))) + H18*(Config!F15/Config!G15) + I18, D18)</f>
        <v>1.076539271415</v>
      </c>
    </row>
    <row r="33" customFormat="false" ht="12.75" hidden="false" customHeight="true" outlineLevel="0" collapsed="false">
      <c r="C33" s="74" t="n">
        <f aca="false">IF(Config!B7="Vera Rubin NVL72", D19, G19*(Config!G18/Config!F18))</f>
        <v>1.51701075654684E-005</v>
      </c>
      <c r="D33" s="74" t="n">
        <f aca="false">IF(Config!B7="Vera Rubin NVL72", G19*(Config!F18/Config!G18), D19)</f>
        <v>4.16124478358333E-005</v>
      </c>
    </row>
    <row r="34" customFormat="false" ht="12.75" hidden="false" customHeight="true" outlineLevel="0" collapsed="false">
      <c r="C34" s="74" t="n">
        <f aca="false">IF(Config!B7="Vera Rubin NVL72", D20, G20*(Config!G18/Config!F18) + H20*(Config!G15/Config!F15) + I20)</f>
        <v>0.15678195194405</v>
      </c>
      <c r="D34" s="74" t="n">
        <f aca="false">IF(Config!B7="Vera Rubin NVL72", G20*(Config!F18/Config!G18) + H20*(Config!F15/Config!G15) + I20, D20)</f>
        <v>0.397127009633833</v>
      </c>
    </row>
    <row r="35" customFormat="false" ht="12.75" hidden="false" customHeight="true" outlineLevel="0" collapsed="false">
      <c r="C35" s="74" t="n">
        <f aca="false">D21</f>
        <v>0.05</v>
      </c>
      <c r="D35" s="74" t="n">
        <f aca="false">D21</f>
        <v>0.05</v>
      </c>
    </row>
    <row r="36" customFormat="false" ht="12.75" hidden="false" customHeight="true" outlineLevel="0" collapsed="false">
      <c r="B36" s="1" t="s">
        <v>319</v>
      </c>
      <c r="C36" s="76" t="n">
        <f aca="false">SUM(C30:C35)/(Config!B56*Config!B28)</f>
        <v>9.48562266258019E-006</v>
      </c>
      <c r="D36" s="76" t="n">
        <f aca="false">SUM(D30:D35)/(Config!B56*Config!B28)</f>
        <v>2.45892700338129E-005</v>
      </c>
    </row>
    <row r="37" customFormat="false" ht="12.75" hidden="false" customHeight="true" outlineLevel="0" collapsed="false">
      <c r="B37" s="77" t="s">
        <v>320</v>
      </c>
      <c r="C37" s="78" t="n">
        <f aca="false">1/C36</f>
        <v>105422.705031784</v>
      </c>
      <c r="D37" s="78" t="n">
        <f aca="false">1/D36</f>
        <v>40668.1450333781</v>
      </c>
    </row>
    <row r="38" customFormat="false" ht="12.75" hidden="false" customHeight="true" outlineLevel="0" collapsed="false">
      <c r="B38" s="1" t="s">
        <v>321</v>
      </c>
      <c r="C38" s="74" t="n">
        <f aca="false">SUM(C30:C35)</f>
        <v>0.607079850405132</v>
      </c>
      <c r="D38" s="74" t="n">
        <f aca="false">SUM(D30:D35)</f>
        <v>1.57371328216402</v>
      </c>
    </row>
    <row r="39" customFormat="false" ht="12.75" hidden="false" customHeight="true" outlineLevel="0" collapsed="false">
      <c r="B39" s="1" t="s">
        <v>322</v>
      </c>
      <c r="C39" s="79" t="n">
        <f aca="false">(I17+I18+I20)/C38</f>
        <v>0.000198161740864432</v>
      </c>
      <c r="D39" s="79" t="n">
        <f aca="false">(I17+I18+I20)/D38</f>
        <v>7.64434038674279E-005</v>
      </c>
    </row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>
      <c r="B42" s="80" t="s">
        <v>323</v>
      </c>
    </row>
    <row r="43" customFormat="false" ht="12.75" hidden="false" customHeight="true" outlineLevel="0" collapsed="false"/>
    <row r="44" customFormat="false" ht="12.75" hidden="false" customHeight="true" outlineLevel="0" collapsed="false">
      <c r="B44" s="6" t="s">
        <v>324</v>
      </c>
      <c r="C44" s="81" t="s">
        <v>325</v>
      </c>
      <c r="D44" s="82" t="s">
        <v>326</v>
      </c>
      <c r="E44" s="82" t="s">
        <v>327</v>
      </c>
      <c r="F44" s="82" t="s">
        <v>328</v>
      </c>
      <c r="G44" s="83" t="s">
        <v>329</v>
      </c>
      <c r="H44" s="84" t="s">
        <v>330</v>
      </c>
    </row>
    <row r="45" customFormat="false" ht="12.75" hidden="false" customHeight="true" outlineLevel="0" collapsed="false">
      <c r="B45" s="85" t="s">
        <v>331</v>
      </c>
    </row>
    <row r="46" customFormat="false" ht="12.75" hidden="false" customHeight="true" outlineLevel="0" collapsed="false">
      <c r="B46" s="3" t="s">
        <v>332</v>
      </c>
      <c r="C46" s="86" t="s">
        <v>333</v>
      </c>
      <c r="D46" s="87" t="s">
        <v>334</v>
      </c>
      <c r="E46" s="86" t="s">
        <v>333</v>
      </c>
      <c r="F46" s="86" t="s">
        <v>333</v>
      </c>
      <c r="G46" s="87" t="s">
        <v>334</v>
      </c>
      <c r="H46" s="87" t="s">
        <v>334</v>
      </c>
    </row>
    <row r="47" customFormat="false" ht="12.75" hidden="false" customHeight="true" outlineLevel="0" collapsed="false">
      <c r="B47" s="3" t="s">
        <v>335</v>
      </c>
      <c r="C47" s="88" t="n">
        <f aca="false">Config!B76</f>
        <v>0.1</v>
      </c>
      <c r="D47" s="89" t="n">
        <v>5</v>
      </c>
      <c r="E47" s="88" t="n">
        <f aca="false">C47</f>
        <v>0.1</v>
      </c>
      <c r="F47" s="88" t="n">
        <f aca="false">C47</f>
        <v>0.1</v>
      </c>
      <c r="G47" s="88" t="n">
        <f aca="false">D47</f>
        <v>5</v>
      </c>
      <c r="H47" s="88" t="n">
        <f aca="false">D47</f>
        <v>5</v>
      </c>
    </row>
    <row r="48" customFormat="false" ht="12.75" hidden="false" customHeight="true" outlineLevel="0" collapsed="false">
      <c r="B48" s="3" t="s">
        <v>257</v>
      </c>
      <c r="C48" s="86" t="n">
        <f aca="false">Config!B77</f>
        <v>3</v>
      </c>
      <c r="D48" s="86" t="n">
        <f aca="false">C48</f>
        <v>3</v>
      </c>
      <c r="E48" s="86" t="n">
        <f aca="false">C48</f>
        <v>3</v>
      </c>
      <c r="F48" s="86" t="n">
        <f aca="false">C48</f>
        <v>3</v>
      </c>
      <c r="G48" s="86" t="n">
        <f aca="false">C48</f>
        <v>3</v>
      </c>
      <c r="H48" s="90" t="n">
        <v>5</v>
      </c>
    </row>
    <row r="49" customFormat="false" ht="12.75" hidden="false" customHeight="true" outlineLevel="0" collapsed="false">
      <c r="B49" s="3" t="s">
        <v>271</v>
      </c>
      <c r="C49" s="91" t="n">
        <f aca="false">C47*C48/1000000</f>
        <v>3E-007</v>
      </c>
      <c r="D49" s="91" t="n">
        <f aca="false">D47*D48/1000000</f>
        <v>1.5E-005</v>
      </c>
      <c r="E49" s="91" t="n">
        <f aca="false">E47*E48/1000000</f>
        <v>3E-007</v>
      </c>
      <c r="F49" s="91" t="n">
        <f aca="false">F47*F48/1000000</f>
        <v>3E-007</v>
      </c>
      <c r="G49" s="91" t="n">
        <f aca="false">G47*G48/1000000</f>
        <v>1.5E-005</v>
      </c>
      <c r="H49" s="91" t="n">
        <f aca="false">H47*H48/1000000</f>
        <v>2.5E-005</v>
      </c>
    </row>
    <row r="50" customFormat="false" ht="12.75" hidden="false" customHeight="true" outlineLevel="0" collapsed="false">
      <c r="B50" s="3" t="s">
        <v>336</v>
      </c>
      <c r="C50" s="86" t="n">
        <f aca="false">Config!B78</f>
        <v>2</v>
      </c>
      <c r="D50" s="86" t="n">
        <f aca="false">C50</f>
        <v>2</v>
      </c>
      <c r="E50" s="86" t="n">
        <f aca="false">C50</f>
        <v>2</v>
      </c>
      <c r="F50" s="90" t="n">
        <v>16</v>
      </c>
      <c r="G50" s="86" t="n">
        <f aca="false">C50</f>
        <v>2</v>
      </c>
      <c r="H50" s="86" t="n">
        <f aca="false">F50</f>
        <v>16</v>
      </c>
    </row>
    <row r="51" customFormat="false" ht="12.75" hidden="false" customHeight="true" outlineLevel="0" collapsed="false">
      <c r="B51" s="3" t="s">
        <v>337</v>
      </c>
      <c r="C51" s="92" t="n">
        <f aca="false">Config!B73/C50</f>
        <v>0.1</v>
      </c>
      <c r="D51" s="92" t="n">
        <f aca="false">Config!B73/D50</f>
        <v>0.1</v>
      </c>
      <c r="E51" s="92" t="n">
        <f aca="false">Config!B73/E50</f>
        <v>0.1</v>
      </c>
      <c r="F51" s="92" t="n">
        <f aca="false">Config!B73/F50</f>
        <v>0.0125</v>
      </c>
      <c r="G51" s="92" t="n">
        <f aca="false">Config!B73/G50</f>
        <v>0.1</v>
      </c>
      <c r="H51" s="92" t="n">
        <f aca="false">Config!B73/H50</f>
        <v>0.0125</v>
      </c>
    </row>
    <row r="52" customFormat="false" ht="12.75" hidden="false" customHeight="true" outlineLevel="0" collapsed="false">
      <c r="B52" s="3" t="s">
        <v>338</v>
      </c>
      <c r="C52" s="86" t="s">
        <v>339</v>
      </c>
      <c r="D52" s="86" t="s">
        <v>339</v>
      </c>
      <c r="E52" s="87" t="s">
        <v>340</v>
      </c>
      <c r="F52" s="86" t="s">
        <v>339</v>
      </c>
      <c r="G52" s="87" t="s">
        <v>340</v>
      </c>
      <c r="H52" s="87" t="s">
        <v>340</v>
      </c>
    </row>
    <row r="53" customFormat="false" ht="12.75" hidden="false" customHeight="true" outlineLevel="0" collapsed="false">
      <c r="B53" s="3" t="s">
        <v>341</v>
      </c>
      <c r="C53" s="93" t="n">
        <f aca="false">Config!B86</f>
        <v>0.8</v>
      </c>
      <c r="D53" s="93" t="n">
        <f aca="false">C53</f>
        <v>0.8</v>
      </c>
      <c r="E53" s="93" t="n">
        <f aca="false">C53</f>
        <v>0.8</v>
      </c>
      <c r="F53" s="93" t="n">
        <f aca="false">C53</f>
        <v>0.8</v>
      </c>
      <c r="G53" s="94" t="n">
        <v>0.5</v>
      </c>
      <c r="H53" s="94" t="n">
        <v>0.3</v>
      </c>
    </row>
    <row r="54" customFormat="false" ht="12.75" hidden="false" customHeight="true" outlineLevel="0" collapsed="false"/>
    <row r="55" customFormat="false" ht="12.75" hidden="false" customHeight="true" outlineLevel="0" collapsed="false">
      <c r="B55" s="85" t="s">
        <v>342</v>
      </c>
    </row>
    <row r="56" customFormat="false" ht="12.75" hidden="false" customHeight="true" outlineLevel="0" collapsed="false">
      <c r="B56" s="3" t="s">
        <v>343</v>
      </c>
      <c r="C56" s="91" t="n">
        <f aca="false">C49</f>
        <v>3E-007</v>
      </c>
      <c r="D56" s="91" t="n">
        <f aca="false">D49</f>
        <v>1.5E-005</v>
      </c>
      <c r="E56" s="91" t="n">
        <f aca="false">E49</f>
        <v>3E-007</v>
      </c>
      <c r="F56" s="91" t="n">
        <f aca="false">F49</f>
        <v>3E-007</v>
      </c>
      <c r="G56" s="91" t="n">
        <f aca="false">G49</f>
        <v>1.5E-005</v>
      </c>
      <c r="H56" s="91" t="n">
        <f aca="false">H49</f>
        <v>2.5E-005</v>
      </c>
    </row>
    <row r="57" customFormat="false" ht="12.75" hidden="false" customHeight="true" outlineLevel="0" collapsed="false">
      <c r="B57" s="3" t="s">
        <v>344</v>
      </c>
      <c r="C57" s="92" t="n">
        <v>0</v>
      </c>
      <c r="D57" s="92" t="n">
        <v>0</v>
      </c>
      <c r="E57" s="92" t="n">
        <f aca="false">WP_Param!B227/(E51*1000000000000)+E49</f>
        <v>0.00067435</v>
      </c>
      <c r="F57" s="92" t="n">
        <v>0</v>
      </c>
      <c r="G57" s="92" t="n">
        <f aca="false">WP_Param!B227/(G51*1000000000000)+G49</f>
        <v>0.00068905</v>
      </c>
      <c r="H57" s="92" t="n">
        <f aca="false">WP_Param!B227/(H51*1000000000000)+H49</f>
        <v>0.0054174</v>
      </c>
    </row>
    <row r="58" customFormat="false" ht="12.75" hidden="false" customHeight="true" outlineLevel="0" collapsed="false">
      <c r="B58" s="3" t="s">
        <v>345</v>
      </c>
      <c r="C58" s="92" t="n">
        <f aca="false">2*C49*Config!B28*(1-C53)</f>
        <v>0.00012</v>
      </c>
      <c r="D58" s="92" t="n">
        <f aca="false">2*D49*Config!B28*(1-D53)</f>
        <v>0.006</v>
      </c>
      <c r="E58" s="92" t="n">
        <f aca="false">2*E49*Config!B28*(1-E53)</f>
        <v>0.00012</v>
      </c>
      <c r="F58" s="92" t="n">
        <f aca="false">2*F49*Config!B28*(1-F53)</f>
        <v>0.00012</v>
      </c>
      <c r="G58" s="92" t="n">
        <f aca="false">2*G49*Config!B28*(1-G53)</f>
        <v>0.015</v>
      </c>
      <c r="H58" s="92" t="n">
        <f aca="false">2*H49*Config!B28*(1-H53)</f>
        <v>0.035</v>
      </c>
    </row>
    <row r="59" customFormat="false" ht="12.75" hidden="false" customHeight="true" outlineLevel="0" collapsed="false">
      <c r="B59" s="4" t="s">
        <v>346</v>
      </c>
      <c r="C59" s="95" t="n">
        <f aca="false">C56+C57+C58</f>
        <v>0.0001203</v>
      </c>
      <c r="D59" s="95" t="n">
        <f aca="false">D56+D57+D58</f>
        <v>0.006015</v>
      </c>
      <c r="E59" s="95" t="n">
        <f aca="false">E56+E57+E58</f>
        <v>0.00079465</v>
      </c>
      <c r="F59" s="95" t="n">
        <f aca="false">F56+F57+F58</f>
        <v>0.0001203</v>
      </c>
      <c r="G59" s="95" t="n">
        <f aca="false">G56+G57+G58</f>
        <v>0.01570405</v>
      </c>
      <c r="H59" s="95" t="n">
        <f aca="false">H56+H57+H58</f>
        <v>0.0404424</v>
      </c>
    </row>
    <row r="60" customFormat="false" ht="12.75" hidden="false" customHeight="true" outlineLevel="0" collapsed="false"/>
    <row r="61" customFormat="false" ht="12.75" hidden="false" customHeight="true" outlineLevel="0" collapsed="false">
      <c r="B61" s="85" t="s">
        <v>347</v>
      </c>
    </row>
    <row r="62" customFormat="false" ht="12.75" hidden="false" customHeight="true" outlineLevel="0" collapsed="false">
      <c r="B62" s="3" t="s">
        <v>348</v>
      </c>
      <c r="C62" s="92" t="n">
        <f aca="false">C38-SUM(I17,I18,I20)</f>
        <v>0.606959550405132</v>
      </c>
      <c r="D62" s="92" t="n">
        <f aca="false">C62</f>
        <v>0.606959550405132</v>
      </c>
      <c r="E62" s="92" t="n">
        <f aca="false">C62</f>
        <v>0.606959550405132</v>
      </c>
      <c r="F62" s="92" t="n">
        <f aca="false">C62</f>
        <v>0.606959550405132</v>
      </c>
      <c r="G62" s="92" t="n">
        <f aca="false">C62</f>
        <v>0.606959550405132</v>
      </c>
      <c r="H62" s="92" t="n">
        <f aca="false">C62</f>
        <v>0.606959550405132</v>
      </c>
    </row>
    <row r="63" customFormat="false" ht="12.75" hidden="false" customHeight="true" outlineLevel="0" collapsed="false">
      <c r="B63" s="4" t="s">
        <v>349</v>
      </c>
      <c r="C63" s="95" t="n">
        <f aca="false">C62+C59</f>
        <v>0.607079850405132</v>
      </c>
      <c r="D63" s="95" t="n">
        <f aca="false">D62+D59</f>
        <v>0.612974550405132</v>
      </c>
      <c r="E63" s="95" t="n">
        <f aca="false">E62+E59</f>
        <v>0.607754200405132</v>
      </c>
      <c r="F63" s="95" t="n">
        <f aca="false">F62+F59</f>
        <v>0.607079850405132</v>
      </c>
      <c r="G63" s="95" t="n">
        <f aca="false">G62+G59</f>
        <v>0.622663600405132</v>
      </c>
      <c r="H63" s="95" t="n">
        <f aca="false">H62+H59</f>
        <v>0.647401950405132</v>
      </c>
    </row>
    <row r="64" customFormat="false" ht="12.75" hidden="false" customHeight="true" outlineLevel="0" collapsed="false">
      <c r="B64" s="96" t="s">
        <v>320</v>
      </c>
      <c r="C64" s="97" t="n">
        <f aca="false">1/(C63/(Config!B56*Config!B28))</f>
        <v>105422.705031784</v>
      </c>
      <c r="D64" s="97" t="n">
        <f aca="false">1/(D63/(Config!B56*Config!B28))</f>
        <v>104408.902388689</v>
      </c>
      <c r="E64" s="97" t="n">
        <f aca="false">1/(E63/(Config!B56*Config!B28))</f>
        <v>105305.730437301</v>
      </c>
      <c r="F64" s="97" t="n">
        <f aca="false">1/(F63/(Config!B56*Config!B28))</f>
        <v>105422.705031784</v>
      </c>
      <c r="G64" s="97" t="n">
        <f aca="false">1/(G63/(Config!B56*Config!B28))</f>
        <v>102784.232061034</v>
      </c>
      <c r="H64" s="97" t="n">
        <f aca="false">1/(H63/(Config!B56*Config!B28))</f>
        <v>98856.6685039333</v>
      </c>
    </row>
    <row r="65" customFormat="false" ht="12.75" hidden="false" customHeight="true" outlineLevel="0" collapsed="false">
      <c r="B65" s="11" t="s">
        <v>350</v>
      </c>
      <c r="C65" s="98" t="n">
        <f aca="false">1-C64/$C$64</f>
        <v>0</v>
      </c>
      <c r="D65" s="98" t="n">
        <f aca="false">1-D64/$C$64</f>
        <v>0.00961654932672817</v>
      </c>
      <c r="E65" s="98" t="n">
        <f aca="false">1-E64/$C$64</f>
        <v>0.00110957686438129</v>
      </c>
      <c r="F65" s="98" t="n">
        <f aca="false">1-F64/$C$64</f>
        <v>0</v>
      </c>
      <c r="G65" s="98" t="n">
        <f aca="false">1-G64/$C$64</f>
        <v>0.0250275590059553</v>
      </c>
      <c r="H65" s="98" t="n">
        <f aca="false">1-H64/$C$64</f>
        <v>0.0622829448919132</v>
      </c>
    </row>
    <row r="66" customFormat="false" ht="12.75" hidden="false" customHeight="true" outlineLevel="0" collapsed="false"/>
    <row r="67" customFormat="false" ht="12.75" hidden="false" customHeight="true" outlineLevel="0" collapsed="false">
      <c r="B67" s="4" t="s">
        <v>351</v>
      </c>
      <c r="C67" s="86" t="s">
        <v>308</v>
      </c>
      <c r="D67" s="99" t="n">
        <f aca="false">D65*Revenue_Model!B39</f>
        <v>12305.6286494106</v>
      </c>
      <c r="E67" s="99" t="n">
        <f aca="false">E65*Revenue_Model!B39</f>
        <v>1419.84826231834</v>
      </c>
      <c r="F67" s="99" t="n">
        <f aca="false">F65*Revenue_Model!B39</f>
        <v>0</v>
      </c>
      <c r="G67" s="99" t="n">
        <f aca="false">G65*Revenue_Model!B39</f>
        <v>32026.0247896302</v>
      </c>
      <c r="H67" s="99" t="n">
        <f aca="false">H65*Revenue_Model!B39</f>
        <v>79699.1483110658</v>
      </c>
    </row>
    <row r="68" customFormat="false" ht="12.75" hidden="false" customHeight="true" outlineLevel="0" collapsed="false">
      <c r="B68" s="3" t="s">
        <v>352</v>
      </c>
      <c r="C68" s="86" t="s">
        <v>353</v>
      </c>
      <c r="D68" s="86" t="s">
        <v>354</v>
      </c>
      <c r="E68" s="86" t="s">
        <v>355</v>
      </c>
      <c r="F68" s="86" t="s">
        <v>353</v>
      </c>
      <c r="G68" s="86" t="s">
        <v>356</v>
      </c>
      <c r="H68" s="86" t="s">
        <v>357</v>
      </c>
    </row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EE1CC"/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45" colorId="64" zoomScale="120" zoomScaleNormal="120" zoomScalePageLayoutView="100" workbookViewId="0">
      <selection pane="topLeft" activeCell="B68" activeCellId="0" sqref="B68"/>
    </sheetView>
  </sheetViews>
  <sheetFormatPr defaultColWidth="12.66796875" defaultRowHeight="12.75" zeroHeight="false" outlineLevelRow="0" outlineLevelCol="0"/>
  <cols>
    <col collapsed="false" customWidth="true" hidden="false" outlineLevel="0" max="1" min="1" style="1" width="50.44"/>
    <col collapsed="false" customWidth="true" hidden="false" outlineLevel="0" max="2" min="2" style="1" width="13.56"/>
    <col collapsed="false" customWidth="true" hidden="false" outlineLevel="0" max="3" min="3" style="1" width="52.33"/>
    <col collapsed="false" customWidth="true" hidden="false" outlineLevel="0" max="6" min="4" style="1" width="5.88"/>
    <col collapsed="false" customWidth="true" hidden="false" outlineLevel="0" max="26" min="7" style="1" width="11.11"/>
  </cols>
  <sheetData>
    <row r="1" customFormat="false" ht="12.75" hidden="false" customHeight="true" outlineLevel="0" collapsed="false">
      <c r="A1" s="100" t="s">
        <v>4</v>
      </c>
      <c r="B1" s="100" t="s">
        <v>5</v>
      </c>
      <c r="C1" s="101" t="s">
        <v>6</v>
      </c>
    </row>
    <row r="2" customFormat="false" ht="12.75" hidden="false" customHeight="true" outlineLevel="0" collapsed="false">
      <c r="A2" s="102" t="s">
        <v>9</v>
      </c>
      <c r="B2" s="103" t="n">
        <f aca="false">Config!B5</f>
        <v>1000000000</v>
      </c>
      <c r="C2" s="104"/>
    </row>
    <row r="3" customFormat="false" ht="12.75" hidden="false" customHeight="true" outlineLevel="0" collapsed="false">
      <c r="A3" s="102" t="s">
        <v>10</v>
      </c>
      <c r="B3" s="103" t="n">
        <f aca="false">Config!B6</f>
        <v>1.2</v>
      </c>
      <c r="C3" s="104"/>
    </row>
    <row r="4" customFormat="false" ht="12.75" hidden="false" customHeight="true" outlineLevel="0" collapsed="false">
      <c r="A4" s="102" t="s">
        <v>11</v>
      </c>
      <c r="B4" s="103" t="str">
        <f aca="false">Config!B7</f>
        <v>Vera Rubin NVL72</v>
      </c>
      <c r="C4" s="104"/>
    </row>
    <row r="5" customFormat="false" ht="12.75" hidden="false" customHeight="true" outlineLevel="0" collapsed="false">
      <c r="A5" s="102" t="s">
        <v>12</v>
      </c>
      <c r="B5" s="103" t="n">
        <f aca="false">Config!B8</f>
        <v>5263</v>
      </c>
      <c r="C5" s="104"/>
    </row>
    <row r="6" customFormat="false" ht="12.75" hidden="false" customHeight="true" outlineLevel="0" collapsed="false">
      <c r="C6" s="104"/>
    </row>
    <row r="7" customFormat="false" ht="12.75" hidden="false" customHeight="true" outlineLevel="0" collapsed="false">
      <c r="A7" s="100" t="s">
        <v>15</v>
      </c>
      <c r="B7" s="100" t="s">
        <v>5</v>
      </c>
      <c r="C7" s="101" t="s">
        <v>6</v>
      </c>
    </row>
    <row r="8" customFormat="false" ht="12.75" hidden="false" customHeight="true" outlineLevel="0" collapsed="false">
      <c r="A8" s="102" t="s">
        <v>16</v>
      </c>
      <c r="B8" s="103" t="str">
        <f aca="false">Config!B11</f>
        <v>Vera CPU</v>
      </c>
      <c r="C8" s="104"/>
    </row>
    <row r="9" customFormat="false" ht="12.75" hidden="false" customHeight="true" outlineLevel="0" collapsed="false">
      <c r="A9" s="102" t="s">
        <v>19</v>
      </c>
      <c r="B9" s="103" t="n">
        <f aca="false">Config!B12</f>
        <v>36</v>
      </c>
      <c r="C9" s="104"/>
    </row>
    <row r="10" customFormat="false" ht="12.75" hidden="false" customHeight="true" outlineLevel="0" collapsed="false">
      <c r="A10" s="102" t="s">
        <v>20</v>
      </c>
      <c r="B10" s="103" t="str">
        <f aca="false">Config!B13</f>
        <v>Rubin GPU</v>
      </c>
      <c r="C10" s="104"/>
    </row>
    <row r="11" customFormat="false" ht="12.75" hidden="false" customHeight="true" outlineLevel="0" collapsed="false">
      <c r="A11" s="102" t="s">
        <v>23</v>
      </c>
      <c r="B11" s="103" t="n">
        <f aca="false">Config!B14</f>
        <v>72</v>
      </c>
      <c r="C11" s="104"/>
    </row>
    <row r="12" customFormat="false" ht="12.75" hidden="false" customHeight="true" outlineLevel="0" collapsed="false">
      <c r="A12" s="102" t="s">
        <v>25</v>
      </c>
      <c r="B12" s="103" t="n">
        <f aca="false">Config!B15</f>
        <v>260</v>
      </c>
      <c r="C12" s="104"/>
    </row>
    <row r="13" customFormat="false" ht="12.75" hidden="false" customHeight="true" outlineLevel="0" collapsed="false">
      <c r="A13" s="102" t="s">
        <v>29</v>
      </c>
      <c r="B13" s="103" t="n">
        <f aca="false">Config!B16</f>
        <v>65</v>
      </c>
      <c r="C13" s="104"/>
    </row>
    <row r="14" customFormat="false" ht="12.75" hidden="false" customHeight="true" outlineLevel="0" collapsed="false">
      <c r="A14" s="102" t="s">
        <v>32</v>
      </c>
      <c r="B14" s="103" t="n">
        <f aca="false">Config!B17</f>
        <v>20.7</v>
      </c>
      <c r="C14" s="104" t="s">
        <v>33</v>
      </c>
    </row>
    <row r="15" customFormat="false" ht="12.75" hidden="false" customHeight="true" outlineLevel="0" collapsed="false">
      <c r="A15" s="102" t="s">
        <v>35</v>
      </c>
      <c r="B15" s="103" t="n">
        <f aca="false">Config!B18</f>
        <v>1580</v>
      </c>
      <c r="C15" s="104" t="s">
        <v>36</v>
      </c>
    </row>
    <row r="16" customFormat="false" ht="12.75" hidden="false" customHeight="true" outlineLevel="0" collapsed="false">
      <c r="A16" s="102" t="s">
        <v>39</v>
      </c>
      <c r="B16" s="103" t="n">
        <f aca="false">Config!B19</f>
        <v>3600</v>
      </c>
      <c r="C16" s="104" t="s">
        <v>358</v>
      </c>
    </row>
    <row r="17" customFormat="false" ht="12.75" hidden="false" customHeight="true" outlineLevel="0" collapsed="false">
      <c r="A17" s="102" t="s">
        <v>42</v>
      </c>
      <c r="B17" s="103" t="n">
        <f aca="false">Config!B20</f>
        <v>2520</v>
      </c>
      <c r="C17" s="104" t="s">
        <v>43</v>
      </c>
    </row>
    <row r="18" customFormat="false" ht="12.75" hidden="false" customHeight="true" outlineLevel="0" collapsed="false">
      <c r="A18" s="102" t="s">
        <v>45</v>
      </c>
      <c r="B18" s="103" t="n">
        <f aca="false">Config!B21</f>
        <v>1152</v>
      </c>
      <c r="C18" s="104" t="s">
        <v>359</v>
      </c>
    </row>
    <row r="19" customFormat="false" ht="12.75" hidden="false" customHeight="true" outlineLevel="0" collapsed="false">
      <c r="A19" s="102" t="s">
        <v>48</v>
      </c>
      <c r="B19" s="103" t="n">
        <f aca="false">Config!B22</f>
        <v>288</v>
      </c>
      <c r="C19" s="104" t="s">
        <v>49</v>
      </c>
    </row>
    <row r="20" customFormat="false" ht="12.75" hidden="false" customHeight="true" outlineLevel="0" collapsed="false">
      <c r="C20" s="104"/>
    </row>
    <row r="21" customFormat="false" ht="12.75" hidden="false" customHeight="true" outlineLevel="0" collapsed="false">
      <c r="A21" s="105" t="s">
        <v>360</v>
      </c>
      <c r="B21" s="105" t="s">
        <v>5</v>
      </c>
      <c r="C21" s="106" t="s">
        <v>6</v>
      </c>
    </row>
    <row r="22" customFormat="false" ht="12.75" hidden="false" customHeight="true" outlineLevel="0" collapsed="false">
      <c r="A22" s="102" t="s">
        <v>361</v>
      </c>
      <c r="B22" s="103" t="n">
        <f aca="false">Config!B27</f>
        <v>16000</v>
      </c>
      <c r="C22" s="104"/>
    </row>
    <row r="23" customFormat="false" ht="12.75" hidden="false" customHeight="true" outlineLevel="0" collapsed="false">
      <c r="A23" s="102" t="s">
        <v>362</v>
      </c>
      <c r="B23" s="103" t="n">
        <f aca="false">Config!B28</f>
        <v>1000</v>
      </c>
      <c r="C23" s="104"/>
    </row>
    <row r="24" customFormat="false" ht="12.75" hidden="false" customHeight="true" outlineLevel="0" collapsed="false">
      <c r="C24" s="104"/>
    </row>
    <row r="25" customFormat="false" ht="12.75" hidden="false" customHeight="true" outlineLevel="0" collapsed="false">
      <c r="A25" s="100" t="s">
        <v>79</v>
      </c>
      <c r="B25" s="100" t="s">
        <v>5</v>
      </c>
      <c r="C25" s="101" t="s">
        <v>6</v>
      </c>
    </row>
    <row r="26" customFormat="false" ht="12.75" hidden="false" customHeight="true" outlineLevel="0" collapsed="false">
      <c r="A26" s="102" t="s">
        <v>83</v>
      </c>
      <c r="B26" s="107" t="n">
        <f aca="false">Config!B31</f>
        <v>1600000000000</v>
      </c>
      <c r="C26" s="104" t="s">
        <v>363</v>
      </c>
    </row>
    <row r="27" customFormat="false" ht="12.75" hidden="false" customHeight="true" outlineLevel="0" collapsed="false">
      <c r="A27" s="102" t="s">
        <v>89</v>
      </c>
      <c r="B27" s="103" t="str">
        <f aca="false">Config!B32</f>
        <v>MoE</v>
      </c>
      <c r="C27" s="104"/>
    </row>
    <row r="28" customFormat="false" ht="12.75" hidden="false" customHeight="true" outlineLevel="0" collapsed="false">
      <c r="A28" s="102" t="s">
        <v>121</v>
      </c>
      <c r="B28" s="108" t="n">
        <f aca="false">Config!B37</f>
        <v>129280</v>
      </c>
      <c r="C28" s="104"/>
    </row>
    <row r="29" customFormat="false" ht="12.75" hidden="false" customHeight="true" outlineLevel="0" collapsed="false">
      <c r="A29" s="102" t="s">
        <v>127</v>
      </c>
      <c r="B29" s="108" t="n">
        <f aca="false">Config!B38</f>
        <v>7168</v>
      </c>
      <c r="C29" s="104" t="s">
        <v>364</v>
      </c>
    </row>
    <row r="30" customFormat="false" ht="12.75" hidden="false" customHeight="true" outlineLevel="0" collapsed="false">
      <c r="A30" s="102" t="s">
        <v>133</v>
      </c>
      <c r="B30" s="109" t="n">
        <f aca="false">Config!B39</f>
        <v>61</v>
      </c>
      <c r="C30" s="104" t="s">
        <v>364</v>
      </c>
    </row>
    <row r="31" customFormat="false" ht="12.75" hidden="false" customHeight="true" outlineLevel="0" collapsed="false">
      <c r="A31" s="102" t="s">
        <v>137</v>
      </c>
      <c r="B31" s="109" t="n">
        <f aca="false">Config!B40</f>
        <v>128</v>
      </c>
      <c r="C31" s="104"/>
    </row>
    <row r="32" customFormat="false" ht="12.75" hidden="false" customHeight="true" outlineLevel="0" collapsed="false">
      <c r="A32" s="102" t="s">
        <v>142</v>
      </c>
      <c r="B32" s="109" t="n">
        <f aca="false">Config!B41</f>
        <v>512</v>
      </c>
      <c r="C32" s="104"/>
    </row>
    <row r="33" customFormat="false" ht="12.75" hidden="false" customHeight="true" outlineLevel="0" collapsed="false">
      <c r="A33" s="102" t="s">
        <v>148</v>
      </c>
      <c r="B33" s="107" t="n">
        <f aca="false">Config!B42</f>
        <v>1204291.55553387</v>
      </c>
      <c r="C33" s="104" t="s">
        <v>365</v>
      </c>
    </row>
    <row r="34" customFormat="false" ht="12.75" hidden="false" customHeight="true" outlineLevel="0" collapsed="false">
      <c r="A34" s="102" t="s">
        <v>153</v>
      </c>
      <c r="B34" s="107" t="n">
        <f aca="false">Config!B43</f>
        <v>302039667.176685</v>
      </c>
      <c r="C34" s="104" t="s">
        <v>366</v>
      </c>
    </row>
    <row r="35" customFormat="false" ht="12.75" hidden="false" customHeight="true" outlineLevel="0" collapsed="false">
      <c r="A35" s="102" t="s">
        <v>158</v>
      </c>
      <c r="B35" s="107" t="n">
        <f aca="false">Config!B44</f>
        <v>25897085610.2004</v>
      </c>
      <c r="C35" s="104" t="s">
        <v>159</v>
      </c>
    </row>
    <row r="36" customFormat="false" ht="12.75" hidden="false" customHeight="true" outlineLevel="0" collapsed="false">
      <c r="A36" s="102" t="s">
        <v>162</v>
      </c>
      <c r="B36" s="107" t="n">
        <f aca="false">Config!B45</f>
        <v>26199125277.3771</v>
      </c>
      <c r="C36" s="104"/>
    </row>
    <row r="37" customFormat="false" ht="12.75" hidden="false" customHeight="true" outlineLevel="0" collapsed="false">
      <c r="A37" s="102" t="s">
        <v>225</v>
      </c>
      <c r="B37" s="39" t="n">
        <f aca="false">B26*Config!B48</f>
        <v>811200000000</v>
      </c>
      <c r="C37" s="104" t="s">
        <v>367</v>
      </c>
    </row>
    <row r="38" customFormat="false" ht="12.75" hidden="false" customHeight="true" outlineLevel="0" collapsed="false">
      <c r="A38" s="102" t="s">
        <v>368</v>
      </c>
      <c r="B38" s="39" t="n">
        <f aca="false">B37/B11</f>
        <v>11266666666.6667</v>
      </c>
      <c r="C38" s="104"/>
    </row>
    <row r="39" customFormat="false" ht="12.75" hidden="false" customHeight="true" outlineLevel="0" collapsed="false">
      <c r="A39" s="102" t="s">
        <v>369</v>
      </c>
      <c r="B39" s="15" t="n">
        <f aca="false">B161*B22*B30*Config!$K$46</f>
        <v>63440000</v>
      </c>
      <c r="C39" s="110" t="s">
        <v>370</v>
      </c>
    </row>
    <row r="40" customFormat="false" ht="12.75" hidden="false" customHeight="true" outlineLevel="0" collapsed="false">
      <c r="A40" s="102" t="s">
        <v>371</v>
      </c>
      <c r="B40" s="15" t="n">
        <f aca="false">B161*(B22+B23)*B30*Config!$K$46</f>
        <v>67405000</v>
      </c>
      <c r="C40" s="110" t="s">
        <v>372</v>
      </c>
    </row>
    <row r="41" customFormat="false" ht="12.75" hidden="false" customHeight="true" outlineLevel="0" collapsed="false">
      <c r="A41" s="102" t="s">
        <v>373</v>
      </c>
      <c r="B41" s="1" t="n">
        <f aca="false">B40/B11</f>
        <v>936180.555555556</v>
      </c>
      <c r="C41" s="104"/>
    </row>
    <row r="42" customFormat="false" ht="12.75" hidden="false" customHeight="true" outlineLevel="0" collapsed="false">
      <c r="A42" s="102" t="s">
        <v>374</v>
      </c>
      <c r="B42" s="39" t="n">
        <f aca="false">B41*B169+B38</f>
        <v>11326582222.2222</v>
      </c>
      <c r="C42" s="104" t="s">
        <v>375</v>
      </c>
    </row>
    <row r="43" customFormat="false" ht="12.75" hidden="false" customHeight="true" outlineLevel="0" collapsed="false">
      <c r="A43" s="102" t="s">
        <v>376</v>
      </c>
      <c r="B43" s="39" t="n">
        <f aca="false">B14/B11*1000000000000-B42</f>
        <v>276173417777.778</v>
      </c>
      <c r="C43" s="104" t="s">
        <v>377</v>
      </c>
    </row>
    <row r="44" customFormat="false" ht="12.75" hidden="false" customHeight="true" outlineLevel="0" collapsed="false">
      <c r="C44" s="104"/>
    </row>
    <row r="45" customFormat="false" ht="12.75" hidden="false" customHeight="true" outlineLevel="0" collapsed="false">
      <c r="A45" s="100" t="s">
        <v>183</v>
      </c>
      <c r="C45" s="104"/>
    </row>
    <row r="46" customFormat="false" ht="12.75" hidden="false" customHeight="true" outlineLevel="0" collapsed="false">
      <c r="A46" s="102" t="s">
        <v>188</v>
      </c>
      <c r="B46" s="111" t="n">
        <f aca="false">Config!B52</f>
        <v>72</v>
      </c>
      <c r="C46" s="110" t="s">
        <v>378</v>
      </c>
    </row>
    <row r="47" customFormat="false" ht="12.75" hidden="false" customHeight="true" outlineLevel="0" collapsed="false">
      <c r="C47" s="104"/>
    </row>
    <row r="48" customFormat="false" ht="12.75" hidden="false" customHeight="true" outlineLevel="0" collapsed="false">
      <c r="A48" s="112" t="s">
        <v>379</v>
      </c>
      <c r="C48" s="104"/>
    </row>
    <row r="49" customFormat="false" ht="12.75" hidden="false" customHeight="true" outlineLevel="0" collapsed="false">
      <c r="A49" s="36" t="s">
        <v>380</v>
      </c>
      <c r="B49" s="36" t="s">
        <v>5</v>
      </c>
      <c r="C49" s="113" t="s">
        <v>6</v>
      </c>
    </row>
    <row r="50" customFormat="false" ht="12.75" hidden="false" customHeight="true" outlineLevel="0" collapsed="false">
      <c r="A50" s="102" t="s">
        <v>381</v>
      </c>
      <c r="B50" s="15" t="n">
        <f aca="false">2*B22*B34*0.75</f>
        <v>7248952012240.44</v>
      </c>
      <c r="C50" s="110" t="s">
        <v>382</v>
      </c>
    </row>
    <row r="51" customFormat="false" ht="12.75" hidden="false" customHeight="true" outlineLevel="0" collapsed="false">
      <c r="A51" s="102" t="s">
        <v>383</v>
      </c>
      <c r="B51" s="15" t="n">
        <f aca="false">2*B22*(Config!$K$47*IF(Config!$K$48&gt;0,MIN(B22,Config!$K$48),B22)+(1-Config!$K$47)*MIN(B22,Config!$K$49))*B31*B32</f>
        <v>4697620480000</v>
      </c>
      <c r="C51" s="110" t="s">
        <v>384</v>
      </c>
    </row>
    <row r="52" customFormat="false" ht="12.75" hidden="false" customHeight="true" outlineLevel="0" collapsed="false">
      <c r="A52" s="102" t="s">
        <v>385</v>
      </c>
      <c r="B52" s="15" t="n">
        <f aca="false">2*B22*(Config!$K$47*IF(Config!$K$48&gt;0,MIN(B22,Config!$K$48),B22)+(1-Config!$K$47)*MIN(B22,Config!$K$49))*B31*B32</f>
        <v>4697620480000</v>
      </c>
      <c r="C52" s="110" t="s">
        <v>386</v>
      </c>
    </row>
    <row r="53" customFormat="false" ht="12.75" hidden="false" customHeight="true" outlineLevel="0" collapsed="false">
      <c r="A53" s="102" t="s">
        <v>387</v>
      </c>
      <c r="B53" s="15" t="n">
        <f aca="false">2*B22*B34*0.25</f>
        <v>2416317337413.48</v>
      </c>
      <c r="C53" s="110" t="s">
        <v>388</v>
      </c>
    </row>
    <row r="54" customFormat="false" ht="12.75" hidden="false" customHeight="true" outlineLevel="0" collapsed="false">
      <c r="A54" s="102" t="s">
        <v>389</v>
      </c>
      <c r="B54" s="114" t="n">
        <f aca="false">2*B22*B29*B33*3*Config!B35</f>
        <v>15067395264116.6</v>
      </c>
      <c r="C54" s="104" t="s">
        <v>390</v>
      </c>
    </row>
    <row r="55" customFormat="false" ht="12.75" hidden="false" customHeight="true" outlineLevel="0" collapsed="false">
      <c r="A55" s="102" t="s">
        <v>391</v>
      </c>
      <c r="B55" s="102" t="n">
        <f aca="false">5*B22*B29</f>
        <v>573440000</v>
      </c>
      <c r="C55" s="104" t="s">
        <v>392</v>
      </c>
    </row>
    <row r="56" customFormat="false" ht="12.75" hidden="false" customHeight="true" outlineLevel="0" collapsed="false">
      <c r="A56" s="102" t="s">
        <v>393</v>
      </c>
      <c r="B56" s="36" t="n">
        <f aca="false">SUM(B50:B55)</f>
        <v>34128479013770.5</v>
      </c>
      <c r="C56" s="104"/>
    </row>
    <row r="57" customFormat="false" ht="12.75" hidden="false" customHeight="true" outlineLevel="0" collapsed="false">
      <c r="C57" s="104"/>
    </row>
    <row r="58" customFormat="false" ht="12.75" hidden="false" customHeight="true" outlineLevel="0" collapsed="false">
      <c r="A58" s="36" t="s">
        <v>394</v>
      </c>
      <c r="B58" s="36" t="s">
        <v>5</v>
      </c>
      <c r="C58" s="113" t="s">
        <v>6</v>
      </c>
    </row>
    <row r="59" customFormat="false" ht="12.75" hidden="false" customHeight="true" outlineLevel="0" collapsed="false">
      <c r="A59" s="102" t="s">
        <v>381</v>
      </c>
      <c r="B59" s="102" t="n">
        <f aca="false">B50*$B$30</f>
        <v>442186072746667</v>
      </c>
      <c r="C59" s="104" t="n">
        <f aca="false">B59/$B$65</f>
        <v>0.212401848008391</v>
      </c>
    </row>
    <row r="60" customFormat="false" ht="12.75" hidden="false" customHeight="true" outlineLevel="0" collapsed="false">
      <c r="A60" s="102" t="s">
        <v>383</v>
      </c>
      <c r="B60" s="102" t="n">
        <f aca="false">B51*$B$30</f>
        <v>286554849280000</v>
      </c>
      <c r="C60" s="104" t="n">
        <f aca="false">B60/$B$65</f>
        <v>0.13764517540042</v>
      </c>
    </row>
    <row r="61" customFormat="false" ht="12.75" hidden="false" customHeight="true" outlineLevel="0" collapsed="false">
      <c r="A61" s="102" t="s">
        <v>385</v>
      </c>
      <c r="B61" s="102" t="n">
        <f aca="false">B52*$B$30</f>
        <v>286554849280000</v>
      </c>
      <c r="C61" s="104" t="n">
        <f aca="false">B61/$B$65</f>
        <v>0.13764517540042</v>
      </c>
    </row>
    <row r="62" customFormat="false" ht="12.75" hidden="false" customHeight="true" outlineLevel="0" collapsed="false">
      <c r="A62" s="102" t="s">
        <v>387</v>
      </c>
      <c r="B62" s="102" t="n">
        <f aca="false">B53*$B$30</f>
        <v>147395357582222</v>
      </c>
      <c r="C62" s="104" t="n">
        <f aca="false">B62/$B$65</f>
        <v>0.070800616002797</v>
      </c>
    </row>
    <row r="63" customFormat="false" ht="12.75" hidden="false" customHeight="true" outlineLevel="0" collapsed="false">
      <c r="A63" s="102" t="s">
        <v>389</v>
      </c>
      <c r="B63" s="114" t="n">
        <f aca="false">B54*$B$30</f>
        <v>919111111111111</v>
      </c>
      <c r="C63" s="115" t="n">
        <f aca="false">B63/$B$65</f>
        <v>0.441490382798396</v>
      </c>
    </row>
    <row r="64" customFormat="false" ht="12.75" hidden="false" customHeight="true" outlineLevel="0" collapsed="false">
      <c r="A64" s="102" t="s">
        <v>391</v>
      </c>
      <c r="B64" s="102" t="n">
        <f aca="false">B55*$B$30</f>
        <v>34979840000</v>
      </c>
      <c r="C64" s="104" t="n">
        <f aca="false">B64/$B$65</f>
        <v>1.68023895752466E-005</v>
      </c>
    </row>
    <row r="65" customFormat="false" ht="12.75" hidden="false" customHeight="true" outlineLevel="0" collapsed="false">
      <c r="A65" s="102" t="s">
        <v>395</v>
      </c>
      <c r="B65" s="36" t="n">
        <f aca="false">SUM(B59:B64)</f>
        <v>2081837219840000</v>
      </c>
      <c r="C65" s="104" t="n">
        <f aca="false">B65/$B$65</f>
        <v>1</v>
      </c>
    </row>
    <row r="66" customFormat="false" ht="12.75" hidden="false" customHeight="true" outlineLevel="0" collapsed="false">
      <c r="C66" s="104"/>
    </row>
    <row r="67" customFormat="false" ht="12.75" hidden="false" customHeight="true" outlineLevel="0" collapsed="false">
      <c r="A67" s="36" t="s">
        <v>396</v>
      </c>
      <c r="B67" s="36" t="s">
        <v>5</v>
      </c>
      <c r="C67" s="113" t="s">
        <v>6</v>
      </c>
    </row>
    <row r="68" customFormat="false" ht="12.75" hidden="false" customHeight="true" outlineLevel="0" collapsed="false">
      <c r="A68" s="102" t="s">
        <v>397</v>
      </c>
      <c r="B68" s="102" t="n">
        <f aca="false">B65/Config!B49/1000000000000000</f>
        <v>0.000578288116622222</v>
      </c>
      <c r="C68" s="104"/>
    </row>
    <row r="69" customFormat="false" ht="12.75" hidden="false" customHeight="true" outlineLevel="0" collapsed="false">
      <c r="A69" s="102" t="s">
        <v>165</v>
      </c>
      <c r="B69" s="103" t="n">
        <f aca="false">Config!B46</f>
        <v>0.35</v>
      </c>
      <c r="C69" s="104" t="s">
        <v>398</v>
      </c>
    </row>
    <row r="70" customFormat="false" ht="12.75" hidden="false" customHeight="true" outlineLevel="0" collapsed="false">
      <c r="A70" s="102" t="s">
        <v>399</v>
      </c>
      <c r="B70" s="102" t="n">
        <f aca="false">B68/B69</f>
        <v>0.00165225176177778</v>
      </c>
      <c r="C70" s="104"/>
    </row>
    <row r="71" customFormat="false" ht="12.75" hidden="false" customHeight="true" outlineLevel="0" collapsed="false">
      <c r="C71" s="104"/>
    </row>
    <row r="72" customFormat="false" ht="12.75" hidden="false" customHeight="true" outlineLevel="0" collapsed="false">
      <c r="A72" s="36" t="s">
        <v>400</v>
      </c>
      <c r="C72" s="104"/>
    </row>
    <row r="73" customFormat="false" ht="12.75" hidden="false" customHeight="true" outlineLevel="0" collapsed="false">
      <c r="A73" s="102" t="s">
        <v>401</v>
      </c>
      <c r="B73" s="24" t="n">
        <f aca="false">Config!B48*(B34+B35)</f>
        <v>13282956515.6302</v>
      </c>
      <c r="C73" s="110" t="s">
        <v>402</v>
      </c>
    </row>
    <row r="74" customFormat="false" ht="12.75" hidden="false" customHeight="true" outlineLevel="0" collapsed="false">
      <c r="A74" s="102" t="s">
        <v>403</v>
      </c>
      <c r="B74" s="102" t="n">
        <f aca="false">4*B22*B29</f>
        <v>458752000</v>
      </c>
      <c r="C74" s="104" t="s">
        <v>404</v>
      </c>
    </row>
    <row r="75" customFormat="false" ht="12.75" hidden="false" customHeight="true" outlineLevel="0" collapsed="false">
      <c r="A75" s="102" t="s">
        <v>405</v>
      </c>
      <c r="B75" s="15" t="n">
        <f aca="false">B22*B161*Config!$K$46</f>
        <v>1040000</v>
      </c>
      <c r="C75" s="110" t="s">
        <v>406</v>
      </c>
    </row>
    <row r="76" customFormat="false" ht="12.75" hidden="false" customHeight="true" outlineLevel="0" collapsed="false">
      <c r="A76" s="102" t="s">
        <v>407</v>
      </c>
      <c r="B76" s="102" t="n">
        <f aca="false">2*B22*B29</f>
        <v>229376000</v>
      </c>
      <c r="C76" s="104" t="s">
        <v>408</v>
      </c>
    </row>
    <row r="77" customFormat="false" ht="12.75" hidden="false" customHeight="true" outlineLevel="0" collapsed="false">
      <c r="A77" s="102" t="s">
        <v>409</v>
      </c>
      <c r="B77" s="116" t="n">
        <f aca="false">SUM(B73:B76)</f>
        <v>13972124515.6302</v>
      </c>
      <c r="C77" s="104"/>
    </row>
    <row r="78" customFormat="false" ht="12.75" hidden="false" customHeight="true" outlineLevel="0" collapsed="false">
      <c r="C78" s="104"/>
    </row>
    <row r="79" customFormat="false" ht="12.75" hidden="false" customHeight="true" outlineLevel="0" collapsed="false">
      <c r="A79" s="36" t="s">
        <v>410</v>
      </c>
      <c r="C79" s="104"/>
    </row>
    <row r="80" customFormat="false" ht="12.75" hidden="false" customHeight="true" outlineLevel="0" collapsed="false">
      <c r="A80" s="102" t="s">
        <v>401</v>
      </c>
      <c r="B80" s="114" t="n">
        <f aca="false">B73*$B$30</f>
        <v>810260347453.44</v>
      </c>
      <c r="C80" s="115"/>
    </row>
    <row r="81" customFormat="false" ht="12.75" hidden="false" customHeight="true" outlineLevel="0" collapsed="false">
      <c r="A81" s="102" t="s">
        <v>403</v>
      </c>
      <c r="B81" s="102" t="n">
        <f aca="false">B74*$B$30</f>
        <v>27983872000</v>
      </c>
      <c r="C81" s="115"/>
    </row>
    <row r="82" customFormat="false" ht="12.75" hidden="false" customHeight="true" outlineLevel="0" collapsed="false">
      <c r="A82" s="102" t="s">
        <v>405</v>
      </c>
      <c r="B82" s="102" t="n">
        <f aca="false">B75*$B$30</f>
        <v>63440000</v>
      </c>
      <c r="C82" s="115"/>
    </row>
    <row r="83" customFormat="false" ht="12.75" hidden="false" customHeight="true" outlineLevel="0" collapsed="false">
      <c r="A83" s="102" t="s">
        <v>407</v>
      </c>
      <c r="B83" s="102" t="n">
        <f aca="false">B76*$B$30</f>
        <v>13991936000</v>
      </c>
      <c r="C83" s="115"/>
    </row>
    <row r="84" customFormat="false" ht="12.75" hidden="false" customHeight="true" outlineLevel="0" collapsed="false">
      <c r="A84" s="102" t="s">
        <v>411</v>
      </c>
      <c r="B84" s="116" t="n">
        <f aca="false">SUM(B80:B83)</f>
        <v>852299595453.44</v>
      </c>
      <c r="C84" s="115"/>
    </row>
    <row r="85" customFormat="false" ht="12.75" hidden="false" customHeight="true" outlineLevel="0" collapsed="false">
      <c r="C85" s="104"/>
    </row>
    <row r="86" customFormat="false" ht="12.75" hidden="false" customHeight="true" outlineLevel="0" collapsed="false">
      <c r="A86" s="36" t="s">
        <v>412</v>
      </c>
      <c r="C86" s="104"/>
    </row>
    <row r="87" customFormat="false" ht="12.75" hidden="false" customHeight="true" outlineLevel="0" collapsed="false">
      <c r="A87" s="102" t="s">
        <v>413</v>
      </c>
      <c r="B87" s="114" t="n">
        <f aca="false">B84/B15/1000000000000</f>
        <v>0.000539430123704709</v>
      </c>
      <c r="C87" s="104"/>
    </row>
    <row r="88" customFormat="false" ht="12.75" hidden="false" customHeight="true" outlineLevel="0" collapsed="false">
      <c r="A88" s="102" t="s">
        <v>414</v>
      </c>
      <c r="B88" s="114" t="n">
        <f aca="false">B65/B84</f>
        <v>2442.61200045792</v>
      </c>
      <c r="C88" s="104" t="s">
        <v>415</v>
      </c>
    </row>
    <row r="89" customFormat="false" ht="12.75" hidden="false" customHeight="true" outlineLevel="0" collapsed="false">
      <c r="C89" s="104"/>
    </row>
    <row r="90" customFormat="false" ht="12.75" hidden="false" customHeight="true" outlineLevel="0" collapsed="false">
      <c r="A90" s="36" t="s">
        <v>416</v>
      </c>
      <c r="C90" s="104"/>
    </row>
    <row r="91" customFormat="false" ht="12.75" hidden="false" customHeight="true" outlineLevel="0" collapsed="false">
      <c r="A91" s="102" t="s">
        <v>417</v>
      </c>
      <c r="B91" s="102" t="n">
        <f aca="false">B22*B29</f>
        <v>114688000</v>
      </c>
      <c r="C91" s="104" t="s">
        <v>418</v>
      </c>
    </row>
    <row r="92" customFormat="false" ht="12.75" hidden="false" customHeight="true" outlineLevel="0" collapsed="false">
      <c r="A92" s="102" t="s">
        <v>419</v>
      </c>
      <c r="B92" s="102" t="n">
        <f aca="false">2*(B11-1)/B11*B22*B29</f>
        <v>226190222.222222</v>
      </c>
      <c r="C92" s="104" t="s">
        <v>420</v>
      </c>
    </row>
    <row r="93" customFormat="false" ht="12.75" hidden="false" customHeight="true" outlineLevel="0" collapsed="false">
      <c r="A93" s="102" t="s">
        <v>421</v>
      </c>
      <c r="B93" s="102" t="n">
        <v>2</v>
      </c>
      <c r="C93" s="104" t="s">
        <v>422</v>
      </c>
    </row>
    <row r="94" customFormat="false" ht="12.75" hidden="false" customHeight="true" outlineLevel="0" collapsed="false">
      <c r="A94" s="102" t="s">
        <v>423</v>
      </c>
      <c r="B94" s="102" t="n">
        <f aca="false">B92*B93</f>
        <v>452380444.444445</v>
      </c>
      <c r="C94" s="104" t="s">
        <v>424</v>
      </c>
    </row>
    <row r="95" customFormat="false" ht="12.75" hidden="false" customHeight="true" outlineLevel="0" collapsed="false">
      <c r="A95" s="102" t="s">
        <v>425</v>
      </c>
      <c r="B95" s="102" t="n">
        <f aca="false">B94*B30</f>
        <v>27595207111.1111</v>
      </c>
      <c r="C95" s="104" t="s">
        <v>426</v>
      </c>
    </row>
    <row r="96" customFormat="false" ht="12.75" hidden="false" customHeight="true" outlineLevel="0" collapsed="false">
      <c r="A96" s="102" t="s">
        <v>427</v>
      </c>
      <c r="B96" s="102" t="n">
        <f aca="false">B95/(B12/B11*1000000000000)</f>
        <v>0.00764174966153846</v>
      </c>
      <c r="C96" s="104" t="s">
        <v>428</v>
      </c>
    </row>
    <row r="97" customFormat="false" ht="12.75" hidden="false" customHeight="true" outlineLevel="0" collapsed="false">
      <c r="A97" s="102" t="s">
        <v>429</v>
      </c>
      <c r="B97" s="102" t="n">
        <f aca="false">B96*0.5</f>
        <v>0.00382087483076923</v>
      </c>
      <c r="C97" s="104" t="s">
        <v>430</v>
      </c>
    </row>
    <row r="98" customFormat="false" ht="12.75" hidden="false" customHeight="true" outlineLevel="0" collapsed="false">
      <c r="C98" s="104"/>
    </row>
    <row r="99" customFormat="false" ht="12.75" hidden="false" customHeight="true" outlineLevel="0" collapsed="false">
      <c r="A99" s="117" t="s">
        <v>431</v>
      </c>
      <c r="B99" s="118" t="n">
        <f aca="false">B70+B87+B97</f>
        <v>0.00601255671625172</v>
      </c>
      <c r="C99" s="104" t="s">
        <v>432</v>
      </c>
    </row>
    <row r="100" customFormat="false" ht="12.75" hidden="false" customHeight="true" outlineLevel="0" collapsed="false">
      <c r="C100" s="104"/>
    </row>
    <row r="101" customFormat="false" ht="12.75" hidden="false" customHeight="true" outlineLevel="0" collapsed="false">
      <c r="C101" s="104"/>
    </row>
    <row r="102" customFormat="false" ht="12.75" hidden="false" customHeight="true" outlineLevel="0" collapsed="false">
      <c r="A102" s="112" t="s">
        <v>433</v>
      </c>
      <c r="C102" s="104" t="s">
        <v>434</v>
      </c>
    </row>
    <row r="103" customFormat="false" ht="12.75" hidden="false" customHeight="true" outlineLevel="0" collapsed="false">
      <c r="A103" s="36" t="s">
        <v>435</v>
      </c>
      <c r="B103" s="36" t="s">
        <v>5</v>
      </c>
      <c r="C103" s="113" t="s">
        <v>6</v>
      </c>
    </row>
    <row r="104" customFormat="false" ht="12.75" hidden="false" customHeight="true" outlineLevel="0" collapsed="false">
      <c r="A104" s="102" t="s">
        <v>436</v>
      </c>
      <c r="B104" s="15" t="n">
        <f aca="false">2*B34*0.75</f>
        <v>453059500.765027</v>
      </c>
      <c r="C104" s="110" t="s">
        <v>437</v>
      </c>
    </row>
    <row r="105" customFormat="false" ht="12.75" hidden="false" customHeight="true" outlineLevel="0" collapsed="false">
      <c r="A105" s="102" t="s">
        <v>438</v>
      </c>
      <c r="B105" s="15" t="n">
        <f aca="false">2*B31*B32*(Config!$K$47*IF(Config!$K$48&gt;0,MIN((B22+0.5*B23),Config!$K$48),(B22+0.5*B23))+(1-Config!$K$47)*MIN((B22+0.5*B23),Config!$K$49))</f>
        <v>293601280</v>
      </c>
      <c r="C105" s="110" t="s">
        <v>439</v>
      </c>
    </row>
    <row r="106" customFormat="false" ht="12.75" hidden="false" customHeight="true" outlineLevel="0" collapsed="false">
      <c r="A106" s="102" t="s">
        <v>440</v>
      </c>
      <c r="B106" s="15" t="n">
        <f aca="false">2*B31*B32*(Config!$K$47*IF(Config!$K$48&gt;0,MIN((B22+0.5*B23),Config!$K$48),(B22+0.5*B23))+(1-Config!$K$47)*MIN((B22+0.5*B23),Config!$K$49))</f>
        <v>293601280</v>
      </c>
      <c r="C106" s="110" t="s">
        <v>386</v>
      </c>
    </row>
    <row r="107" customFormat="false" ht="12.75" hidden="false" customHeight="true" outlineLevel="0" collapsed="false">
      <c r="A107" s="102" t="s">
        <v>441</v>
      </c>
      <c r="B107" s="15" t="n">
        <f aca="false">2*B34*0.25</f>
        <v>151019833.588342</v>
      </c>
      <c r="C107" s="110" t="s">
        <v>442</v>
      </c>
    </row>
    <row r="108" customFormat="false" ht="12.75" hidden="false" customHeight="true" outlineLevel="0" collapsed="false">
      <c r="A108" s="102" t="s">
        <v>443</v>
      </c>
      <c r="B108" s="114" t="n">
        <f aca="false">2*B29*B33*3*Config!B35</f>
        <v>941712204.007286</v>
      </c>
      <c r="C108" s="104" t="s">
        <v>444</v>
      </c>
    </row>
    <row r="109" customFormat="false" ht="12.75" hidden="false" customHeight="true" outlineLevel="0" collapsed="false">
      <c r="A109" s="102" t="s">
        <v>445</v>
      </c>
      <c r="B109" s="116" t="n">
        <f aca="false">SUM(B104:B108)</f>
        <v>2132994098.36066</v>
      </c>
      <c r="C109" s="104"/>
    </row>
    <row r="110" customFormat="false" ht="12.75" hidden="false" customHeight="true" outlineLevel="0" collapsed="false">
      <c r="C110" s="104"/>
    </row>
    <row r="111" customFormat="false" ht="12.75" hidden="false" customHeight="true" outlineLevel="0" collapsed="false">
      <c r="A111" s="36" t="s">
        <v>446</v>
      </c>
      <c r="B111" s="36" t="s">
        <v>5</v>
      </c>
      <c r="C111" s="113" t="s">
        <v>6</v>
      </c>
    </row>
    <row r="112" customFormat="false" ht="12.75" hidden="false" customHeight="true" outlineLevel="0" collapsed="false">
      <c r="A112" s="102" t="s">
        <v>436</v>
      </c>
      <c r="B112" s="102" t="n">
        <f aca="false">B104*$B$30</f>
        <v>27636629546.6667</v>
      </c>
      <c r="C112" s="104" t="s">
        <v>447</v>
      </c>
    </row>
    <row r="113" customFormat="false" ht="12.75" hidden="false" customHeight="true" outlineLevel="0" collapsed="false">
      <c r="A113" s="102" t="s">
        <v>438</v>
      </c>
      <c r="B113" s="102" t="n">
        <f aca="false">B105*$B$30</f>
        <v>17909678080</v>
      </c>
      <c r="C113" s="104" t="s">
        <v>448</v>
      </c>
    </row>
    <row r="114" customFormat="false" ht="12.75" hidden="false" customHeight="true" outlineLevel="0" collapsed="false">
      <c r="A114" s="102" t="s">
        <v>440</v>
      </c>
      <c r="B114" s="102" t="n">
        <f aca="false">B106*$B$30</f>
        <v>17909678080</v>
      </c>
      <c r="C114" s="104" t="s">
        <v>448</v>
      </c>
    </row>
    <row r="115" customFormat="false" ht="12.75" hidden="false" customHeight="true" outlineLevel="0" collapsed="false">
      <c r="A115" s="102" t="s">
        <v>441</v>
      </c>
      <c r="B115" s="102" t="n">
        <f aca="false">B107*$B$30</f>
        <v>9212209848.88889</v>
      </c>
      <c r="C115" s="104" t="s">
        <v>449</v>
      </c>
    </row>
    <row r="116" customFormat="false" ht="12.75" hidden="false" customHeight="true" outlineLevel="0" collapsed="false">
      <c r="A116" s="102" t="s">
        <v>443</v>
      </c>
      <c r="B116" s="114" t="n">
        <f aca="false">B108*$B$30</f>
        <v>57444444444.4444</v>
      </c>
      <c r="C116" s="104" t="s">
        <v>444</v>
      </c>
    </row>
    <row r="117" customFormat="false" ht="12.75" hidden="false" customHeight="true" outlineLevel="0" collapsed="false">
      <c r="A117" s="102" t="s">
        <v>450</v>
      </c>
      <c r="B117" s="116" t="n">
        <f aca="false">SUM(B112:B116)</f>
        <v>130112640000</v>
      </c>
      <c r="C117" s="104"/>
    </row>
    <row r="118" customFormat="false" ht="12.75" hidden="false" customHeight="true" outlineLevel="0" collapsed="false">
      <c r="A118" s="102" t="s">
        <v>451</v>
      </c>
      <c r="B118" s="36" t="n">
        <f aca="false">B117*B23</f>
        <v>130112640000000</v>
      </c>
      <c r="C118" s="104"/>
    </row>
    <row r="119" customFormat="false" ht="12.75" hidden="false" customHeight="true" outlineLevel="0" collapsed="false">
      <c r="C119" s="104"/>
    </row>
    <row r="120" customFormat="false" ht="12.75" hidden="false" customHeight="true" outlineLevel="0" collapsed="false">
      <c r="A120" s="36" t="s">
        <v>452</v>
      </c>
      <c r="B120" s="36" t="s">
        <v>5</v>
      </c>
      <c r="C120" s="113" t="s">
        <v>6</v>
      </c>
    </row>
    <row r="121" customFormat="false" ht="12.75" hidden="false" customHeight="true" outlineLevel="0" collapsed="false">
      <c r="A121" s="102" t="s">
        <v>453</v>
      </c>
      <c r="B121" s="102" t="n">
        <f aca="false">B117/(Config!B49*1000000000000000)</f>
        <v>3.61424E-008</v>
      </c>
      <c r="C121" s="104"/>
    </row>
    <row r="122" customFormat="false" ht="12.75" hidden="false" customHeight="true" outlineLevel="0" collapsed="false">
      <c r="A122" s="102" t="s">
        <v>454</v>
      </c>
      <c r="B122" s="102" t="n">
        <f aca="false">B121*B23</f>
        <v>3.61424E-005</v>
      </c>
      <c r="C122" s="104"/>
    </row>
    <row r="123" customFormat="false" ht="12.75" hidden="false" customHeight="true" outlineLevel="0" collapsed="false">
      <c r="C123" s="104"/>
    </row>
    <row r="124" customFormat="false" ht="12.75" hidden="false" customHeight="true" outlineLevel="0" collapsed="false">
      <c r="A124" s="36" t="s">
        <v>455</v>
      </c>
      <c r="C124" s="104"/>
    </row>
    <row r="125" customFormat="false" ht="12.75" hidden="false" customHeight="true" outlineLevel="0" collapsed="false">
      <c r="A125" s="36" t="s">
        <v>456</v>
      </c>
      <c r="C125" s="104"/>
    </row>
    <row r="126" customFormat="false" ht="12.75" hidden="false" customHeight="true" outlineLevel="0" collapsed="false">
      <c r="A126" s="102" t="s">
        <v>457</v>
      </c>
      <c r="B126" s="114" t="n">
        <f aca="false">(B34+B35*Config!B35)*Config!B48</f>
        <v>391858154.974426</v>
      </c>
      <c r="C126" s="104" t="s">
        <v>458</v>
      </c>
    </row>
    <row r="127" customFormat="false" ht="12.75" hidden="false" customHeight="true" outlineLevel="0" collapsed="false">
      <c r="A127" s="102" t="s">
        <v>459</v>
      </c>
      <c r="B127" s="24" t="n">
        <f aca="false">(B22+B23/2)*B161*Config!$K$46</f>
        <v>1072500</v>
      </c>
      <c r="C127" s="110" t="s">
        <v>460</v>
      </c>
    </row>
    <row r="128" customFormat="false" ht="12.75" hidden="false" customHeight="true" outlineLevel="0" collapsed="false">
      <c r="A128" s="102" t="s">
        <v>461</v>
      </c>
      <c r="B128" s="119" t="n">
        <f aca="false">B161*Config!$K$46</f>
        <v>65</v>
      </c>
      <c r="C128" s="110" t="s">
        <v>462</v>
      </c>
    </row>
    <row r="129" customFormat="false" ht="12.75" hidden="false" customHeight="true" outlineLevel="0" collapsed="false">
      <c r="A129" s="102" t="s">
        <v>463</v>
      </c>
      <c r="B129" s="116" t="n">
        <f aca="false">SUM(B126:B128)</f>
        <v>392930719.974426</v>
      </c>
      <c r="C129" s="104"/>
    </row>
    <row r="130" customFormat="false" ht="12.75" hidden="false" customHeight="true" outlineLevel="0" collapsed="false">
      <c r="C130" s="104"/>
    </row>
    <row r="131" customFormat="false" ht="12.75" hidden="false" customHeight="true" outlineLevel="0" collapsed="false">
      <c r="A131" s="36" t="s">
        <v>464</v>
      </c>
      <c r="C131" s="104"/>
    </row>
    <row r="132" customFormat="false" ht="12.75" hidden="false" customHeight="true" outlineLevel="0" collapsed="false">
      <c r="A132" s="102" t="s">
        <v>465</v>
      </c>
      <c r="B132" s="114" t="n">
        <f aca="false">B126*$B$30</f>
        <v>23903347453.44</v>
      </c>
      <c r="C132" s="104"/>
    </row>
    <row r="133" customFormat="false" ht="12.75" hidden="false" customHeight="true" outlineLevel="0" collapsed="false">
      <c r="A133" s="102" t="s">
        <v>466</v>
      </c>
      <c r="B133" s="114" t="n">
        <f aca="false">B127*$B$30</f>
        <v>65422500</v>
      </c>
      <c r="C133" s="104"/>
    </row>
    <row r="134" customFormat="false" ht="12.75" hidden="false" customHeight="true" outlineLevel="0" collapsed="false">
      <c r="A134" s="102" t="s">
        <v>467</v>
      </c>
      <c r="B134" s="114" t="n">
        <f aca="false">B128*$B$30</f>
        <v>3965</v>
      </c>
      <c r="C134" s="104" t="s">
        <v>468</v>
      </c>
    </row>
    <row r="135" customFormat="false" ht="12.75" hidden="false" customHeight="true" outlineLevel="0" collapsed="false">
      <c r="A135" s="102" t="s">
        <v>469</v>
      </c>
      <c r="B135" s="116" t="n">
        <f aca="false">SUM(B132:B134)</f>
        <v>23968773918.44</v>
      </c>
      <c r="C135" s="104"/>
    </row>
    <row r="136" customFormat="false" ht="12.75" hidden="false" customHeight="true" outlineLevel="0" collapsed="false">
      <c r="C136" s="104"/>
    </row>
    <row r="137" customFormat="false" ht="12.75" hidden="false" customHeight="true" outlineLevel="0" collapsed="false">
      <c r="A137" s="36" t="s">
        <v>470</v>
      </c>
      <c r="C137" s="104"/>
    </row>
    <row r="138" customFormat="false" ht="12.75" hidden="false" customHeight="true" outlineLevel="0" collapsed="false">
      <c r="A138" s="102" t="s">
        <v>471</v>
      </c>
      <c r="B138" s="114" t="n">
        <f aca="false">B135/(B15*1000000000000)</f>
        <v>1.5170110074962E-005</v>
      </c>
      <c r="C138" s="104"/>
    </row>
    <row r="139" customFormat="false" ht="12.75" hidden="false" customHeight="true" outlineLevel="0" collapsed="false">
      <c r="A139" s="102" t="s">
        <v>414</v>
      </c>
      <c r="B139" s="114" t="n">
        <f aca="false">B117/B135</f>
        <v>5.42842284894264</v>
      </c>
      <c r="C139" s="104" t="s">
        <v>472</v>
      </c>
    </row>
    <row r="140" customFormat="false" ht="12.75" hidden="false" customHeight="true" outlineLevel="0" collapsed="false">
      <c r="A140" s="102" t="s">
        <v>473</v>
      </c>
      <c r="B140" s="114" t="n">
        <f aca="false">B121/B138</f>
        <v>0.00238247447259149</v>
      </c>
      <c r="C140" s="104" t="s">
        <v>474</v>
      </c>
    </row>
    <row r="141" customFormat="false" ht="12.75" hidden="false" customHeight="true" outlineLevel="0" collapsed="false">
      <c r="C141" s="104"/>
    </row>
    <row r="142" customFormat="false" ht="12.75" hidden="false" customHeight="true" outlineLevel="0" collapsed="false">
      <c r="A142" s="36" t="s">
        <v>475</v>
      </c>
      <c r="B142" s="36" t="s">
        <v>5</v>
      </c>
      <c r="C142" s="113" t="s">
        <v>6</v>
      </c>
    </row>
    <row r="143" customFormat="false" ht="12.75" hidden="false" customHeight="true" outlineLevel="0" collapsed="false">
      <c r="A143" s="102" t="s">
        <v>476</v>
      </c>
      <c r="B143" s="15" t="n">
        <f aca="false">IF(Config!B47="FP16",2,1)*B29</f>
        <v>7168</v>
      </c>
      <c r="C143" s="110" t="s">
        <v>477</v>
      </c>
    </row>
    <row r="144" customFormat="false" ht="12.75" hidden="false" customHeight="true" outlineLevel="0" collapsed="false">
      <c r="A144" s="102" t="s">
        <v>478</v>
      </c>
      <c r="B144" s="102" t="n">
        <v>2</v>
      </c>
      <c r="C144" s="104" t="s">
        <v>479</v>
      </c>
    </row>
    <row r="145" customFormat="false" ht="12.75" hidden="false" customHeight="true" outlineLevel="0" collapsed="false">
      <c r="A145" s="102" t="s">
        <v>480</v>
      </c>
      <c r="B145" s="102" t="n">
        <f aca="false">B144*B30</f>
        <v>122</v>
      </c>
      <c r="C145" s="104" t="s">
        <v>481</v>
      </c>
    </row>
    <row r="146" customFormat="false" ht="12.75" hidden="false" customHeight="true" outlineLevel="0" collapsed="false">
      <c r="A146" s="102" t="s">
        <v>482</v>
      </c>
      <c r="B146" s="102" t="n">
        <f aca="false">2*B143*(B11-1)/B11</f>
        <v>14136.8888888889</v>
      </c>
      <c r="C146" s="104" t="s">
        <v>483</v>
      </c>
    </row>
    <row r="147" customFormat="false" ht="12.75" hidden="false" customHeight="true" outlineLevel="0" collapsed="false">
      <c r="A147" s="102" t="s">
        <v>484</v>
      </c>
      <c r="B147" s="102" t="n">
        <f aca="false">B145*B146</f>
        <v>1724700.44444444</v>
      </c>
      <c r="C147" s="104" t="s">
        <v>485</v>
      </c>
    </row>
    <row r="148" customFormat="false" ht="12.75" hidden="false" customHeight="true" outlineLevel="0" collapsed="false">
      <c r="A148" s="102" t="s">
        <v>486</v>
      </c>
      <c r="B148" s="102" t="n">
        <f aca="false">B147/(B12/B11)/1000000000000</f>
        <v>4.77609353846154E-007</v>
      </c>
      <c r="C148" s="104" t="s">
        <v>487</v>
      </c>
    </row>
    <row r="149" customFormat="false" ht="12.75" hidden="false" customHeight="true" outlineLevel="0" collapsed="false">
      <c r="A149" s="102" t="s">
        <v>488</v>
      </c>
      <c r="B149" s="120" t="n">
        <f aca="false">2*Config!$B$64*$B$145*Config!$B$60/1000000</f>
        <v>0.000244</v>
      </c>
      <c r="C149" s="104" t="s">
        <v>489</v>
      </c>
    </row>
    <row r="150" customFormat="false" ht="12.75" hidden="false" customHeight="true" outlineLevel="0" collapsed="false">
      <c r="C150" s="104"/>
    </row>
    <row r="151" customFormat="false" ht="12.75" hidden="false" customHeight="true" outlineLevel="0" collapsed="false">
      <c r="A151" s="36" t="s">
        <v>490</v>
      </c>
      <c r="B151" s="114" t="n">
        <f aca="false">B138+B149</f>
        <v>0.000259170110074962</v>
      </c>
      <c r="C151" s="104"/>
    </row>
    <row r="152" customFormat="false" ht="12.75" hidden="false" customHeight="true" outlineLevel="0" collapsed="false">
      <c r="A152" s="102" t="s">
        <v>491</v>
      </c>
      <c r="B152" s="114" t="n">
        <f aca="false">B151*B23</f>
        <v>0.259170110074962</v>
      </c>
      <c r="C152" s="104"/>
    </row>
    <row r="153" customFormat="false" ht="12.75" hidden="false" customHeight="true" outlineLevel="0" collapsed="false">
      <c r="C153" s="104"/>
    </row>
    <row r="154" customFormat="false" ht="12.75" hidden="false" customHeight="true" outlineLevel="0" collapsed="false">
      <c r="A154" s="117" t="s">
        <v>492</v>
      </c>
      <c r="B154" s="118" t="n">
        <f aca="false">B121+B138+B149</f>
        <v>0.000259206252474962</v>
      </c>
      <c r="C154" s="104"/>
    </row>
    <row r="155" customFormat="false" ht="12.75" hidden="false" customHeight="true" outlineLevel="0" collapsed="false">
      <c r="A155" s="121" t="s">
        <v>493</v>
      </c>
      <c r="B155" s="122" t="n">
        <f aca="false">B154*B23</f>
        <v>0.259206252474962</v>
      </c>
      <c r="C155" s="104" t="s">
        <v>494</v>
      </c>
    </row>
    <row r="156" customFormat="false" ht="12.75" hidden="false" customHeight="true" outlineLevel="0" collapsed="false">
      <c r="C156" s="104"/>
    </row>
    <row r="157" customFormat="false" ht="12.75" hidden="false" customHeight="true" outlineLevel="0" collapsed="false">
      <c r="A157" s="123" t="s">
        <v>495</v>
      </c>
      <c r="B157" s="117" t="s">
        <v>5</v>
      </c>
      <c r="C157" s="124" t="s">
        <v>6</v>
      </c>
    </row>
    <row r="158" customFormat="false" ht="12.75" hidden="false" customHeight="true" outlineLevel="0" collapsed="false">
      <c r="A158" s="15" t="s">
        <v>496</v>
      </c>
      <c r="B158" s="24" t="n">
        <f aca="false">B132</f>
        <v>23903347453.44</v>
      </c>
      <c r="C158" s="110" t="s">
        <v>497</v>
      </c>
    </row>
    <row r="159" customFormat="false" ht="12.75" hidden="false" customHeight="true" outlineLevel="0" collapsed="false">
      <c r="A159" s="15" t="s">
        <v>203</v>
      </c>
      <c r="B159" s="103" t="n">
        <f aca="false">Config!B55</f>
        <v>0.0634765625</v>
      </c>
      <c r="C159" s="104" t="s">
        <v>498</v>
      </c>
    </row>
    <row r="160" customFormat="false" ht="12.75" hidden="false" customHeight="true" outlineLevel="0" collapsed="false">
      <c r="A160" s="102" t="s">
        <v>499</v>
      </c>
      <c r="B160" s="102" t="n">
        <f aca="false">2*B31*B32</f>
        <v>131072</v>
      </c>
      <c r="C160" s="104" t="s">
        <v>500</v>
      </c>
    </row>
    <row r="161" customFormat="false" ht="12.75" hidden="false" customHeight="true" outlineLevel="0" collapsed="false">
      <c r="A161" s="15" t="s">
        <v>501</v>
      </c>
      <c r="B161" s="102" t="n">
        <f aca="false">2*B32*B159</f>
        <v>65</v>
      </c>
      <c r="C161" s="110" t="s">
        <v>502</v>
      </c>
    </row>
    <row r="162" customFormat="false" ht="12.75" hidden="false" customHeight="true" outlineLevel="0" collapsed="false">
      <c r="A162" s="102" t="s">
        <v>503</v>
      </c>
      <c r="B162" s="15" t="n">
        <f aca="false">B161*(B22+B23/2)*B30*Config!$K$46</f>
        <v>65422500</v>
      </c>
      <c r="C162" s="110" t="s">
        <v>504</v>
      </c>
    </row>
    <row r="163" customFormat="false" ht="12.75" hidden="false" customHeight="true" outlineLevel="0" collapsed="false">
      <c r="A163" s="102" t="s">
        <v>505</v>
      </c>
      <c r="B163" s="114" t="n">
        <f aca="false">B162+B158</f>
        <v>23968769953.44</v>
      </c>
      <c r="C163" s="104" t="s">
        <v>506</v>
      </c>
    </row>
    <row r="164" customFormat="false" ht="12.75" hidden="false" customHeight="true" outlineLevel="0" collapsed="false">
      <c r="A164" s="102" t="s">
        <v>507</v>
      </c>
      <c r="B164" s="114" t="n">
        <f aca="false">B163/(B15*1000000000000)</f>
        <v>1.51701075654684E-005</v>
      </c>
      <c r="C164" s="104"/>
    </row>
    <row r="165" customFormat="false" ht="12.75" hidden="false" customHeight="true" outlineLevel="0" collapsed="false">
      <c r="A165" s="102" t="s">
        <v>508</v>
      </c>
      <c r="B165" s="116" t="n">
        <f aca="false">B138/B164</f>
        <v>1.00000016542359</v>
      </c>
      <c r="C165" s="104"/>
    </row>
    <row r="166" customFormat="false" ht="12.75" hidden="false" customHeight="true" outlineLevel="0" collapsed="false">
      <c r="A166" s="102" t="s">
        <v>509</v>
      </c>
      <c r="C166" s="104"/>
    </row>
    <row r="167" customFormat="false" ht="12.75" hidden="false" customHeight="true" outlineLevel="0" collapsed="false">
      <c r="A167" s="117" t="s">
        <v>510</v>
      </c>
      <c r="C167" s="104"/>
    </row>
    <row r="168" customFormat="false" ht="12.75" hidden="false" customHeight="true" outlineLevel="0" collapsed="false">
      <c r="A168" s="15" t="s">
        <v>511</v>
      </c>
      <c r="B168" s="24" t="n">
        <f aca="false">Config!B48*B30*(B34+B35*IF(Config!B32="MoE",(Config!$K$38+Config!B33*(1-(1-Config!B34/Config!B33)^B169))/(Config!B33+Config!$K$38),1))+Config!$K$40/2*Config!B48</f>
        <v>519164755827.173</v>
      </c>
      <c r="C168" s="110" t="s">
        <v>512</v>
      </c>
    </row>
    <row r="169" customFormat="false" ht="12.75" hidden="false" customHeight="true" outlineLevel="0" collapsed="false">
      <c r="A169" s="102" t="s">
        <v>513</v>
      </c>
      <c r="B169" s="103" t="n">
        <f aca="false">Config!B56</f>
        <v>64</v>
      </c>
      <c r="C169" s="104" t="s">
        <v>208</v>
      </c>
    </row>
    <row r="170" customFormat="false" ht="12.75" hidden="false" customHeight="true" outlineLevel="0" collapsed="false">
      <c r="A170" s="102" t="s">
        <v>514</v>
      </c>
      <c r="B170" s="102" t="n">
        <f aca="false">B162*B169</f>
        <v>4187040000</v>
      </c>
      <c r="C170" s="104" t="s">
        <v>515</v>
      </c>
    </row>
    <row r="171" customFormat="false" ht="12.75" hidden="false" customHeight="true" outlineLevel="0" collapsed="false">
      <c r="A171" s="102" t="s">
        <v>516</v>
      </c>
      <c r="B171" s="125" t="n">
        <f aca="false">B168+B170</f>
        <v>523351795827.173</v>
      </c>
      <c r="C171" s="104" t="s">
        <v>517</v>
      </c>
    </row>
    <row r="172" customFormat="false" ht="12.75" hidden="false" customHeight="true" outlineLevel="0" collapsed="false">
      <c r="A172" s="102" t="s">
        <v>518</v>
      </c>
      <c r="B172" s="125" t="n">
        <f aca="false">B171/(B15*1000000000000)/B169</f>
        <v>5.17555177835417E-006</v>
      </c>
      <c r="C172" s="104" t="s">
        <v>519</v>
      </c>
    </row>
    <row r="173" customFormat="false" ht="12.75" hidden="false" customHeight="true" outlineLevel="0" collapsed="false">
      <c r="A173" s="102" t="s">
        <v>508</v>
      </c>
      <c r="B173" s="116" t="n">
        <f aca="false">B138/B172</f>
        <v>2.93110971054494</v>
      </c>
      <c r="C173" s="115"/>
    </row>
    <row r="174" customFormat="false" ht="12.75" hidden="false" customHeight="true" outlineLevel="0" collapsed="false">
      <c r="A174" s="102" t="s">
        <v>509</v>
      </c>
      <c r="B174" s="39"/>
      <c r="C174" s="104"/>
    </row>
    <row r="175" customFormat="false" ht="12.75" hidden="false" customHeight="true" outlineLevel="0" collapsed="false">
      <c r="A175" s="117" t="s">
        <v>520</v>
      </c>
      <c r="B175" s="39"/>
      <c r="C175" s="104"/>
    </row>
    <row r="176" customFormat="false" ht="12.75" hidden="false" customHeight="true" outlineLevel="0" collapsed="false">
      <c r="A176" s="102" t="s">
        <v>209</v>
      </c>
      <c r="B176" s="103" t="n">
        <f aca="false">Config!B57</f>
        <v>5</v>
      </c>
      <c r="C176" s="104" t="s">
        <v>521</v>
      </c>
    </row>
    <row r="177" customFormat="false" ht="12.75" hidden="false" customHeight="true" outlineLevel="0" collapsed="false">
      <c r="A177" s="102" t="s">
        <v>211</v>
      </c>
      <c r="B177" s="126" t="n">
        <f aca="false">Config!B58</f>
        <v>0.7</v>
      </c>
      <c r="C177" s="104"/>
    </row>
    <row r="178" customFormat="false" ht="12.75" hidden="false" customHeight="true" outlineLevel="0" collapsed="false">
      <c r="A178" s="102" t="s">
        <v>522</v>
      </c>
      <c r="B178" s="127" t="n">
        <f aca="false">Config!B59</f>
        <v>2.94117</v>
      </c>
      <c r="C178" s="104" t="s">
        <v>213</v>
      </c>
    </row>
    <row r="179" customFormat="false" ht="12.75" hidden="false" customHeight="true" outlineLevel="0" collapsed="false">
      <c r="A179" s="102" t="s">
        <v>523</v>
      </c>
      <c r="B179" s="116" t="n">
        <f aca="false">B173*B178</f>
        <v>8.62089194736346</v>
      </c>
      <c r="C179" s="104"/>
    </row>
    <row r="180" customFormat="false" ht="12.75" hidden="false" customHeight="true" outlineLevel="0" collapsed="false">
      <c r="C180" s="104"/>
    </row>
    <row r="181" customFormat="false" ht="12.75" hidden="false" customHeight="true" outlineLevel="0" collapsed="false">
      <c r="A181" s="128" t="s">
        <v>524</v>
      </c>
      <c r="B181" s="117" t="s">
        <v>5</v>
      </c>
      <c r="C181" s="124" t="s">
        <v>6</v>
      </c>
    </row>
    <row r="182" customFormat="false" ht="12.75" hidden="false" customHeight="true" outlineLevel="0" collapsed="false">
      <c r="C182" s="104"/>
    </row>
    <row r="183" customFormat="false" ht="12.75" hidden="false" customHeight="true" outlineLevel="0" collapsed="false">
      <c r="A183" s="36" t="s">
        <v>525</v>
      </c>
      <c r="B183" s="36" t="s">
        <v>5</v>
      </c>
      <c r="C183" s="113" t="s">
        <v>6</v>
      </c>
    </row>
    <row r="184" customFormat="false" ht="12.75" hidden="false" customHeight="true" outlineLevel="0" collapsed="false">
      <c r="A184" s="102" t="s">
        <v>526</v>
      </c>
      <c r="B184" s="102" t="n">
        <f aca="false">B121</f>
        <v>3.61424E-008</v>
      </c>
      <c r="C184" s="104" t="s">
        <v>527</v>
      </c>
    </row>
    <row r="185" customFormat="false" ht="12.75" hidden="false" customHeight="true" outlineLevel="0" collapsed="false">
      <c r="A185" s="102" t="s">
        <v>216</v>
      </c>
      <c r="B185" s="129" t="n">
        <f aca="false">B149</f>
        <v>0.000244</v>
      </c>
      <c r="C185" s="104" t="s">
        <v>528</v>
      </c>
    </row>
    <row r="186" customFormat="false" ht="12.75" hidden="false" customHeight="true" outlineLevel="0" collapsed="false">
      <c r="A186" s="102" t="s">
        <v>529</v>
      </c>
      <c r="B186" s="130" t="n">
        <f aca="false">Config!B62</f>
        <v>0.5</v>
      </c>
      <c r="C186" s="104" t="s">
        <v>498</v>
      </c>
    </row>
    <row r="187" customFormat="false" ht="12.75" hidden="false" customHeight="true" outlineLevel="0" collapsed="false">
      <c r="A187" s="102" t="s">
        <v>530</v>
      </c>
      <c r="B187" s="102" t="n">
        <f aca="false">B185*(1-B186)</f>
        <v>0.000122</v>
      </c>
      <c r="C187" s="104" t="s">
        <v>531</v>
      </c>
    </row>
    <row r="188" customFormat="false" ht="12.75" hidden="false" customHeight="true" outlineLevel="0" collapsed="false">
      <c r="C188" s="104"/>
    </row>
    <row r="189" customFormat="false" ht="12.75" hidden="false" customHeight="true" outlineLevel="0" collapsed="false">
      <c r="A189" s="36" t="s">
        <v>532</v>
      </c>
      <c r="B189" s="36" t="s">
        <v>5</v>
      </c>
      <c r="C189" s="113" t="s">
        <v>6</v>
      </c>
    </row>
    <row r="190" customFormat="false" ht="12.75" hidden="false" customHeight="true" outlineLevel="0" collapsed="false">
      <c r="A190" s="102" t="s">
        <v>533</v>
      </c>
      <c r="B190" s="102" t="n">
        <f aca="false">B11</f>
        <v>72</v>
      </c>
      <c r="C190" s="104" t="s">
        <v>534</v>
      </c>
    </row>
    <row r="191" customFormat="false" ht="12.75" hidden="false" customHeight="true" outlineLevel="0" collapsed="false">
      <c r="A191" s="102" t="s">
        <v>535</v>
      </c>
      <c r="B191" s="103" t="n">
        <f aca="false">Config!B63</f>
        <v>36</v>
      </c>
      <c r="C191" s="104" t="s">
        <v>498</v>
      </c>
    </row>
    <row r="192" customFormat="false" ht="12.75" hidden="false" customHeight="true" outlineLevel="0" collapsed="false">
      <c r="A192" s="102" t="s">
        <v>222</v>
      </c>
      <c r="B192" s="102" t="n">
        <f aca="false">B11/B191</f>
        <v>2</v>
      </c>
      <c r="C192" s="104" t="s">
        <v>536</v>
      </c>
    </row>
    <row r="193" customFormat="false" ht="12.75" hidden="false" customHeight="true" outlineLevel="0" collapsed="false">
      <c r="A193" s="102" t="s">
        <v>537</v>
      </c>
      <c r="B193" s="102" t="n">
        <f aca="false">(B190-1)/B190</f>
        <v>0.986111111111111</v>
      </c>
      <c r="C193" s="104" t="s">
        <v>538</v>
      </c>
    </row>
    <row r="194" customFormat="false" ht="12.75" hidden="false" customHeight="true" outlineLevel="0" collapsed="false">
      <c r="A194" s="102" t="s">
        <v>539</v>
      </c>
      <c r="B194" s="102" t="n">
        <f aca="false">(B191-1)/B191</f>
        <v>0.972222222222222</v>
      </c>
      <c r="C194" s="104" t="s">
        <v>540</v>
      </c>
    </row>
    <row r="195" customFormat="false" ht="12.75" hidden="false" customHeight="true" outlineLevel="0" collapsed="false">
      <c r="A195" s="102" t="s">
        <v>541</v>
      </c>
      <c r="B195" s="102" t="n">
        <f aca="false">B194/B193</f>
        <v>0.985915492957746</v>
      </c>
      <c r="C195" s="104" t="s">
        <v>542</v>
      </c>
    </row>
    <row r="196" customFormat="false" ht="12.75" hidden="false" customHeight="true" outlineLevel="0" collapsed="false">
      <c r="A196" s="102" t="s">
        <v>543</v>
      </c>
      <c r="B196" s="102" t="n">
        <f aca="false">2*B143*(B191-1)/B191</f>
        <v>13937.7777777778</v>
      </c>
      <c r="C196" s="104" t="s">
        <v>544</v>
      </c>
    </row>
    <row r="197" customFormat="false" ht="12.75" hidden="false" customHeight="true" outlineLevel="0" collapsed="false">
      <c r="A197" s="102" t="s">
        <v>545</v>
      </c>
      <c r="B197" s="102" t="n">
        <f aca="false">B196*B145</f>
        <v>1700408.88888889</v>
      </c>
      <c r="C197" s="104" t="s">
        <v>546</v>
      </c>
    </row>
    <row r="198" customFormat="false" ht="12.75" hidden="false" customHeight="true" outlineLevel="0" collapsed="false">
      <c r="A198" s="102" t="s">
        <v>547</v>
      </c>
      <c r="B198" s="102" t="n">
        <f aca="false">B12/B11</f>
        <v>3.61111111111111</v>
      </c>
      <c r="C198" s="104" t="s">
        <v>548</v>
      </c>
    </row>
    <row r="199" customFormat="false" ht="12.75" hidden="false" customHeight="true" outlineLevel="0" collapsed="false">
      <c r="A199" s="102" t="s">
        <v>549</v>
      </c>
      <c r="B199" s="102" t="n">
        <f aca="false">B197/(B198*1000000000000)</f>
        <v>4.70882461538461E-007</v>
      </c>
      <c r="C199" s="104" t="s">
        <v>550</v>
      </c>
    </row>
    <row r="200" customFormat="false" ht="12.75" hidden="false" customHeight="true" outlineLevel="0" collapsed="false">
      <c r="A200" s="102" t="s">
        <v>551</v>
      </c>
      <c r="B200" s="102" t="n">
        <f aca="false">B199*0.5</f>
        <v>2.35441230769231E-007</v>
      </c>
      <c r="C200" s="104" t="s">
        <v>552</v>
      </c>
    </row>
    <row r="201" customFormat="false" ht="12.75" hidden="false" customHeight="true" outlineLevel="0" collapsed="false">
      <c r="A201" s="102" t="s">
        <v>553</v>
      </c>
      <c r="B201" s="102" t="n">
        <f aca="false">B200*(1-B186)</f>
        <v>1.17720615384615E-007</v>
      </c>
      <c r="C201" s="104" t="s">
        <v>554</v>
      </c>
    </row>
    <row r="202" customFormat="false" ht="12.75" hidden="false" customHeight="true" outlineLevel="0" collapsed="false">
      <c r="C202" s="104"/>
    </row>
    <row r="203" customFormat="false" ht="12.75" hidden="false" customHeight="true" outlineLevel="0" collapsed="false">
      <c r="A203" s="117" t="s">
        <v>555</v>
      </c>
      <c r="B203" s="117" t="s">
        <v>5</v>
      </c>
      <c r="C203" s="124" t="s">
        <v>6</v>
      </c>
    </row>
    <row r="204" customFormat="false" ht="12.75" hidden="false" customHeight="true" outlineLevel="0" collapsed="false">
      <c r="A204" s="102" t="s">
        <v>556</v>
      </c>
      <c r="B204" s="129" t="n">
        <f aca="false">B149</f>
        <v>0.000244</v>
      </c>
      <c r="C204" s="104" t="s">
        <v>557</v>
      </c>
    </row>
    <row r="205" customFormat="false" ht="12.75" hidden="false" customHeight="true" outlineLevel="0" collapsed="false">
      <c r="A205" s="102" t="s">
        <v>558</v>
      </c>
      <c r="B205" s="102" t="n">
        <f aca="false">B201</f>
        <v>1.17720615384615E-007</v>
      </c>
      <c r="C205" s="104" t="s">
        <v>559</v>
      </c>
    </row>
    <row r="206" customFormat="false" ht="12.75" hidden="false" customHeight="true" outlineLevel="0" collapsed="false">
      <c r="A206" s="102" t="s">
        <v>488</v>
      </c>
      <c r="B206" s="127" t="n">
        <f aca="false">1*Config!$B$64*$B$145*Config!$B$60/1000000</f>
        <v>0.000122</v>
      </c>
      <c r="C206" s="104" t="s">
        <v>560</v>
      </c>
    </row>
    <row r="207" customFormat="false" ht="12.75" hidden="false" customHeight="true" outlineLevel="0" collapsed="false">
      <c r="C207" s="104"/>
    </row>
    <row r="208" customFormat="false" ht="12.75" hidden="false" customHeight="true" outlineLevel="0" collapsed="false">
      <c r="A208" s="131" t="s">
        <v>561</v>
      </c>
      <c r="B208" s="128" t="s">
        <v>5</v>
      </c>
      <c r="C208" s="132" t="s">
        <v>6</v>
      </c>
    </row>
    <row r="209" customFormat="false" ht="12.75" hidden="false" customHeight="true" outlineLevel="0" collapsed="false">
      <c r="C209" s="104"/>
    </row>
    <row r="210" customFormat="false" ht="12.75" hidden="false" customHeight="true" outlineLevel="0" collapsed="false">
      <c r="A210" s="100" t="s">
        <v>562</v>
      </c>
      <c r="B210" s="100" t="s">
        <v>5</v>
      </c>
      <c r="C210" s="101" t="s">
        <v>6</v>
      </c>
    </row>
    <row r="211" customFormat="false" ht="12.75" hidden="false" customHeight="true" outlineLevel="0" collapsed="false">
      <c r="A211" s="1" t="s">
        <v>229</v>
      </c>
      <c r="B211" s="103" t="str">
        <f aca="false">Config!B70</f>
        <v>InfiniBand XDR</v>
      </c>
      <c r="C211" s="104" t="s">
        <v>498</v>
      </c>
    </row>
    <row r="212" customFormat="false" ht="12.75" hidden="false" customHeight="true" outlineLevel="0" collapsed="false">
      <c r="A212" s="1" t="s">
        <v>241</v>
      </c>
      <c r="B212" s="120" t="n">
        <f aca="false">Config!B73</f>
        <v>0.2</v>
      </c>
      <c r="C212" s="104" t="s">
        <v>498</v>
      </c>
    </row>
    <row r="213" customFormat="false" ht="12.75" hidden="false" customHeight="true" outlineLevel="0" collapsed="false">
      <c r="A213" s="1" t="s">
        <v>263</v>
      </c>
      <c r="B213" s="120" t="n">
        <f aca="false">Config!B79</f>
        <v>0.1</v>
      </c>
      <c r="C213" s="104" t="s">
        <v>563</v>
      </c>
    </row>
    <row r="214" customFormat="false" ht="12.75" hidden="false" customHeight="true" outlineLevel="0" collapsed="false">
      <c r="A214" s="1" t="s">
        <v>269</v>
      </c>
      <c r="B214" s="107" t="n">
        <f aca="false">Config!B81</f>
        <v>3E-007</v>
      </c>
      <c r="C214" s="104" t="s">
        <v>564</v>
      </c>
    </row>
    <row r="215" customFormat="false" ht="12.75" hidden="false" customHeight="true" outlineLevel="0" collapsed="false">
      <c r="A215" s="1" t="s">
        <v>272</v>
      </c>
      <c r="B215" s="130" t="n">
        <f aca="false">Config!B82</f>
        <v>0.5</v>
      </c>
      <c r="C215" s="104" t="s">
        <v>498</v>
      </c>
    </row>
    <row r="216" customFormat="false" ht="12.75" hidden="false" customHeight="true" outlineLevel="0" collapsed="false">
      <c r="A216" s="1" t="s">
        <v>259</v>
      </c>
      <c r="B216" s="103" t="n">
        <f aca="false">Config!B78</f>
        <v>2</v>
      </c>
      <c r="C216" s="104" t="s">
        <v>498</v>
      </c>
    </row>
    <row r="217" customFormat="false" ht="12.75" hidden="false" customHeight="true" outlineLevel="0" collapsed="false">
      <c r="A217" s="1" t="s">
        <v>279</v>
      </c>
      <c r="B217" s="130" t="n">
        <f aca="false">Config!B86</f>
        <v>0.8</v>
      </c>
      <c r="C217" s="104" t="s">
        <v>498</v>
      </c>
    </row>
    <row r="218" customFormat="false" ht="12.75" hidden="false" customHeight="true" outlineLevel="0" collapsed="false">
      <c r="A218" s="1" t="s">
        <v>565</v>
      </c>
      <c r="B218" s="103" t="n">
        <f aca="false">B5</f>
        <v>5263</v>
      </c>
      <c r="C218" s="104" t="s">
        <v>566</v>
      </c>
    </row>
    <row r="219" customFormat="false" ht="12.75" hidden="false" customHeight="true" outlineLevel="0" collapsed="false">
      <c r="C219" s="104"/>
    </row>
    <row r="220" customFormat="false" ht="12.75" hidden="false" customHeight="true" outlineLevel="0" collapsed="false">
      <c r="A220" s="36" t="s">
        <v>567</v>
      </c>
      <c r="B220" s="36" t="s">
        <v>5</v>
      </c>
      <c r="C220" s="113" t="s">
        <v>6</v>
      </c>
    </row>
    <row r="221" customFormat="false" ht="12.75" hidden="false" customHeight="true" outlineLevel="0" collapsed="false">
      <c r="A221" s="1" t="s">
        <v>568</v>
      </c>
      <c r="B221" s="39" t="n">
        <f aca="false">2*(B218-1)/B218*B26*Config!B48</f>
        <v>1622091734752.04</v>
      </c>
      <c r="C221" s="104" t="s">
        <v>569</v>
      </c>
    </row>
    <row r="222" customFormat="false" ht="12.75" hidden="false" customHeight="true" outlineLevel="0" collapsed="false">
      <c r="A222" s="1" t="s">
        <v>570</v>
      </c>
      <c r="B222" s="39" t="n">
        <f aca="false">B221*B215</f>
        <v>811045867376.021</v>
      </c>
      <c r="C222" s="104" t="s">
        <v>571</v>
      </c>
    </row>
    <row r="223" customFormat="false" ht="12.75" hidden="false" customHeight="true" outlineLevel="0" collapsed="false">
      <c r="A223" s="1" t="s">
        <v>572</v>
      </c>
      <c r="B223" s="133" t="n">
        <f aca="false">B222/(B213*1000000000000)</f>
        <v>8.11045867376021</v>
      </c>
      <c r="C223" s="104" t="s">
        <v>573</v>
      </c>
    </row>
    <row r="224" customFormat="false" ht="12.75" hidden="false" customHeight="true" outlineLevel="0" collapsed="false">
      <c r="A224" s="134" t="s">
        <v>574</v>
      </c>
      <c r="C224" s="104" t="s">
        <v>575</v>
      </c>
    </row>
    <row r="225" customFormat="false" ht="12.75" hidden="false" customHeight="true" outlineLevel="0" collapsed="false">
      <c r="C225" s="104"/>
    </row>
    <row r="226" customFormat="false" ht="12.75" hidden="false" customHeight="true" outlineLevel="0" collapsed="false">
      <c r="A226" s="36" t="s">
        <v>576</v>
      </c>
      <c r="B226" s="36" t="s">
        <v>5</v>
      </c>
      <c r="C226" s="113" t="s">
        <v>6</v>
      </c>
    </row>
    <row r="227" customFormat="false" ht="12.75" hidden="false" customHeight="true" outlineLevel="0" collapsed="false">
      <c r="A227" s="1" t="s">
        <v>577</v>
      </c>
      <c r="B227" s="24" t="n">
        <f aca="false">B161*B30*Config!$K$46*(B22+B23)</f>
        <v>67405000</v>
      </c>
      <c r="C227" s="110" t="s">
        <v>578</v>
      </c>
    </row>
    <row r="228" customFormat="false" ht="12.75" hidden="false" customHeight="true" outlineLevel="0" collapsed="false">
      <c r="A228" s="1" t="s">
        <v>283</v>
      </c>
      <c r="B228" s="133" t="n">
        <f aca="false">B227/(B213*1000000000000)</f>
        <v>0.00067405</v>
      </c>
      <c r="C228" s="104" t="s">
        <v>284</v>
      </c>
    </row>
    <row r="229" customFormat="false" ht="12.75" hidden="false" customHeight="true" outlineLevel="0" collapsed="false">
      <c r="A229" s="1" t="s">
        <v>579</v>
      </c>
      <c r="B229" s="39" t="n">
        <f aca="false">B214</f>
        <v>3E-007</v>
      </c>
      <c r="C229" s="104" t="s">
        <v>580</v>
      </c>
    </row>
    <row r="230" customFormat="false" ht="12.75" hidden="false" customHeight="true" outlineLevel="0" collapsed="false">
      <c r="A230" s="1" t="s">
        <v>581</v>
      </c>
      <c r="B230" s="133" t="n">
        <f aca="false">B228+B229</f>
        <v>0.00067435</v>
      </c>
      <c r="C230" s="104" t="s">
        <v>582</v>
      </c>
    </row>
    <row r="231" customFormat="false" ht="12.75" hidden="false" customHeight="true" outlineLevel="0" collapsed="false">
      <c r="C231" s="104"/>
    </row>
    <row r="232" customFormat="false" ht="12.75" hidden="false" customHeight="true" outlineLevel="0" collapsed="false">
      <c r="A232" s="36" t="s">
        <v>583</v>
      </c>
      <c r="B232" s="36" t="s">
        <v>5</v>
      </c>
      <c r="C232" s="113" t="s">
        <v>6</v>
      </c>
    </row>
    <row r="233" customFormat="false" ht="12.75" hidden="false" customHeight="true" outlineLevel="0" collapsed="false">
      <c r="A233" s="1" t="s">
        <v>584</v>
      </c>
      <c r="B233" s="39" t="n">
        <f aca="false">B214</f>
        <v>3E-007</v>
      </c>
      <c r="C233" s="104" t="s">
        <v>585</v>
      </c>
    </row>
    <row r="234" customFormat="false" ht="12.75" hidden="false" customHeight="true" outlineLevel="0" collapsed="false">
      <c r="A234" s="1" t="s">
        <v>586</v>
      </c>
      <c r="B234" s="39" t="n">
        <f aca="false">B214</f>
        <v>3E-007</v>
      </c>
      <c r="C234" s="104" t="s">
        <v>587</v>
      </c>
    </row>
    <row r="235" customFormat="false" ht="12.75" hidden="false" customHeight="true" outlineLevel="0" collapsed="false">
      <c r="A235" s="1" t="s">
        <v>588</v>
      </c>
      <c r="B235" s="39" t="n">
        <f aca="false">B214*2</f>
        <v>6E-007</v>
      </c>
      <c r="C235" s="104" t="s">
        <v>589</v>
      </c>
    </row>
    <row r="236" customFormat="false" ht="12.75" hidden="false" customHeight="true" outlineLevel="0" collapsed="false">
      <c r="C236" s="104"/>
    </row>
    <row r="237" customFormat="false" ht="12.75" hidden="false" customHeight="true" outlineLevel="0" collapsed="false">
      <c r="A237" s="117" t="s">
        <v>590</v>
      </c>
      <c r="B237" s="117" t="s">
        <v>5</v>
      </c>
      <c r="C237" s="124" t="s">
        <v>6</v>
      </c>
    </row>
    <row r="238" customFormat="false" ht="12.75" hidden="false" customHeight="true" outlineLevel="0" collapsed="false">
      <c r="C238" s="104"/>
    </row>
    <row r="239" customFormat="false" ht="12.75" hidden="false" customHeight="true" outlineLevel="0" collapsed="false">
      <c r="A239" s="36" t="s">
        <v>591</v>
      </c>
      <c r="C239" s="104"/>
    </row>
    <row r="240" customFormat="false" ht="12.75" hidden="false" customHeight="true" outlineLevel="0" collapsed="false">
      <c r="A240" s="1" t="s">
        <v>592</v>
      </c>
      <c r="B240" s="120" t="n">
        <f aca="false">TL_Param!E21-SUM(TL_Param!I17,TL_Param!I18,TL_Param!I20)</f>
        <v>0.606959550405132</v>
      </c>
      <c r="C240" s="104" t="s">
        <v>593</v>
      </c>
    </row>
    <row r="241" customFormat="false" ht="12.75" hidden="false" customHeight="true" outlineLevel="0" collapsed="false">
      <c r="A241" s="1" t="s">
        <v>594</v>
      </c>
      <c r="B241" s="39" t="n">
        <f aca="false">B233</f>
        <v>3E-007</v>
      </c>
      <c r="C241" s="104" t="s">
        <v>595</v>
      </c>
    </row>
    <row r="242" customFormat="false" ht="12.75" hidden="false" customHeight="true" outlineLevel="0" collapsed="false">
      <c r="A242" s="1" t="s">
        <v>596</v>
      </c>
      <c r="B242" s="133" t="n">
        <f aca="false">B294+B296</f>
        <v>0.00012</v>
      </c>
      <c r="C242" s="104" t="s">
        <v>597</v>
      </c>
    </row>
    <row r="243" customFormat="false" ht="12.75" hidden="false" customHeight="true" outlineLevel="0" collapsed="false">
      <c r="A243" s="117" t="s">
        <v>598</v>
      </c>
      <c r="B243" s="135" t="n">
        <f aca="false">B240+B241+B242</f>
        <v>0.607079850405132</v>
      </c>
      <c r="C243" s="136" t="s">
        <v>599</v>
      </c>
    </row>
    <row r="244" customFormat="false" ht="12.75" hidden="false" customHeight="true" outlineLevel="0" collapsed="false">
      <c r="C244" s="104"/>
    </row>
    <row r="245" customFormat="false" ht="12.75" hidden="false" customHeight="true" outlineLevel="0" collapsed="false">
      <c r="A245" s="36" t="s">
        <v>600</v>
      </c>
      <c r="C245" s="104"/>
    </row>
    <row r="246" customFormat="false" ht="12.75" hidden="false" customHeight="true" outlineLevel="0" collapsed="false">
      <c r="A246" s="1" t="s">
        <v>601</v>
      </c>
      <c r="B246" s="133" t="n">
        <f aca="false">TL_Param!D16+TL_Param!D18-TL_Param!I18</f>
        <v>0.400280101923009</v>
      </c>
      <c r="C246" s="104" t="s">
        <v>602</v>
      </c>
    </row>
    <row r="247" customFormat="false" ht="12.75" hidden="false" customHeight="true" outlineLevel="0" collapsed="false">
      <c r="A247" s="1" t="s">
        <v>603</v>
      </c>
      <c r="B247" s="133" t="n">
        <f aca="false">B230</f>
        <v>0.00067435</v>
      </c>
      <c r="C247" s="104" t="s">
        <v>604</v>
      </c>
    </row>
    <row r="248" customFormat="false" ht="12.75" hidden="false" customHeight="true" outlineLevel="0" collapsed="false">
      <c r="A248" s="1" t="s">
        <v>605</v>
      </c>
      <c r="B248" s="133" t="n">
        <f aca="false">TL_Param!D19+TL_Param!D20-TL_Param!I20+TL_Param!D21</f>
        <v>0.206677122051616</v>
      </c>
      <c r="C248" s="104" t="s">
        <v>606</v>
      </c>
    </row>
    <row r="249" customFormat="false" ht="12.75" hidden="false" customHeight="true" outlineLevel="0" collapsed="false">
      <c r="A249" s="1" t="s">
        <v>607</v>
      </c>
      <c r="B249" s="133" t="n">
        <f aca="false">B235*B23*(1-B217)</f>
        <v>0.00012</v>
      </c>
      <c r="C249" s="104" t="s">
        <v>608</v>
      </c>
    </row>
    <row r="250" customFormat="false" ht="12.75" hidden="false" customHeight="true" outlineLevel="0" collapsed="false">
      <c r="A250" s="117" t="s">
        <v>609</v>
      </c>
      <c r="B250" s="135" t="n">
        <f aca="false">B246+B247+B248+B249</f>
        <v>0.607751573974624</v>
      </c>
      <c r="C250" s="136" t="s">
        <v>610</v>
      </c>
    </row>
    <row r="251" customFormat="false" ht="12.75" hidden="false" customHeight="true" outlineLevel="0" collapsed="false">
      <c r="C251" s="104"/>
    </row>
    <row r="252" customFormat="false" ht="12.75" hidden="false" customHeight="true" outlineLevel="0" collapsed="false">
      <c r="A252" s="1" t="s">
        <v>611</v>
      </c>
      <c r="B252" s="137" t="n">
        <f aca="false">(B243-B240)/B240</f>
        <v>0.000198201016722885</v>
      </c>
      <c r="C252" s="104" t="s">
        <v>612</v>
      </c>
    </row>
    <row r="253" customFormat="false" ht="12.75" hidden="false" customHeight="true" outlineLevel="0" collapsed="false">
      <c r="A253" s="1" t="s">
        <v>613</v>
      </c>
      <c r="B253" s="137" t="n">
        <f aca="false">(B250-B240)/B240</f>
        <v>0.00130490338106284</v>
      </c>
      <c r="C253" s="104" t="s">
        <v>614</v>
      </c>
    </row>
    <row r="254" customFormat="false" ht="12.75" hidden="false" customHeight="true" outlineLevel="0" collapsed="false">
      <c r="C254" s="104"/>
    </row>
    <row r="255" customFormat="false" ht="12.75" hidden="false" customHeight="true" outlineLevel="0" collapsed="false">
      <c r="A255" s="117" t="s">
        <v>615</v>
      </c>
      <c r="B255" s="117" t="s">
        <v>5</v>
      </c>
      <c r="C255" s="124" t="s">
        <v>6</v>
      </c>
    </row>
    <row r="256" customFormat="false" ht="12.75" hidden="false" customHeight="true" outlineLevel="0" collapsed="false">
      <c r="C256" s="104"/>
    </row>
    <row r="257" customFormat="false" ht="12.75" hidden="false" customHeight="true" outlineLevel="0" collapsed="false">
      <c r="A257" s="1" t="s">
        <v>616</v>
      </c>
      <c r="B257" s="39" t="n">
        <f aca="false">B243/(Config!B56*Config!B28)</f>
        <v>9.48562266258019E-006</v>
      </c>
      <c r="C257" s="104" t="s">
        <v>617</v>
      </c>
    </row>
    <row r="258" customFormat="false" ht="12.75" hidden="false" customHeight="true" outlineLevel="0" collapsed="false">
      <c r="A258" s="1" t="s">
        <v>618</v>
      </c>
      <c r="B258" s="138" t="n">
        <f aca="false">1/B257</f>
        <v>105422.705031784</v>
      </c>
      <c r="C258" s="104" t="s">
        <v>619</v>
      </c>
    </row>
    <row r="259" customFormat="false" ht="12.75" hidden="false" customHeight="true" outlineLevel="0" collapsed="false">
      <c r="A259" s="1" t="s">
        <v>620</v>
      </c>
      <c r="B259" s="137" t="n">
        <f aca="false">1-(B258/TL_Param!E23)</f>
        <v>0</v>
      </c>
      <c r="C259" s="104" t="s">
        <v>621</v>
      </c>
    </row>
    <row r="260" customFormat="false" ht="12.75" hidden="false" customHeight="true" outlineLevel="0" collapsed="false">
      <c r="C260" s="104"/>
    </row>
    <row r="261" customFormat="false" ht="12.75" hidden="false" customHeight="true" outlineLevel="0" collapsed="false">
      <c r="A261" s="1" t="s">
        <v>622</v>
      </c>
      <c r="B261" s="39" t="n">
        <f aca="false">B250/(Config!B56*Config!B28)</f>
        <v>9.4961183433535E-006</v>
      </c>
      <c r="C261" s="104" t="s">
        <v>623</v>
      </c>
    </row>
    <row r="262" customFormat="false" ht="12.75" hidden="false" customHeight="true" outlineLevel="0" collapsed="false">
      <c r="A262" s="1" t="s">
        <v>624</v>
      </c>
      <c r="B262" s="138" t="n">
        <f aca="false">1/B261</f>
        <v>105306.185521573</v>
      </c>
      <c r="C262" s="104" t="s">
        <v>619</v>
      </c>
    </row>
    <row r="263" customFormat="false" ht="12.75" hidden="false" customHeight="true" outlineLevel="0" collapsed="false">
      <c r="A263" s="1" t="s">
        <v>625</v>
      </c>
      <c r="B263" s="137" t="n">
        <f aca="false">1-(B262/TL_Param!E23)</f>
        <v>0.00110526010668999</v>
      </c>
      <c r="C263" s="104" t="s">
        <v>626</v>
      </c>
    </row>
    <row r="264" customFormat="false" ht="12.75" hidden="false" customHeight="true" outlineLevel="0" collapsed="false">
      <c r="C264" s="104"/>
    </row>
    <row r="265" customFormat="false" ht="12.75" hidden="false" customHeight="true" outlineLevel="0" collapsed="false">
      <c r="A265" s="100" t="s">
        <v>627</v>
      </c>
      <c r="B265" s="100" t="s">
        <v>5</v>
      </c>
      <c r="C265" s="101" t="s">
        <v>6</v>
      </c>
    </row>
    <row r="266" customFormat="false" ht="12.75" hidden="false" customHeight="true" outlineLevel="0" collapsed="false">
      <c r="A266" s="1" t="s">
        <v>628</v>
      </c>
      <c r="B266" s="138" t="n">
        <f aca="false">TL_Param!E23</f>
        <v>105422.705031784</v>
      </c>
      <c r="C266" s="104" t="s">
        <v>629</v>
      </c>
    </row>
    <row r="267" customFormat="false" ht="12.75" hidden="false" customHeight="true" outlineLevel="0" collapsed="false">
      <c r="A267" s="1" t="s">
        <v>630</v>
      </c>
      <c r="B267" s="138" t="n">
        <f aca="false">B258</f>
        <v>105422.705031784</v>
      </c>
      <c r="C267" s="104" t="s">
        <v>631</v>
      </c>
    </row>
    <row r="268" customFormat="false" ht="12.75" hidden="false" customHeight="true" outlineLevel="0" collapsed="false">
      <c r="A268" s="1" t="s">
        <v>632</v>
      </c>
      <c r="B268" s="138" t="n">
        <f aca="false">B262</f>
        <v>105306.185521573</v>
      </c>
      <c r="C268" s="104" t="s">
        <v>633</v>
      </c>
    </row>
    <row r="269" customFormat="false" ht="12.75" hidden="false" customHeight="true" outlineLevel="0" collapsed="false">
      <c r="A269" s="1" t="s">
        <v>634</v>
      </c>
      <c r="B269" s="137" t="n">
        <f aca="false">B259</f>
        <v>0</v>
      </c>
      <c r="C269" s="104" t="s">
        <v>635</v>
      </c>
    </row>
    <row r="270" customFormat="false" ht="12.75" hidden="false" customHeight="true" outlineLevel="0" collapsed="false">
      <c r="A270" s="1" t="s">
        <v>636</v>
      </c>
      <c r="B270" s="137" t="n">
        <f aca="false">B263</f>
        <v>0.00110526010668999</v>
      </c>
      <c r="C270" s="104" t="s">
        <v>635</v>
      </c>
    </row>
    <row r="271" customFormat="false" ht="12.75" hidden="false" customHeight="true" outlineLevel="0" collapsed="false">
      <c r="C271" s="104"/>
    </row>
    <row r="272" customFormat="false" ht="12.75" hidden="false" customHeight="true" outlineLevel="0" collapsed="false">
      <c r="A272" s="128" t="s">
        <v>637</v>
      </c>
      <c r="B272" s="128" t="s">
        <v>5</v>
      </c>
      <c r="C272" s="132" t="s">
        <v>6</v>
      </c>
    </row>
    <row r="273" customFormat="false" ht="12.75" hidden="false" customHeight="true" outlineLevel="0" collapsed="false">
      <c r="C273" s="104"/>
    </row>
    <row r="274" customFormat="false" ht="12.75" hidden="false" customHeight="true" outlineLevel="0" collapsed="false">
      <c r="A274" s="36" t="s">
        <v>638</v>
      </c>
      <c r="B274" s="36" t="str">
        <f aca="false">IF(B43&gt;=0,"YES","NO")</f>
        <v>YES</v>
      </c>
      <c r="C274" s="104" t="s">
        <v>639</v>
      </c>
    </row>
    <row r="275" customFormat="false" ht="12.75" hidden="false" customHeight="true" outlineLevel="0" collapsed="false">
      <c r="A275" s="1" t="s">
        <v>640</v>
      </c>
      <c r="B275" s="103" t="n">
        <f aca="false">B14</f>
        <v>20.7</v>
      </c>
      <c r="C275" s="104" t="s">
        <v>641</v>
      </c>
    </row>
    <row r="276" customFormat="false" ht="12.75" hidden="false" customHeight="true" outlineLevel="0" collapsed="false">
      <c r="A276" s="1" t="s">
        <v>642</v>
      </c>
      <c r="B276" s="139" t="n">
        <f aca="false">B37/1000000000000</f>
        <v>0.8112</v>
      </c>
      <c r="C276" s="104" t="s">
        <v>643</v>
      </c>
    </row>
    <row r="277" customFormat="false" ht="12.75" hidden="false" customHeight="true" outlineLevel="0" collapsed="false">
      <c r="A277" s="1" t="s">
        <v>644</v>
      </c>
      <c r="B277" s="139" t="n">
        <f aca="false">B40*B169/1000000000000</f>
        <v>0.00431392</v>
      </c>
      <c r="C277" s="104" t="s">
        <v>645</v>
      </c>
    </row>
    <row r="278" customFormat="false" ht="12.75" hidden="false" customHeight="true" outlineLevel="0" collapsed="false">
      <c r="A278" s="1" t="s">
        <v>646</v>
      </c>
      <c r="B278" s="139" t="n">
        <f aca="false">B276+B277</f>
        <v>0.81551392</v>
      </c>
      <c r="C278" s="104" t="s">
        <v>647</v>
      </c>
    </row>
    <row r="279" customFormat="false" ht="12.75" hidden="false" customHeight="true" outlineLevel="0" collapsed="false">
      <c r="A279" s="36" t="s">
        <v>648</v>
      </c>
      <c r="B279" s="36" t="n">
        <f aca="false">IF(B274="YES",1,CEILING(B278/B275,1))</f>
        <v>1</v>
      </c>
      <c r="C279" s="104" t="s">
        <v>649</v>
      </c>
    </row>
    <row r="280" customFormat="false" ht="12.75" hidden="false" customHeight="true" outlineLevel="0" collapsed="false">
      <c r="C280" s="104"/>
    </row>
    <row r="281" customFormat="false" ht="12.75" hidden="false" customHeight="true" outlineLevel="0" collapsed="false">
      <c r="A281" s="100" t="s">
        <v>650</v>
      </c>
      <c r="B281" s="100" t="s">
        <v>5</v>
      </c>
      <c r="C281" s="101" t="s">
        <v>6</v>
      </c>
    </row>
    <row r="282" customFormat="false" ht="12.75" hidden="false" customHeight="true" outlineLevel="0" collapsed="false">
      <c r="A282" s="1" t="s">
        <v>651</v>
      </c>
      <c r="B282" s="1" t="n">
        <f aca="false">B29*2</f>
        <v>14336</v>
      </c>
      <c r="C282" s="104" t="s">
        <v>652</v>
      </c>
    </row>
    <row r="283" customFormat="false" ht="12.75" hidden="false" customHeight="true" outlineLevel="0" collapsed="false">
      <c r="A283" s="1" t="s">
        <v>653</v>
      </c>
      <c r="B283" s="39" t="n">
        <f aca="false">B11*B213*1000000000000/B279</f>
        <v>7200000000000</v>
      </c>
      <c r="C283" s="104" t="s">
        <v>654</v>
      </c>
    </row>
    <row r="284" customFormat="false" ht="12.75" hidden="false" customHeight="true" outlineLevel="0" collapsed="false">
      <c r="A284" s="1" t="s">
        <v>655</v>
      </c>
      <c r="B284" s="39" t="n">
        <f aca="false">IF(B274="YES",0,2*B282/B283)</f>
        <v>0</v>
      </c>
      <c r="C284" s="104" t="s">
        <v>656</v>
      </c>
    </row>
    <row r="285" customFormat="false" ht="12.75" hidden="false" customHeight="true" outlineLevel="0" collapsed="false">
      <c r="A285" s="1" t="s">
        <v>657</v>
      </c>
      <c r="B285" s="39" t="n">
        <f aca="false">IF(B274="YES",0,2*B282*B22/B283)</f>
        <v>0</v>
      </c>
      <c r="C285" s="104" t="s">
        <v>658</v>
      </c>
    </row>
    <row r="286" customFormat="false" ht="12.75" hidden="false" customHeight="true" outlineLevel="0" collapsed="false">
      <c r="C286" s="104"/>
    </row>
    <row r="287" customFormat="false" ht="12.75" hidden="false" customHeight="true" outlineLevel="0" collapsed="false">
      <c r="A287" s="100" t="s">
        <v>659</v>
      </c>
      <c r="B287" s="100" t="s">
        <v>5</v>
      </c>
      <c r="C287" s="101" t="s">
        <v>6</v>
      </c>
    </row>
    <row r="288" customFormat="false" ht="12.75" hidden="false" customHeight="true" outlineLevel="0" collapsed="false">
      <c r="A288" s="1" t="s">
        <v>660</v>
      </c>
      <c r="B288" s="133" t="n">
        <f aca="false">B285*B30</f>
        <v>0</v>
      </c>
      <c r="C288" s="104" t="s">
        <v>661</v>
      </c>
    </row>
    <row r="289" customFormat="false" ht="12.75" hidden="false" customHeight="true" outlineLevel="0" collapsed="false">
      <c r="A289" s="1" t="s">
        <v>662</v>
      </c>
      <c r="B289" s="39" t="n">
        <f aca="false">B284*B30</f>
        <v>0</v>
      </c>
      <c r="C289" s="104" t="s">
        <v>663</v>
      </c>
    </row>
    <row r="290" customFormat="false" ht="12.75" hidden="false" customHeight="true" outlineLevel="0" collapsed="false">
      <c r="A290" s="1" t="s">
        <v>664</v>
      </c>
      <c r="B290" s="133" t="n">
        <f aca="false">B289*B23</f>
        <v>0</v>
      </c>
      <c r="C290" s="104" t="s">
        <v>665</v>
      </c>
    </row>
    <row r="291" customFormat="false" ht="12.75" hidden="false" customHeight="true" outlineLevel="0" collapsed="false">
      <c r="C291" s="104"/>
    </row>
    <row r="292" customFormat="false" ht="12.75" hidden="false" customHeight="true" outlineLevel="0" collapsed="false">
      <c r="A292" s="140" t="s">
        <v>666</v>
      </c>
      <c r="B292" s="140" t="s">
        <v>5</v>
      </c>
      <c r="C292" s="141" t="s">
        <v>6</v>
      </c>
    </row>
    <row r="293" customFormat="false" ht="12.75" hidden="false" customHeight="true" outlineLevel="0" collapsed="false">
      <c r="A293" s="1" t="s">
        <v>667</v>
      </c>
      <c r="B293" s="39" t="n">
        <f aca="false">B214</f>
        <v>3E-007</v>
      </c>
      <c r="C293" s="104" t="s">
        <v>668</v>
      </c>
    </row>
    <row r="294" customFormat="false" ht="12.75" hidden="false" customHeight="true" outlineLevel="0" collapsed="false">
      <c r="A294" s="1" t="s">
        <v>669</v>
      </c>
      <c r="B294" s="133" t="n">
        <f aca="false">B288</f>
        <v>0</v>
      </c>
      <c r="C294" s="104" t="s">
        <v>670</v>
      </c>
    </row>
    <row r="295" customFormat="false" ht="12.75" hidden="false" customHeight="true" outlineLevel="0" collapsed="false">
      <c r="A295" s="1" t="s">
        <v>671</v>
      </c>
      <c r="B295" s="133" t="n">
        <f aca="false">B290+B235*B23</f>
        <v>0.0006</v>
      </c>
      <c r="C295" s="104" t="s">
        <v>672</v>
      </c>
    </row>
    <row r="296" customFormat="false" ht="12.75" hidden="false" customHeight="true" outlineLevel="0" collapsed="false">
      <c r="A296" s="1" t="s">
        <v>673</v>
      </c>
      <c r="B296" s="133" t="n">
        <f aca="false">B290*(1-B217)+B235*B23*(1-B217)</f>
        <v>0.00012</v>
      </c>
      <c r="C296" s="104" t="s">
        <v>674</v>
      </c>
    </row>
    <row r="297" customFormat="false" ht="12.75" hidden="false" customHeight="true" outlineLevel="0" collapsed="false">
      <c r="A297" s="1" t="s">
        <v>667</v>
      </c>
      <c r="B297" s="39" t="n">
        <f aca="false">B293</f>
        <v>3E-007</v>
      </c>
      <c r="C297" s="104" t="s">
        <v>675</v>
      </c>
    </row>
    <row r="298" customFormat="false" ht="12.75" hidden="false" customHeight="true" outlineLevel="0" collapsed="false">
      <c r="C298" s="104"/>
    </row>
    <row r="299" customFormat="false" ht="12.75" hidden="false" customHeight="true" outlineLevel="0" collapsed="false">
      <c r="C299" s="104"/>
    </row>
    <row r="300" customFormat="false" ht="12.75" hidden="false" customHeight="true" outlineLevel="0" collapsed="false">
      <c r="C300" s="104"/>
    </row>
    <row r="301" customFormat="false" ht="12.75" hidden="false" customHeight="true" outlineLevel="0" collapsed="false">
      <c r="C301" s="104"/>
    </row>
    <row r="302" customFormat="false" ht="12.75" hidden="false" customHeight="true" outlineLevel="0" collapsed="false">
      <c r="C302" s="104"/>
    </row>
    <row r="303" customFormat="false" ht="12.75" hidden="false" customHeight="true" outlineLevel="0" collapsed="false">
      <c r="C303" s="104"/>
    </row>
    <row r="304" customFormat="false" ht="12.75" hidden="false" customHeight="true" outlineLevel="0" collapsed="false">
      <c r="C304" s="104"/>
    </row>
    <row r="305" customFormat="false" ht="12.75" hidden="false" customHeight="true" outlineLevel="0" collapsed="false">
      <c r="C305" s="104"/>
    </row>
    <row r="306" customFormat="false" ht="12.75" hidden="false" customHeight="true" outlineLevel="0" collapsed="false">
      <c r="C306" s="104"/>
    </row>
    <row r="307" customFormat="false" ht="12.75" hidden="false" customHeight="true" outlineLevel="0" collapsed="false">
      <c r="C307" s="104"/>
    </row>
    <row r="308" customFormat="false" ht="12.75" hidden="false" customHeight="true" outlineLevel="0" collapsed="false">
      <c r="C308" s="104"/>
    </row>
    <row r="309" customFormat="false" ht="12.75" hidden="false" customHeight="true" outlineLevel="0" collapsed="false">
      <c r="C309" s="104"/>
    </row>
    <row r="310" customFormat="false" ht="12.75" hidden="false" customHeight="true" outlineLevel="0" collapsed="false">
      <c r="C310" s="104"/>
    </row>
    <row r="311" customFormat="false" ht="12.75" hidden="false" customHeight="true" outlineLevel="0" collapsed="false">
      <c r="C311" s="104"/>
    </row>
    <row r="312" customFormat="false" ht="12.75" hidden="false" customHeight="true" outlineLevel="0" collapsed="false">
      <c r="C312" s="104"/>
    </row>
    <row r="313" customFormat="false" ht="12.75" hidden="false" customHeight="true" outlineLevel="0" collapsed="false">
      <c r="C313" s="104"/>
    </row>
    <row r="314" customFormat="false" ht="12.75" hidden="false" customHeight="true" outlineLevel="0" collapsed="false">
      <c r="C314" s="104"/>
    </row>
    <row r="315" customFormat="false" ht="12.75" hidden="false" customHeight="true" outlineLevel="0" collapsed="false">
      <c r="C315" s="104"/>
    </row>
    <row r="316" customFormat="false" ht="12.75" hidden="false" customHeight="true" outlineLevel="0" collapsed="false">
      <c r="C316" s="104"/>
    </row>
    <row r="317" customFormat="false" ht="12.75" hidden="false" customHeight="true" outlineLevel="0" collapsed="false">
      <c r="C317" s="104"/>
    </row>
    <row r="318" customFormat="false" ht="12.75" hidden="false" customHeight="true" outlineLevel="0" collapsed="false">
      <c r="C318" s="104"/>
    </row>
    <row r="319" customFormat="false" ht="12.75" hidden="false" customHeight="true" outlineLevel="0" collapsed="false">
      <c r="C319" s="104"/>
    </row>
    <row r="320" customFormat="false" ht="12.75" hidden="false" customHeight="true" outlineLevel="0" collapsed="false">
      <c r="C320" s="104"/>
    </row>
    <row r="321" customFormat="false" ht="12.75" hidden="false" customHeight="true" outlineLevel="0" collapsed="false">
      <c r="C321" s="104"/>
    </row>
    <row r="322" customFormat="false" ht="12.75" hidden="false" customHeight="true" outlineLevel="0" collapsed="false">
      <c r="C322" s="104"/>
    </row>
    <row r="323" customFormat="false" ht="12.75" hidden="false" customHeight="true" outlineLevel="0" collapsed="false">
      <c r="C323" s="104"/>
    </row>
    <row r="324" customFormat="false" ht="12.75" hidden="false" customHeight="true" outlineLevel="0" collapsed="false">
      <c r="C324" s="104"/>
    </row>
    <row r="325" customFormat="false" ht="12.75" hidden="false" customHeight="true" outlineLevel="0" collapsed="false">
      <c r="C325" s="104"/>
    </row>
    <row r="326" customFormat="false" ht="12.75" hidden="false" customHeight="true" outlineLevel="0" collapsed="false">
      <c r="C326" s="104"/>
    </row>
    <row r="327" customFormat="false" ht="12.75" hidden="false" customHeight="true" outlineLevel="0" collapsed="false">
      <c r="C327" s="104"/>
    </row>
    <row r="328" customFormat="false" ht="12.75" hidden="false" customHeight="true" outlineLevel="0" collapsed="false">
      <c r="C328" s="104"/>
    </row>
    <row r="329" customFormat="false" ht="12.75" hidden="false" customHeight="true" outlineLevel="0" collapsed="false">
      <c r="C329" s="104"/>
    </row>
    <row r="330" customFormat="false" ht="12.75" hidden="false" customHeight="true" outlineLevel="0" collapsed="false">
      <c r="C330" s="104"/>
    </row>
    <row r="331" customFormat="false" ht="12.75" hidden="false" customHeight="true" outlineLevel="0" collapsed="false">
      <c r="C331" s="104"/>
    </row>
    <row r="332" customFormat="false" ht="12.75" hidden="false" customHeight="true" outlineLevel="0" collapsed="false">
      <c r="C332" s="104"/>
    </row>
    <row r="333" customFormat="false" ht="12.75" hidden="false" customHeight="true" outlineLevel="0" collapsed="false">
      <c r="C333" s="104"/>
    </row>
    <row r="334" customFormat="false" ht="12.75" hidden="false" customHeight="true" outlineLevel="0" collapsed="false">
      <c r="C334" s="104"/>
    </row>
    <row r="335" customFormat="false" ht="12.75" hidden="false" customHeight="true" outlineLevel="0" collapsed="false">
      <c r="C335" s="104"/>
    </row>
    <row r="336" customFormat="false" ht="12.75" hidden="false" customHeight="true" outlineLevel="0" collapsed="false">
      <c r="C336" s="104"/>
    </row>
    <row r="337" customFormat="false" ht="12.75" hidden="false" customHeight="true" outlineLevel="0" collapsed="false">
      <c r="C337" s="104"/>
    </row>
    <row r="338" customFormat="false" ht="12.75" hidden="false" customHeight="true" outlineLevel="0" collapsed="false">
      <c r="C338" s="104"/>
    </row>
    <row r="339" customFormat="false" ht="12.75" hidden="false" customHeight="true" outlineLevel="0" collapsed="false">
      <c r="C339" s="104"/>
    </row>
    <row r="340" customFormat="false" ht="12.75" hidden="false" customHeight="true" outlineLevel="0" collapsed="false">
      <c r="C340" s="104"/>
    </row>
    <row r="341" customFormat="false" ht="12.75" hidden="false" customHeight="true" outlineLevel="0" collapsed="false">
      <c r="C341" s="104"/>
    </row>
    <row r="342" customFormat="false" ht="12.75" hidden="false" customHeight="true" outlineLevel="0" collapsed="false">
      <c r="C342" s="104"/>
    </row>
    <row r="343" customFormat="false" ht="12.75" hidden="false" customHeight="true" outlineLevel="0" collapsed="false">
      <c r="C343" s="104"/>
    </row>
    <row r="344" customFormat="false" ht="12.75" hidden="false" customHeight="true" outlineLevel="0" collapsed="false">
      <c r="C344" s="104"/>
    </row>
    <row r="345" customFormat="false" ht="12.75" hidden="false" customHeight="true" outlineLevel="0" collapsed="false">
      <c r="C345" s="104"/>
    </row>
    <row r="346" customFormat="false" ht="12.75" hidden="false" customHeight="true" outlineLevel="0" collapsed="false">
      <c r="C346" s="104"/>
    </row>
    <row r="347" customFormat="false" ht="12.75" hidden="false" customHeight="true" outlineLevel="0" collapsed="false">
      <c r="C347" s="104"/>
    </row>
    <row r="348" customFormat="false" ht="12.75" hidden="false" customHeight="true" outlineLevel="0" collapsed="false">
      <c r="C348" s="104"/>
    </row>
    <row r="349" customFormat="false" ht="12.75" hidden="false" customHeight="true" outlineLevel="0" collapsed="false">
      <c r="C349" s="104"/>
    </row>
    <row r="350" customFormat="false" ht="12.75" hidden="false" customHeight="true" outlineLevel="0" collapsed="false">
      <c r="C350" s="104"/>
    </row>
    <row r="351" customFormat="false" ht="12.75" hidden="false" customHeight="true" outlineLevel="0" collapsed="false">
      <c r="C351" s="104"/>
    </row>
    <row r="352" customFormat="false" ht="12.75" hidden="false" customHeight="true" outlineLevel="0" collapsed="false">
      <c r="C352" s="104"/>
    </row>
    <row r="353" customFormat="false" ht="12.75" hidden="false" customHeight="true" outlineLevel="0" collapsed="false">
      <c r="C353" s="104"/>
    </row>
    <row r="354" customFormat="false" ht="12.75" hidden="false" customHeight="true" outlineLevel="0" collapsed="false">
      <c r="C354" s="104"/>
    </row>
    <row r="355" customFormat="false" ht="12.75" hidden="false" customHeight="true" outlineLevel="0" collapsed="false">
      <c r="C355" s="104"/>
    </row>
    <row r="356" customFormat="false" ht="12.75" hidden="false" customHeight="true" outlineLevel="0" collapsed="false">
      <c r="C356" s="104"/>
    </row>
    <row r="357" customFormat="false" ht="12.75" hidden="false" customHeight="true" outlineLevel="0" collapsed="false">
      <c r="C357" s="104"/>
    </row>
    <row r="358" customFormat="false" ht="12.75" hidden="false" customHeight="true" outlineLevel="0" collapsed="false">
      <c r="C358" s="104"/>
    </row>
    <row r="359" customFormat="false" ht="12.75" hidden="false" customHeight="true" outlineLevel="0" collapsed="false">
      <c r="C359" s="104"/>
    </row>
    <row r="360" customFormat="false" ht="12.75" hidden="false" customHeight="true" outlineLevel="0" collapsed="false">
      <c r="C360" s="104"/>
    </row>
    <row r="361" customFormat="false" ht="12.75" hidden="false" customHeight="true" outlineLevel="0" collapsed="false">
      <c r="C361" s="104"/>
    </row>
    <row r="362" customFormat="false" ht="12.75" hidden="false" customHeight="true" outlineLevel="0" collapsed="false">
      <c r="C362" s="104"/>
    </row>
    <row r="363" customFormat="false" ht="12.75" hidden="false" customHeight="true" outlineLevel="0" collapsed="false">
      <c r="C363" s="104"/>
    </row>
    <row r="364" customFormat="false" ht="12.75" hidden="false" customHeight="true" outlineLevel="0" collapsed="false">
      <c r="C364" s="104"/>
    </row>
    <row r="365" customFormat="false" ht="12.75" hidden="false" customHeight="true" outlineLevel="0" collapsed="false">
      <c r="C365" s="104"/>
    </row>
    <row r="366" customFormat="false" ht="12.75" hidden="false" customHeight="true" outlineLevel="0" collapsed="false">
      <c r="C366" s="104"/>
    </row>
    <row r="367" customFormat="false" ht="12.75" hidden="false" customHeight="true" outlineLevel="0" collapsed="false">
      <c r="C367" s="104"/>
    </row>
    <row r="368" customFormat="false" ht="12.75" hidden="false" customHeight="true" outlineLevel="0" collapsed="false">
      <c r="C368" s="104"/>
    </row>
    <row r="369" customFormat="false" ht="12.75" hidden="false" customHeight="true" outlineLevel="0" collapsed="false">
      <c r="C369" s="104"/>
    </row>
    <row r="370" customFormat="false" ht="12.75" hidden="false" customHeight="true" outlineLevel="0" collapsed="false">
      <c r="C370" s="104"/>
    </row>
    <row r="371" customFormat="false" ht="12.75" hidden="false" customHeight="true" outlineLevel="0" collapsed="false">
      <c r="C371" s="104"/>
    </row>
    <row r="372" customFormat="false" ht="12.75" hidden="false" customHeight="true" outlineLevel="0" collapsed="false">
      <c r="C372" s="104"/>
    </row>
    <row r="373" customFormat="false" ht="12.75" hidden="false" customHeight="true" outlineLevel="0" collapsed="false">
      <c r="C373" s="104"/>
    </row>
    <row r="374" customFormat="false" ht="12.75" hidden="false" customHeight="true" outlineLevel="0" collapsed="false">
      <c r="C374" s="104"/>
    </row>
    <row r="375" customFormat="false" ht="12.75" hidden="false" customHeight="true" outlineLevel="0" collapsed="false">
      <c r="C375" s="104"/>
    </row>
    <row r="376" customFormat="false" ht="12.75" hidden="false" customHeight="true" outlineLevel="0" collapsed="false">
      <c r="C376" s="104"/>
    </row>
    <row r="377" customFormat="false" ht="12.75" hidden="false" customHeight="true" outlineLevel="0" collapsed="false">
      <c r="C377" s="104"/>
    </row>
    <row r="378" customFormat="false" ht="12.75" hidden="false" customHeight="true" outlineLevel="0" collapsed="false">
      <c r="C378" s="104"/>
    </row>
    <row r="379" customFormat="false" ht="12.75" hidden="false" customHeight="true" outlineLevel="0" collapsed="false">
      <c r="C379" s="104"/>
    </row>
    <row r="380" customFormat="false" ht="12.75" hidden="false" customHeight="true" outlineLevel="0" collapsed="false">
      <c r="C380" s="104"/>
    </row>
    <row r="381" customFormat="false" ht="12.75" hidden="false" customHeight="true" outlineLevel="0" collapsed="false">
      <c r="C381" s="104"/>
    </row>
    <row r="382" customFormat="false" ht="12.75" hidden="false" customHeight="true" outlineLevel="0" collapsed="false">
      <c r="C382" s="104"/>
    </row>
    <row r="383" customFormat="false" ht="12.75" hidden="false" customHeight="true" outlineLevel="0" collapsed="false">
      <c r="C383" s="104"/>
    </row>
    <row r="384" customFormat="false" ht="12.75" hidden="false" customHeight="true" outlineLevel="0" collapsed="false">
      <c r="C384" s="104"/>
    </row>
    <row r="385" customFormat="false" ht="12.75" hidden="false" customHeight="true" outlineLevel="0" collapsed="false">
      <c r="C385" s="104"/>
    </row>
    <row r="386" customFormat="false" ht="12.75" hidden="false" customHeight="true" outlineLevel="0" collapsed="false">
      <c r="C386" s="104"/>
    </row>
    <row r="387" customFormat="false" ht="12.75" hidden="false" customHeight="true" outlineLevel="0" collapsed="false">
      <c r="C387" s="104"/>
    </row>
    <row r="388" customFormat="false" ht="12.75" hidden="false" customHeight="true" outlineLevel="0" collapsed="false">
      <c r="C388" s="104"/>
    </row>
    <row r="389" customFormat="false" ht="12.75" hidden="false" customHeight="true" outlineLevel="0" collapsed="false">
      <c r="C389" s="104"/>
    </row>
    <row r="390" customFormat="false" ht="12.75" hidden="false" customHeight="true" outlineLevel="0" collapsed="false">
      <c r="C390" s="104"/>
    </row>
    <row r="391" customFormat="false" ht="12.75" hidden="false" customHeight="true" outlineLevel="0" collapsed="false">
      <c r="C391" s="104"/>
    </row>
    <row r="392" customFormat="false" ht="12.75" hidden="false" customHeight="true" outlineLevel="0" collapsed="false">
      <c r="C392" s="104"/>
    </row>
    <row r="393" customFormat="false" ht="12.75" hidden="false" customHeight="true" outlineLevel="0" collapsed="false">
      <c r="C393" s="104"/>
    </row>
    <row r="394" customFormat="false" ht="12.75" hidden="false" customHeight="true" outlineLevel="0" collapsed="false">
      <c r="C394" s="104"/>
    </row>
    <row r="395" customFormat="false" ht="12.75" hidden="false" customHeight="true" outlineLevel="0" collapsed="false">
      <c r="C395" s="104"/>
    </row>
    <row r="396" customFormat="false" ht="12.75" hidden="false" customHeight="true" outlineLevel="0" collapsed="false">
      <c r="C396" s="104"/>
    </row>
    <row r="397" customFormat="false" ht="12.75" hidden="false" customHeight="true" outlineLevel="0" collapsed="false">
      <c r="C397" s="104"/>
    </row>
    <row r="398" customFormat="false" ht="12.75" hidden="false" customHeight="true" outlineLevel="0" collapsed="false">
      <c r="C398" s="104"/>
    </row>
    <row r="399" customFormat="false" ht="12.75" hidden="false" customHeight="true" outlineLevel="0" collapsed="false">
      <c r="C399" s="104"/>
    </row>
    <row r="400" customFormat="false" ht="12.75" hidden="false" customHeight="true" outlineLevel="0" collapsed="false">
      <c r="C400" s="104"/>
    </row>
    <row r="401" customFormat="false" ht="12.75" hidden="false" customHeight="true" outlineLevel="0" collapsed="false">
      <c r="C401" s="104"/>
    </row>
    <row r="402" customFormat="false" ht="12.75" hidden="false" customHeight="true" outlineLevel="0" collapsed="false">
      <c r="C402" s="104"/>
    </row>
    <row r="403" customFormat="false" ht="12.75" hidden="false" customHeight="true" outlineLevel="0" collapsed="false">
      <c r="C403" s="104"/>
    </row>
    <row r="404" customFormat="false" ht="12.75" hidden="false" customHeight="true" outlineLevel="0" collapsed="false">
      <c r="C404" s="104"/>
    </row>
    <row r="405" customFormat="false" ht="12.75" hidden="false" customHeight="true" outlineLevel="0" collapsed="false">
      <c r="C405" s="104"/>
    </row>
    <row r="406" customFormat="false" ht="12.75" hidden="false" customHeight="true" outlineLevel="0" collapsed="false">
      <c r="C406" s="104"/>
    </row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C5ADB"/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57" activePane="bottomLeft" state="frozen"/>
      <selection pane="topLeft" activeCell="A1" activeCellId="0" sqref="A1"/>
      <selection pane="bottomLeft" activeCell="J88" activeCellId="0" sqref="J88"/>
    </sheetView>
  </sheetViews>
  <sheetFormatPr defaultColWidth="12.66796875" defaultRowHeight="12.75" zeroHeight="false" outlineLevelRow="0" outlineLevelCol="0"/>
  <cols>
    <col collapsed="false" customWidth="true" hidden="false" outlineLevel="0" max="1" min="1" style="1" width="31.33"/>
    <col collapsed="false" customWidth="true" hidden="false" outlineLevel="0" max="2" min="2" style="1" width="11.11"/>
    <col collapsed="false" customWidth="true" hidden="false" outlineLevel="0" max="3" min="3" style="1" width="12.33"/>
    <col collapsed="false" customWidth="true" hidden="false" outlineLevel="0" max="4" min="4" style="1" width="11.11"/>
    <col collapsed="false" customWidth="true" hidden="false" outlineLevel="0" max="5" min="5" style="1" width="35.67"/>
    <col collapsed="false" customWidth="true" hidden="false" outlineLevel="0" max="6" min="6" style="1" width="8.88"/>
    <col collapsed="false" customWidth="true" hidden="false" outlineLevel="0" max="26" min="7" style="1" width="11.11"/>
  </cols>
  <sheetData>
    <row r="1" customFormat="false" ht="12.75" hidden="false" customHeight="true" outlineLevel="0" collapsed="false">
      <c r="A1" s="142" t="s">
        <v>676</v>
      </c>
      <c r="B1" s="143"/>
      <c r="C1" s="143"/>
      <c r="D1" s="143"/>
      <c r="E1" s="143"/>
      <c r="F1" s="143"/>
    </row>
    <row r="2" customFormat="false" ht="12.75" hidden="false" customHeight="true" outlineLevel="0" collapsed="false"/>
    <row r="3" customFormat="false" ht="12.75" hidden="false" customHeight="true" outlineLevel="0" collapsed="false">
      <c r="A3" s="144" t="s">
        <v>677</v>
      </c>
      <c r="B3" s="144"/>
      <c r="C3" s="144"/>
      <c r="D3" s="144"/>
      <c r="E3" s="144"/>
      <c r="F3" s="145"/>
    </row>
    <row r="4" customFormat="false" ht="12.75" hidden="false" customHeight="true" outlineLevel="0" collapsed="false">
      <c r="A4" s="146" t="s">
        <v>678</v>
      </c>
      <c r="B4" s="146" t="s">
        <v>679</v>
      </c>
      <c r="C4" s="146" t="s">
        <v>680</v>
      </c>
      <c r="E4" s="146" t="s">
        <v>681</v>
      </c>
    </row>
    <row r="5" customFormat="false" ht="12.75" hidden="false" customHeight="true" outlineLevel="0" collapsed="false">
      <c r="A5" s="1" t="s">
        <v>682</v>
      </c>
      <c r="B5" s="147" t="n">
        <f aca="false">Config!F5/1000000</f>
        <v>1000</v>
      </c>
      <c r="C5" s="148" t="s">
        <v>683</v>
      </c>
      <c r="E5" s="103" t="s">
        <v>684</v>
      </c>
    </row>
    <row r="6" customFormat="false" ht="12.75" hidden="false" customHeight="true" outlineLevel="0" collapsed="false">
      <c r="A6" s="1" t="s">
        <v>10</v>
      </c>
      <c r="B6" s="149" t="n">
        <f aca="false">Config!F6</f>
        <v>1.2</v>
      </c>
      <c r="C6" s="148"/>
      <c r="E6" s="103" t="s">
        <v>685</v>
      </c>
    </row>
    <row r="7" customFormat="false" ht="12.75" hidden="false" customHeight="true" outlineLevel="0" collapsed="false">
      <c r="A7" s="1" t="s">
        <v>686</v>
      </c>
      <c r="B7" s="147" t="n">
        <f aca="false">B5*B6</f>
        <v>1200</v>
      </c>
      <c r="C7" s="148" t="s">
        <v>683</v>
      </c>
      <c r="E7" s="1" t="s">
        <v>687</v>
      </c>
    </row>
    <row r="8" customFormat="false" ht="12.75" hidden="false" customHeight="true" outlineLevel="0" collapsed="false">
      <c r="A8" s="1" t="s">
        <v>11</v>
      </c>
      <c r="B8" s="150" t="str">
        <f aca="false">Config!F7</f>
        <v>Vera Rubin NVL72</v>
      </c>
      <c r="E8" s="103" t="s">
        <v>688</v>
      </c>
    </row>
    <row r="9" customFormat="false" ht="12.75" hidden="false" customHeight="true" outlineLevel="0" collapsed="false">
      <c r="A9" s="1" t="s">
        <v>689</v>
      </c>
      <c r="B9" s="147" t="n">
        <f aca="false">Config!F8</f>
        <v>5263</v>
      </c>
      <c r="C9" s="148" t="s">
        <v>690</v>
      </c>
      <c r="E9" s="103" t="s">
        <v>691</v>
      </c>
    </row>
    <row r="10" customFormat="false" ht="12.75" hidden="false" customHeight="true" outlineLevel="0" collapsed="false">
      <c r="A10" s="1" t="s">
        <v>692</v>
      </c>
      <c r="B10" s="147" t="n">
        <f aca="false">Config!F14</f>
        <v>72</v>
      </c>
      <c r="C10" s="148" t="s">
        <v>693</v>
      </c>
      <c r="E10" s="103" t="s">
        <v>694</v>
      </c>
    </row>
    <row r="11" customFormat="false" ht="12.75" hidden="false" customHeight="true" outlineLevel="0" collapsed="false">
      <c r="A11" s="1" t="s">
        <v>695</v>
      </c>
      <c r="B11" s="147" t="n">
        <f aca="false">B9*B10</f>
        <v>378936</v>
      </c>
      <c r="C11" s="148" t="s">
        <v>693</v>
      </c>
      <c r="E11" s="103" t="s">
        <v>696</v>
      </c>
    </row>
    <row r="12" customFormat="false" ht="12.75" hidden="false" customHeight="true" outlineLevel="0" collapsed="false">
      <c r="A12" s="1" t="s">
        <v>697</v>
      </c>
      <c r="B12" s="151" t="n">
        <f aca="false">B5*1000/B9</f>
        <v>190.005700171005</v>
      </c>
      <c r="C12" s="148" t="s">
        <v>698</v>
      </c>
      <c r="E12" s="103" t="s">
        <v>699</v>
      </c>
    </row>
    <row r="13" customFormat="false" ht="12.75" hidden="false" customHeight="true" outlineLevel="0" collapsed="false">
      <c r="A13" s="1" t="s">
        <v>700</v>
      </c>
      <c r="B13" s="147" t="n">
        <f aca="false">B9*80</f>
        <v>421040</v>
      </c>
      <c r="C13" s="148" t="s">
        <v>701</v>
      </c>
      <c r="E13" s="103" t="s">
        <v>702</v>
      </c>
    </row>
    <row r="14" customFormat="false" ht="12.75" hidden="false" customHeight="true" outlineLevel="0" collapsed="false"/>
    <row r="15" customFormat="false" ht="12.75" hidden="false" customHeight="true" outlineLevel="0" collapsed="false">
      <c r="A15" s="144" t="s">
        <v>703</v>
      </c>
      <c r="B15" s="145"/>
      <c r="C15" s="145"/>
      <c r="D15" s="145"/>
      <c r="E15" s="145"/>
      <c r="F15" s="145"/>
    </row>
    <row r="16" customFormat="false" ht="12.75" hidden="false" customHeight="true" outlineLevel="0" collapsed="false">
      <c r="A16" s="146" t="s">
        <v>704</v>
      </c>
      <c r="B16" s="146" t="s">
        <v>705</v>
      </c>
      <c r="C16" s="146" t="s">
        <v>706</v>
      </c>
      <c r="D16" s="146" t="s">
        <v>707</v>
      </c>
      <c r="E16" s="146" t="s">
        <v>708</v>
      </c>
      <c r="F16" s="146" t="s">
        <v>709</v>
      </c>
    </row>
    <row r="17" customFormat="false" ht="12.75" hidden="false" customHeight="true" outlineLevel="0" collapsed="false">
      <c r="A17" s="152" t="s">
        <v>710</v>
      </c>
      <c r="B17" s="153"/>
      <c r="C17" s="153"/>
      <c r="D17" s="153"/>
      <c r="E17" s="153"/>
      <c r="F17" s="153"/>
    </row>
    <row r="18" customFormat="false" ht="12.75" hidden="false" customHeight="true" outlineLevel="0" collapsed="false">
      <c r="A18" s="1" t="str">
        <f aca="false">"  "&amp;Config!F7&amp;" Racks"</f>
        <v>  Vera Rubin NVL72 Racks</v>
      </c>
      <c r="B18" s="154" t="n">
        <f aca="false">Config!F27</f>
        <v>6000000</v>
      </c>
      <c r="C18" s="147" t="n">
        <f aca="false">B9</f>
        <v>5263</v>
      </c>
      <c r="D18" s="155" t="n">
        <f aca="false">B18*C18/1000000</f>
        <v>31578</v>
      </c>
      <c r="E18" s="1" t="s">
        <v>711</v>
      </c>
      <c r="F18" s="156" t="n">
        <f aca="false">D18/$D$54</f>
        <v>0.730394547764066</v>
      </c>
    </row>
    <row r="19" customFormat="false" ht="12.75" hidden="false" customHeight="true" outlineLevel="0" collapsed="false">
      <c r="A19" s="1" t="s">
        <v>712</v>
      </c>
      <c r="B19" s="157" t="n">
        <v>150000</v>
      </c>
      <c r="C19" s="147" t="n">
        <f aca="false">B9</f>
        <v>5263</v>
      </c>
      <c r="D19" s="155" t="n">
        <f aca="false">B19*C19/1000000</f>
        <v>789.45</v>
      </c>
      <c r="E19" s="1" t="s">
        <v>713</v>
      </c>
      <c r="F19" s="156" t="n">
        <f aca="false">D19/$D$54</f>
        <v>0.0182598636941016</v>
      </c>
    </row>
    <row r="20" customFormat="false" ht="12.75" hidden="false" customHeight="true" outlineLevel="0" collapsed="false">
      <c r="A20" s="1" t="s">
        <v>714</v>
      </c>
      <c r="B20" s="157" t="n">
        <v>35000</v>
      </c>
      <c r="C20" s="147" t="n">
        <f aca="false">B9</f>
        <v>5263</v>
      </c>
      <c r="D20" s="155" t="n">
        <f aca="false">B20*C20/1000000</f>
        <v>184.205</v>
      </c>
      <c r="E20" s="1" t="s">
        <v>715</v>
      </c>
      <c r="F20" s="156" t="n">
        <f aca="false">D20/$D$54</f>
        <v>0.00426063486195705</v>
      </c>
    </row>
    <row r="21" customFormat="false" ht="12.75" hidden="false" customHeight="true" outlineLevel="0" collapsed="false">
      <c r="A21" s="1" t="s">
        <v>716</v>
      </c>
      <c r="B21" s="157" t="n">
        <v>25000</v>
      </c>
      <c r="C21" s="147" t="n">
        <f aca="false">B9</f>
        <v>5263</v>
      </c>
      <c r="D21" s="155" t="n">
        <f aca="false">B21*C21/1000000</f>
        <v>131.575</v>
      </c>
      <c r="E21" s="1" t="s">
        <v>717</v>
      </c>
      <c r="F21" s="156" t="n">
        <f aca="false">D21/$D$54</f>
        <v>0.00304331061568361</v>
      </c>
    </row>
    <row r="22" customFormat="false" ht="12.75" hidden="false" customHeight="true" outlineLevel="0" collapsed="false">
      <c r="A22" s="158" t="s">
        <v>718</v>
      </c>
      <c r="B22" s="159"/>
      <c r="C22" s="159"/>
      <c r="D22" s="160" t="n">
        <f aca="false">SUM(D18:D21)</f>
        <v>32683.23</v>
      </c>
      <c r="E22" s="159"/>
      <c r="F22" s="161" t="n">
        <f aca="false">D22/$D$54</f>
        <v>0.755958356935808</v>
      </c>
    </row>
    <row r="23" customFormat="false" ht="12.75" hidden="false" customHeight="true" outlineLevel="0" collapsed="false"/>
    <row r="24" customFormat="false" ht="12.75" hidden="false" customHeight="true" outlineLevel="0" collapsed="false">
      <c r="A24" s="152" t="s">
        <v>719</v>
      </c>
      <c r="B24" s="153"/>
      <c r="C24" s="153"/>
      <c r="D24" s="153"/>
      <c r="E24" s="153"/>
      <c r="F24" s="153"/>
    </row>
    <row r="25" customFormat="false" ht="12.75" hidden="false" customHeight="true" outlineLevel="0" collapsed="false">
      <c r="A25" s="1" t="s">
        <v>720</v>
      </c>
      <c r="B25" s="157" t="n">
        <v>200000</v>
      </c>
      <c r="C25" s="147" t="n">
        <v>100</v>
      </c>
      <c r="D25" s="155" t="n">
        <f aca="false">B25*C25/1000000</f>
        <v>20</v>
      </c>
      <c r="E25" s="1" t="s">
        <v>721</v>
      </c>
      <c r="F25" s="156" t="n">
        <f aca="false">D25/$D$54</f>
        <v>0.000462597091496653</v>
      </c>
    </row>
    <row r="26" customFormat="false" ht="12.75" hidden="false" customHeight="true" outlineLevel="0" collapsed="false">
      <c r="A26" s="1" t="s">
        <v>722</v>
      </c>
      <c r="B26" s="157" t="n">
        <v>3000000</v>
      </c>
      <c r="C26" s="147" t="n">
        <f aca="false">B7</f>
        <v>1200</v>
      </c>
      <c r="D26" s="155" t="n">
        <f aca="false">B26*C26/1000000</f>
        <v>3600</v>
      </c>
      <c r="E26" s="1" t="s">
        <v>723</v>
      </c>
      <c r="F26" s="156" t="n">
        <f aca="false">D26/$D$54</f>
        <v>0.0832674764693976</v>
      </c>
    </row>
    <row r="27" customFormat="false" ht="12.75" hidden="false" customHeight="true" outlineLevel="0" collapsed="false">
      <c r="A27" s="1" t="s">
        <v>724</v>
      </c>
      <c r="B27" s="157" t="n">
        <v>500000</v>
      </c>
      <c r="C27" s="147" t="n">
        <f aca="false">B7</f>
        <v>1200</v>
      </c>
      <c r="D27" s="155" t="n">
        <f aca="false">B27*C27/1000000</f>
        <v>600</v>
      </c>
      <c r="E27" s="1" t="s">
        <v>725</v>
      </c>
      <c r="F27" s="156" t="n">
        <f aca="false">D27/$D$54</f>
        <v>0.0138779127448996</v>
      </c>
    </row>
    <row r="28" customFormat="false" ht="12.75" hidden="false" customHeight="true" outlineLevel="0" collapsed="false">
      <c r="A28" s="158" t="s">
        <v>726</v>
      </c>
      <c r="B28" s="159"/>
      <c r="C28" s="159"/>
      <c r="D28" s="160" t="n">
        <f aca="false">SUM(D25:D27)</f>
        <v>4220</v>
      </c>
      <c r="E28" s="159"/>
      <c r="F28" s="161" t="n">
        <f aca="false">D28/$D$54</f>
        <v>0.0976079863057938</v>
      </c>
    </row>
    <row r="29" customFormat="false" ht="12.75" hidden="false" customHeight="true" outlineLevel="0" collapsed="false"/>
    <row r="30" customFormat="false" ht="12.75" hidden="false" customHeight="true" outlineLevel="0" collapsed="false">
      <c r="A30" s="152" t="s">
        <v>727</v>
      </c>
      <c r="B30" s="153"/>
      <c r="C30" s="153"/>
      <c r="D30" s="153"/>
      <c r="E30" s="153"/>
      <c r="F30" s="153"/>
    </row>
    <row r="31" customFormat="false" ht="12.75" hidden="false" customHeight="true" outlineLevel="0" collapsed="false">
      <c r="A31" s="1" t="s">
        <v>728</v>
      </c>
      <c r="B31" s="157" t="n">
        <v>1500000</v>
      </c>
      <c r="C31" s="147" t="n">
        <f aca="false">B7</f>
        <v>1200</v>
      </c>
      <c r="D31" s="155" t="n">
        <f aca="false">B31*C31/1000000</f>
        <v>1800</v>
      </c>
      <c r="E31" s="1" t="s">
        <v>729</v>
      </c>
      <c r="F31" s="156" t="n">
        <f aca="false">D31/$D$54</f>
        <v>0.0416337382346988</v>
      </c>
    </row>
    <row r="32" customFormat="false" ht="12.75" hidden="false" customHeight="true" outlineLevel="0" collapsed="false">
      <c r="A32" s="1" t="s">
        <v>730</v>
      </c>
      <c r="B32" s="157" t="n">
        <v>800000</v>
      </c>
      <c r="C32" s="147" t="n">
        <f aca="false">B7</f>
        <v>1200</v>
      </c>
      <c r="D32" s="155" t="n">
        <f aca="false">B32*C32/1000000</f>
        <v>960</v>
      </c>
      <c r="E32" s="1" t="s">
        <v>731</v>
      </c>
      <c r="F32" s="156" t="n">
        <f aca="false">D32/$D$54</f>
        <v>0.0222046603918394</v>
      </c>
    </row>
    <row r="33" customFormat="false" ht="12.75" hidden="false" customHeight="true" outlineLevel="0" collapsed="false">
      <c r="A33" s="1" t="s">
        <v>732</v>
      </c>
      <c r="B33" s="157" t="n">
        <v>600000</v>
      </c>
      <c r="C33" s="147" t="n">
        <f aca="false">B7</f>
        <v>1200</v>
      </c>
      <c r="D33" s="155" t="n">
        <f aca="false">B33*C33/1000000</f>
        <v>720</v>
      </c>
      <c r="E33" s="1" t="s">
        <v>733</v>
      </c>
      <c r="F33" s="156" t="n">
        <f aca="false">D33/$D$54</f>
        <v>0.0166534952938795</v>
      </c>
    </row>
    <row r="34" customFormat="false" ht="12.75" hidden="false" customHeight="true" outlineLevel="0" collapsed="false">
      <c r="A34" s="1" t="s">
        <v>734</v>
      </c>
      <c r="B34" s="157" t="n">
        <v>400000</v>
      </c>
      <c r="C34" s="147" t="n">
        <f aca="false">B5</f>
        <v>1000</v>
      </c>
      <c r="D34" s="155" t="n">
        <f aca="false">B34*C34/1000000</f>
        <v>400</v>
      </c>
      <c r="E34" s="1" t="s">
        <v>735</v>
      </c>
      <c r="F34" s="156" t="n">
        <f aca="false">D34/$D$54</f>
        <v>0.00925194182993306</v>
      </c>
    </row>
    <row r="35" customFormat="false" ht="12.75" hidden="false" customHeight="true" outlineLevel="0" collapsed="false">
      <c r="A35" s="158" t="s">
        <v>736</v>
      </c>
      <c r="B35" s="159"/>
      <c r="C35" s="159"/>
      <c r="D35" s="160" t="n">
        <f aca="false">SUM(D31:D34)</f>
        <v>3880</v>
      </c>
      <c r="E35" s="159"/>
      <c r="F35" s="161" t="n">
        <f aca="false">D35/$D$54</f>
        <v>0.0897438357503507</v>
      </c>
    </row>
    <row r="36" customFormat="false" ht="12.75" hidden="false" customHeight="true" outlineLevel="0" collapsed="false"/>
    <row r="37" customFormat="false" ht="12.75" hidden="false" customHeight="true" outlineLevel="0" collapsed="false">
      <c r="A37" s="152" t="s">
        <v>737</v>
      </c>
      <c r="B37" s="153"/>
      <c r="C37" s="153"/>
      <c r="D37" s="153"/>
      <c r="E37" s="153"/>
      <c r="F37" s="153"/>
    </row>
    <row r="38" customFormat="false" ht="12.75" hidden="false" customHeight="true" outlineLevel="0" collapsed="false">
      <c r="A38" s="1" t="s">
        <v>738</v>
      </c>
      <c r="B38" s="157" t="n">
        <v>56000</v>
      </c>
      <c r="C38" s="147" t="n">
        <f aca="false">B9</f>
        <v>5263</v>
      </c>
      <c r="D38" s="155" t="n">
        <f aca="false">B38*C38/1000000</f>
        <v>294.728</v>
      </c>
      <c r="E38" s="1" t="s">
        <v>739</v>
      </c>
      <c r="F38" s="156" t="n">
        <f aca="false">D38/$D$54</f>
        <v>0.00681701577913128</v>
      </c>
    </row>
    <row r="39" customFormat="false" ht="12.75" hidden="false" customHeight="true" outlineLevel="0" collapsed="false">
      <c r="A39" s="1" t="s">
        <v>740</v>
      </c>
      <c r="B39" s="157" t="n">
        <v>300000</v>
      </c>
      <c r="C39" s="147" t="n">
        <f aca="false">B7</f>
        <v>1200</v>
      </c>
      <c r="D39" s="155" t="n">
        <f aca="false">B39*C39/1000000</f>
        <v>360</v>
      </c>
      <c r="E39" s="1" t="s">
        <v>741</v>
      </c>
      <c r="F39" s="156" t="n">
        <f aca="false">D39/$D$54</f>
        <v>0.00832674764693976</v>
      </c>
    </row>
    <row r="40" customFormat="false" ht="12.75" hidden="false" customHeight="true" outlineLevel="0" collapsed="false">
      <c r="A40" s="1" t="s">
        <v>742</v>
      </c>
      <c r="B40" s="157" t="n">
        <v>100000</v>
      </c>
      <c r="C40" s="147" t="n">
        <f aca="false">B7</f>
        <v>1200</v>
      </c>
      <c r="D40" s="155" t="n">
        <f aca="false">B40*C40/1000000</f>
        <v>120</v>
      </c>
      <c r="E40" s="1" t="s">
        <v>743</v>
      </c>
      <c r="F40" s="156" t="n">
        <f aca="false">D40/$D$54</f>
        <v>0.00277558254897992</v>
      </c>
    </row>
    <row r="41" customFormat="false" ht="12.75" hidden="false" customHeight="true" outlineLevel="0" collapsed="false">
      <c r="A41" s="158" t="s">
        <v>744</v>
      </c>
      <c r="B41" s="159"/>
      <c r="C41" s="159"/>
      <c r="D41" s="160" t="n">
        <f aca="false">SUM(D38:D40)</f>
        <v>774.728</v>
      </c>
      <c r="E41" s="159"/>
      <c r="F41" s="161" t="n">
        <f aca="false">D41/$D$54</f>
        <v>0.017919345975051</v>
      </c>
    </row>
    <row r="42" customFormat="false" ht="12.75" hidden="false" customHeight="true" outlineLevel="0" collapsed="false"/>
    <row r="43" customFormat="false" ht="12.75" hidden="false" customHeight="true" outlineLevel="0" collapsed="false">
      <c r="A43" s="152" t="s">
        <v>745</v>
      </c>
      <c r="B43" s="153"/>
      <c r="C43" s="153"/>
      <c r="D43" s="153"/>
      <c r="E43" s="153"/>
      <c r="F43" s="153"/>
    </row>
    <row r="44" customFormat="false" ht="12.75" hidden="false" customHeight="true" outlineLevel="0" collapsed="false">
      <c r="A44" s="1" t="s">
        <v>746</v>
      </c>
      <c r="B44" s="157" t="n">
        <v>200000</v>
      </c>
      <c r="C44" s="147" t="n">
        <f aca="false">B7</f>
        <v>1200</v>
      </c>
      <c r="D44" s="155" t="n">
        <f aca="false">B44*C44/1000000</f>
        <v>240</v>
      </c>
      <c r="E44" s="1" t="s">
        <v>747</v>
      </c>
      <c r="F44" s="156" t="n">
        <f aca="false">D44/$D$54</f>
        <v>0.00555116509795984</v>
      </c>
    </row>
    <row r="45" customFormat="false" ht="12.75" hidden="false" customHeight="true" outlineLevel="0" collapsed="false">
      <c r="A45" s="1" t="s">
        <v>748</v>
      </c>
      <c r="B45" s="157" t="n">
        <v>50000</v>
      </c>
      <c r="C45" s="147" t="n">
        <f aca="false">B7</f>
        <v>1200</v>
      </c>
      <c r="D45" s="155" t="n">
        <f aca="false">B45*C45/1000000</f>
        <v>60</v>
      </c>
      <c r="E45" s="1" t="s">
        <v>749</v>
      </c>
      <c r="F45" s="156" t="n">
        <f aca="false">D45/$D$54</f>
        <v>0.00138779127448996</v>
      </c>
    </row>
    <row r="46" customFormat="false" ht="12.75" hidden="false" customHeight="true" outlineLevel="0" collapsed="false">
      <c r="A46" s="158" t="s">
        <v>750</v>
      </c>
      <c r="B46" s="159"/>
      <c r="C46" s="159"/>
      <c r="D46" s="160" t="n">
        <f aca="false">SUM(D44:D45)</f>
        <v>300</v>
      </c>
      <c r="E46" s="159"/>
      <c r="F46" s="161" t="n">
        <f aca="false">D46/$D$54</f>
        <v>0.0069389563724498</v>
      </c>
    </row>
    <row r="47" customFormat="false" ht="12.75" hidden="false" customHeight="true" outlineLevel="0" collapsed="false"/>
    <row r="48" customFormat="false" ht="12.75" hidden="false" customHeight="true" outlineLevel="0" collapsed="false">
      <c r="A48" s="152" t="s">
        <v>751</v>
      </c>
      <c r="B48" s="153"/>
      <c r="C48" s="153"/>
      <c r="D48" s="153"/>
      <c r="E48" s="153"/>
      <c r="F48" s="153"/>
    </row>
    <row r="49" customFormat="false" ht="12.75" hidden="false" customHeight="true" outlineLevel="0" collapsed="false">
      <c r="A49" s="1" t="s">
        <v>752</v>
      </c>
      <c r="B49" s="162" t="n">
        <v>0.03</v>
      </c>
      <c r="C49" s="150" t="s">
        <v>753</v>
      </c>
      <c r="D49" s="155" t="n">
        <f aca="false">B49*(D28+D35+D41+D46)</f>
        <v>275.24184</v>
      </c>
      <c r="E49" s="1" t="s">
        <v>754</v>
      </c>
      <c r="F49" s="156" t="n">
        <f aca="false">D49/$D$54</f>
        <v>0.00636630373210936</v>
      </c>
    </row>
    <row r="50" customFormat="false" ht="12.75" hidden="false" customHeight="true" outlineLevel="0" collapsed="false">
      <c r="A50" s="1" t="s">
        <v>755</v>
      </c>
      <c r="B50" s="162" t="n">
        <v>0.02</v>
      </c>
      <c r="C50" s="150" t="s">
        <v>753</v>
      </c>
      <c r="D50" s="155" t="n">
        <f aca="false">B50*(D28+D35+D41+D46)</f>
        <v>183.49456</v>
      </c>
      <c r="E50" s="1" t="s">
        <v>756</v>
      </c>
      <c r="F50" s="156" t="n">
        <f aca="false">D50/$D$54</f>
        <v>0.00424420248807291</v>
      </c>
    </row>
    <row r="51" customFormat="false" ht="12.75" hidden="false" customHeight="true" outlineLevel="0" collapsed="false">
      <c r="A51" s="1" t="s">
        <v>757</v>
      </c>
      <c r="B51" s="162" t="n">
        <v>0.1</v>
      </c>
      <c r="C51" s="150" t="s">
        <v>753</v>
      </c>
      <c r="D51" s="155" t="n">
        <f aca="false">B51*(D28+D35+D41+D46)</f>
        <v>917.4728</v>
      </c>
      <c r="E51" s="1" t="s">
        <v>758</v>
      </c>
      <c r="F51" s="156" t="n">
        <f aca="false">D51/$D$54</f>
        <v>0.0212210124403645</v>
      </c>
    </row>
    <row r="52" customFormat="false" ht="12.75" hidden="false" customHeight="true" outlineLevel="0" collapsed="false">
      <c r="A52" s="158" t="s">
        <v>759</v>
      </c>
      <c r="B52" s="159"/>
      <c r="C52" s="159"/>
      <c r="D52" s="160" t="n">
        <f aca="false">SUM(D49:D51)</f>
        <v>1376.2092</v>
      </c>
      <c r="E52" s="159"/>
      <c r="F52" s="161" t="n">
        <f aca="false">D52/$D$54</f>
        <v>0.0318315186605468</v>
      </c>
    </row>
    <row r="53" customFormat="false" ht="12.75" hidden="false" customHeight="true" outlineLevel="0" collapsed="false"/>
    <row r="54" customFormat="false" ht="12.75" hidden="false" customHeight="true" outlineLevel="0" collapsed="false">
      <c r="A54" s="163" t="s">
        <v>760</v>
      </c>
      <c r="B54" s="164"/>
      <c r="C54" s="164"/>
      <c r="D54" s="165" t="n">
        <f aca="false">D22+D28+D35+D41+D46+D52</f>
        <v>43234.1672</v>
      </c>
      <c r="E54" s="164"/>
      <c r="F54" s="166" t="n">
        <v>1</v>
      </c>
    </row>
    <row r="55" customFormat="false" ht="12.75" hidden="false" customHeight="true" outlineLevel="0" collapsed="false"/>
    <row r="56" customFormat="false" ht="12.75" hidden="false" customHeight="true" outlineLevel="0" collapsed="false">
      <c r="A56" s="167" t="s">
        <v>761</v>
      </c>
      <c r="B56" s="168"/>
      <c r="C56" s="168"/>
      <c r="D56" s="168"/>
      <c r="E56" s="168"/>
      <c r="F56" s="168"/>
    </row>
    <row r="57" customFormat="false" ht="12.75" hidden="false" customHeight="true" outlineLevel="0" collapsed="false">
      <c r="A57" s="1" t="s">
        <v>762</v>
      </c>
      <c r="D57" s="169" t="n">
        <f aca="false">D22/D54</f>
        <v>0.755958356935808</v>
      </c>
    </row>
    <row r="58" customFormat="false" ht="12.75" hidden="false" customHeight="true" outlineLevel="0" collapsed="false">
      <c r="A58" s="1" t="s">
        <v>763</v>
      </c>
      <c r="D58" s="169" t="n">
        <f aca="false">(D28+D35+D41+D46)/D54</f>
        <v>0.212210124403645</v>
      </c>
    </row>
    <row r="59" customFormat="false" ht="12.75" hidden="false" customHeight="true" outlineLevel="0" collapsed="false">
      <c r="A59" s="1" t="s">
        <v>764</v>
      </c>
      <c r="D59" s="169" t="n">
        <f aca="false">D52/D54</f>
        <v>0.0318315186605468</v>
      </c>
    </row>
    <row r="60" customFormat="false" ht="12.75" hidden="false" customHeight="true" outlineLevel="0" collapsed="false">
      <c r="A60" s="1" t="s">
        <v>765</v>
      </c>
      <c r="D60" s="170" t="n">
        <f aca="false">D54/B5</f>
        <v>43.2341672</v>
      </c>
      <c r="E60" s="1" t="s">
        <v>766</v>
      </c>
    </row>
    <row r="61" customFormat="false" ht="12.75" hidden="false" customHeight="true" outlineLevel="0" collapsed="false">
      <c r="A61" s="1" t="s">
        <v>767</v>
      </c>
      <c r="D61" s="155" t="n">
        <f aca="false">D54*1000000/B11</f>
        <v>114093.586252032</v>
      </c>
      <c r="E61" s="1" t="s">
        <v>768</v>
      </c>
    </row>
    <row r="62" customFormat="false" ht="12.75" hidden="false" customHeight="true" outlineLevel="0" collapsed="false"/>
    <row r="63" customFormat="false" ht="12.75" hidden="false" customHeight="true" outlineLevel="0" collapsed="false">
      <c r="A63" s="144" t="s">
        <v>769</v>
      </c>
      <c r="B63" s="145"/>
      <c r="C63" s="145"/>
      <c r="D63" s="145"/>
      <c r="E63" s="145"/>
      <c r="F63" s="145"/>
    </row>
    <row r="64" customFormat="false" ht="12.75" hidden="false" customHeight="true" outlineLevel="0" collapsed="false">
      <c r="A64" s="146" t="s">
        <v>704</v>
      </c>
      <c r="B64" s="146" t="s">
        <v>770</v>
      </c>
      <c r="C64" s="146" t="s">
        <v>771</v>
      </c>
      <c r="D64" s="146" t="s">
        <v>772</v>
      </c>
      <c r="E64" s="146" t="s">
        <v>773</v>
      </c>
      <c r="F64" s="146" t="s">
        <v>774</v>
      </c>
    </row>
    <row r="65" customFormat="false" ht="12.75" hidden="false" customHeight="true" outlineLevel="0" collapsed="false">
      <c r="A65" s="152" t="s">
        <v>775</v>
      </c>
      <c r="B65" s="153"/>
      <c r="C65" s="153"/>
      <c r="D65" s="153"/>
      <c r="E65" s="153"/>
      <c r="F65" s="153"/>
    </row>
    <row r="66" customFormat="false" ht="12.75" hidden="false" customHeight="true" outlineLevel="0" collapsed="false">
      <c r="A66" s="1" t="s">
        <v>776</v>
      </c>
      <c r="B66" s="171" t="n">
        <v>5</v>
      </c>
      <c r="C66" s="150" t="s">
        <v>777</v>
      </c>
      <c r="D66" s="172" t="n">
        <f aca="false">D22/B66</f>
        <v>6536.646</v>
      </c>
      <c r="E66" s="1" t="s">
        <v>778</v>
      </c>
      <c r="F66" s="156" t="n">
        <f aca="false">D66/$D$88</f>
        <v>0.70300297789332</v>
      </c>
    </row>
    <row r="67" customFormat="false" ht="12.75" hidden="false" customHeight="true" outlineLevel="0" collapsed="false">
      <c r="A67" s="1" t="s">
        <v>779</v>
      </c>
      <c r="B67" s="171" t="n">
        <v>30</v>
      </c>
      <c r="C67" s="150" t="s">
        <v>777</v>
      </c>
      <c r="D67" s="172" t="n">
        <f aca="false">(D28-D25)/B67</f>
        <v>140</v>
      </c>
      <c r="E67" s="1" t="s">
        <v>780</v>
      </c>
      <c r="F67" s="156" t="n">
        <f aca="false">D67/$D$88</f>
        <v>0.015056715157141</v>
      </c>
    </row>
    <row r="68" customFormat="false" ht="12.75" hidden="false" customHeight="true" outlineLevel="0" collapsed="false">
      <c r="A68" s="1" t="s">
        <v>781</v>
      </c>
      <c r="B68" s="171" t="n">
        <v>20</v>
      </c>
      <c r="C68" s="150" t="s">
        <v>777</v>
      </c>
      <c r="D68" s="172" t="n">
        <f aca="false">D35/B68</f>
        <v>194</v>
      </c>
      <c r="E68" s="1" t="s">
        <v>782</v>
      </c>
      <c r="F68" s="156" t="n">
        <f aca="false">D68/$D$88</f>
        <v>0.020864305289181</v>
      </c>
    </row>
    <row r="69" customFormat="false" ht="12.75" hidden="false" customHeight="true" outlineLevel="0" collapsed="false">
      <c r="A69" s="1" t="s">
        <v>783</v>
      </c>
      <c r="B69" s="171" t="n">
        <v>15</v>
      </c>
      <c r="C69" s="150" t="s">
        <v>777</v>
      </c>
      <c r="D69" s="172" t="n">
        <f aca="false">D41/B69</f>
        <v>51.6485333333333</v>
      </c>
      <c r="E69" s="1" t="s">
        <v>784</v>
      </c>
      <c r="F69" s="156" t="n">
        <f aca="false">D69/$D$88</f>
        <v>0.005554694676315</v>
      </c>
    </row>
    <row r="70" customFormat="false" ht="12.75" hidden="false" customHeight="true" outlineLevel="0" collapsed="false">
      <c r="A70" s="1" t="s">
        <v>785</v>
      </c>
      <c r="B70" s="171" t="n">
        <v>10</v>
      </c>
      <c r="C70" s="150" t="s">
        <v>777</v>
      </c>
      <c r="D70" s="172" t="n">
        <f aca="false">D46/B70</f>
        <v>30</v>
      </c>
      <c r="E70" s="1" t="s">
        <v>786</v>
      </c>
      <c r="F70" s="156" t="n">
        <f aca="false">D70/$D$88</f>
        <v>0.00322643896224449</v>
      </c>
    </row>
    <row r="71" customFormat="false" ht="12.75" hidden="false" customHeight="true" outlineLevel="0" collapsed="false">
      <c r="A71" s="158" t="s">
        <v>787</v>
      </c>
      <c r="B71" s="159"/>
      <c r="C71" s="159"/>
      <c r="D71" s="173" t="n">
        <f aca="false">SUM(D66:D70)</f>
        <v>6952.29453333333</v>
      </c>
      <c r="E71" s="159"/>
      <c r="F71" s="161" t="n">
        <f aca="false">D71/$D$88</f>
        <v>0.747705131978201</v>
      </c>
    </row>
    <row r="72" customFormat="false" ht="12.75" hidden="false" customHeight="true" outlineLevel="0" collapsed="false"/>
    <row r="73" customFormat="false" ht="12.75" hidden="false" customHeight="true" outlineLevel="0" collapsed="false">
      <c r="A73" s="152" t="s">
        <v>788</v>
      </c>
      <c r="B73" s="153"/>
      <c r="C73" s="153"/>
      <c r="D73" s="153"/>
      <c r="E73" s="153"/>
      <c r="F73" s="153"/>
    </row>
    <row r="74" customFormat="false" ht="12.75" hidden="false" customHeight="true" outlineLevel="0" collapsed="false">
      <c r="A74" s="1" t="s">
        <v>789</v>
      </c>
      <c r="B74" s="174" t="n">
        <v>0.06</v>
      </c>
      <c r="C74" s="150" t="s">
        <v>790</v>
      </c>
      <c r="E74" s="1" t="s">
        <v>791</v>
      </c>
    </row>
    <row r="75" customFormat="false" ht="12.75" hidden="false" customHeight="true" outlineLevel="0" collapsed="false">
      <c r="A75" s="1" t="s">
        <v>792</v>
      </c>
      <c r="B75" s="147" t="n">
        <f aca="false">B7*8760</f>
        <v>10512000</v>
      </c>
      <c r="C75" s="150" t="s">
        <v>793</v>
      </c>
      <c r="E75" s="1" t="s">
        <v>794</v>
      </c>
    </row>
    <row r="76" customFormat="false" ht="12.75" hidden="false" customHeight="true" outlineLevel="0" collapsed="false">
      <c r="A76" s="1" t="s">
        <v>795</v>
      </c>
      <c r="D76" s="172" t="n">
        <f aca="false">B75*1000*B74/1000000</f>
        <v>630.72</v>
      </c>
      <c r="E76" s="1" t="s">
        <v>796</v>
      </c>
      <c r="F76" s="156" t="n">
        <f aca="false">D76/$D$88</f>
        <v>0.0678326527422282</v>
      </c>
    </row>
    <row r="77" customFormat="false" ht="12.75" hidden="false" customHeight="true" outlineLevel="0" collapsed="false">
      <c r="A77" s="158" t="s">
        <v>797</v>
      </c>
      <c r="B77" s="159"/>
      <c r="C77" s="159"/>
      <c r="D77" s="173" t="n">
        <f aca="false">D76</f>
        <v>630.72</v>
      </c>
      <c r="E77" s="159"/>
      <c r="F77" s="161" t="n">
        <f aca="false">D77/$D$88</f>
        <v>0.0678326527422282</v>
      </c>
    </row>
    <row r="78" customFormat="false" ht="12.75" hidden="false" customHeight="true" outlineLevel="0" collapsed="false"/>
    <row r="79" customFormat="false" ht="12.75" hidden="false" customHeight="true" outlineLevel="0" collapsed="false">
      <c r="A79" s="152" t="s">
        <v>798</v>
      </c>
      <c r="B79" s="153"/>
      <c r="C79" s="153"/>
      <c r="D79" s="153"/>
      <c r="E79" s="153"/>
      <c r="F79" s="153"/>
    </row>
    <row r="80" customFormat="false" ht="12.75" hidden="false" customHeight="true" outlineLevel="0" collapsed="false">
      <c r="A80" s="1" t="s">
        <v>799</v>
      </c>
      <c r="B80" s="162" t="n">
        <v>0.03</v>
      </c>
      <c r="C80" s="150" t="s">
        <v>800</v>
      </c>
      <c r="D80" s="172" t="n">
        <f aca="false">B80*D22</f>
        <v>980.4969</v>
      </c>
      <c r="E80" s="1" t="s">
        <v>801</v>
      </c>
      <c r="F80" s="156" t="n">
        <f aca="false">D80/$D$88</f>
        <v>0.105450446683998</v>
      </c>
    </row>
    <row r="81" customFormat="false" ht="12.75" hidden="false" customHeight="true" outlineLevel="0" collapsed="false">
      <c r="A81" s="1" t="s">
        <v>802</v>
      </c>
      <c r="B81" s="162" t="n">
        <v>0.02</v>
      </c>
      <c r="C81" s="150" t="s">
        <v>803</v>
      </c>
      <c r="D81" s="172" t="n">
        <f aca="false">B81*(D28+D35+D41+D46)</f>
        <v>183.49456</v>
      </c>
      <c r="E81" s="1" t="s">
        <v>804</v>
      </c>
      <c r="F81" s="156" t="n">
        <f aca="false">D81/$D$88</f>
        <v>0.0197344665914636</v>
      </c>
    </row>
    <row r="82" customFormat="false" ht="12.75" hidden="false" customHeight="true" outlineLevel="0" collapsed="false">
      <c r="A82" s="1" t="s">
        <v>805</v>
      </c>
      <c r="B82" s="175" t="n">
        <v>500</v>
      </c>
      <c r="C82" s="150" t="s">
        <v>806</v>
      </c>
      <c r="D82" s="172" t="n">
        <f aca="false">B82*150000/1000000</f>
        <v>75</v>
      </c>
      <c r="E82" s="1" t="s">
        <v>807</v>
      </c>
      <c r="F82" s="156" t="n">
        <f aca="false">D82/$D$88</f>
        <v>0.00806609740561123</v>
      </c>
    </row>
    <row r="83" customFormat="false" ht="12.75" hidden="false" customHeight="true" outlineLevel="0" collapsed="false">
      <c r="A83" s="1" t="s">
        <v>808</v>
      </c>
      <c r="B83" s="176" t="n">
        <v>0.005</v>
      </c>
      <c r="C83" s="150" t="s">
        <v>809</v>
      </c>
      <c r="D83" s="172" t="n">
        <f aca="false">B83*D54</f>
        <v>216.170836</v>
      </c>
      <c r="E83" s="1" t="s">
        <v>810</v>
      </c>
      <c r="F83" s="156" t="n">
        <f aca="false">D83/$D$88</f>
        <v>0.0232487335923788</v>
      </c>
    </row>
    <row r="84" customFormat="false" ht="12.75" hidden="false" customHeight="true" outlineLevel="0" collapsed="false">
      <c r="A84" s="1" t="s">
        <v>811</v>
      </c>
      <c r="B84" s="157" t="n">
        <v>50000</v>
      </c>
      <c r="C84" s="147" t="n">
        <f aca="false">B7</f>
        <v>1200</v>
      </c>
      <c r="D84" s="172" t="n">
        <f aca="false">B84*C84/1000000</f>
        <v>60</v>
      </c>
      <c r="E84" s="1" t="s">
        <v>812</v>
      </c>
      <c r="F84" s="156" t="n">
        <f aca="false">D84/$D$88</f>
        <v>0.00645287792448898</v>
      </c>
    </row>
    <row r="85" customFormat="false" ht="12.75" hidden="false" customHeight="true" outlineLevel="0" collapsed="false">
      <c r="A85" s="1" t="s">
        <v>813</v>
      </c>
      <c r="B85" s="157" t="n">
        <v>200</v>
      </c>
      <c r="C85" s="150" t="s">
        <v>814</v>
      </c>
      <c r="D85" s="172" t="n">
        <v>200</v>
      </c>
      <c r="E85" s="1" t="s">
        <v>815</v>
      </c>
      <c r="F85" s="156" t="n">
        <f aca="false">D85/$D$88</f>
        <v>0.0215095930816299</v>
      </c>
    </row>
    <row r="86" customFormat="false" ht="12.75" hidden="false" customHeight="true" outlineLevel="0" collapsed="false">
      <c r="A86" s="158" t="s">
        <v>816</v>
      </c>
      <c r="B86" s="159"/>
      <c r="C86" s="159"/>
      <c r="D86" s="173" t="n">
        <f aca="false">SUM(D80:D85)</f>
        <v>1715.162296</v>
      </c>
      <c r="E86" s="159"/>
      <c r="F86" s="161" t="n">
        <f aca="false">D86/$D$88</f>
        <v>0.184462215279571</v>
      </c>
    </row>
    <row r="87" customFormat="false" ht="12.75" hidden="false" customHeight="true" outlineLevel="0" collapsed="false"/>
    <row r="88" customFormat="false" ht="12.75" hidden="false" customHeight="true" outlineLevel="0" collapsed="false">
      <c r="A88" s="163" t="s">
        <v>817</v>
      </c>
      <c r="B88" s="164"/>
      <c r="C88" s="164"/>
      <c r="D88" s="177" t="n">
        <f aca="false">D71+D77+D86</f>
        <v>9298.17682933333</v>
      </c>
      <c r="E88" s="164"/>
      <c r="F88" s="166" t="n">
        <v>1</v>
      </c>
      <c r="J88" s="178"/>
    </row>
    <row r="89" customFormat="false" ht="12.75" hidden="false" customHeight="true" outlineLevel="0" collapsed="false"/>
    <row r="90" customFormat="false" ht="12.75" hidden="false" customHeight="true" outlineLevel="0" collapsed="false">
      <c r="A90" s="167" t="s">
        <v>818</v>
      </c>
      <c r="B90" s="168"/>
      <c r="C90" s="168"/>
      <c r="D90" s="168"/>
      <c r="E90" s="168"/>
      <c r="F90" s="168"/>
    </row>
    <row r="91" customFormat="false" ht="12.75" hidden="false" customHeight="true" outlineLevel="0" collapsed="false">
      <c r="A91" s="1" t="s">
        <v>819</v>
      </c>
      <c r="D91" s="169" t="n">
        <f aca="false">D71/D88</f>
        <v>0.747705131978201</v>
      </c>
    </row>
    <row r="92" customFormat="false" ht="12.75" hidden="false" customHeight="true" outlineLevel="0" collapsed="false">
      <c r="A92" s="1" t="s">
        <v>820</v>
      </c>
      <c r="D92" s="169" t="n">
        <f aca="false">D77/D88</f>
        <v>0.0678326527422282</v>
      </c>
    </row>
    <row r="93" customFormat="false" ht="12.75" hidden="false" customHeight="true" outlineLevel="0" collapsed="false">
      <c r="A93" s="1" t="s">
        <v>821</v>
      </c>
      <c r="D93" s="169" t="n">
        <f aca="false">D86/D88</f>
        <v>0.184462215279571</v>
      </c>
    </row>
    <row r="94" customFormat="false" ht="12.75" hidden="false" customHeight="true" outlineLevel="0" collapsed="false">
      <c r="A94" s="1" t="s">
        <v>822</v>
      </c>
      <c r="D94" s="155" t="n">
        <f aca="false">D88*1000000/B11</f>
        <v>24537.5916496013</v>
      </c>
      <c r="E94" s="1" t="s">
        <v>823</v>
      </c>
    </row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>
      <c r="A97" s="142" t="s">
        <v>824</v>
      </c>
      <c r="B97" s="143"/>
      <c r="C97" s="143"/>
      <c r="D97" s="143"/>
      <c r="E97" s="143"/>
      <c r="F97" s="143"/>
    </row>
    <row r="98" customFormat="false" ht="12.75" hidden="false" customHeight="true" outlineLevel="0" collapsed="false"/>
    <row r="99" customFormat="false" ht="12.75" hidden="false" customHeight="true" outlineLevel="0" collapsed="false">
      <c r="A99" s="144" t="s">
        <v>825</v>
      </c>
      <c r="B99" s="145"/>
      <c r="C99" s="145"/>
      <c r="D99" s="145"/>
      <c r="E99" s="145"/>
      <c r="F99" s="145"/>
    </row>
    <row r="100" customFormat="false" ht="12.75" hidden="false" customHeight="true" outlineLevel="0" collapsed="false">
      <c r="A100" s="146" t="s">
        <v>678</v>
      </c>
      <c r="B100" s="146" t="s">
        <v>679</v>
      </c>
      <c r="C100" s="146" t="s">
        <v>680</v>
      </c>
      <c r="E100" s="146" t="s">
        <v>681</v>
      </c>
    </row>
    <row r="101" customFormat="false" ht="12.75" hidden="false" customHeight="true" outlineLevel="0" collapsed="false">
      <c r="A101" s="102" t="s">
        <v>682</v>
      </c>
      <c r="B101" s="147" t="n">
        <f aca="false">Config!G5/1000000</f>
        <v>1000</v>
      </c>
      <c r="C101" s="148" t="s">
        <v>683</v>
      </c>
      <c r="E101" s="103" t="s">
        <v>826</v>
      </c>
    </row>
    <row r="102" customFormat="false" ht="12.75" hidden="false" customHeight="true" outlineLevel="0" collapsed="false">
      <c r="A102" s="102" t="s">
        <v>10</v>
      </c>
      <c r="B102" s="149" t="n">
        <f aca="false">Config!G6</f>
        <v>1.2</v>
      </c>
      <c r="E102" s="103" t="s">
        <v>826</v>
      </c>
    </row>
    <row r="103" customFormat="false" ht="12.75" hidden="false" customHeight="true" outlineLevel="0" collapsed="false">
      <c r="A103" s="102" t="s">
        <v>686</v>
      </c>
      <c r="B103" s="147" t="n">
        <f aca="false">B101*B102</f>
        <v>1200</v>
      </c>
      <c r="C103" s="148" t="s">
        <v>683</v>
      </c>
      <c r="E103" s="102" t="s">
        <v>687</v>
      </c>
    </row>
    <row r="104" customFormat="false" ht="12.75" hidden="false" customHeight="true" outlineLevel="0" collapsed="false">
      <c r="A104" s="102" t="s">
        <v>11</v>
      </c>
      <c r="B104" s="150" t="str">
        <f aca="false">Config!G7</f>
        <v>GB200 NVL72</v>
      </c>
      <c r="E104" s="103" t="s">
        <v>826</v>
      </c>
    </row>
    <row r="105" customFormat="false" ht="12.75" hidden="false" customHeight="true" outlineLevel="0" collapsed="false">
      <c r="A105" s="102" t="s">
        <v>689</v>
      </c>
      <c r="B105" s="147" t="n">
        <f aca="false">Config!G8</f>
        <v>7194</v>
      </c>
      <c r="C105" s="148" t="s">
        <v>690</v>
      </c>
      <c r="E105" s="103" t="s">
        <v>826</v>
      </c>
    </row>
    <row r="106" customFormat="false" ht="12.75" hidden="false" customHeight="true" outlineLevel="0" collapsed="false">
      <c r="A106" s="102" t="s">
        <v>692</v>
      </c>
      <c r="B106" s="147" t="n">
        <f aca="false">Config!G14</f>
        <v>72</v>
      </c>
      <c r="C106" s="148" t="s">
        <v>693</v>
      </c>
      <c r="E106" s="103" t="s">
        <v>826</v>
      </c>
    </row>
    <row r="107" customFormat="false" ht="12.75" hidden="false" customHeight="true" outlineLevel="0" collapsed="false">
      <c r="A107" s="102" t="s">
        <v>695</v>
      </c>
      <c r="B107" s="147" t="n">
        <f aca="false">B105*B106</f>
        <v>517968</v>
      </c>
      <c r="C107" s="148" t="s">
        <v>693</v>
      </c>
      <c r="E107" s="102" t="s">
        <v>696</v>
      </c>
    </row>
    <row r="108" customFormat="false" ht="12.75" hidden="false" customHeight="true" outlineLevel="0" collapsed="false">
      <c r="A108" s="102" t="s">
        <v>697</v>
      </c>
      <c r="B108" s="151" t="n">
        <f aca="false">B101*1000/B105</f>
        <v>139.004726160689</v>
      </c>
      <c r="C108" s="148" t="s">
        <v>698</v>
      </c>
      <c r="E108" s="102" t="s">
        <v>699</v>
      </c>
    </row>
    <row r="109" customFormat="false" ht="12.75" hidden="false" customHeight="true" outlineLevel="0" collapsed="false">
      <c r="A109" s="102" t="s">
        <v>700</v>
      </c>
      <c r="B109" s="147" t="n">
        <f aca="false">B105*80</f>
        <v>575520</v>
      </c>
      <c r="C109" s="148" t="s">
        <v>701</v>
      </c>
      <c r="E109" s="102" t="s">
        <v>702</v>
      </c>
    </row>
    <row r="110" customFormat="false" ht="12.75" hidden="false" customHeight="true" outlineLevel="0" collapsed="false"/>
    <row r="111" customFormat="false" ht="12.75" hidden="false" customHeight="true" outlineLevel="0" collapsed="false">
      <c r="A111" s="144" t="s">
        <v>703</v>
      </c>
      <c r="B111" s="145"/>
      <c r="C111" s="145"/>
      <c r="D111" s="145"/>
      <c r="E111" s="145"/>
    </row>
    <row r="112" customFormat="false" ht="12.75" hidden="false" customHeight="true" outlineLevel="0" collapsed="false">
      <c r="F112" s="146" t="s">
        <v>709</v>
      </c>
    </row>
    <row r="113" customFormat="false" ht="12.75" hidden="false" customHeight="true" outlineLevel="0" collapsed="false">
      <c r="A113" s="179" t="s">
        <v>710</v>
      </c>
      <c r="B113" s="179" t="s">
        <v>705</v>
      </c>
      <c r="C113" s="179" t="s">
        <v>706</v>
      </c>
      <c r="D113" s="179" t="s">
        <v>707</v>
      </c>
      <c r="E113" s="179" t="s">
        <v>708</v>
      </c>
      <c r="F113" s="153"/>
    </row>
    <row r="114" customFormat="false" ht="12.75" hidden="false" customHeight="true" outlineLevel="0" collapsed="false">
      <c r="A114" s="1" t="str">
        <f aca="false">"  "&amp;Config!G7&amp;" Racks"</f>
        <v>  GB200 NVL72 Racks</v>
      </c>
      <c r="B114" s="154" t="n">
        <f aca="false">Config!G27</f>
        <v>3000000</v>
      </c>
      <c r="C114" s="147" t="n">
        <f aca="false">B105</f>
        <v>7194</v>
      </c>
      <c r="D114" s="155" t="n">
        <f aca="false">B114*C114/1000000</f>
        <v>21582</v>
      </c>
      <c r="E114" s="102" t="s">
        <v>827</v>
      </c>
      <c r="F114" s="156" t="n">
        <f aca="false">D114/$D$150</f>
        <v>0.639125163628124</v>
      </c>
    </row>
    <row r="115" customFormat="false" ht="12.75" hidden="false" customHeight="true" outlineLevel="0" collapsed="false">
      <c r="A115" s="102" t="s">
        <v>712</v>
      </c>
      <c r="B115" s="157" t="n">
        <v>150000</v>
      </c>
      <c r="C115" s="147" t="n">
        <f aca="false">B105</f>
        <v>7194</v>
      </c>
      <c r="D115" s="155" t="n">
        <f aca="false">B115*C115/1000000</f>
        <v>1079.1</v>
      </c>
      <c r="E115" s="102" t="s">
        <v>828</v>
      </c>
      <c r="F115" s="156" t="n">
        <f aca="false">D115/$D$150</f>
        <v>0.0319562581814062</v>
      </c>
    </row>
    <row r="116" customFormat="false" ht="12.75" hidden="false" customHeight="true" outlineLevel="0" collapsed="false">
      <c r="A116" s="102" t="s">
        <v>714</v>
      </c>
      <c r="B116" s="157" t="n">
        <v>35000</v>
      </c>
      <c r="C116" s="147" t="n">
        <f aca="false">B105</f>
        <v>7194</v>
      </c>
      <c r="D116" s="155" t="n">
        <f aca="false">B116*C116/1000000</f>
        <v>251.79</v>
      </c>
      <c r="E116" s="102" t="s">
        <v>715</v>
      </c>
      <c r="F116" s="156" t="n">
        <f aca="false">D116/$D$150</f>
        <v>0.00745646024232812</v>
      </c>
    </row>
    <row r="117" customFormat="false" ht="12.75" hidden="false" customHeight="true" outlineLevel="0" collapsed="false">
      <c r="A117" s="102" t="s">
        <v>716</v>
      </c>
      <c r="B117" s="157" t="n">
        <v>25000</v>
      </c>
      <c r="C117" s="147" t="n">
        <f aca="false">B105</f>
        <v>7194</v>
      </c>
      <c r="D117" s="155" t="n">
        <f aca="false">B117*C117/1000000</f>
        <v>179.85</v>
      </c>
      <c r="E117" s="102" t="s">
        <v>717</v>
      </c>
      <c r="F117" s="156" t="n">
        <f aca="false">D117/$D$150</f>
        <v>0.00532604303023437</v>
      </c>
    </row>
    <row r="118" customFormat="false" ht="12.75" hidden="false" customHeight="true" outlineLevel="0" collapsed="false">
      <c r="A118" s="158" t="s">
        <v>718</v>
      </c>
      <c r="B118" s="159"/>
      <c r="C118" s="159"/>
      <c r="D118" s="160" t="n">
        <f aca="false">SUM(D114:D117)</f>
        <v>23092.74</v>
      </c>
      <c r="E118" s="159"/>
      <c r="F118" s="161" t="n">
        <f aca="false">D118/$D$150</f>
        <v>0.683863925082093</v>
      </c>
    </row>
    <row r="119" customFormat="false" ht="12.75" hidden="false" customHeight="true" outlineLevel="0" collapsed="false"/>
    <row r="120" customFormat="false" ht="12.75" hidden="false" customHeight="true" outlineLevel="0" collapsed="false">
      <c r="A120" s="152" t="s">
        <v>719</v>
      </c>
      <c r="B120" s="153"/>
      <c r="C120" s="153"/>
      <c r="D120" s="153"/>
      <c r="E120" s="153"/>
      <c r="F120" s="153"/>
    </row>
    <row r="121" customFormat="false" ht="12.75" hidden="false" customHeight="true" outlineLevel="0" collapsed="false">
      <c r="A121" s="102" t="s">
        <v>720</v>
      </c>
      <c r="B121" s="157" t="n">
        <v>200000</v>
      </c>
      <c r="C121" s="147" t="n">
        <v>100</v>
      </c>
      <c r="D121" s="155" t="n">
        <f aca="false">B121*C121/1000000</f>
        <v>20</v>
      </c>
      <c r="E121" s="102" t="s">
        <v>721</v>
      </c>
      <c r="F121" s="156" t="n">
        <f aca="false">D121/$D$150</f>
        <v>0.000592276122350222</v>
      </c>
    </row>
    <row r="122" customFormat="false" ht="12.75" hidden="false" customHeight="true" outlineLevel="0" collapsed="false">
      <c r="A122" s="102" t="s">
        <v>722</v>
      </c>
      <c r="B122" s="157" t="n">
        <v>3000000</v>
      </c>
      <c r="C122" s="147" t="n">
        <f aca="false">B103</f>
        <v>1200</v>
      </c>
      <c r="D122" s="155" t="n">
        <f aca="false">B122*C122/1000000</f>
        <v>3600</v>
      </c>
      <c r="E122" s="102" t="s">
        <v>723</v>
      </c>
      <c r="F122" s="156" t="n">
        <f aca="false">D122/$D$150</f>
        <v>0.10660970202304</v>
      </c>
    </row>
    <row r="123" customFormat="false" ht="12.75" hidden="false" customHeight="true" outlineLevel="0" collapsed="false">
      <c r="A123" s="102" t="s">
        <v>724</v>
      </c>
      <c r="B123" s="157" t="n">
        <v>500000</v>
      </c>
      <c r="C123" s="147" t="n">
        <f aca="false">B103</f>
        <v>1200</v>
      </c>
      <c r="D123" s="155" t="n">
        <f aca="false">B123*C123/1000000</f>
        <v>600</v>
      </c>
      <c r="E123" s="102" t="s">
        <v>725</v>
      </c>
      <c r="F123" s="156" t="n">
        <f aca="false">D123/$D$150</f>
        <v>0.0177682836705067</v>
      </c>
    </row>
    <row r="124" customFormat="false" ht="12.75" hidden="false" customHeight="true" outlineLevel="0" collapsed="false">
      <c r="A124" s="158" t="s">
        <v>726</v>
      </c>
      <c r="B124" s="159"/>
      <c r="C124" s="159"/>
      <c r="D124" s="160" t="n">
        <f aca="false">SUM(D121:D123)</f>
        <v>4220</v>
      </c>
      <c r="E124" s="159"/>
      <c r="F124" s="161" t="n">
        <f aca="false">D124/$D$150</f>
        <v>0.124970261815897</v>
      </c>
    </row>
    <row r="125" customFormat="false" ht="12.75" hidden="false" customHeight="true" outlineLevel="0" collapsed="false"/>
    <row r="126" customFormat="false" ht="12.75" hidden="false" customHeight="true" outlineLevel="0" collapsed="false">
      <c r="A126" s="152" t="s">
        <v>727</v>
      </c>
      <c r="B126" s="153"/>
      <c r="C126" s="153"/>
      <c r="D126" s="153"/>
      <c r="E126" s="153"/>
      <c r="F126" s="153"/>
    </row>
    <row r="127" customFormat="false" ht="12.75" hidden="false" customHeight="true" outlineLevel="0" collapsed="false">
      <c r="A127" s="102" t="s">
        <v>728</v>
      </c>
      <c r="B127" s="157" t="n">
        <v>1500000</v>
      </c>
      <c r="C127" s="147" t="n">
        <f aca="false">B103</f>
        <v>1200</v>
      </c>
      <c r="D127" s="155" t="n">
        <f aca="false">B127*C127/1000000</f>
        <v>1800</v>
      </c>
      <c r="E127" s="102" t="s">
        <v>729</v>
      </c>
      <c r="F127" s="156" t="n">
        <f aca="false">D127/$D$150</f>
        <v>0.05330485101152</v>
      </c>
    </row>
    <row r="128" customFormat="false" ht="12.75" hidden="false" customHeight="true" outlineLevel="0" collapsed="false">
      <c r="A128" s="102" t="s">
        <v>730</v>
      </c>
      <c r="B128" s="157" t="n">
        <v>800000</v>
      </c>
      <c r="C128" s="147" t="n">
        <f aca="false">B103</f>
        <v>1200</v>
      </c>
      <c r="D128" s="155" t="n">
        <f aca="false">B128*C128/1000000</f>
        <v>960</v>
      </c>
      <c r="E128" s="102" t="s">
        <v>731</v>
      </c>
      <c r="F128" s="156" t="n">
        <f aca="false">D128/$D$150</f>
        <v>0.0284292538728106</v>
      </c>
    </row>
    <row r="129" customFormat="false" ht="12.75" hidden="false" customHeight="true" outlineLevel="0" collapsed="false">
      <c r="A129" s="102" t="s">
        <v>732</v>
      </c>
      <c r="B129" s="157" t="n">
        <v>600000</v>
      </c>
      <c r="C129" s="147" t="n">
        <f aca="false">B103</f>
        <v>1200</v>
      </c>
      <c r="D129" s="155" t="n">
        <f aca="false">B129*C129/1000000</f>
        <v>720</v>
      </c>
      <c r="E129" s="102" t="s">
        <v>733</v>
      </c>
      <c r="F129" s="156" t="n">
        <f aca="false">D129/$D$150</f>
        <v>0.021321940404608</v>
      </c>
    </row>
    <row r="130" customFormat="false" ht="12.75" hidden="false" customHeight="true" outlineLevel="0" collapsed="false">
      <c r="A130" s="102" t="s">
        <v>734</v>
      </c>
      <c r="B130" s="157" t="n">
        <v>400000</v>
      </c>
      <c r="C130" s="147" t="n">
        <f aca="false">B101</f>
        <v>1000</v>
      </c>
      <c r="D130" s="155" t="n">
        <f aca="false">B130*C130/1000000</f>
        <v>400</v>
      </c>
      <c r="E130" s="102" t="s">
        <v>735</v>
      </c>
      <c r="F130" s="156" t="n">
        <f aca="false">D130/$D$150</f>
        <v>0.0118455224470044</v>
      </c>
    </row>
    <row r="131" customFormat="false" ht="12.75" hidden="false" customHeight="true" outlineLevel="0" collapsed="false">
      <c r="A131" s="158" t="s">
        <v>736</v>
      </c>
      <c r="B131" s="159"/>
      <c r="C131" s="159"/>
      <c r="D131" s="160" t="n">
        <f aca="false">SUM(D127:D130)</f>
        <v>3880</v>
      </c>
      <c r="E131" s="159"/>
      <c r="F131" s="161" t="n">
        <f aca="false">D131/$D$150</f>
        <v>0.114901567735943</v>
      </c>
    </row>
    <row r="132" customFormat="false" ht="12.75" hidden="false" customHeight="true" outlineLevel="0" collapsed="false"/>
    <row r="133" customFormat="false" ht="12.75" hidden="false" customHeight="true" outlineLevel="0" collapsed="false">
      <c r="A133" s="152" t="s">
        <v>737</v>
      </c>
      <c r="B133" s="153"/>
      <c r="C133" s="153"/>
      <c r="D133" s="153"/>
      <c r="E133" s="153"/>
      <c r="F133" s="153"/>
    </row>
    <row r="134" customFormat="false" ht="12.75" hidden="false" customHeight="true" outlineLevel="0" collapsed="false">
      <c r="A134" s="102" t="s">
        <v>738</v>
      </c>
      <c r="B134" s="157" t="n">
        <v>56000</v>
      </c>
      <c r="C134" s="147" t="n">
        <f aca="false">B105</f>
        <v>7194</v>
      </c>
      <c r="D134" s="155" t="n">
        <f aca="false">B134*C134/1000000</f>
        <v>402.864</v>
      </c>
      <c r="E134" s="102" t="s">
        <v>739</v>
      </c>
      <c r="F134" s="156" t="n">
        <f aca="false">D134/$D$150</f>
        <v>0.011930336387725</v>
      </c>
    </row>
    <row r="135" customFormat="false" ht="12.75" hidden="false" customHeight="true" outlineLevel="0" collapsed="false">
      <c r="A135" s="102" t="s">
        <v>740</v>
      </c>
      <c r="B135" s="157" t="n">
        <v>300000</v>
      </c>
      <c r="C135" s="147" t="n">
        <f aca="false">B103</f>
        <v>1200</v>
      </c>
      <c r="D135" s="155" t="n">
        <f aca="false">B135*C135/1000000</f>
        <v>360</v>
      </c>
      <c r="E135" s="102" t="s">
        <v>741</v>
      </c>
      <c r="F135" s="156" t="n">
        <f aca="false">D135/$D$150</f>
        <v>0.010660970202304</v>
      </c>
    </row>
    <row r="136" customFormat="false" ht="12.75" hidden="false" customHeight="true" outlineLevel="0" collapsed="false">
      <c r="A136" s="102" t="s">
        <v>742</v>
      </c>
      <c r="B136" s="157" t="n">
        <v>100000</v>
      </c>
      <c r="C136" s="147" t="n">
        <f aca="false">B103</f>
        <v>1200</v>
      </c>
      <c r="D136" s="155" t="n">
        <f aca="false">B136*C136/1000000</f>
        <v>120</v>
      </c>
      <c r="E136" s="102" t="s">
        <v>743</v>
      </c>
      <c r="F136" s="156" t="n">
        <f aca="false">D136/$D$150</f>
        <v>0.00355365673410133</v>
      </c>
    </row>
    <row r="137" customFormat="false" ht="12.75" hidden="false" customHeight="true" outlineLevel="0" collapsed="false">
      <c r="A137" s="158" t="s">
        <v>744</v>
      </c>
      <c r="B137" s="159"/>
      <c r="C137" s="159"/>
      <c r="D137" s="160" t="n">
        <f aca="false">SUM(D134:D136)</f>
        <v>882.864</v>
      </c>
      <c r="E137" s="159"/>
      <c r="F137" s="161" t="n">
        <f aca="false">D137/$D$150</f>
        <v>0.0261449633241303</v>
      </c>
    </row>
    <row r="138" customFormat="false" ht="12.75" hidden="false" customHeight="true" outlineLevel="0" collapsed="false"/>
    <row r="139" customFormat="false" ht="12.75" hidden="false" customHeight="true" outlineLevel="0" collapsed="false">
      <c r="A139" s="152" t="s">
        <v>745</v>
      </c>
      <c r="B139" s="153"/>
      <c r="C139" s="153"/>
      <c r="D139" s="153"/>
      <c r="E139" s="153"/>
      <c r="F139" s="153"/>
    </row>
    <row r="140" customFormat="false" ht="12.75" hidden="false" customHeight="true" outlineLevel="0" collapsed="false">
      <c r="A140" s="102" t="s">
        <v>746</v>
      </c>
      <c r="B140" s="157" t="n">
        <v>200000</v>
      </c>
      <c r="C140" s="147" t="n">
        <f aca="false">B103</f>
        <v>1200</v>
      </c>
      <c r="D140" s="155" t="n">
        <f aca="false">B140*C140/1000000</f>
        <v>240</v>
      </c>
      <c r="E140" s="102" t="s">
        <v>747</v>
      </c>
      <c r="F140" s="156" t="n">
        <f aca="false">D140/$D$150</f>
        <v>0.00710731346820266</v>
      </c>
    </row>
    <row r="141" customFormat="false" ht="12.75" hidden="false" customHeight="true" outlineLevel="0" collapsed="false">
      <c r="A141" s="102" t="s">
        <v>748</v>
      </c>
      <c r="B141" s="157" t="n">
        <v>50000</v>
      </c>
      <c r="C141" s="147" t="n">
        <f aca="false">B103</f>
        <v>1200</v>
      </c>
      <c r="D141" s="155" t="n">
        <f aca="false">B141*C141/1000000</f>
        <v>60</v>
      </c>
      <c r="E141" s="102" t="s">
        <v>749</v>
      </c>
      <c r="F141" s="156" t="n">
        <f aca="false">D141/$D$150</f>
        <v>0.00177682836705067</v>
      </c>
    </row>
    <row r="142" customFormat="false" ht="12.75" hidden="false" customHeight="true" outlineLevel="0" collapsed="false">
      <c r="A142" s="158" t="s">
        <v>750</v>
      </c>
      <c r="B142" s="159"/>
      <c r="C142" s="159"/>
      <c r="D142" s="160" t="n">
        <f aca="false">SUM(D140:D141)</f>
        <v>300</v>
      </c>
      <c r="E142" s="159"/>
      <c r="F142" s="161" t="n">
        <f aca="false">D142/$D$150</f>
        <v>0.00888414183525333</v>
      </c>
    </row>
    <row r="143" customFormat="false" ht="12.75" hidden="false" customHeight="true" outlineLevel="0" collapsed="false"/>
    <row r="144" customFormat="false" ht="12.75" hidden="false" customHeight="true" outlineLevel="0" collapsed="false">
      <c r="A144" s="152" t="s">
        <v>751</v>
      </c>
      <c r="B144" s="153"/>
      <c r="C144" s="153"/>
      <c r="D144" s="153"/>
      <c r="E144" s="153"/>
      <c r="F144" s="153"/>
    </row>
    <row r="145" customFormat="false" ht="12.75" hidden="false" customHeight="true" outlineLevel="0" collapsed="false">
      <c r="A145" s="102" t="s">
        <v>752</v>
      </c>
      <c r="B145" s="162" t="n">
        <v>0.03</v>
      </c>
      <c r="C145" s="150" t="s">
        <v>753</v>
      </c>
      <c r="D145" s="155" t="n">
        <f aca="false">B145*(D124+D131+D137+D142)</f>
        <v>278.48592</v>
      </c>
      <c r="E145" s="102" t="s">
        <v>754</v>
      </c>
      <c r="F145" s="156" t="n">
        <f aca="false">D145/$D$150</f>
        <v>0.0082470280413367</v>
      </c>
    </row>
    <row r="146" customFormat="false" ht="12.75" hidden="false" customHeight="true" outlineLevel="0" collapsed="false">
      <c r="A146" s="102" t="s">
        <v>755</v>
      </c>
      <c r="B146" s="162" t="n">
        <v>0.02</v>
      </c>
      <c r="C146" s="150" t="s">
        <v>753</v>
      </c>
      <c r="D146" s="155" t="n">
        <f aca="false">B146*(D124+D131+D137+D142)</f>
        <v>185.65728</v>
      </c>
      <c r="E146" s="102" t="s">
        <v>756</v>
      </c>
      <c r="F146" s="156" t="n">
        <f aca="false">D146/$D$150</f>
        <v>0.00549801869422447</v>
      </c>
    </row>
    <row r="147" customFormat="false" ht="12.75" hidden="false" customHeight="true" outlineLevel="0" collapsed="false">
      <c r="A147" s="102" t="s">
        <v>757</v>
      </c>
      <c r="B147" s="162" t="n">
        <v>0.1</v>
      </c>
      <c r="C147" s="150" t="s">
        <v>753</v>
      </c>
      <c r="D147" s="155" t="n">
        <f aca="false">B147*(D124+D131+D137+D142)</f>
        <v>928.2864</v>
      </c>
      <c r="E147" s="102" t="s">
        <v>758</v>
      </c>
      <c r="F147" s="156" t="n">
        <f aca="false">D147/$D$150</f>
        <v>0.0274900934711223</v>
      </c>
    </row>
    <row r="148" customFormat="false" ht="12.75" hidden="false" customHeight="true" outlineLevel="0" collapsed="false">
      <c r="A148" s="158" t="s">
        <v>759</v>
      </c>
      <c r="B148" s="159"/>
      <c r="C148" s="159"/>
      <c r="D148" s="160" t="n">
        <f aca="false">SUM(D145:D147)</f>
        <v>1392.4296</v>
      </c>
      <c r="E148" s="159"/>
      <c r="F148" s="161" t="n">
        <f aca="false">D148/$D$150</f>
        <v>0.0412351402066835</v>
      </c>
    </row>
    <row r="149" customFormat="false" ht="12.75" hidden="false" customHeight="true" outlineLevel="0" collapsed="false"/>
    <row r="150" customFormat="false" ht="12.75" hidden="false" customHeight="true" outlineLevel="0" collapsed="false">
      <c r="A150" s="163" t="s">
        <v>760</v>
      </c>
      <c r="B150" s="180"/>
      <c r="C150" s="180"/>
      <c r="D150" s="165" t="n">
        <f aca="false">D118+D124+D131+D137+D142+D148</f>
        <v>33768.0336</v>
      </c>
      <c r="E150" s="180"/>
      <c r="F150" s="166" t="n">
        <v>1</v>
      </c>
    </row>
    <row r="151" customFormat="false" ht="12.75" hidden="false" customHeight="true" outlineLevel="0" collapsed="false"/>
    <row r="152" customFormat="false" ht="12.75" hidden="false" customHeight="true" outlineLevel="0" collapsed="false">
      <c r="A152" s="167" t="s">
        <v>761</v>
      </c>
      <c r="B152" s="168"/>
      <c r="C152" s="168"/>
      <c r="D152" s="168"/>
      <c r="E152" s="168"/>
      <c r="F152" s="168"/>
    </row>
    <row r="153" customFormat="false" ht="12.75" hidden="false" customHeight="true" outlineLevel="0" collapsed="false">
      <c r="A153" s="102" t="s">
        <v>762</v>
      </c>
      <c r="D153" s="169" t="n">
        <f aca="false">D118/D150</f>
        <v>0.683863925082093</v>
      </c>
    </row>
    <row r="154" customFormat="false" ht="12.75" hidden="false" customHeight="true" outlineLevel="0" collapsed="false">
      <c r="A154" s="102" t="s">
        <v>763</v>
      </c>
      <c r="D154" s="169" t="n">
        <f aca="false">(D124+D131+D137+D142)/D150</f>
        <v>0.274900934711223</v>
      </c>
    </row>
    <row r="155" customFormat="false" ht="12.75" hidden="false" customHeight="true" outlineLevel="0" collapsed="false">
      <c r="A155" s="102" t="s">
        <v>764</v>
      </c>
      <c r="D155" s="169" t="n">
        <f aca="false">D148/D150</f>
        <v>0.0412351402066835</v>
      </c>
    </row>
    <row r="156" customFormat="false" ht="12.75" hidden="false" customHeight="true" outlineLevel="0" collapsed="false">
      <c r="A156" s="102" t="s">
        <v>765</v>
      </c>
      <c r="D156" s="170" t="n">
        <f aca="false">D150/B101</f>
        <v>33.7680336</v>
      </c>
      <c r="F156" s="102" t="s">
        <v>766</v>
      </c>
    </row>
    <row r="157" customFormat="false" ht="12.75" hidden="false" customHeight="true" outlineLevel="0" collapsed="false">
      <c r="A157" s="102" t="s">
        <v>767</v>
      </c>
      <c r="D157" s="155" t="n">
        <f aca="false">D150*1000000/B107</f>
        <v>65193.2814382356</v>
      </c>
      <c r="F157" s="102" t="s">
        <v>768</v>
      </c>
    </row>
    <row r="158" customFormat="false" ht="12.75" hidden="false" customHeight="true" outlineLevel="0" collapsed="false"/>
    <row r="159" customFormat="false" ht="12.75" hidden="false" customHeight="true" outlineLevel="0" collapsed="false">
      <c r="A159" s="144" t="s">
        <v>769</v>
      </c>
      <c r="B159" s="145"/>
      <c r="C159" s="145"/>
      <c r="D159" s="145"/>
      <c r="E159" s="145"/>
      <c r="F159" s="145"/>
    </row>
    <row r="160" customFormat="false" ht="12.75" hidden="false" customHeight="true" outlineLevel="0" collapsed="false">
      <c r="A160" s="146" t="s">
        <v>704</v>
      </c>
      <c r="B160" s="146" t="s">
        <v>770</v>
      </c>
      <c r="C160" s="146" t="s">
        <v>771</v>
      </c>
      <c r="D160" s="146" t="s">
        <v>772</v>
      </c>
      <c r="E160" s="146" t="s">
        <v>773</v>
      </c>
      <c r="F160" s="146" t="s">
        <v>774</v>
      </c>
    </row>
    <row r="161" customFormat="false" ht="12.75" hidden="false" customHeight="true" outlineLevel="0" collapsed="false">
      <c r="A161" s="152" t="s">
        <v>775</v>
      </c>
      <c r="B161" s="153"/>
      <c r="C161" s="153"/>
      <c r="D161" s="153"/>
      <c r="E161" s="153"/>
      <c r="F161" s="153"/>
    </row>
    <row r="162" customFormat="false" ht="12.75" hidden="false" customHeight="true" outlineLevel="0" collapsed="false">
      <c r="A162" s="102" t="s">
        <v>776</v>
      </c>
      <c r="B162" s="171" t="n">
        <v>5</v>
      </c>
      <c r="C162" s="150" t="s">
        <v>777</v>
      </c>
      <c r="D162" s="172" t="n">
        <f aca="false">D118/B162</f>
        <v>4618.548</v>
      </c>
      <c r="E162" s="102" t="s">
        <v>778</v>
      </c>
      <c r="F162" s="156" t="n">
        <f aca="false">D162/$D$184</f>
        <v>0.654704094481871</v>
      </c>
    </row>
    <row r="163" customFormat="false" ht="12.75" hidden="false" customHeight="true" outlineLevel="0" collapsed="false">
      <c r="A163" s="102" t="s">
        <v>779</v>
      </c>
      <c r="B163" s="171" t="n">
        <v>30</v>
      </c>
      <c r="C163" s="150" t="s">
        <v>777</v>
      </c>
      <c r="D163" s="172" t="n">
        <f aca="false">(D124-D121)/B163</f>
        <v>140</v>
      </c>
      <c r="E163" s="102" t="s">
        <v>780</v>
      </c>
      <c r="F163" s="156" t="n">
        <f aca="false">D163/$D$184</f>
        <v>0.0198457552519671</v>
      </c>
    </row>
    <row r="164" customFormat="false" ht="12.75" hidden="false" customHeight="true" outlineLevel="0" collapsed="false">
      <c r="A164" s="102" t="s">
        <v>781</v>
      </c>
      <c r="B164" s="171" t="n">
        <v>20</v>
      </c>
      <c r="C164" s="150" t="s">
        <v>777</v>
      </c>
      <c r="D164" s="172" t="n">
        <f aca="false">D131/B164</f>
        <v>194</v>
      </c>
      <c r="E164" s="102" t="s">
        <v>782</v>
      </c>
      <c r="F164" s="156" t="n">
        <f aca="false">D164/$D$184</f>
        <v>0.0275005465634401</v>
      </c>
    </row>
    <row r="165" customFormat="false" ht="12.75" hidden="false" customHeight="true" outlineLevel="0" collapsed="false">
      <c r="A165" s="102" t="s">
        <v>783</v>
      </c>
      <c r="B165" s="171" t="n">
        <v>15</v>
      </c>
      <c r="C165" s="150" t="s">
        <v>777</v>
      </c>
      <c r="D165" s="172" t="n">
        <f aca="false">D137/B165</f>
        <v>58.8576</v>
      </c>
      <c r="E165" s="102" t="s">
        <v>784</v>
      </c>
      <c r="F165" s="156" t="n">
        <f aca="false">D165/$D$184</f>
        <v>0.0083433823165584</v>
      </c>
    </row>
    <row r="166" customFormat="false" ht="12.75" hidden="false" customHeight="true" outlineLevel="0" collapsed="false">
      <c r="A166" s="102" t="s">
        <v>785</v>
      </c>
      <c r="B166" s="171" t="n">
        <v>10</v>
      </c>
      <c r="C166" s="150" t="s">
        <v>777</v>
      </c>
      <c r="D166" s="172" t="n">
        <f aca="false">D142/B166</f>
        <v>30</v>
      </c>
      <c r="E166" s="102" t="s">
        <v>786</v>
      </c>
      <c r="F166" s="156" t="n">
        <f aca="false">D166/$D$184</f>
        <v>0.00425266183970723</v>
      </c>
    </row>
    <row r="167" customFormat="false" ht="12.75" hidden="false" customHeight="true" outlineLevel="0" collapsed="false">
      <c r="A167" s="158" t="s">
        <v>787</v>
      </c>
      <c r="B167" s="159"/>
      <c r="C167" s="159"/>
      <c r="D167" s="173" t="n">
        <f aca="false">SUM(D162:D166)</f>
        <v>5041.4056</v>
      </c>
      <c r="E167" s="159"/>
      <c r="F167" s="161" t="n">
        <f aca="false">D167/$D$184</f>
        <v>0.714646440453544</v>
      </c>
    </row>
    <row r="168" customFormat="false" ht="12.75" hidden="false" customHeight="true" outlineLevel="0" collapsed="false"/>
    <row r="169" customFormat="false" ht="12.75" hidden="false" customHeight="true" outlineLevel="0" collapsed="false">
      <c r="A169" s="152" t="s">
        <v>788</v>
      </c>
      <c r="B169" s="153"/>
      <c r="C169" s="153"/>
      <c r="D169" s="153"/>
      <c r="E169" s="153"/>
      <c r="F169" s="153"/>
    </row>
    <row r="170" customFormat="false" ht="12.75" hidden="false" customHeight="true" outlineLevel="0" collapsed="false">
      <c r="A170" s="102" t="s">
        <v>789</v>
      </c>
      <c r="B170" s="174" t="n">
        <v>0.06</v>
      </c>
      <c r="C170" s="150" t="s">
        <v>790</v>
      </c>
      <c r="E170" s="102" t="s">
        <v>791</v>
      </c>
    </row>
    <row r="171" customFormat="false" ht="12.75" hidden="false" customHeight="true" outlineLevel="0" collapsed="false">
      <c r="A171" s="102" t="s">
        <v>792</v>
      </c>
      <c r="B171" s="147" t="n">
        <f aca="false">B103*8760</f>
        <v>10512000</v>
      </c>
      <c r="C171" s="150" t="s">
        <v>793</v>
      </c>
      <c r="E171" s="102" t="s">
        <v>794</v>
      </c>
    </row>
    <row r="172" customFormat="false" ht="12.75" hidden="false" customHeight="true" outlineLevel="0" collapsed="false">
      <c r="A172" s="102" t="s">
        <v>795</v>
      </c>
      <c r="D172" s="172" t="n">
        <f aca="false">B171*1000*B170/1000000</f>
        <v>630.72</v>
      </c>
      <c r="E172" s="102" t="s">
        <v>796</v>
      </c>
      <c r="F172" s="156" t="n">
        <f aca="false">D172/$D$184</f>
        <v>0.0894079625180048</v>
      </c>
    </row>
    <row r="173" customFormat="false" ht="12.75" hidden="false" customHeight="true" outlineLevel="0" collapsed="false">
      <c r="A173" s="158" t="s">
        <v>797</v>
      </c>
      <c r="B173" s="159"/>
      <c r="C173" s="159"/>
      <c r="D173" s="173" t="n">
        <f aca="false">D172</f>
        <v>630.72</v>
      </c>
      <c r="E173" s="159"/>
      <c r="F173" s="161" t="n">
        <f aca="false">D173/$D$184</f>
        <v>0.0894079625180048</v>
      </c>
    </row>
    <row r="174" customFormat="false" ht="12.75" hidden="false" customHeight="true" outlineLevel="0" collapsed="false"/>
    <row r="175" customFormat="false" ht="12.75" hidden="false" customHeight="true" outlineLevel="0" collapsed="false">
      <c r="A175" s="152" t="s">
        <v>798</v>
      </c>
      <c r="B175" s="153"/>
      <c r="C175" s="153"/>
      <c r="D175" s="153"/>
      <c r="E175" s="153"/>
      <c r="F175" s="153"/>
    </row>
    <row r="176" customFormat="false" ht="12.75" hidden="false" customHeight="true" outlineLevel="0" collapsed="false">
      <c r="A176" s="102" t="s">
        <v>799</v>
      </c>
      <c r="B176" s="162" t="n">
        <v>0.03</v>
      </c>
      <c r="C176" s="150" t="s">
        <v>800</v>
      </c>
      <c r="D176" s="172" t="n">
        <f aca="false">B176*D118</f>
        <v>692.7822</v>
      </c>
      <c r="E176" s="102" t="s">
        <v>801</v>
      </c>
      <c r="F176" s="156" t="n">
        <f aca="false">D176/$D$184</f>
        <v>0.0982056141722807</v>
      </c>
    </row>
    <row r="177" customFormat="false" ht="12.75" hidden="false" customHeight="true" outlineLevel="0" collapsed="false">
      <c r="A177" s="102" t="s">
        <v>802</v>
      </c>
      <c r="B177" s="162" t="n">
        <v>0.02</v>
      </c>
      <c r="C177" s="150" t="s">
        <v>803</v>
      </c>
      <c r="D177" s="172" t="n">
        <f aca="false">B177*(D124+D131+D137+D142)</f>
        <v>185.65728</v>
      </c>
      <c r="E177" s="102" t="s">
        <v>804</v>
      </c>
      <c r="F177" s="156" t="n">
        <f aca="false">D177/$D$184</f>
        <v>0.026317920997328</v>
      </c>
    </row>
    <row r="178" customFormat="false" ht="12.75" hidden="false" customHeight="true" outlineLevel="0" collapsed="false">
      <c r="A178" s="102" t="s">
        <v>805</v>
      </c>
      <c r="B178" s="175" t="n">
        <v>500</v>
      </c>
      <c r="C178" s="150" t="s">
        <v>806</v>
      </c>
      <c r="D178" s="172" t="n">
        <f aca="false">B178*150000/1000000</f>
        <v>75</v>
      </c>
      <c r="E178" s="102" t="s">
        <v>807</v>
      </c>
      <c r="F178" s="156" t="n">
        <f aca="false">D178/$D$184</f>
        <v>0.0106316545992681</v>
      </c>
    </row>
    <row r="179" customFormat="false" ht="12.75" hidden="false" customHeight="true" outlineLevel="0" collapsed="false">
      <c r="A179" s="102" t="s">
        <v>808</v>
      </c>
      <c r="B179" s="176" t="n">
        <v>0.005</v>
      </c>
      <c r="C179" s="150" t="s">
        <v>809</v>
      </c>
      <c r="D179" s="172" t="n">
        <f aca="false">B179*D150</f>
        <v>168.840168</v>
      </c>
      <c r="E179" s="102" t="s">
        <v>810</v>
      </c>
      <c r="F179" s="156" t="n">
        <f aca="false">D179/$D$184</f>
        <v>0.0239340046487786</v>
      </c>
    </row>
    <row r="180" customFormat="false" ht="12.75" hidden="false" customHeight="true" outlineLevel="0" collapsed="false">
      <c r="A180" s="102" t="s">
        <v>811</v>
      </c>
      <c r="B180" s="157" t="n">
        <v>50000</v>
      </c>
      <c r="C180" s="147" t="n">
        <f aca="false">B103</f>
        <v>1200</v>
      </c>
      <c r="D180" s="172" t="n">
        <f aca="false">B180*C180/1000000</f>
        <v>60</v>
      </c>
      <c r="E180" s="102" t="s">
        <v>812</v>
      </c>
      <c r="F180" s="156" t="n">
        <f aca="false">D180/$D$184</f>
        <v>0.00850532367941446</v>
      </c>
    </row>
    <row r="181" customFormat="false" ht="12.75" hidden="false" customHeight="true" outlineLevel="0" collapsed="false">
      <c r="A181" s="102" t="s">
        <v>813</v>
      </c>
      <c r="B181" s="157" t="n">
        <v>200</v>
      </c>
      <c r="C181" s="150" t="s">
        <v>814</v>
      </c>
      <c r="D181" s="172" t="n">
        <v>200</v>
      </c>
      <c r="E181" s="102" t="s">
        <v>815</v>
      </c>
      <c r="F181" s="156" t="n">
        <f aca="false">D181/$D$184</f>
        <v>0.0283510789313815</v>
      </c>
    </row>
    <row r="182" customFormat="false" ht="12.75" hidden="false" customHeight="true" outlineLevel="0" collapsed="false">
      <c r="A182" s="158" t="s">
        <v>816</v>
      </c>
      <c r="B182" s="159"/>
      <c r="C182" s="159"/>
      <c r="D182" s="173" t="n">
        <f aca="false">SUM(D176:D181)</f>
        <v>1382.279648</v>
      </c>
      <c r="E182" s="159"/>
      <c r="F182" s="161" t="n">
        <f aca="false">D182/$D$184</f>
        <v>0.195945597028451</v>
      </c>
    </row>
    <row r="183" customFormat="false" ht="12.75" hidden="false" customHeight="true" outlineLevel="0" collapsed="false"/>
    <row r="184" customFormat="false" ht="12.75" hidden="false" customHeight="true" outlineLevel="0" collapsed="false">
      <c r="A184" s="163" t="s">
        <v>817</v>
      </c>
      <c r="B184" s="180"/>
      <c r="C184" s="180"/>
      <c r="D184" s="177" t="n">
        <f aca="false">D167+D173+D182</f>
        <v>7054.405248</v>
      </c>
      <c r="E184" s="180"/>
      <c r="F184" s="166" t="n">
        <v>1</v>
      </c>
    </row>
    <row r="185" customFormat="false" ht="12.75" hidden="false" customHeight="true" outlineLevel="0" collapsed="false"/>
    <row r="186" customFormat="false" ht="12.75" hidden="false" customHeight="true" outlineLevel="0" collapsed="false">
      <c r="A186" s="167" t="s">
        <v>818</v>
      </c>
      <c r="B186" s="168"/>
      <c r="C186" s="168"/>
      <c r="D186" s="168"/>
      <c r="E186" s="168"/>
      <c r="F186" s="168"/>
    </row>
    <row r="187" customFormat="false" ht="12.75" hidden="false" customHeight="true" outlineLevel="0" collapsed="false">
      <c r="A187" s="102" t="s">
        <v>819</v>
      </c>
      <c r="D187" s="169" t="n">
        <f aca="false">D167/D184</f>
        <v>0.714646440453544</v>
      </c>
    </row>
    <row r="188" customFormat="false" ht="12.75" hidden="false" customHeight="true" outlineLevel="0" collapsed="false">
      <c r="A188" s="102" t="s">
        <v>820</v>
      </c>
      <c r="D188" s="169" t="n">
        <f aca="false">D173/D184</f>
        <v>0.0894079625180048</v>
      </c>
    </row>
    <row r="189" customFormat="false" ht="12.75" hidden="false" customHeight="true" outlineLevel="0" collapsed="false">
      <c r="A189" s="102" t="s">
        <v>821</v>
      </c>
      <c r="D189" s="169" t="n">
        <f aca="false">D182/D184</f>
        <v>0.195945597028451</v>
      </c>
    </row>
    <row r="190" customFormat="false" ht="12.75" hidden="false" customHeight="true" outlineLevel="0" collapsed="false">
      <c r="A190" s="102" t="s">
        <v>822</v>
      </c>
      <c r="D190" s="155" t="n">
        <f aca="false">D184*1000000/B107</f>
        <v>13619.3843017329</v>
      </c>
      <c r="F190" s="102" t="s">
        <v>823</v>
      </c>
    </row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3" colorId="64" zoomScale="140" zoomScaleNormal="140" zoomScalePageLayoutView="100" workbookViewId="0">
      <selection pane="topLeft" activeCell="B8" activeCellId="0" sqref="B8"/>
    </sheetView>
  </sheetViews>
  <sheetFormatPr defaultColWidth="12.66796875" defaultRowHeight="12" zeroHeight="false" outlineLevelRow="0" outlineLevelCol="0"/>
  <cols>
    <col collapsed="false" customWidth="true" hidden="false" outlineLevel="0" max="1" min="1" style="181" width="31.33"/>
    <col collapsed="false" customWidth="true" hidden="false" outlineLevel="0" max="2" min="2" style="181" width="13.34"/>
    <col collapsed="false" customWidth="true" hidden="false" outlineLevel="0" max="3" min="3" style="181" width="12.33"/>
    <col collapsed="false" customWidth="true" hidden="false" outlineLevel="0" max="4" min="4" style="181" width="2.44"/>
    <col collapsed="false" customWidth="true" hidden="false" outlineLevel="0" max="5" min="5" style="181" width="48.56"/>
    <col collapsed="false" customWidth="true" hidden="false" outlineLevel="0" max="6" min="6" style="181" width="5.11"/>
    <col collapsed="false" customWidth="true" hidden="false" outlineLevel="0" max="26" min="7" style="181" width="11.11"/>
    <col collapsed="false" customWidth="false" hidden="false" outlineLevel="0" max="16384" min="27" style="181" width="12.67"/>
  </cols>
  <sheetData>
    <row r="1" customFormat="false" ht="17.25" hidden="false" customHeight="true" outlineLevel="0" collapsed="false">
      <c r="A1" s="182" t="s">
        <v>829</v>
      </c>
      <c r="B1" s="182"/>
      <c r="C1" s="183"/>
      <c r="D1" s="183"/>
      <c r="E1" s="183"/>
    </row>
    <row r="2" customFormat="false" ht="12.75" hidden="false" customHeight="true" outlineLevel="0" collapsed="false"/>
    <row r="3" customFormat="false" ht="12.75" hidden="false" customHeight="true" outlineLevel="0" collapsed="false">
      <c r="A3" s="184" t="s">
        <v>830</v>
      </c>
      <c r="B3" s="185"/>
      <c r="C3" s="185"/>
      <c r="D3" s="185"/>
      <c r="E3" s="185"/>
    </row>
    <row r="4" customFormat="false" ht="12.75" hidden="false" customHeight="true" outlineLevel="0" collapsed="false">
      <c r="A4" s="186" t="s">
        <v>66</v>
      </c>
      <c r="B4" s="186" t="s">
        <v>679</v>
      </c>
      <c r="C4" s="186" t="s">
        <v>680</v>
      </c>
      <c r="E4" s="186" t="s">
        <v>681</v>
      </c>
    </row>
    <row r="5" customFormat="false" ht="12.75" hidden="false" customHeight="true" outlineLevel="0" collapsed="false">
      <c r="A5" s="181" t="s">
        <v>831</v>
      </c>
      <c r="B5" s="187" t="n">
        <f aca="false">Config!B31</f>
        <v>1600000000000</v>
      </c>
      <c r="C5" s="188" t="s">
        <v>832</v>
      </c>
      <c r="E5" s="189" t="s">
        <v>833</v>
      </c>
    </row>
    <row r="6" customFormat="false" ht="12.75" hidden="false" customHeight="true" outlineLevel="0" collapsed="false">
      <c r="A6" s="181" t="s">
        <v>834</v>
      </c>
      <c r="B6" s="190" t="n">
        <f aca="false">Config!B27</f>
        <v>16000</v>
      </c>
      <c r="C6" s="188" t="s">
        <v>835</v>
      </c>
      <c r="E6" s="189" t="s">
        <v>836</v>
      </c>
    </row>
    <row r="7" customFormat="false" ht="12.75" hidden="false" customHeight="true" outlineLevel="0" collapsed="false">
      <c r="A7" s="181" t="s">
        <v>837</v>
      </c>
      <c r="B7" s="190" t="n">
        <f aca="false">Config!B28</f>
        <v>1000</v>
      </c>
      <c r="C7" s="188" t="s">
        <v>835</v>
      </c>
      <c r="E7" s="189" t="s">
        <v>838</v>
      </c>
    </row>
    <row r="8" customFormat="false" ht="12.75" hidden="false" customHeight="true" outlineLevel="0" collapsed="false">
      <c r="A8" s="191" t="s">
        <v>839</v>
      </c>
      <c r="B8" s="192" t="n">
        <f aca="false">B6+B7</f>
        <v>17000</v>
      </c>
      <c r="C8" s="193" t="s">
        <v>835</v>
      </c>
      <c r="E8" s="194" t="s">
        <v>840</v>
      </c>
    </row>
    <row r="9" customFormat="false" ht="12.75" hidden="false" customHeight="true" outlineLevel="0" collapsed="false">
      <c r="A9" s="181" t="s">
        <v>841</v>
      </c>
      <c r="B9" s="190" t="n">
        <f aca="false">Config!B56</f>
        <v>64</v>
      </c>
      <c r="C9" s="188" t="s">
        <v>842</v>
      </c>
      <c r="E9" s="189" t="s">
        <v>843</v>
      </c>
    </row>
    <row r="10" customFormat="false" ht="12.75" hidden="false" customHeight="true" outlineLevel="0" collapsed="false">
      <c r="A10" s="181" t="s">
        <v>844</v>
      </c>
      <c r="B10" s="195" t="n">
        <f aca="false">Config!B59</f>
        <v>2.94117</v>
      </c>
      <c r="C10" s="188" t="s">
        <v>845</v>
      </c>
      <c r="E10" s="189" t="s">
        <v>846</v>
      </c>
    </row>
    <row r="11" customFormat="false" ht="12.75" hidden="false" customHeight="true" outlineLevel="0" collapsed="false">
      <c r="A11" s="181" t="s">
        <v>847</v>
      </c>
      <c r="B11" s="196" t="n">
        <f aca="false">TL_Param!C38</f>
        <v>0.607079850405132</v>
      </c>
      <c r="C11" s="188" t="s">
        <v>848</v>
      </c>
      <c r="E11" s="189" t="s">
        <v>849</v>
      </c>
    </row>
    <row r="12" customFormat="false" ht="12.75" hidden="false" customHeight="true" outlineLevel="0" collapsed="false">
      <c r="A12" s="181" t="s">
        <v>689</v>
      </c>
      <c r="B12" s="190" t="n">
        <f aca="false">Config!F8</f>
        <v>5263</v>
      </c>
      <c r="C12" s="188" t="s">
        <v>690</v>
      </c>
      <c r="E12" s="189" t="s">
        <v>850</v>
      </c>
    </row>
    <row r="13" customFormat="false" ht="12.75" hidden="false" customHeight="true" outlineLevel="0" collapsed="false">
      <c r="A13" s="181" t="s">
        <v>851</v>
      </c>
      <c r="B13" s="197" t="n">
        <v>0.7</v>
      </c>
      <c r="C13" s="188"/>
      <c r="E13" s="189" t="s">
        <v>852</v>
      </c>
    </row>
    <row r="14" customFormat="false" ht="12.75" hidden="false" customHeight="true" outlineLevel="0" collapsed="false">
      <c r="A14" s="181" t="s">
        <v>853</v>
      </c>
      <c r="B14" s="198" t="n">
        <v>0.995</v>
      </c>
      <c r="C14" s="188"/>
      <c r="E14" s="189" t="s">
        <v>854</v>
      </c>
    </row>
    <row r="15" customFormat="false" ht="12.75" hidden="false" customHeight="true" outlineLevel="0" collapsed="false">
      <c r="A15" s="191" t="s">
        <v>855</v>
      </c>
      <c r="B15" s="192" t="n">
        <f aca="false">8760*3600*B13*B14</f>
        <v>21964824</v>
      </c>
      <c r="C15" s="193" t="s">
        <v>856</v>
      </c>
      <c r="E15" s="194" t="s">
        <v>857</v>
      </c>
    </row>
    <row r="16" customFormat="false" ht="12.75" hidden="false" customHeight="true" outlineLevel="0" collapsed="false">
      <c r="A16" s="191" t="s">
        <v>858</v>
      </c>
      <c r="B16" s="192" t="n">
        <f aca="false">FLOOR(B15/B11,1)*B9</f>
        <v>2315591104</v>
      </c>
      <c r="C16" s="193" t="s">
        <v>859</v>
      </c>
      <c r="E16" s="194" t="s">
        <v>860</v>
      </c>
    </row>
    <row r="17" customFormat="false" ht="12.75" hidden="false" customHeight="true" outlineLevel="0" collapsed="false"/>
    <row r="18" customFormat="false" ht="12.75" hidden="false" customHeight="true" outlineLevel="0" collapsed="false">
      <c r="A18" s="184" t="s">
        <v>861</v>
      </c>
      <c r="B18" s="185"/>
      <c r="C18" s="185"/>
      <c r="D18" s="185"/>
      <c r="E18" s="185"/>
    </row>
    <row r="19" customFormat="false" ht="12.75" hidden="false" customHeight="true" outlineLevel="0" collapsed="false">
      <c r="A19" s="186" t="s">
        <v>862</v>
      </c>
      <c r="B19" s="186" t="s">
        <v>679</v>
      </c>
      <c r="C19" s="186" t="s">
        <v>680</v>
      </c>
      <c r="E19" s="186" t="s">
        <v>863</v>
      </c>
    </row>
    <row r="20" customFormat="false" ht="12.75" hidden="false" customHeight="true" outlineLevel="0" collapsed="false">
      <c r="A20" s="181" t="s">
        <v>864</v>
      </c>
      <c r="B20" s="187" t="n">
        <f aca="false">B16*B12</f>
        <v>12186955980352</v>
      </c>
      <c r="C20" s="188" t="s">
        <v>859</v>
      </c>
      <c r="E20" s="181" t="s">
        <v>865</v>
      </c>
    </row>
    <row r="21" customFormat="false" ht="12.75" hidden="false" customHeight="true" outlineLevel="0" collapsed="false">
      <c r="A21" s="181" t="s">
        <v>866</v>
      </c>
      <c r="B21" s="199" t="n">
        <f aca="false">B20*B6</f>
        <v>1.94991295685632E+017</v>
      </c>
      <c r="C21" s="188" t="s">
        <v>867</v>
      </c>
      <c r="E21" s="181" t="s">
        <v>868</v>
      </c>
    </row>
    <row r="22" customFormat="false" ht="12.75" hidden="false" customHeight="true" outlineLevel="0" collapsed="false">
      <c r="A22" s="181" t="s">
        <v>869</v>
      </c>
      <c r="B22" s="199" t="n">
        <f aca="false">B20*B7</f>
        <v>12186955980352000</v>
      </c>
      <c r="C22" s="188" t="s">
        <v>867</v>
      </c>
      <c r="E22" s="181" t="s">
        <v>870</v>
      </c>
    </row>
    <row r="23" customFormat="false" ht="12.75" hidden="false" customHeight="true" outlineLevel="0" collapsed="false">
      <c r="A23" s="200" t="s">
        <v>871</v>
      </c>
      <c r="B23" s="201" t="n">
        <f aca="false">B21+B22</f>
        <v>2.07178251665984E+017</v>
      </c>
      <c r="C23" s="193" t="s">
        <v>867</v>
      </c>
      <c r="E23" s="191" t="s">
        <v>840</v>
      </c>
    </row>
    <row r="24" customFormat="false" ht="12.75" hidden="false" customHeight="true" outlineLevel="0" collapsed="false">
      <c r="A24" s="202" t="s">
        <v>872</v>
      </c>
      <c r="B24" s="203" t="n">
        <f aca="false">B23/1000000</f>
        <v>207178251665.984</v>
      </c>
      <c r="C24" s="204" t="s">
        <v>873</v>
      </c>
      <c r="E24" s="205" t="s">
        <v>874</v>
      </c>
    </row>
    <row r="25" customFormat="false" ht="12.75" hidden="false" customHeight="true" outlineLevel="0" collapsed="false">
      <c r="A25" s="181" t="s">
        <v>875</v>
      </c>
      <c r="B25" s="190" t="n">
        <f aca="false">B21/1000000</f>
        <v>194991295685.632</v>
      </c>
      <c r="C25" s="188" t="s">
        <v>873</v>
      </c>
    </row>
    <row r="26" customFormat="false" ht="12.75" hidden="false" customHeight="true" outlineLevel="0" collapsed="false">
      <c r="A26" s="181" t="s">
        <v>876</v>
      </c>
      <c r="B26" s="190" t="n">
        <f aca="false">B22/1000000</f>
        <v>12186955980.352</v>
      </c>
      <c r="C26" s="188" t="s">
        <v>873</v>
      </c>
    </row>
    <row r="27" customFormat="false" ht="12.75" hidden="false" customHeight="true" outlineLevel="0" collapsed="false">
      <c r="A27" s="206" t="s">
        <v>877</v>
      </c>
      <c r="B27" s="207" t="n">
        <f aca="false">B23/(8760*3600)</f>
        <v>6569579263.88838</v>
      </c>
      <c r="C27" s="208" t="s">
        <v>878</v>
      </c>
      <c r="E27" s="206" t="s">
        <v>879</v>
      </c>
    </row>
    <row r="28" customFormat="false" ht="12.75" hidden="false" customHeight="true" outlineLevel="0" collapsed="false">
      <c r="A28" s="206" t="s">
        <v>880</v>
      </c>
      <c r="B28" s="207" t="n">
        <f aca="false">B20/(8760*3600)</f>
        <v>386445.839052258</v>
      </c>
      <c r="C28" s="208" t="s">
        <v>881</v>
      </c>
      <c r="E28" s="206" t="s">
        <v>882</v>
      </c>
    </row>
    <row r="29" customFormat="false" ht="12.75" hidden="false" customHeight="true" outlineLevel="0" collapsed="false"/>
    <row r="30" customFormat="false" ht="12.75" hidden="false" customHeight="true" outlineLevel="0" collapsed="false">
      <c r="A30" s="184" t="s">
        <v>883</v>
      </c>
      <c r="B30" s="185"/>
      <c r="C30" s="185"/>
      <c r="D30" s="185"/>
      <c r="E30" s="185"/>
    </row>
    <row r="31" customFormat="false" ht="12.75" hidden="false" customHeight="true" outlineLevel="0" collapsed="false">
      <c r="A31" s="186" t="s">
        <v>144</v>
      </c>
      <c r="B31" s="186" t="s">
        <v>679</v>
      </c>
      <c r="C31" s="186" t="s">
        <v>680</v>
      </c>
      <c r="E31" s="186" t="s">
        <v>681</v>
      </c>
    </row>
    <row r="32" customFormat="false" ht="12.75" hidden="false" customHeight="true" outlineLevel="0" collapsed="false">
      <c r="A32" s="181" t="s">
        <v>884</v>
      </c>
      <c r="B32" s="209" t="n">
        <f aca="false">Config!F42</f>
        <v>5</v>
      </c>
      <c r="C32" s="188" t="s">
        <v>885</v>
      </c>
      <c r="E32" s="181" t="s">
        <v>886</v>
      </c>
    </row>
    <row r="33" customFormat="false" ht="12.75" hidden="false" customHeight="true" outlineLevel="0" collapsed="false">
      <c r="A33" s="181" t="s">
        <v>887</v>
      </c>
      <c r="B33" s="209" t="n">
        <f aca="false">Config!F43</f>
        <v>25</v>
      </c>
      <c r="C33" s="188" t="s">
        <v>888</v>
      </c>
      <c r="E33" s="181" t="s">
        <v>886</v>
      </c>
    </row>
    <row r="34" customFormat="false" ht="12.75" hidden="false" customHeight="true" outlineLevel="0" collapsed="false">
      <c r="A34" s="191" t="s">
        <v>889</v>
      </c>
      <c r="B34" s="210" t="n">
        <f aca="false">(B32*B25+B33*B26)/(B25+B26)</f>
        <v>6.17647058823529</v>
      </c>
      <c r="C34" s="193" t="s">
        <v>890</v>
      </c>
      <c r="E34" s="191" t="s">
        <v>891</v>
      </c>
    </row>
    <row r="35" customFormat="false" ht="12.75" hidden="false" customHeight="true" outlineLevel="0" collapsed="false"/>
    <row r="36" customFormat="false" ht="12.75" hidden="false" customHeight="true" outlineLevel="0" collapsed="false">
      <c r="A36" s="211" t="s">
        <v>892</v>
      </c>
      <c r="B36" s="212"/>
      <c r="C36" s="212"/>
      <c r="E36" s="212"/>
    </row>
    <row r="37" customFormat="false" ht="12.75" hidden="false" customHeight="true" outlineLevel="0" collapsed="false">
      <c r="A37" s="181" t="s">
        <v>893</v>
      </c>
      <c r="B37" s="213" t="n">
        <f aca="false">B25*B32/1000000</f>
        <v>974956.47842816</v>
      </c>
      <c r="C37" s="188" t="s">
        <v>814</v>
      </c>
      <c r="E37" s="181" t="s">
        <v>894</v>
      </c>
    </row>
    <row r="38" customFormat="false" ht="12.75" hidden="false" customHeight="true" outlineLevel="0" collapsed="false">
      <c r="A38" s="181" t="s">
        <v>895</v>
      </c>
      <c r="B38" s="213" t="n">
        <f aca="false">B26*B33/1000000</f>
        <v>304673.8995088</v>
      </c>
      <c r="C38" s="188" t="s">
        <v>814</v>
      </c>
      <c r="E38" s="181" t="s">
        <v>896</v>
      </c>
    </row>
    <row r="39" customFormat="false" ht="16.5" hidden="false" customHeight="true" outlineLevel="0" collapsed="false">
      <c r="A39" s="214" t="s">
        <v>897</v>
      </c>
      <c r="B39" s="215" t="n">
        <f aca="false">B37+B38</f>
        <v>1279630.37793696</v>
      </c>
      <c r="C39" s="186" t="s">
        <v>814</v>
      </c>
      <c r="E39" s="216"/>
    </row>
    <row r="40" customFormat="false" ht="12.75" hidden="false" customHeight="true" outlineLevel="0" collapsed="false"/>
    <row r="41" customFormat="false" ht="12.75" hidden="false" customHeight="true" outlineLevel="0" collapsed="false">
      <c r="A41" s="217" t="s">
        <v>898</v>
      </c>
      <c r="B41" s="206"/>
      <c r="C41" s="206"/>
      <c r="E41" s="206"/>
    </row>
    <row r="42" customFormat="false" ht="12.75" hidden="false" customHeight="true" outlineLevel="0" collapsed="false">
      <c r="A42" s="181" t="s">
        <v>899</v>
      </c>
      <c r="B42" s="218" t="n">
        <f aca="false">B37/B39</f>
        <v>0.761904761904762</v>
      </c>
    </row>
    <row r="43" customFormat="false" ht="12.75" hidden="false" customHeight="true" outlineLevel="0" collapsed="false">
      <c r="A43" s="181" t="s">
        <v>900</v>
      </c>
      <c r="B43" s="218" t="n">
        <f aca="false">B38/B39</f>
        <v>0.238095238095238</v>
      </c>
    </row>
    <row r="44" customFormat="false" ht="12.75" hidden="false" customHeight="true" outlineLevel="0" collapsed="false">
      <c r="A44" s="181" t="s">
        <v>901</v>
      </c>
      <c r="B44" s="213" t="n">
        <f aca="false">B39/B12*1000000</f>
        <v>243137065.92</v>
      </c>
      <c r="C44" s="188" t="s">
        <v>902</v>
      </c>
    </row>
    <row r="45" customFormat="false" ht="12.75" hidden="false" customHeight="true" outlineLevel="0" collapsed="false">
      <c r="B45" s="213"/>
      <c r="C45" s="188"/>
    </row>
    <row r="46" customFormat="false" ht="12.75" hidden="false" customHeight="true" outlineLevel="0" collapsed="false">
      <c r="A46" s="219" t="s">
        <v>903</v>
      </c>
      <c r="B46" s="220" t="n">
        <f aca="false">B39/DC_Cost_Model!D88</f>
        <v>137.621643621582</v>
      </c>
      <c r="C46" s="188"/>
    </row>
    <row r="47" customFormat="false" ht="12.75" hidden="false" customHeight="true" outlineLevel="0" collapsed="false">
      <c r="A47" s="181" t="s">
        <v>904</v>
      </c>
      <c r="B47" s="221" t="n">
        <f aca="false">B34/B46</f>
        <v>0.0448800815460302</v>
      </c>
    </row>
    <row r="48" customFormat="false" ht="12.75" hidden="false" customHeight="true" outlineLevel="0" collapsed="false">
      <c r="B48" s="222"/>
    </row>
    <row r="49" customFormat="false" ht="19.5" hidden="false" customHeight="true" outlineLevel="0" collapsed="false">
      <c r="A49" s="182" t="s">
        <v>905</v>
      </c>
      <c r="B49" s="183"/>
      <c r="C49" s="183"/>
      <c r="D49" s="183"/>
      <c r="E49" s="183"/>
    </row>
    <row r="50" customFormat="false" ht="12.75" hidden="false" customHeight="true" outlineLevel="0" collapsed="false"/>
    <row r="51" customFormat="false" ht="12.75" hidden="false" customHeight="true" outlineLevel="0" collapsed="false">
      <c r="A51" s="184" t="s">
        <v>830</v>
      </c>
      <c r="B51" s="185"/>
      <c r="C51" s="185"/>
      <c r="D51" s="185"/>
      <c r="E51" s="185"/>
    </row>
    <row r="52" customFormat="false" ht="12.75" hidden="false" customHeight="true" outlineLevel="0" collapsed="false">
      <c r="A52" s="186" t="s">
        <v>66</v>
      </c>
      <c r="B52" s="186" t="s">
        <v>679</v>
      </c>
      <c r="C52" s="186" t="s">
        <v>680</v>
      </c>
      <c r="E52" s="186" t="s">
        <v>681</v>
      </c>
    </row>
    <row r="53" customFormat="false" ht="12.75" hidden="false" customHeight="true" outlineLevel="0" collapsed="false">
      <c r="A53" s="223" t="s">
        <v>831</v>
      </c>
      <c r="B53" s="187" t="n">
        <f aca="false">Config!B31</f>
        <v>1600000000000</v>
      </c>
      <c r="C53" s="188" t="s">
        <v>832</v>
      </c>
      <c r="E53" s="189" t="s">
        <v>833</v>
      </c>
    </row>
    <row r="54" customFormat="false" ht="12.75" hidden="false" customHeight="true" outlineLevel="0" collapsed="false">
      <c r="A54" s="223" t="s">
        <v>834</v>
      </c>
      <c r="B54" s="190" t="n">
        <f aca="false">Config!B27</f>
        <v>16000</v>
      </c>
      <c r="C54" s="188" t="s">
        <v>835</v>
      </c>
      <c r="E54" s="189" t="s">
        <v>836</v>
      </c>
    </row>
    <row r="55" customFormat="false" ht="12.75" hidden="false" customHeight="true" outlineLevel="0" collapsed="false">
      <c r="A55" s="223" t="s">
        <v>837</v>
      </c>
      <c r="B55" s="190" t="n">
        <f aca="false">Config!B28</f>
        <v>1000</v>
      </c>
      <c r="C55" s="188" t="s">
        <v>835</v>
      </c>
      <c r="E55" s="189" t="s">
        <v>838</v>
      </c>
    </row>
    <row r="56" customFormat="false" ht="12.75" hidden="false" customHeight="true" outlineLevel="0" collapsed="false">
      <c r="A56" s="191" t="s">
        <v>839</v>
      </c>
      <c r="B56" s="192" t="n">
        <f aca="false">B54+B55</f>
        <v>17000</v>
      </c>
      <c r="C56" s="193" t="s">
        <v>835</v>
      </c>
      <c r="E56" s="194" t="s">
        <v>840</v>
      </c>
    </row>
    <row r="57" customFormat="false" ht="12.75" hidden="false" customHeight="true" outlineLevel="0" collapsed="false">
      <c r="A57" s="223" t="s">
        <v>841</v>
      </c>
      <c r="B57" s="190" t="n">
        <f aca="false">Config!B56</f>
        <v>64</v>
      </c>
      <c r="C57" s="188" t="s">
        <v>842</v>
      </c>
      <c r="E57" s="189" t="s">
        <v>843</v>
      </c>
    </row>
    <row r="58" customFormat="false" ht="12.75" hidden="false" customHeight="true" outlineLevel="0" collapsed="false">
      <c r="A58" s="223" t="s">
        <v>844</v>
      </c>
      <c r="B58" s="195" t="n">
        <f aca="false">Config!B59</f>
        <v>2.94117</v>
      </c>
      <c r="C58" s="188" t="s">
        <v>845</v>
      </c>
      <c r="E58" s="189" t="s">
        <v>846</v>
      </c>
    </row>
    <row r="59" customFormat="false" ht="12.75" hidden="false" customHeight="true" outlineLevel="0" collapsed="false">
      <c r="A59" s="223" t="s">
        <v>847</v>
      </c>
      <c r="B59" s="196" t="n">
        <f aca="false">TL_Param!D38</f>
        <v>1.57371328216402</v>
      </c>
      <c r="C59" s="188" t="s">
        <v>848</v>
      </c>
      <c r="E59" s="189" t="s">
        <v>906</v>
      </c>
    </row>
    <row r="60" customFormat="false" ht="12.75" hidden="false" customHeight="true" outlineLevel="0" collapsed="false">
      <c r="A60" s="223" t="s">
        <v>689</v>
      </c>
      <c r="B60" s="190" t="n">
        <f aca="false">Config!G8</f>
        <v>7194</v>
      </c>
      <c r="C60" s="188" t="s">
        <v>690</v>
      </c>
      <c r="E60" s="189" t="s">
        <v>907</v>
      </c>
    </row>
    <row r="61" customFormat="false" ht="12.75" hidden="false" customHeight="true" outlineLevel="0" collapsed="false">
      <c r="A61" s="223" t="s">
        <v>851</v>
      </c>
      <c r="B61" s="197" t="n">
        <v>0.7</v>
      </c>
      <c r="E61" s="223" t="s">
        <v>852</v>
      </c>
    </row>
    <row r="62" customFormat="false" ht="12.75" hidden="false" customHeight="true" outlineLevel="0" collapsed="false">
      <c r="A62" s="223" t="s">
        <v>853</v>
      </c>
      <c r="B62" s="198" t="n">
        <v>0.995</v>
      </c>
      <c r="E62" s="223" t="s">
        <v>854</v>
      </c>
    </row>
    <row r="63" customFormat="false" ht="12.75" hidden="false" customHeight="true" outlineLevel="0" collapsed="false">
      <c r="A63" s="191" t="s">
        <v>855</v>
      </c>
      <c r="B63" s="192" t="n">
        <f aca="false">8760*3600*B61*B62</f>
        <v>21964824</v>
      </c>
      <c r="C63" s="193" t="s">
        <v>856</v>
      </c>
      <c r="E63" s="194" t="s">
        <v>857</v>
      </c>
    </row>
    <row r="64" customFormat="false" ht="12.75" hidden="false" customHeight="true" outlineLevel="0" collapsed="false">
      <c r="A64" s="191" t="s">
        <v>858</v>
      </c>
      <c r="B64" s="192" t="n">
        <f aca="false">FLOOR(B63/B59,1)*B57</f>
        <v>893268608</v>
      </c>
      <c r="C64" s="193" t="s">
        <v>859</v>
      </c>
      <c r="E64" s="194" t="s">
        <v>860</v>
      </c>
    </row>
    <row r="65" customFormat="false" ht="12.75" hidden="false" customHeight="true" outlineLevel="0" collapsed="false"/>
    <row r="66" customFormat="false" ht="12.75" hidden="false" customHeight="true" outlineLevel="0" collapsed="false">
      <c r="A66" s="184" t="s">
        <v>861</v>
      </c>
      <c r="B66" s="185"/>
      <c r="C66" s="185"/>
      <c r="D66" s="185"/>
      <c r="E66" s="185"/>
    </row>
    <row r="67" customFormat="false" ht="12.75" hidden="false" customHeight="true" outlineLevel="0" collapsed="false">
      <c r="A67" s="186" t="s">
        <v>862</v>
      </c>
      <c r="B67" s="186" t="s">
        <v>679</v>
      </c>
      <c r="C67" s="186" t="s">
        <v>680</v>
      </c>
      <c r="E67" s="186" t="s">
        <v>863</v>
      </c>
    </row>
    <row r="68" customFormat="false" ht="12.75" hidden="false" customHeight="true" outlineLevel="0" collapsed="false">
      <c r="A68" s="223" t="s">
        <v>864</v>
      </c>
      <c r="B68" s="187" t="n">
        <f aca="false">B64*B60</f>
        <v>6426174365952</v>
      </c>
      <c r="C68" s="188" t="s">
        <v>859</v>
      </c>
      <c r="E68" s="223" t="s">
        <v>865</v>
      </c>
    </row>
    <row r="69" customFormat="false" ht="12.75" hidden="false" customHeight="true" outlineLevel="0" collapsed="false">
      <c r="A69" s="223" t="s">
        <v>866</v>
      </c>
      <c r="B69" s="187" t="n">
        <f aca="false">B68*B54</f>
        <v>1.02818789855232E+017</v>
      </c>
      <c r="C69" s="188" t="s">
        <v>867</v>
      </c>
      <c r="E69" s="223" t="s">
        <v>868</v>
      </c>
    </row>
    <row r="70" customFormat="false" ht="12.75" hidden="false" customHeight="true" outlineLevel="0" collapsed="false">
      <c r="A70" s="223" t="s">
        <v>869</v>
      </c>
      <c r="B70" s="187" t="n">
        <f aca="false">B68*B55</f>
        <v>6426174365952000</v>
      </c>
      <c r="C70" s="188" t="s">
        <v>867</v>
      </c>
      <c r="E70" s="223" t="s">
        <v>870</v>
      </c>
    </row>
    <row r="71" customFormat="false" ht="12.75" hidden="false" customHeight="true" outlineLevel="0" collapsed="false">
      <c r="A71" s="200" t="s">
        <v>871</v>
      </c>
      <c r="B71" s="201" t="n">
        <f aca="false">B69+B70</f>
        <v>1.09244964221184E+017</v>
      </c>
      <c r="C71" s="193" t="s">
        <v>867</v>
      </c>
      <c r="E71" s="191" t="s">
        <v>840</v>
      </c>
    </row>
    <row r="72" customFormat="false" ht="12.75" hidden="false" customHeight="true" outlineLevel="0" collapsed="false">
      <c r="A72" s="202" t="s">
        <v>872</v>
      </c>
      <c r="B72" s="203" t="n">
        <f aca="false">B71/1000000</f>
        <v>109244964221.184</v>
      </c>
      <c r="C72" s="204" t="s">
        <v>873</v>
      </c>
      <c r="E72" s="205" t="s">
        <v>874</v>
      </c>
    </row>
    <row r="73" customFormat="false" ht="12.75" hidden="false" customHeight="true" outlineLevel="0" collapsed="false">
      <c r="A73" s="223" t="s">
        <v>875</v>
      </c>
      <c r="B73" s="190" t="n">
        <f aca="false">B69/1000000</f>
        <v>102818789855.232</v>
      </c>
      <c r="C73" s="188" t="s">
        <v>873</v>
      </c>
    </row>
    <row r="74" customFormat="false" ht="12.75" hidden="false" customHeight="true" outlineLevel="0" collapsed="false">
      <c r="A74" s="223" t="s">
        <v>876</v>
      </c>
      <c r="B74" s="190" t="n">
        <f aca="false">B70/1000000</f>
        <v>6426174365.952</v>
      </c>
      <c r="C74" s="188" t="s">
        <v>873</v>
      </c>
    </row>
    <row r="75" customFormat="false" ht="12.75" hidden="false" customHeight="true" outlineLevel="0" collapsed="false">
      <c r="A75" s="206" t="s">
        <v>877</v>
      </c>
      <c r="B75" s="207" t="n">
        <f aca="false">B71/(8760*3600)</f>
        <v>3464135090.72755</v>
      </c>
      <c r="C75" s="208" t="s">
        <v>878</v>
      </c>
      <c r="E75" s="206" t="s">
        <v>879</v>
      </c>
    </row>
    <row r="76" customFormat="false" ht="12.75" hidden="false" customHeight="true" outlineLevel="0" collapsed="false">
      <c r="A76" s="206" t="s">
        <v>880</v>
      </c>
      <c r="B76" s="207" t="n">
        <f aca="false">B68/(8760*3600)</f>
        <v>203772.652395738</v>
      </c>
      <c r="C76" s="208" t="s">
        <v>881</v>
      </c>
      <c r="E76" s="206" t="s">
        <v>882</v>
      </c>
    </row>
    <row r="77" customFormat="false" ht="12.75" hidden="false" customHeight="true" outlineLevel="0" collapsed="false"/>
    <row r="78" customFormat="false" ht="12.75" hidden="false" customHeight="true" outlineLevel="0" collapsed="false">
      <c r="A78" s="184" t="s">
        <v>883</v>
      </c>
      <c r="B78" s="185"/>
      <c r="C78" s="185"/>
      <c r="D78" s="185"/>
      <c r="E78" s="185"/>
    </row>
    <row r="79" customFormat="false" ht="12.75" hidden="false" customHeight="true" outlineLevel="0" collapsed="false">
      <c r="A79" s="186" t="s">
        <v>144</v>
      </c>
      <c r="B79" s="186" t="s">
        <v>679</v>
      </c>
      <c r="C79" s="186" t="s">
        <v>680</v>
      </c>
      <c r="E79" s="186" t="s">
        <v>681</v>
      </c>
    </row>
    <row r="80" customFormat="false" ht="12.75" hidden="false" customHeight="true" outlineLevel="0" collapsed="false">
      <c r="A80" s="223" t="s">
        <v>884</v>
      </c>
      <c r="B80" s="209" t="n">
        <f aca="false">Config!F42</f>
        <v>5</v>
      </c>
      <c r="C80" s="188" t="s">
        <v>885</v>
      </c>
      <c r="E80" s="223" t="s">
        <v>886</v>
      </c>
    </row>
    <row r="81" customFormat="false" ht="12.75" hidden="false" customHeight="true" outlineLevel="0" collapsed="false">
      <c r="A81" s="223" t="s">
        <v>887</v>
      </c>
      <c r="B81" s="209" t="n">
        <f aca="false">Config!F43</f>
        <v>25</v>
      </c>
      <c r="C81" s="188" t="s">
        <v>888</v>
      </c>
      <c r="E81" s="223" t="s">
        <v>886</v>
      </c>
    </row>
    <row r="82" customFormat="false" ht="12.75" hidden="false" customHeight="true" outlineLevel="0" collapsed="false">
      <c r="A82" s="191" t="s">
        <v>889</v>
      </c>
      <c r="B82" s="210" t="n">
        <f aca="false">(B80*B73+B81*B74)/(B73+B74)</f>
        <v>6.17647058823529</v>
      </c>
      <c r="C82" s="193" t="s">
        <v>890</v>
      </c>
      <c r="E82" s="191" t="s">
        <v>891</v>
      </c>
    </row>
    <row r="83" customFormat="false" ht="12.75" hidden="false" customHeight="true" outlineLevel="0" collapsed="false"/>
    <row r="84" customFormat="false" ht="12.75" hidden="false" customHeight="true" outlineLevel="0" collapsed="false">
      <c r="A84" s="211" t="s">
        <v>892</v>
      </c>
      <c r="B84" s="212"/>
      <c r="C84" s="212"/>
      <c r="E84" s="212"/>
    </row>
    <row r="85" customFormat="false" ht="12.75" hidden="false" customHeight="true" outlineLevel="0" collapsed="false">
      <c r="A85" s="223" t="s">
        <v>893</v>
      </c>
      <c r="B85" s="213" t="n">
        <f aca="false">B73*B80/1000000</f>
        <v>514093.94927616</v>
      </c>
      <c r="C85" s="188" t="s">
        <v>814</v>
      </c>
      <c r="E85" s="223" t="s">
        <v>894</v>
      </c>
    </row>
    <row r="86" customFormat="false" ht="12.75" hidden="false" customHeight="true" outlineLevel="0" collapsed="false">
      <c r="A86" s="223" t="s">
        <v>895</v>
      </c>
      <c r="B86" s="213" t="n">
        <f aca="false">B74*B81/1000000</f>
        <v>160654.3591488</v>
      </c>
      <c r="C86" s="188" t="s">
        <v>814</v>
      </c>
      <c r="E86" s="223" t="s">
        <v>896</v>
      </c>
    </row>
    <row r="87" customFormat="false" ht="12.75" hidden="false" customHeight="true" outlineLevel="0" collapsed="false">
      <c r="A87" s="214" t="s">
        <v>897</v>
      </c>
      <c r="B87" s="215" t="n">
        <f aca="false">B85+B86</f>
        <v>674748.30842496</v>
      </c>
      <c r="C87" s="186" t="s">
        <v>814</v>
      </c>
      <c r="E87" s="216"/>
    </row>
    <row r="88" customFormat="false" ht="12.75" hidden="false" customHeight="true" outlineLevel="0" collapsed="false"/>
    <row r="89" customFormat="false" ht="12.75" hidden="false" customHeight="true" outlineLevel="0" collapsed="false">
      <c r="A89" s="217" t="s">
        <v>898</v>
      </c>
      <c r="B89" s="206"/>
      <c r="C89" s="206"/>
      <c r="E89" s="206"/>
    </row>
    <row r="90" customFormat="false" ht="12.75" hidden="false" customHeight="true" outlineLevel="0" collapsed="false">
      <c r="A90" s="223" t="s">
        <v>899</v>
      </c>
      <c r="B90" s="218" t="n">
        <f aca="false">B85/B87</f>
        <v>0.761904761904762</v>
      </c>
    </row>
    <row r="91" customFormat="false" ht="12.75" hidden="false" customHeight="true" outlineLevel="0" collapsed="false">
      <c r="A91" s="223" t="s">
        <v>900</v>
      </c>
      <c r="B91" s="218" t="n">
        <f aca="false">B86/B87</f>
        <v>0.238095238095238</v>
      </c>
    </row>
    <row r="92" customFormat="false" ht="12.75" hidden="false" customHeight="true" outlineLevel="0" collapsed="false">
      <c r="A92" s="223" t="s">
        <v>901</v>
      </c>
      <c r="B92" s="213" t="n">
        <f aca="false">B87/B60*1000000</f>
        <v>93793203.84</v>
      </c>
      <c r="C92" s="188" t="s">
        <v>902</v>
      </c>
    </row>
    <row r="93" customFormat="false" ht="12.75" hidden="false" customHeight="true" outlineLevel="0" collapsed="false"/>
    <row r="94" customFormat="false" ht="12.75" hidden="false" customHeight="true" outlineLevel="0" collapsed="false">
      <c r="A94" s="219" t="s">
        <v>903</v>
      </c>
      <c r="B94" s="220" t="n">
        <f aca="false">B87/DC_Cost_Model!D184</f>
        <v>95.649212754861</v>
      </c>
    </row>
    <row r="95" customFormat="false" ht="12.75" hidden="false" customHeight="true" outlineLevel="0" collapsed="false">
      <c r="A95" s="181" t="s">
        <v>904</v>
      </c>
      <c r="B95" s="222" t="n">
        <f aca="false">B82/B94</f>
        <v>0.064574191572961</v>
      </c>
    </row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DE49A"/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625" activePane="bottomLeft" state="frozen"/>
      <selection pane="topLeft" activeCell="A1" activeCellId="0" sqref="A1"/>
      <selection pane="bottomLeft" activeCell="C638" activeCellId="0" sqref="C638"/>
    </sheetView>
  </sheetViews>
  <sheetFormatPr defaultColWidth="12.66796875" defaultRowHeight="12" zeroHeight="false" outlineLevelRow="0" outlineLevelCol="0"/>
  <cols>
    <col collapsed="false" customWidth="true" hidden="false" outlineLevel="0" max="1" min="1" style="181" width="38.44"/>
    <col collapsed="false" customWidth="true" hidden="false" outlineLevel="0" max="2" min="2" style="181" width="18.44"/>
    <col collapsed="false" customWidth="true" hidden="false" outlineLevel="0" max="4" min="3" style="181" width="13.67"/>
    <col collapsed="false" customWidth="true" hidden="false" outlineLevel="0" max="5" min="5" style="181" width="14.33"/>
    <col collapsed="false" customWidth="true" hidden="false" outlineLevel="0" max="6" min="6" style="181" width="14.11"/>
    <col collapsed="false" customWidth="true" hidden="false" outlineLevel="0" max="7" min="7" style="181" width="15.88"/>
    <col collapsed="false" customWidth="true" hidden="false" outlineLevel="0" max="8" min="8" style="181" width="14.88"/>
    <col collapsed="false" customWidth="true" hidden="false" outlineLevel="0" max="9" min="9" style="181" width="61.11"/>
    <col collapsed="false" customWidth="true" hidden="false" outlineLevel="0" max="26" min="10" style="181" width="9.67"/>
    <col collapsed="false" customWidth="false" hidden="false" outlineLevel="0" max="16384" min="27" style="181" width="12.67"/>
  </cols>
  <sheetData>
    <row r="1" customFormat="false" ht="12.75" hidden="false" customHeight="true" outlineLevel="0" collapsed="false">
      <c r="A1" s="224" t="s">
        <v>908</v>
      </c>
      <c r="B1" s="225"/>
      <c r="C1" s="225"/>
      <c r="D1" s="225"/>
      <c r="E1" s="225"/>
      <c r="F1" s="225"/>
      <c r="G1" s="225"/>
      <c r="H1" s="225"/>
      <c r="I1" s="225"/>
    </row>
    <row r="2" customFormat="false" ht="12.75" hidden="false" customHeight="true" outlineLevel="0" collapsed="false"/>
    <row r="3" customFormat="false" ht="12.75" hidden="false" customHeight="true" outlineLevel="0" collapsed="false">
      <c r="A3" s="214" t="s">
        <v>909</v>
      </c>
      <c r="B3" s="216"/>
      <c r="C3" s="216"/>
      <c r="D3" s="216"/>
      <c r="E3" s="216"/>
      <c r="F3" s="216"/>
      <c r="G3" s="216"/>
      <c r="H3" s="216"/>
      <c r="I3" s="216"/>
    </row>
    <row r="4" customFormat="false" ht="12.75" hidden="false" customHeight="true" outlineLevel="0" collapsed="false">
      <c r="A4" s="226" t="s">
        <v>862</v>
      </c>
      <c r="B4" s="227" t="s">
        <v>910</v>
      </c>
      <c r="C4" s="227" t="s">
        <v>911</v>
      </c>
      <c r="D4" s="227" t="s">
        <v>912</v>
      </c>
      <c r="E4" s="227" t="s">
        <v>913</v>
      </c>
      <c r="F4" s="227" t="s">
        <v>914</v>
      </c>
      <c r="G4" s="227" t="s">
        <v>915</v>
      </c>
      <c r="H4" s="227" t="s">
        <v>916</v>
      </c>
      <c r="I4" s="226" t="s">
        <v>681</v>
      </c>
    </row>
    <row r="5" customFormat="false" ht="12.75" hidden="false" customHeight="true" outlineLevel="0" collapsed="false">
      <c r="A5" s="219" t="s">
        <v>917</v>
      </c>
      <c r="B5" s="228" t="n">
        <v>3.7</v>
      </c>
      <c r="C5" s="228" t="n">
        <v>13.1</v>
      </c>
      <c r="D5" s="229" t="n">
        <f aca="false">FT_Sep2026!E6</f>
        <v>36</v>
      </c>
      <c r="H5" s="229" t="n">
        <f aca="false">FT_Sep2026!E8</f>
        <v>350</v>
      </c>
      <c r="I5" s="223" t="s">
        <v>918</v>
      </c>
    </row>
    <row r="6" customFormat="false" ht="12.75" hidden="false" customHeight="true" outlineLevel="0" collapsed="false">
      <c r="A6" s="223" t="s">
        <v>919</v>
      </c>
      <c r="B6" s="228" t="n">
        <v>6</v>
      </c>
      <c r="C6" s="228" t="n">
        <v>20</v>
      </c>
      <c r="I6" s="223" t="s">
        <v>920</v>
      </c>
    </row>
    <row r="7" customFormat="false" ht="12.75" hidden="false" customHeight="true" outlineLevel="0" collapsed="false">
      <c r="A7" s="223" t="s">
        <v>921</v>
      </c>
      <c r="B7" s="230" t="n">
        <f aca="false">B5/3.7-1</f>
        <v>0</v>
      </c>
      <c r="C7" s="230" t="n">
        <f aca="false">C5/B5-1</f>
        <v>2.54054054054054</v>
      </c>
      <c r="I7" s="223" t="s">
        <v>922</v>
      </c>
    </row>
    <row r="8" customFormat="false" ht="12.75" hidden="false" customHeight="true" outlineLevel="0" collapsed="false">
      <c r="A8" s="223" t="s">
        <v>923</v>
      </c>
      <c r="B8" s="231" t="n">
        <v>-5</v>
      </c>
      <c r="C8" s="231" t="n">
        <v>-8</v>
      </c>
      <c r="D8" s="232" t="n">
        <v>-25</v>
      </c>
      <c r="E8" s="232" t="n">
        <v>-57</v>
      </c>
      <c r="G8" s="231"/>
      <c r="H8" s="232" t="n">
        <v>39</v>
      </c>
      <c r="I8" s="223" t="s">
        <v>924</v>
      </c>
    </row>
    <row r="9" customFormat="false" ht="12.75" hidden="false" customHeight="true" outlineLevel="0" collapsed="false">
      <c r="A9" s="223" t="s">
        <v>925</v>
      </c>
      <c r="B9" s="233" t="n">
        <v>0.4</v>
      </c>
      <c r="C9" s="233" t="n">
        <v>0.33</v>
      </c>
      <c r="G9" s="233"/>
      <c r="I9" s="223"/>
    </row>
    <row r="10" customFormat="false" ht="12.75" hidden="false" customHeight="true" outlineLevel="0" collapsed="false"/>
    <row r="11" customFormat="false" ht="12.75" hidden="false" customHeight="true" outlineLevel="0" collapsed="false">
      <c r="A11" s="223" t="s">
        <v>926</v>
      </c>
      <c r="B11" s="234" t="n">
        <v>0.6</v>
      </c>
      <c r="C11" s="234" t="n">
        <v>1.9</v>
      </c>
      <c r="D11" s="235" t="n">
        <v>3.5</v>
      </c>
      <c r="E11" s="234" t="n">
        <v>4.5</v>
      </c>
      <c r="F11" s="234" t="n">
        <v>5.75</v>
      </c>
      <c r="G11" s="235" t="n">
        <v>7</v>
      </c>
      <c r="H11" s="234" t="n">
        <v>10</v>
      </c>
      <c r="I11" s="223" t="s">
        <v>927</v>
      </c>
    </row>
    <row r="12" customFormat="false" ht="12.75" hidden="false" customHeight="true" outlineLevel="0" collapsed="false">
      <c r="A12" s="223" t="s">
        <v>928</v>
      </c>
      <c r="B12" s="236" t="n">
        <f aca="false">(0.2+B11)/2</f>
        <v>0.4</v>
      </c>
      <c r="C12" s="236" t="n">
        <f aca="false">(B11+C11)/2</f>
        <v>1.25</v>
      </c>
      <c r="D12" s="237" t="n">
        <f aca="false">(C11+D11)/2</f>
        <v>2.7</v>
      </c>
      <c r="E12" s="237" t="n">
        <f aca="false">(D11+E11)/2</f>
        <v>4</v>
      </c>
      <c r="F12" s="237" t="n">
        <f aca="false">(E11+F11)/2</f>
        <v>5.125</v>
      </c>
      <c r="G12" s="237" t="n">
        <f aca="false">(F11+G11)/2</f>
        <v>6.375</v>
      </c>
      <c r="H12" s="236" t="n">
        <f aca="false">(G11+H11)/2</f>
        <v>8.5</v>
      </c>
      <c r="I12" s="223" t="s">
        <v>929</v>
      </c>
    </row>
    <row r="13" customFormat="false" ht="12.75" hidden="false" customHeight="true" outlineLevel="0" collapsed="false">
      <c r="A13" s="223" t="s">
        <v>930</v>
      </c>
      <c r="C13" s="238" t="n">
        <v>900</v>
      </c>
      <c r="I13" s="223" t="s">
        <v>931</v>
      </c>
    </row>
    <row r="14" customFormat="false" ht="12.75" hidden="false" customHeight="true" outlineLevel="0" collapsed="false">
      <c r="A14" s="223" t="s">
        <v>932</v>
      </c>
      <c r="C14" s="238" t="n">
        <v>50</v>
      </c>
      <c r="I14" s="223" t="s">
        <v>933</v>
      </c>
    </row>
    <row r="15" customFormat="false" ht="12.75" hidden="false" customHeight="true" outlineLevel="0" collapsed="false"/>
    <row r="16" customFormat="false" ht="12.75" hidden="false" customHeight="true" outlineLevel="0" collapsed="false">
      <c r="A16" s="219" t="s">
        <v>934</v>
      </c>
    </row>
    <row r="17" customFormat="false" ht="12.75" hidden="false" customHeight="true" outlineLevel="0" collapsed="false">
      <c r="A17" s="223" t="s">
        <v>935</v>
      </c>
      <c r="B17" s="235" t="s">
        <v>936</v>
      </c>
      <c r="I17" s="223" t="s">
        <v>937</v>
      </c>
    </row>
    <row r="18" customFormat="false" ht="12.75" hidden="false" customHeight="true" outlineLevel="0" collapsed="false">
      <c r="A18" s="223" t="s">
        <v>938</v>
      </c>
      <c r="B18" s="235" t="s">
        <v>939</v>
      </c>
      <c r="I18" s="223" t="s">
        <v>940</v>
      </c>
    </row>
    <row r="19" customFormat="false" ht="12.75" hidden="false" customHeight="true" outlineLevel="0" collapsed="false">
      <c r="A19" s="223" t="s">
        <v>941</v>
      </c>
      <c r="B19" s="235" t="s">
        <v>942</v>
      </c>
      <c r="I19" s="223" t="s">
        <v>943</v>
      </c>
    </row>
    <row r="20" customFormat="false" ht="12.75" hidden="false" customHeight="true" outlineLevel="0" collapsed="false">
      <c r="A20" s="223" t="s">
        <v>944</v>
      </c>
      <c r="B20" s="239" t="n">
        <f aca="false">B113/C5</f>
        <v>65.0381679389313</v>
      </c>
      <c r="I20" s="223" t="s">
        <v>945</v>
      </c>
    </row>
    <row r="21" customFormat="false" ht="12.75" hidden="false" customHeight="true" outlineLevel="0" collapsed="false">
      <c r="A21" s="223" t="s">
        <v>946</v>
      </c>
      <c r="B21" s="239" t="n">
        <f aca="false">B113/H5</f>
        <v>2.43428571428571</v>
      </c>
      <c r="I21" s="223" t="s">
        <v>947</v>
      </c>
    </row>
    <row r="22" customFormat="false" ht="12.75" hidden="false" customHeight="true" outlineLevel="0" collapsed="false">
      <c r="A22" s="223" t="s">
        <v>948</v>
      </c>
      <c r="B22" s="235" t="s">
        <v>949</v>
      </c>
      <c r="I22" s="223" t="s">
        <v>950</v>
      </c>
    </row>
    <row r="23" customFormat="false" ht="12.75" hidden="false" customHeight="true" outlineLevel="0" collapsed="false">
      <c r="A23" s="223" t="s">
        <v>951</v>
      </c>
      <c r="B23" s="235" t="s">
        <v>952</v>
      </c>
      <c r="I23" s="223" t="s">
        <v>953</v>
      </c>
    </row>
    <row r="24" customFormat="false" ht="12.75" hidden="false" customHeight="true" outlineLevel="0" collapsed="false">
      <c r="A24" s="15" t="s">
        <v>954</v>
      </c>
      <c r="B24" s="240" t="n">
        <f aca="false">FT_Sep2026!E19</f>
        <v>1200</v>
      </c>
      <c r="I24" s="15" t="s">
        <v>955</v>
      </c>
    </row>
    <row r="25" customFormat="false" ht="12.75" hidden="false" customHeight="true" outlineLevel="0" collapsed="false">
      <c r="A25" s="214" t="s">
        <v>956</v>
      </c>
      <c r="B25" s="216"/>
      <c r="C25" s="216"/>
      <c r="D25" s="216"/>
      <c r="E25" s="216"/>
      <c r="F25" s="216"/>
      <c r="G25" s="216"/>
      <c r="H25" s="216"/>
      <c r="I25" s="216"/>
    </row>
    <row r="26" customFormat="false" ht="12.75" hidden="false" customHeight="true" outlineLevel="0" collapsed="false">
      <c r="A26" s="241" t="s">
        <v>66</v>
      </c>
      <c r="B26" s="227" t="s">
        <v>957</v>
      </c>
      <c r="C26" s="227" t="s">
        <v>958</v>
      </c>
      <c r="D26" s="227" t="s">
        <v>680</v>
      </c>
      <c r="E26" s="242"/>
      <c r="F26" s="242"/>
      <c r="G26" s="242"/>
      <c r="H26" s="242"/>
      <c r="I26" s="227" t="s">
        <v>6</v>
      </c>
    </row>
    <row r="27" customFormat="false" ht="12.75" hidden="false" customHeight="true" outlineLevel="0" collapsed="false">
      <c r="A27" s="223" t="s">
        <v>959</v>
      </c>
      <c r="B27" s="243" t="n">
        <f aca="false">Config!F5/1000000</f>
        <v>1000</v>
      </c>
      <c r="C27" s="243" t="n">
        <f aca="false">C11*1000</f>
        <v>1900</v>
      </c>
      <c r="D27" s="223" t="s">
        <v>683</v>
      </c>
      <c r="I27" s="223" t="s">
        <v>960</v>
      </c>
    </row>
    <row r="28" customFormat="false" ht="12.75" hidden="false" customHeight="true" outlineLevel="0" collapsed="false">
      <c r="A28" s="223" t="s">
        <v>10</v>
      </c>
      <c r="B28" s="244" t="n">
        <f aca="false">Config!F6</f>
        <v>1.2</v>
      </c>
      <c r="C28" s="234" t="n">
        <v>1.25</v>
      </c>
      <c r="I28" s="223" t="s">
        <v>961</v>
      </c>
    </row>
    <row r="29" customFormat="false" ht="12.75" hidden="false" customHeight="true" outlineLevel="0" collapsed="false">
      <c r="A29" s="223" t="s">
        <v>962</v>
      </c>
      <c r="B29" s="243" t="n">
        <f aca="false">B27*B28</f>
        <v>1200</v>
      </c>
      <c r="C29" s="243" t="n">
        <f aca="false">C27*C28</f>
        <v>2375</v>
      </c>
      <c r="D29" s="223" t="s">
        <v>683</v>
      </c>
      <c r="I29" s="223" t="s">
        <v>963</v>
      </c>
    </row>
    <row r="30" customFormat="false" ht="12.75" hidden="false" customHeight="true" outlineLevel="0" collapsed="false">
      <c r="A30" s="223" t="s">
        <v>964</v>
      </c>
      <c r="B30" s="245" t="n">
        <v>1</v>
      </c>
      <c r="C30" s="245" t="n">
        <f aca="false">C27/B27</f>
        <v>1.9</v>
      </c>
      <c r="I30" s="223" t="s">
        <v>965</v>
      </c>
    </row>
    <row r="31" customFormat="false" ht="12.75" hidden="false" customHeight="true" outlineLevel="0" collapsed="false"/>
    <row r="32" customFormat="false" ht="12.75" hidden="false" customHeight="true" outlineLevel="0" collapsed="false">
      <c r="A32" s="219" t="s">
        <v>966</v>
      </c>
    </row>
    <row r="33" customFormat="false" ht="12.75" hidden="false" customHeight="true" outlineLevel="0" collapsed="false">
      <c r="A33" s="223" t="s">
        <v>967</v>
      </c>
      <c r="B33" s="223" t="s">
        <v>968</v>
      </c>
      <c r="C33" s="235" t="s">
        <v>969</v>
      </c>
      <c r="I33" s="223" t="s">
        <v>970</v>
      </c>
    </row>
    <row r="34" customFormat="false" ht="12.75" hidden="false" customHeight="true" outlineLevel="0" collapsed="false">
      <c r="A34" s="223" t="s">
        <v>971</v>
      </c>
      <c r="B34" s="245" t="n">
        <v>1</v>
      </c>
      <c r="C34" s="246" t="n">
        <f aca="false">C100*0.25+C101*(TL_Param!D37/TL_Param!C37)+C102*1</f>
        <v>0.290728803452113</v>
      </c>
      <c r="F34" s="247"/>
      <c r="I34" s="223" t="s">
        <v>972</v>
      </c>
    </row>
    <row r="35" customFormat="false" ht="12.75" hidden="false" customHeight="true" outlineLevel="0" collapsed="false">
      <c r="A35" s="223" t="s">
        <v>973</v>
      </c>
      <c r="B35" s="243" t="n">
        <f aca="false">B27*B34</f>
        <v>1000</v>
      </c>
      <c r="C35" s="243" t="n">
        <f aca="false">C27*C34</f>
        <v>552.384726559014</v>
      </c>
      <c r="D35" s="223" t="s">
        <v>974</v>
      </c>
      <c r="I35" s="223" t="s">
        <v>975</v>
      </c>
    </row>
    <row r="36" customFormat="false" ht="12.75" hidden="false" customHeight="true" outlineLevel="0" collapsed="false">
      <c r="F36" s="248"/>
    </row>
    <row r="37" customFormat="false" ht="12.75" hidden="false" customHeight="true" outlineLevel="0" collapsed="false">
      <c r="A37" s="219" t="s">
        <v>976</v>
      </c>
    </row>
    <row r="38" customFormat="false" ht="12.75" hidden="false" customHeight="true" outlineLevel="0" collapsed="false">
      <c r="A38" s="223" t="s">
        <v>977</v>
      </c>
      <c r="B38" s="249" t="n">
        <f aca="false">DC_Cost_Model!D54/1000</f>
        <v>43.2341672</v>
      </c>
      <c r="I38" s="223" t="s">
        <v>978</v>
      </c>
    </row>
    <row r="39" customFormat="false" ht="12.75" hidden="false" customHeight="true" outlineLevel="0" collapsed="false">
      <c r="A39" s="223" t="s">
        <v>979</v>
      </c>
      <c r="C39" s="249" t="n">
        <f aca="false">B38*C30</f>
        <v>82.14491768</v>
      </c>
      <c r="I39" s="223" t="s">
        <v>980</v>
      </c>
    </row>
    <row r="40" customFormat="false" ht="12.75" hidden="false" customHeight="true" outlineLevel="0" collapsed="false">
      <c r="A40" s="223" t="s">
        <v>981</v>
      </c>
      <c r="B40" s="249" t="n">
        <f aca="false">DC_Cost_Model!D88/1000</f>
        <v>9.29817682933333</v>
      </c>
      <c r="I40" s="223" t="s">
        <v>982</v>
      </c>
    </row>
    <row r="41" customFormat="false" ht="12.75" hidden="false" customHeight="true" outlineLevel="0" collapsed="false">
      <c r="A41" s="223" t="s">
        <v>983</v>
      </c>
      <c r="C41" s="249" t="n">
        <f aca="false">B40*C30</f>
        <v>17.6665359757333</v>
      </c>
      <c r="I41" s="223" t="s">
        <v>984</v>
      </c>
    </row>
    <row r="42" customFormat="false" ht="12.75" hidden="false" customHeight="true" outlineLevel="0" collapsed="false"/>
    <row r="43" customFormat="false" ht="12.75" hidden="false" customHeight="true" outlineLevel="0" collapsed="false">
      <c r="A43" s="214" t="s">
        <v>985</v>
      </c>
      <c r="B43" s="216"/>
      <c r="C43" s="216"/>
      <c r="D43" s="216"/>
      <c r="E43" s="216"/>
      <c r="F43" s="216"/>
      <c r="G43" s="216"/>
      <c r="H43" s="216"/>
      <c r="I43" s="216"/>
    </row>
    <row r="44" customFormat="false" ht="12.75" hidden="false" customHeight="true" outlineLevel="0" collapsed="false">
      <c r="A44" s="241" t="s">
        <v>986</v>
      </c>
      <c r="B44" s="227" t="s">
        <v>987</v>
      </c>
      <c r="C44" s="227" t="s">
        <v>988</v>
      </c>
      <c r="D44" s="227" t="s">
        <v>989</v>
      </c>
      <c r="E44" s="227" t="s">
        <v>990</v>
      </c>
      <c r="F44" s="227" t="s">
        <v>991</v>
      </c>
      <c r="G44" s="227" t="s">
        <v>992</v>
      </c>
      <c r="H44" s="227" t="s">
        <v>993</v>
      </c>
      <c r="I44" s="227" t="s">
        <v>708</v>
      </c>
    </row>
    <row r="45" customFormat="false" ht="12.75" hidden="false" customHeight="true" outlineLevel="0" collapsed="false">
      <c r="A45" s="250" t="s">
        <v>994</v>
      </c>
      <c r="B45" s="251"/>
      <c r="C45" s="251"/>
      <c r="D45" s="251"/>
      <c r="E45" s="251"/>
      <c r="F45" s="251"/>
      <c r="G45" s="251"/>
      <c r="H45" s="251"/>
      <c r="I45" s="251"/>
    </row>
    <row r="46" customFormat="false" ht="12.75" hidden="false" customHeight="true" outlineLevel="0" collapsed="false">
      <c r="A46" s="223" t="s">
        <v>995</v>
      </c>
      <c r="C46" s="230" t="n">
        <f aca="false">C7</f>
        <v>2.54054054054054</v>
      </c>
      <c r="D46" s="252" t="n">
        <f aca="false">FT_Sep2026!B25</f>
        <v>1.74809160305344</v>
      </c>
      <c r="E46" s="252" t="n">
        <f aca="false">FT_Sep2026!C25</f>
        <v>1.08611111111111</v>
      </c>
      <c r="F46" s="252" t="n">
        <f aca="false">FT_Sep2026!D25</f>
        <v>0.884154460719042</v>
      </c>
      <c r="G46" s="252" t="n">
        <f aca="false">FT_Sep2026!E25</f>
        <v>0.67773851590106</v>
      </c>
      <c r="H46" s="252" t="n">
        <f aca="false">FT_Sep2026!F25</f>
        <v>0.474304970513901</v>
      </c>
      <c r="I46" s="223" t="s">
        <v>996</v>
      </c>
    </row>
    <row r="47" customFormat="false" ht="12.75" hidden="false" customHeight="true" outlineLevel="0" collapsed="false">
      <c r="A47" s="223" t="s">
        <v>997</v>
      </c>
      <c r="B47" s="253" t="n">
        <f aca="false">B9</f>
        <v>0.4</v>
      </c>
      <c r="C47" s="253" t="n">
        <f aca="false">C9</f>
        <v>0.33</v>
      </c>
      <c r="D47" s="253" t="n">
        <f aca="false">D61</f>
        <v>0.6128869544048</v>
      </c>
      <c r="E47" s="253" t="n">
        <f aca="false">E61</f>
        <v>0.693736773724208</v>
      </c>
      <c r="F47" s="253" t="n">
        <f aca="false">F61</f>
        <v>0.765371719740028</v>
      </c>
      <c r="G47" s="253" t="n">
        <f aca="false">G61</f>
        <v>0.816268999639276</v>
      </c>
      <c r="H47" s="253" t="n">
        <f aca="false">H61</f>
        <v>0.828382221950019</v>
      </c>
      <c r="I47" s="223" t="s">
        <v>998</v>
      </c>
    </row>
    <row r="48" customFormat="false" ht="12.75" hidden="false" customHeight="true" outlineLevel="0" collapsed="false">
      <c r="A48" s="223" t="s">
        <v>999</v>
      </c>
      <c r="B48" s="233" t="n">
        <v>0.68</v>
      </c>
      <c r="C48" s="233" t="n">
        <v>0.51</v>
      </c>
      <c r="D48" s="233" t="n">
        <v>0.4</v>
      </c>
      <c r="E48" s="233" t="n">
        <v>0.3</v>
      </c>
      <c r="F48" s="233" t="n">
        <v>0.25</v>
      </c>
      <c r="G48" s="233" t="n">
        <v>0.2</v>
      </c>
      <c r="H48" s="233" t="n">
        <v>0.15</v>
      </c>
      <c r="I48" s="223" t="s">
        <v>1000</v>
      </c>
    </row>
    <row r="49" customFormat="false" ht="12.75" hidden="false" customHeight="true" outlineLevel="0" collapsed="false">
      <c r="A49" s="223" t="s">
        <v>1001</v>
      </c>
      <c r="B49" s="233" t="n">
        <v>0.27</v>
      </c>
      <c r="C49" s="233" t="n">
        <v>0.15</v>
      </c>
      <c r="D49" s="233" t="n">
        <v>0.12</v>
      </c>
      <c r="E49" s="233" t="n">
        <v>0.1</v>
      </c>
      <c r="F49" s="233" t="n">
        <v>0.08</v>
      </c>
      <c r="G49" s="233" t="n">
        <v>0.065</v>
      </c>
      <c r="H49" s="233" t="n">
        <v>0.05</v>
      </c>
      <c r="I49" s="223" t="s">
        <v>1002</v>
      </c>
    </row>
    <row r="50" customFormat="false" ht="12.75" hidden="false" customHeight="true" outlineLevel="0" collapsed="false">
      <c r="A50" s="223" t="s">
        <v>1003</v>
      </c>
      <c r="B50" s="233" t="n">
        <v>0.08</v>
      </c>
      <c r="C50" s="233" t="n">
        <v>0.06</v>
      </c>
      <c r="D50" s="233" t="n">
        <v>0.05</v>
      </c>
      <c r="E50" s="233" t="n">
        <v>0.045</v>
      </c>
      <c r="F50" s="233" t="n">
        <v>0.04</v>
      </c>
      <c r="G50" s="233" t="n">
        <v>0.035</v>
      </c>
      <c r="H50" s="233" t="n">
        <v>0.03</v>
      </c>
      <c r="I50" s="223" t="s">
        <v>1004</v>
      </c>
    </row>
    <row r="51" customFormat="false" ht="12.75" hidden="false" customHeight="true" outlineLevel="0" collapsed="false">
      <c r="A51" s="223" t="s">
        <v>1005</v>
      </c>
      <c r="B51" s="233" t="n">
        <v>0.68</v>
      </c>
      <c r="C51" s="233" t="n">
        <v>0.19</v>
      </c>
      <c r="D51" s="233" t="n">
        <v>0.12</v>
      </c>
      <c r="E51" s="233" t="n">
        <v>0.09</v>
      </c>
      <c r="F51" s="233" t="n">
        <v>0.06</v>
      </c>
      <c r="G51" s="233" t="n">
        <v>0.045</v>
      </c>
      <c r="H51" s="233" t="n">
        <v>0.03</v>
      </c>
      <c r="I51" s="223" t="s">
        <v>1006</v>
      </c>
    </row>
    <row r="52" customFormat="false" ht="12.75" hidden="false" customHeight="true" outlineLevel="0" collapsed="false">
      <c r="A52" s="223" t="s">
        <v>1007</v>
      </c>
      <c r="B52" s="254" t="n">
        <v>0.2</v>
      </c>
      <c r="C52" s="254" t="n">
        <v>0.2</v>
      </c>
      <c r="D52" s="254" t="n">
        <v>0.2</v>
      </c>
      <c r="E52" s="254" t="n">
        <v>0.175</v>
      </c>
      <c r="F52" s="254" t="n">
        <v>0.15</v>
      </c>
      <c r="G52" s="254" t="n">
        <v>0.125</v>
      </c>
      <c r="H52" s="254" t="n">
        <v>0.1</v>
      </c>
      <c r="I52" s="223" t="s">
        <v>1008</v>
      </c>
    </row>
    <row r="53" customFormat="false" ht="12.75" hidden="false" customHeight="true" outlineLevel="0" collapsed="false">
      <c r="A53" s="223" t="s">
        <v>1009</v>
      </c>
      <c r="B53" s="228" t="n">
        <v>5</v>
      </c>
      <c r="C53" s="228" t="n">
        <v>15</v>
      </c>
      <c r="D53" s="228" t="n">
        <v>40</v>
      </c>
      <c r="E53" s="228" t="n">
        <v>60</v>
      </c>
      <c r="F53" s="228" t="n">
        <v>100</v>
      </c>
      <c r="G53" s="228" t="n">
        <v>125</v>
      </c>
      <c r="H53" s="228" t="n">
        <v>150</v>
      </c>
      <c r="I53" s="223" t="s">
        <v>1010</v>
      </c>
    </row>
    <row r="54" customFormat="false" ht="12.75" hidden="false" customHeight="true" outlineLevel="0" collapsed="false">
      <c r="A54" s="255" t="s">
        <v>1011</v>
      </c>
      <c r="B54" s="256"/>
      <c r="C54" s="256"/>
      <c r="D54" s="256"/>
      <c r="E54" s="256"/>
      <c r="F54" s="256"/>
      <c r="G54" s="256"/>
      <c r="H54" s="256"/>
      <c r="I54" s="257"/>
    </row>
    <row r="55" customFormat="false" ht="12.75" hidden="false" customHeight="true" outlineLevel="0" collapsed="false">
      <c r="A55" s="258" t="s">
        <v>1012</v>
      </c>
      <c r="B55" s="259" t="n">
        <v>5.631</v>
      </c>
      <c r="C55" s="259" t="n">
        <v>5.631</v>
      </c>
      <c r="D55" s="259" t="n">
        <v>5.631</v>
      </c>
      <c r="E55" s="259" t="n">
        <v>5.631</v>
      </c>
      <c r="F55" s="259" t="n">
        <v>5.631</v>
      </c>
      <c r="G55" s="259" t="n">
        <v>5.631</v>
      </c>
      <c r="H55" s="259" t="n">
        <v>5.631</v>
      </c>
      <c r="I55" s="258" t="s">
        <v>1013</v>
      </c>
    </row>
    <row r="56" customFormat="false" ht="12.75" hidden="false" customHeight="true" outlineLevel="0" collapsed="false">
      <c r="A56" s="258" t="s">
        <v>1014</v>
      </c>
      <c r="B56" s="260" t="n">
        <f aca="false">DC_Cost_Model!D184/1000</f>
        <v>7.054405248</v>
      </c>
      <c r="C56" s="260" t="n">
        <f aca="false">DC_Cost_Model!D184/1000</f>
        <v>7.054405248</v>
      </c>
      <c r="D56" s="260" t="n">
        <f aca="false">DC_Cost_Model!D184/1000</f>
        <v>7.054405248</v>
      </c>
      <c r="E56" s="260" t="n">
        <f aca="false">DC_Cost_Model!D184/1000</f>
        <v>7.054405248</v>
      </c>
      <c r="F56" s="260" t="n">
        <f aca="false">DC_Cost_Model!D184/1000</f>
        <v>7.054405248</v>
      </c>
      <c r="G56" s="260" t="n">
        <f aca="false">DC_Cost_Model!D184/1000</f>
        <v>7.054405248</v>
      </c>
      <c r="H56" s="260" t="n">
        <f aca="false">DC_Cost_Model!D184/1000</f>
        <v>7.054405248</v>
      </c>
      <c r="I56" s="258" t="s">
        <v>1015</v>
      </c>
    </row>
    <row r="57" customFormat="false" ht="12.75" hidden="false" customHeight="true" outlineLevel="0" collapsed="false">
      <c r="A57" s="258" t="s">
        <v>1016</v>
      </c>
      <c r="B57" s="260" t="n">
        <f aca="false">DC_Cost_Model!D88/1000</f>
        <v>9.29817682933333</v>
      </c>
      <c r="C57" s="260" t="n">
        <f aca="false">DC_Cost_Model!D88/1000</f>
        <v>9.29817682933333</v>
      </c>
      <c r="D57" s="260" t="n">
        <f aca="false">DC_Cost_Model!D88/1000</f>
        <v>9.29817682933333</v>
      </c>
      <c r="E57" s="260" t="n">
        <f aca="false">DC_Cost_Model!D88/1000</f>
        <v>9.29817682933333</v>
      </c>
      <c r="F57" s="260" t="n">
        <f aca="false">DC_Cost_Model!D88/1000</f>
        <v>9.29817682933333</v>
      </c>
      <c r="G57" s="260" t="n">
        <f aca="false">DC_Cost_Model!D88/1000</f>
        <v>9.29817682933333</v>
      </c>
      <c r="H57" s="260" t="n">
        <f aca="false">DC_Cost_Model!D88/1000</f>
        <v>9.29817682933333</v>
      </c>
      <c r="I57" s="258" t="s">
        <v>1017</v>
      </c>
    </row>
    <row r="58" customFormat="false" ht="12.75" hidden="false" customHeight="true" outlineLevel="0" collapsed="false">
      <c r="A58" s="261" t="s">
        <v>1018</v>
      </c>
      <c r="B58" s="262" t="n">
        <f aca="false">B94*(B100*B55+B101*B56+B102*B57)</f>
        <v>2.2524</v>
      </c>
      <c r="C58" s="262" t="n">
        <f aca="false">C94*(C100*C55+C101*C56+C102*C57)</f>
        <v>7.572526968</v>
      </c>
      <c r="D58" s="262" t="n">
        <f aca="false">D94*(D100*D55+D101*D56+D102*D57)</f>
        <v>18.33693373872</v>
      </c>
      <c r="E58" s="262" t="n">
        <f aca="false">E94*(E100*E55+E101*E56+E102*E57)</f>
        <v>30.2636424912</v>
      </c>
      <c r="F58" s="262" t="n">
        <f aca="false">F94*(F100*F55+F101*F56+F102*F57)</f>
        <v>43.68408112735</v>
      </c>
      <c r="G58" s="262" t="n">
        <f aca="false">G94*(G100*G55+G101*G56+G102*G57)</f>
        <v>57.3917624811</v>
      </c>
      <c r="H58" s="262" t="n">
        <f aca="false">H94*(H100*H55+H101*H56+H102*H57)</f>
        <v>79.0345030493333</v>
      </c>
      <c r="I58" s="263" t="s">
        <v>1019</v>
      </c>
    </row>
    <row r="59" customFormat="false" ht="12.75" hidden="false" customHeight="true" outlineLevel="0" collapsed="false">
      <c r="A59" s="258" t="s">
        <v>1020</v>
      </c>
      <c r="B59" s="264" t="n">
        <v>0.78</v>
      </c>
      <c r="C59" s="265" t="n">
        <f aca="false">C68*(1-C9)/C58</f>
        <v>1.15905826906789</v>
      </c>
      <c r="D59" s="264" t="n">
        <v>0.76</v>
      </c>
      <c r="E59" s="264" t="n">
        <v>0.76</v>
      </c>
      <c r="F59" s="264" t="n">
        <v>0.76</v>
      </c>
      <c r="G59" s="264" t="n">
        <v>0.76</v>
      </c>
      <c r="H59" s="264" t="n">
        <v>0.76</v>
      </c>
      <c r="I59" s="266" t="s">
        <v>1021</v>
      </c>
    </row>
    <row r="60" customFormat="false" ht="12.75" hidden="false" customHeight="true" outlineLevel="0" collapsed="false">
      <c r="A60" s="267" t="s">
        <v>1022</v>
      </c>
      <c r="B60" s="268" t="n">
        <f aca="false">B58*B59</f>
        <v>1.756872</v>
      </c>
      <c r="C60" s="268" t="n">
        <f aca="false">C58*C59</f>
        <v>8.777</v>
      </c>
      <c r="D60" s="268" t="n">
        <f aca="false">D58*D59</f>
        <v>13.9360696414272</v>
      </c>
      <c r="E60" s="268" t="n">
        <f aca="false">E58*E59</f>
        <v>23.000368293312</v>
      </c>
      <c r="F60" s="268" t="n">
        <f aca="false">F58*F59</f>
        <v>33.199901656786</v>
      </c>
      <c r="G60" s="268" t="n">
        <f aca="false">G58*G59</f>
        <v>43.617739485636</v>
      </c>
      <c r="H60" s="268" t="n">
        <f aca="false">H58*H59</f>
        <v>60.0662223174933</v>
      </c>
      <c r="I60" s="258" t="s">
        <v>1023</v>
      </c>
    </row>
    <row r="61" customFormat="false" ht="12.75" hidden="false" customHeight="true" outlineLevel="0" collapsed="false">
      <c r="A61" s="269" t="s">
        <v>1024</v>
      </c>
      <c r="B61" s="270" t="n">
        <f aca="false">1-B60/B68</f>
        <v>0.52516972972973</v>
      </c>
      <c r="C61" s="270" t="n">
        <f aca="false">1-C60/C68</f>
        <v>0.33</v>
      </c>
      <c r="D61" s="270" t="n">
        <f aca="false">1-D60/D68</f>
        <v>0.6128869544048</v>
      </c>
      <c r="E61" s="270" t="n">
        <f aca="false">1-E60/E68</f>
        <v>0.693736773724208</v>
      </c>
      <c r="F61" s="270" t="n">
        <f aca="false">1-F60/F68</f>
        <v>0.765371719740028</v>
      </c>
      <c r="G61" s="270" t="n">
        <f aca="false">1-G60/G68</f>
        <v>0.816268999639276</v>
      </c>
      <c r="H61" s="270" t="n">
        <f aca="false">1-H60/H68</f>
        <v>0.828382221950019</v>
      </c>
      <c r="I61" s="257" t="s">
        <v>1025</v>
      </c>
    </row>
    <row r="62" customFormat="false" ht="12.75" hidden="false" customHeight="true" outlineLevel="0" collapsed="false">
      <c r="A62" s="223"/>
      <c r="B62" s="228"/>
      <c r="C62" s="228"/>
      <c r="D62" s="228"/>
      <c r="F62" s="228"/>
      <c r="H62" s="228"/>
      <c r="I62" s="223"/>
    </row>
    <row r="63" customFormat="false" ht="12.75" hidden="false" customHeight="true" outlineLevel="0" collapsed="false">
      <c r="A63" s="223"/>
      <c r="B63" s="228"/>
      <c r="C63" s="228"/>
      <c r="D63" s="228"/>
      <c r="F63" s="228"/>
      <c r="H63" s="228"/>
      <c r="I63" s="223"/>
    </row>
    <row r="64" customFormat="false" ht="12.75" hidden="false" customHeight="true" outlineLevel="0" collapsed="false">
      <c r="A64" s="223"/>
      <c r="B64" s="228"/>
      <c r="C64" s="228"/>
      <c r="D64" s="228"/>
      <c r="E64" s="228"/>
      <c r="F64" s="228"/>
      <c r="G64" s="228"/>
      <c r="H64" s="228"/>
      <c r="I64" s="223"/>
    </row>
    <row r="65" customFormat="false" ht="12.75" hidden="false" customHeight="true" outlineLevel="0" collapsed="false">
      <c r="A65" s="223"/>
      <c r="B65" s="228"/>
      <c r="C65" s="228"/>
      <c r="D65" s="228"/>
      <c r="E65" s="228"/>
      <c r="F65" s="228"/>
      <c r="G65" s="228"/>
      <c r="H65" s="228"/>
      <c r="I65" s="223"/>
    </row>
    <row r="66" customFormat="false" ht="12.75" hidden="false" customHeight="true" outlineLevel="0" collapsed="false"/>
    <row r="67" customFormat="false" ht="12.75" hidden="false" customHeight="true" outlineLevel="0" collapsed="false">
      <c r="A67" s="271" t="s">
        <v>1026</v>
      </c>
      <c r="B67" s="272"/>
      <c r="C67" s="272"/>
      <c r="D67" s="272"/>
      <c r="E67" s="272"/>
      <c r="F67" s="272"/>
      <c r="G67" s="272"/>
      <c r="H67" s="272"/>
      <c r="I67" s="272"/>
    </row>
    <row r="68" customFormat="false" ht="12.75" hidden="false" customHeight="true" outlineLevel="0" collapsed="false">
      <c r="A68" s="219" t="s">
        <v>1027</v>
      </c>
      <c r="B68" s="249" t="n">
        <f aca="false">B5</f>
        <v>3.7</v>
      </c>
      <c r="C68" s="249" t="n">
        <f aca="false">C5</f>
        <v>13.1</v>
      </c>
      <c r="D68" s="249" t="n">
        <f aca="false">C68*(1+D46)</f>
        <v>36</v>
      </c>
      <c r="E68" s="249" t="n">
        <f aca="false">D68*(1+E46)</f>
        <v>75.1</v>
      </c>
      <c r="F68" s="249" t="n">
        <f aca="false">E68*(1+F46)</f>
        <v>141.5</v>
      </c>
      <c r="G68" s="249" t="n">
        <f aca="false">F68*(1+G46)</f>
        <v>237.4</v>
      </c>
      <c r="H68" s="249" t="n">
        <f aca="false">G68*(1+H46)</f>
        <v>350</v>
      </c>
      <c r="I68" s="223" t="s">
        <v>1028</v>
      </c>
    </row>
    <row r="69" customFormat="false" ht="12.75" hidden="false" customHeight="true" outlineLevel="0" collapsed="false">
      <c r="A69" s="223" t="s">
        <v>1029</v>
      </c>
      <c r="B69" s="273" t="n">
        <f aca="false">-B68*B52</f>
        <v>-0.74</v>
      </c>
      <c r="C69" s="273" t="n">
        <f aca="false">-C68*C52</f>
        <v>-2.62</v>
      </c>
      <c r="D69" s="273" t="n">
        <f aca="false">-D68*D52</f>
        <v>-7.2</v>
      </c>
      <c r="E69" s="273" t="n">
        <f aca="false">-E68*E52</f>
        <v>-13.1425</v>
      </c>
      <c r="F69" s="273" t="n">
        <f aca="false">-F68*F52</f>
        <v>-21.225</v>
      </c>
      <c r="G69" s="273" t="n">
        <f aca="false">-G68*G52</f>
        <v>-29.675</v>
      </c>
      <c r="H69" s="273" t="n">
        <f aca="false">-H68*H52</f>
        <v>-35</v>
      </c>
      <c r="I69" s="223" t="s">
        <v>1030</v>
      </c>
    </row>
    <row r="70" customFormat="false" ht="12.75" hidden="false" customHeight="true" outlineLevel="0" collapsed="false">
      <c r="A70" s="219" t="s">
        <v>1031</v>
      </c>
      <c r="B70" s="274" t="n">
        <f aca="false">B68+B69</f>
        <v>2.96</v>
      </c>
      <c r="C70" s="274" t="n">
        <f aca="false">C68+C69</f>
        <v>10.48</v>
      </c>
      <c r="D70" s="274" t="n">
        <f aca="false">D68+D69</f>
        <v>28.8</v>
      </c>
      <c r="E70" s="274" t="n">
        <f aca="false">E68+E69</f>
        <v>61.9575</v>
      </c>
      <c r="F70" s="274" t="n">
        <f aca="false">F68+F69</f>
        <v>120.275</v>
      </c>
      <c r="G70" s="274" t="n">
        <f aca="false">G68+G69</f>
        <v>207.725</v>
      </c>
      <c r="H70" s="274" t="n">
        <f aca="false">H68+H69</f>
        <v>315</v>
      </c>
      <c r="I70" s="223" t="s">
        <v>1032</v>
      </c>
    </row>
    <row r="71" customFormat="false" ht="12.75" hidden="false" customHeight="true" outlineLevel="0" collapsed="false"/>
    <row r="72" customFormat="false" ht="12.75" hidden="false" customHeight="true" outlineLevel="0" collapsed="false">
      <c r="A72" s="223" t="s">
        <v>1033</v>
      </c>
      <c r="B72" s="273" t="n">
        <f aca="false">-B60</f>
        <v>-1.756872</v>
      </c>
      <c r="C72" s="273" t="n">
        <f aca="false">-C60</f>
        <v>-8.777</v>
      </c>
      <c r="D72" s="273" t="n">
        <f aca="false">-D60</f>
        <v>-13.9360696414272</v>
      </c>
      <c r="E72" s="273" t="n">
        <f aca="false">-E60</f>
        <v>-23.000368293312</v>
      </c>
      <c r="F72" s="273" t="n">
        <f aca="false">-F60</f>
        <v>-33.199901656786</v>
      </c>
      <c r="G72" s="273" t="n">
        <f aca="false">-G60</f>
        <v>-43.617739485636</v>
      </c>
      <c r="H72" s="273" t="n">
        <f aca="false">-H60</f>
        <v>-60.0662223174933</v>
      </c>
      <c r="I72" s="223" t="s">
        <v>1034</v>
      </c>
    </row>
    <row r="73" customFormat="false" ht="12.75" hidden="false" customHeight="true" outlineLevel="0" collapsed="false">
      <c r="A73" s="219" t="s">
        <v>1035</v>
      </c>
      <c r="B73" s="274" t="n">
        <f aca="false">B70+B72</f>
        <v>1.203128</v>
      </c>
      <c r="C73" s="274" t="n">
        <f aca="false">C70+C72</f>
        <v>1.703</v>
      </c>
      <c r="D73" s="274" t="n">
        <f aca="false">D70+D72</f>
        <v>14.8639303585728</v>
      </c>
      <c r="E73" s="274" t="n">
        <f aca="false">E70+E72</f>
        <v>38.957131706688</v>
      </c>
      <c r="F73" s="274" t="n">
        <f aca="false">F70+F72</f>
        <v>87.075098343214</v>
      </c>
      <c r="G73" s="274" t="n">
        <f aca="false">G70+G72</f>
        <v>164.107260514364</v>
      </c>
      <c r="H73" s="274" t="n">
        <f aca="false">H70+H72</f>
        <v>254.933777682507</v>
      </c>
      <c r="I73" s="223" t="s">
        <v>1036</v>
      </c>
    </row>
    <row r="74" customFormat="false" ht="12.75" hidden="false" customHeight="true" outlineLevel="0" collapsed="false">
      <c r="A74" s="223" t="s">
        <v>997</v>
      </c>
      <c r="B74" s="253" t="n">
        <f aca="false">B73/B70</f>
        <v>0.406462162162162</v>
      </c>
      <c r="C74" s="253" t="n">
        <f aca="false">C73/C70</f>
        <v>0.1625</v>
      </c>
      <c r="D74" s="253" t="n">
        <f aca="false">D73/D70</f>
        <v>0.516108693006</v>
      </c>
      <c r="E74" s="253" t="n">
        <f aca="false">E73/E70</f>
        <v>0.628771846938434</v>
      </c>
      <c r="F74" s="253" t="n">
        <f aca="false">F73/F70</f>
        <v>0.723966729105916</v>
      </c>
      <c r="G74" s="253" t="n">
        <f aca="false">G73/G70</f>
        <v>0.790021713873458</v>
      </c>
      <c r="H74" s="253" t="n">
        <f aca="false">H73/H70</f>
        <v>0.809313579944466</v>
      </c>
      <c r="I74" s="223" t="s">
        <v>1037</v>
      </c>
    </row>
    <row r="75" customFormat="false" ht="12.75" hidden="false" customHeight="true" outlineLevel="0" collapsed="false"/>
    <row r="76" customFormat="false" ht="12.75" hidden="false" customHeight="true" outlineLevel="0" collapsed="false">
      <c r="A76" s="223" t="s">
        <v>1038</v>
      </c>
      <c r="B76" s="273" t="n">
        <f aca="false">-B68*B48</f>
        <v>-2.516</v>
      </c>
      <c r="C76" s="273" t="n">
        <f aca="false">-C68*C48</f>
        <v>-6.681</v>
      </c>
      <c r="D76" s="273" t="n">
        <f aca="false">-D68*D48</f>
        <v>-14.4</v>
      </c>
      <c r="E76" s="273" t="n">
        <f aca="false">-E68*E48</f>
        <v>-22.53</v>
      </c>
      <c r="F76" s="273" t="n">
        <f aca="false">-F68*F48</f>
        <v>-35.375</v>
      </c>
      <c r="G76" s="273" t="n">
        <f aca="false">-G68*G48</f>
        <v>-47.48</v>
      </c>
      <c r="H76" s="273" t="n">
        <f aca="false">-H68*H48</f>
        <v>-52.5</v>
      </c>
      <c r="I76" s="223" t="s">
        <v>1039</v>
      </c>
    </row>
    <row r="77" customFormat="false" ht="12.75" hidden="false" customHeight="true" outlineLevel="0" collapsed="false">
      <c r="A77" s="223" t="s">
        <v>1040</v>
      </c>
      <c r="B77" s="273" t="n">
        <f aca="false">-B68*B49</f>
        <v>-0.999</v>
      </c>
      <c r="C77" s="273" t="n">
        <f aca="false">-C68*C49</f>
        <v>-1.965</v>
      </c>
      <c r="D77" s="273" t="n">
        <f aca="false">-D68*D49</f>
        <v>-4.32</v>
      </c>
      <c r="E77" s="273" t="n">
        <f aca="false">-E68*E49</f>
        <v>-7.51</v>
      </c>
      <c r="F77" s="273" t="n">
        <f aca="false">-F68*F49</f>
        <v>-11.32</v>
      </c>
      <c r="G77" s="273" t="n">
        <f aca="false">-G68*G49</f>
        <v>-15.431</v>
      </c>
      <c r="H77" s="273" t="n">
        <f aca="false">-H68*H49</f>
        <v>-17.5</v>
      </c>
      <c r="I77" s="223" t="s">
        <v>1041</v>
      </c>
    </row>
    <row r="78" customFormat="false" ht="12.75" hidden="false" customHeight="true" outlineLevel="0" collapsed="false">
      <c r="A78" s="223" t="s">
        <v>1042</v>
      </c>
      <c r="B78" s="273" t="n">
        <f aca="false">-B68*B50</f>
        <v>-0.296</v>
      </c>
      <c r="C78" s="273" t="n">
        <f aca="false">-C68*C50</f>
        <v>-0.786</v>
      </c>
      <c r="D78" s="273" t="n">
        <f aca="false">-D68*D50</f>
        <v>-1.8</v>
      </c>
      <c r="E78" s="273" t="n">
        <f aca="false">-E68*E50</f>
        <v>-3.3795</v>
      </c>
      <c r="F78" s="273" t="n">
        <f aca="false">-F68*F50</f>
        <v>-5.66</v>
      </c>
      <c r="G78" s="273" t="n">
        <f aca="false">-G68*G50</f>
        <v>-8.309</v>
      </c>
      <c r="H78" s="273" t="n">
        <f aca="false">-H68*H50</f>
        <v>-10.5</v>
      </c>
      <c r="I78" s="223" t="s">
        <v>1043</v>
      </c>
    </row>
    <row r="79" customFormat="false" ht="12.75" hidden="false" customHeight="true" outlineLevel="0" collapsed="false">
      <c r="A79" s="223" t="s">
        <v>1044</v>
      </c>
      <c r="B79" s="273" t="n">
        <f aca="false">-B68*B51</f>
        <v>-2.516</v>
      </c>
      <c r="C79" s="273" t="n">
        <f aca="false">-C68*C51</f>
        <v>-2.489</v>
      </c>
      <c r="D79" s="273" t="n">
        <f aca="false">-D68*D51</f>
        <v>-4.32</v>
      </c>
      <c r="E79" s="273" t="n">
        <f aca="false">-E68*E51</f>
        <v>-6.759</v>
      </c>
      <c r="F79" s="273" t="n">
        <f aca="false">-F68*F51</f>
        <v>-8.49</v>
      </c>
      <c r="G79" s="273" t="n">
        <f aca="false">-G68*G51</f>
        <v>-10.683</v>
      </c>
      <c r="H79" s="273" t="n">
        <f aca="false">-H68*H51</f>
        <v>-10.5</v>
      </c>
      <c r="I79" s="223" t="s">
        <v>1045</v>
      </c>
    </row>
    <row r="80" customFormat="false" ht="12.75" hidden="false" customHeight="true" outlineLevel="0" collapsed="false">
      <c r="A80" s="219" t="s">
        <v>1046</v>
      </c>
      <c r="B80" s="275" t="n">
        <f aca="false">B72+B76+B77+B78+B79</f>
        <v>-8.083872</v>
      </c>
      <c r="C80" s="275" t="n">
        <f aca="false">C72+C76+C77+C78+C79</f>
        <v>-20.698</v>
      </c>
      <c r="D80" s="275" t="n">
        <f aca="false">D72+D76+D77+D78+D79</f>
        <v>-38.7760696414272</v>
      </c>
      <c r="E80" s="275" t="n">
        <f aca="false">E72+E76+E77+E78+E79</f>
        <v>-63.178868293312</v>
      </c>
      <c r="F80" s="275" t="n">
        <f aca="false">F72+F76+F77+F78+F79</f>
        <v>-94.044901656786</v>
      </c>
      <c r="G80" s="275" t="n">
        <f aca="false">G72+G76+G77+G78+G79</f>
        <v>-125.520739485636</v>
      </c>
      <c r="H80" s="275" t="n">
        <f aca="false">H72+H76+H77+H78+H79</f>
        <v>-151.066222317493</v>
      </c>
      <c r="I80" s="223" t="s">
        <v>1047</v>
      </c>
    </row>
    <row r="81" customFormat="false" ht="12.75" hidden="false" customHeight="true" outlineLevel="0" collapsed="false">
      <c r="B81" s="222"/>
      <c r="C81" s="222"/>
      <c r="D81" s="222"/>
      <c r="E81" s="222"/>
    </row>
    <row r="82" customFormat="false" ht="12.75" hidden="false" customHeight="true" outlineLevel="0" collapsed="false">
      <c r="A82" s="219" t="s">
        <v>1048</v>
      </c>
      <c r="B82" s="275" t="n">
        <f aca="false">B70+B80</f>
        <v>-5.123872</v>
      </c>
      <c r="C82" s="275" t="n">
        <f aca="false">C70+C80</f>
        <v>-10.218</v>
      </c>
      <c r="D82" s="275" t="n">
        <f aca="false">D70+D80</f>
        <v>-9.9760696414272</v>
      </c>
      <c r="E82" s="275" t="n">
        <f aca="false">E70+E80</f>
        <v>-1.221368293312</v>
      </c>
      <c r="F82" s="275" t="n">
        <f aca="false">F70+F80</f>
        <v>26.230098343214</v>
      </c>
      <c r="G82" s="275" t="n">
        <f aca="false">G70+G80</f>
        <v>82.204260514364</v>
      </c>
      <c r="H82" s="275" t="n">
        <f aca="false">H70+H80</f>
        <v>163.933777682507</v>
      </c>
      <c r="I82" s="223" t="s">
        <v>1049</v>
      </c>
    </row>
    <row r="83" customFormat="false" ht="12.75" hidden="false" customHeight="true" outlineLevel="0" collapsed="false">
      <c r="A83" s="223" t="s">
        <v>1050</v>
      </c>
      <c r="B83" s="253" t="n">
        <f aca="false">B82/B70</f>
        <v>-1.73103783783784</v>
      </c>
      <c r="C83" s="253" t="n">
        <f aca="false">C82/C70</f>
        <v>-0.975</v>
      </c>
      <c r="D83" s="253" t="n">
        <f aca="false">D82/D70</f>
        <v>-0.346391306994</v>
      </c>
      <c r="E83" s="253" t="n">
        <f aca="false">E82/E70</f>
        <v>-0.0197130015464148</v>
      </c>
      <c r="F83" s="253" t="n">
        <f aca="false">F82/F70</f>
        <v>0.218084376164739</v>
      </c>
      <c r="G83" s="253" t="n">
        <f aca="false">G82/G70</f>
        <v>0.395735999587743</v>
      </c>
      <c r="H83" s="253" t="n">
        <f aca="false">H82/H70</f>
        <v>0.520424691055577</v>
      </c>
    </row>
    <row r="84" customFormat="false" ht="12.75" hidden="false" customHeight="true" outlineLevel="0" collapsed="false"/>
    <row r="85" customFormat="false" ht="12.75" hidden="false" customHeight="true" outlineLevel="0" collapsed="false">
      <c r="A85" s="219" t="s">
        <v>1051</v>
      </c>
      <c r="B85" s="276" t="n">
        <f aca="false">B8</f>
        <v>-5</v>
      </c>
      <c r="C85" s="276" t="n">
        <f aca="false">C8</f>
        <v>-8</v>
      </c>
      <c r="D85" s="276" t="n">
        <f aca="false">D8</f>
        <v>-25</v>
      </c>
      <c r="E85" s="277" t="n">
        <f aca="false">E8</f>
        <v>-57</v>
      </c>
      <c r="G85" s="278"/>
      <c r="H85" s="278" t="n">
        <f aca="false">H8</f>
        <v>39</v>
      </c>
      <c r="I85" s="223" t="s">
        <v>1052</v>
      </c>
    </row>
    <row r="86" customFormat="false" ht="12.75" hidden="false" customHeight="true" outlineLevel="0" collapsed="false">
      <c r="A86" s="223" t="s">
        <v>1053</v>
      </c>
      <c r="B86" s="273" t="n">
        <f aca="false">B82-B53+ABS(B79)</f>
        <v>-7.607872</v>
      </c>
      <c r="C86" s="273" t="n">
        <f aca="false">C82-C53+ABS(C79)</f>
        <v>-22.729</v>
      </c>
      <c r="D86" s="229" t="n">
        <f aca="false">FT_Sep2026!B46</f>
        <v>-55.1642105263158</v>
      </c>
      <c r="E86" s="229" t="n">
        <f aca="false">FT_Sep2026!C46</f>
        <v>-66.0703157894737</v>
      </c>
      <c r="F86" s="229" t="n">
        <f aca="false">FT_Sep2026!D46</f>
        <v>-91.0655263157895</v>
      </c>
      <c r="G86" s="229" t="n">
        <f aca="false">FT_Sep2026!E46</f>
        <v>-60.2701578947369</v>
      </c>
      <c r="H86" s="229" t="n">
        <f aca="false">FT_Sep2026!F46</f>
        <v>-4.31578947368422</v>
      </c>
      <c r="I86" s="223" t="s">
        <v>1054</v>
      </c>
    </row>
    <row r="87" customFormat="false" ht="12.75" hidden="false" customHeight="true" outlineLevel="0" collapsed="false">
      <c r="A87" s="223" t="s">
        <v>1055</v>
      </c>
      <c r="B87" s="273" t="n">
        <f aca="false">B86-B85</f>
        <v>-2.607872</v>
      </c>
      <c r="C87" s="273" t="n">
        <f aca="false">C86-C85</f>
        <v>-14.729</v>
      </c>
      <c r="D87" s="273" t="n">
        <f aca="false">D86-D85</f>
        <v>-30.1642105263158</v>
      </c>
      <c r="E87" s="277" t="n">
        <f aca="false">E86-E85</f>
        <v>-9.07031578947368</v>
      </c>
      <c r="G87" s="273"/>
      <c r="H87" s="277" t="n">
        <f aca="false">H86-H85</f>
        <v>-43.3157894736842</v>
      </c>
      <c r="I87" s="223" t="s">
        <v>1056</v>
      </c>
    </row>
    <row r="88" customFormat="false" ht="12.75" hidden="false" customHeight="true" outlineLevel="0" collapsed="false">
      <c r="A88" s="15" t="s">
        <v>1057</v>
      </c>
      <c r="B88" s="229" t="n">
        <f aca="false">FT_Sep2026!G46</f>
        <v>-276.886</v>
      </c>
      <c r="C88" s="229" t="n">
        <f aca="false">FT_Sep2026!G54</f>
        <v>1.11399999999998</v>
      </c>
      <c r="I88" s="15" t="s">
        <v>1058</v>
      </c>
    </row>
    <row r="89" customFormat="false" ht="12.75" hidden="false" customHeight="true" outlineLevel="0" collapsed="false">
      <c r="A89" s="214" t="s">
        <v>1059</v>
      </c>
      <c r="B89" s="216"/>
      <c r="C89" s="216"/>
      <c r="D89" s="216"/>
      <c r="E89" s="216"/>
      <c r="F89" s="216"/>
      <c r="G89" s="216"/>
      <c r="H89" s="216"/>
      <c r="I89" s="216"/>
    </row>
    <row r="90" customFormat="false" ht="12.75" hidden="false" customHeight="true" outlineLevel="0" collapsed="false">
      <c r="A90" s="241" t="s">
        <v>862</v>
      </c>
      <c r="B90" s="227" t="s">
        <v>910</v>
      </c>
      <c r="C90" s="227" t="s">
        <v>911</v>
      </c>
      <c r="D90" s="227" t="s">
        <v>912</v>
      </c>
      <c r="E90" s="227" t="s">
        <v>913</v>
      </c>
      <c r="F90" s="227" t="s">
        <v>914</v>
      </c>
      <c r="G90" s="227" t="s">
        <v>915</v>
      </c>
      <c r="H90" s="227" t="s">
        <v>916</v>
      </c>
      <c r="I90" s="227" t="s">
        <v>681</v>
      </c>
    </row>
    <row r="91" customFormat="false" ht="12.75" hidden="false" customHeight="true" outlineLevel="0" collapsed="false">
      <c r="A91" s="219" t="s">
        <v>1060</v>
      </c>
      <c r="B91" s="249" t="n">
        <f aca="false">B53</f>
        <v>5</v>
      </c>
      <c r="C91" s="249" t="n">
        <f aca="false">C53</f>
        <v>15</v>
      </c>
      <c r="D91" s="249" t="n">
        <f aca="false">D53</f>
        <v>40</v>
      </c>
      <c r="E91" s="249" t="n">
        <f aca="false">E53</f>
        <v>60</v>
      </c>
      <c r="F91" s="249" t="n">
        <f aca="false">F53</f>
        <v>100</v>
      </c>
      <c r="G91" s="249" t="n">
        <f aca="false">G53</f>
        <v>125</v>
      </c>
      <c r="H91" s="249" t="n">
        <f aca="false">H53</f>
        <v>150</v>
      </c>
      <c r="I91" s="223" t="s">
        <v>1061</v>
      </c>
    </row>
    <row r="92" customFormat="false" ht="12.75" hidden="false" customHeight="true" outlineLevel="0" collapsed="false">
      <c r="A92" s="223" t="s">
        <v>1062</v>
      </c>
      <c r="B92" s="249" t="n">
        <f aca="false">B91</f>
        <v>5</v>
      </c>
      <c r="C92" s="249" t="n">
        <f aca="false">B92+C91</f>
        <v>20</v>
      </c>
      <c r="D92" s="249" t="n">
        <f aca="false">C92+D91</f>
        <v>60</v>
      </c>
      <c r="E92" s="249" t="n">
        <f aca="false">D92+E91</f>
        <v>120</v>
      </c>
      <c r="F92" s="249" t="n">
        <f aca="false">E92+F91</f>
        <v>220</v>
      </c>
      <c r="G92" s="249" t="n">
        <f aca="false">F92+G91</f>
        <v>345</v>
      </c>
      <c r="H92" s="249" t="n">
        <f aca="false">G92+H91</f>
        <v>495</v>
      </c>
      <c r="I92" s="223" t="s">
        <v>1063</v>
      </c>
    </row>
    <row r="93" customFormat="false" ht="12.75" hidden="false" customHeight="true" outlineLevel="0" collapsed="false"/>
    <row r="94" customFormat="false" ht="12.75" hidden="false" customHeight="true" outlineLevel="0" collapsed="false">
      <c r="A94" s="219" t="s">
        <v>928</v>
      </c>
      <c r="B94" s="244" t="n">
        <f aca="false">B12</f>
        <v>0.4</v>
      </c>
      <c r="C94" s="244" t="n">
        <f aca="false">C12</f>
        <v>1.25</v>
      </c>
      <c r="D94" s="234" t="n">
        <f aca="false">D12</f>
        <v>2.7</v>
      </c>
      <c r="E94" s="244" t="n">
        <f aca="false">E12</f>
        <v>4</v>
      </c>
      <c r="F94" s="234" t="n">
        <f aca="false">F12</f>
        <v>5.125</v>
      </c>
      <c r="G94" s="244" t="n">
        <f aca="false">G12</f>
        <v>6.375</v>
      </c>
      <c r="H94" s="244" t="n">
        <f aca="false">H12</f>
        <v>8.5</v>
      </c>
      <c r="I94" s="223" t="s">
        <v>1064</v>
      </c>
    </row>
    <row r="95" customFormat="false" ht="12.75" hidden="false" customHeight="true" outlineLevel="0" collapsed="false">
      <c r="A95" s="219" t="s">
        <v>926</v>
      </c>
      <c r="B95" s="244" t="n">
        <f aca="false">B11</f>
        <v>0.6</v>
      </c>
      <c r="C95" s="244" t="n">
        <f aca="false">C11</f>
        <v>1.9</v>
      </c>
      <c r="D95" s="234" t="n">
        <f aca="false">D11</f>
        <v>3.5</v>
      </c>
      <c r="E95" s="244" t="n">
        <f aca="false">E11</f>
        <v>4.5</v>
      </c>
      <c r="F95" s="234" t="n">
        <f aca="false">F11</f>
        <v>5.75</v>
      </c>
      <c r="G95" s="244" t="n">
        <f aca="false">G11</f>
        <v>7</v>
      </c>
      <c r="H95" s="244" t="n">
        <f aca="false">H11</f>
        <v>10</v>
      </c>
      <c r="I95" s="223" t="s">
        <v>1065</v>
      </c>
    </row>
    <row r="96" customFormat="false" ht="12.75" hidden="false" customHeight="true" outlineLevel="0" collapsed="false">
      <c r="A96" s="223" t="s">
        <v>1066</v>
      </c>
      <c r="B96" s="249" t="n">
        <f aca="false">B91/(B95-0)</f>
        <v>8.33333333333333</v>
      </c>
      <c r="C96" s="249" t="n">
        <f aca="false">C91/(C95-B95)</f>
        <v>11.5384615384615</v>
      </c>
      <c r="D96" s="249" t="n">
        <f aca="false">D91/(D95-C95)</f>
        <v>25</v>
      </c>
      <c r="E96" s="249" t="n">
        <f aca="false">E91/(E95-D95)</f>
        <v>60</v>
      </c>
      <c r="F96" s="249" t="n">
        <f aca="false">F91/(F95-E95)</f>
        <v>80</v>
      </c>
      <c r="G96" s="249" t="n">
        <f aca="false">G91/(G95-F95)</f>
        <v>100</v>
      </c>
      <c r="H96" s="249" t="n">
        <f aca="false">H91/(H95-G95)</f>
        <v>50</v>
      </c>
      <c r="I96" s="223" t="s">
        <v>1067</v>
      </c>
    </row>
    <row r="97" customFormat="false" ht="12.75" hidden="false" customHeight="true" outlineLevel="0" collapsed="false">
      <c r="A97" s="223" t="s">
        <v>1068</v>
      </c>
      <c r="B97" s="249"/>
      <c r="C97" s="249" t="n">
        <f aca="false">B38</f>
        <v>43.2341672</v>
      </c>
      <c r="I97" s="223" t="s">
        <v>1069</v>
      </c>
    </row>
    <row r="98" customFormat="false" ht="12.75" hidden="false" customHeight="true" outlineLevel="0" collapsed="false"/>
    <row r="99" customFormat="false" ht="12.75" hidden="false" customHeight="true" outlineLevel="0" collapsed="false">
      <c r="A99" s="219" t="s">
        <v>1070</v>
      </c>
    </row>
    <row r="100" customFormat="false" ht="12.75" hidden="false" customHeight="true" outlineLevel="0" collapsed="false">
      <c r="A100" s="223" t="s">
        <v>1071</v>
      </c>
      <c r="B100" s="254" t="n">
        <v>1</v>
      </c>
      <c r="C100" s="254" t="n">
        <v>0.7</v>
      </c>
      <c r="D100" s="254" t="n">
        <v>0.5</v>
      </c>
      <c r="E100" s="254" t="n">
        <v>0.35</v>
      </c>
      <c r="F100" s="254" t="n">
        <v>0.15</v>
      </c>
      <c r="G100" s="254" t="n">
        <v>0.05</v>
      </c>
      <c r="H100" s="254" t="n">
        <v>0</v>
      </c>
      <c r="I100" s="223" t="s">
        <v>1072</v>
      </c>
    </row>
    <row r="101" customFormat="false" ht="12.75" hidden="false" customHeight="true" outlineLevel="0" collapsed="false">
      <c r="A101" s="223" t="s">
        <v>1073</v>
      </c>
      <c r="B101" s="254" t="n">
        <v>0</v>
      </c>
      <c r="C101" s="254" t="n">
        <v>0.3</v>
      </c>
      <c r="D101" s="254" t="n">
        <v>0.3</v>
      </c>
      <c r="E101" s="254" t="n">
        <v>0.2</v>
      </c>
      <c r="F101" s="254" t="n">
        <v>0.1</v>
      </c>
      <c r="G101" s="254" t="n">
        <v>0.05</v>
      </c>
      <c r="H101" s="254" t="n">
        <v>0</v>
      </c>
      <c r="I101" s="223" t="s">
        <v>1074</v>
      </c>
    </row>
    <row r="102" customFormat="false" ht="12.75" hidden="false" customHeight="true" outlineLevel="0" collapsed="false">
      <c r="A102" s="223" t="s">
        <v>1075</v>
      </c>
      <c r="B102" s="254" t="n">
        <v>0</v>
      </c>
      <c r="C102" s="254" t="n">
        <v>0</v>
      </c>
      <c r="D102" s="254" t="n">
        <v>0.2</v>
      </c>
      <c r="E102" s="254" t="n">
        <v>0.45</v>
      </c>
      <c r="F102" s="254" t="n">
        <v>0.75</v>
      </c>
      <c r="G102" s="254" t="n">
        <v>0.9</v>
      </c>
      <c r="H102" s="254" t="n">
        <v>1</v>
      </c>
      <c r="I102" s="223" t="s">
        <v>1076</v>
      </c>
    </row>
    <row r="103" customFormat="false" ht="12.75" hidden="false" customHeight="true" outlineLevel="0" collapsed="false">
      <c r="A103" s="223" t="s">
        <v>1077</v>
      </c>
      <c r="B103" s="237" t="n">
        <f aca="false">B94*(B100*0.25+B101*(TL_Param!D37/TL_Param!C37)+B102*1)</f>
        <v>0.1</v>
      </c>
      <c r="C103" s="237" t="n">
        <f aca="false">C94*(C100*0.25+C101*(TL_Param!D37/TL_Param!C37)+C102*1)</f>
        <v>0.363411004315141</v>
      </c>
      <c r="D103" s="237" t="n">
        <f aca="false">D94*(D100*0.25+D101*(TL_Param!D37/TL_Param!C37)+D102*1)</f>
        <v>1.1899677693207</v>
      </c>
      <c r="E103" s="237" t="n">
        <f aca="false">E94*(E100*0.25+E101*(TL_Param!D37/TL_Param!C37)+E102*1)</f>
        <v>2.45861014253897</v>
      </c>
      <c r="F103" s="237" t="n">
        <f aca="false">F94*(F100*0.25+F101*(TL_Param!D37/TL_Param!C37)+F102*1)</f>
        <v>4.23364087256403</v>
      </c>
      <c r="G103" s="237" t="n">
        <f aca="false">G94*(G100*0.25+G101*(TL_Param!D37/TL_Param!C37)+G102*1)</f>
        <v>5.94014935366787</v>
      </c>
      <c r="H103" s="237" t="n">
        <f aca="false">H94*(H100*0.25+H101*(TL_Param!D37/TL_Param!C37)+H102*1)</f>
        <v>8.5</v>
      </c>
      <c r="I103" s="223" t="s">
        <v>1078</v>
      </c>
    </row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>
      <c r="A106" s="219" t="s">
        <v>1079</v>
      </c>
      <c r="B106" s="249" t="n">
        <f aca="false">B68/B94</f>
        <v>9.25</v>
      </c>
      <c r="C106" s="249" t="n">
        <f aca="false">C68/C94</f>
        <v>10.48</v>
      </c>
      <c r="D106" s="249" t="n">
        <f aca="false">D68/D94</f>
        <v>13.3333333333333</v>
      </c>
      <c r="E106" s="249" t="n">
        <f aca="false">E68/E94</f>
        <v>18.775</v>
      </c>
      <c r="F106" s="249" t="n">
        <f aca="false">F68/F94</f>
        <v>27.609756097561</v>
      </c>
      <c r="G106" s="249" t="n">
        <f aca="false">G68/G94</f>
        <v>37.2392156862745</v>
      </c>
      <c r="H106" s="249" t="n">
        <f aca="false">H68/H94</f>
        <v>41.1764705882353</v>
      </c>
      <c r="I106" s="223" t="s">
        <v>1080</v>
      </c>
    </row>
    <row r="107" customFormat="false" ht="12.75" hidden="false" customHeight="true" outlineLevel="0" collapsed="false">
      <c r="A107" s="219" t="s">
        <v>1081</v>
      </c>
      <c r="B107" s="249" t="n">
        <f aca="false">IF(B103&gt;0,B68/B103,"-")</f>
        <v>37</v>
      </c>
      <c r="C107" s="249" t="n">
        <f aca="false">IF(C103&gt;0,C68/C103,"-")</f>
        <v>36.0473399111492</v>
      </c>
      <c r="D107" s="249" t="n">
        <f aca="false">IF(D103&gt;0,D68/D103,"-")</f>
        <v>30.252920228714</v>
      </c>
      <c r="E107" s="249" t="n">
        <f aca="false">IF(E103&gt;0,E68/E103,"-")</f>
        <v>30.5457130842409</v>
      </c>
      <c r="F107" s="249" t="n">
        <f aca="false">IF(F103&gt;0,F68/F103,"-")</f>
        <v>33.4227687844253</v>
      </c>
      <c r="G107" s="249" t="n">
        <f aca="false">IF(G103&gt;0,G68/G103,"-")</f>
        <v>39.9653250895808</v>
      </c>
      <c r="H107" s="249" t="n">
        <f aca="false">IF(H103&gt;0,H68/H103,"-")</f>
        <v>41.1764705882353</v>
      </c>
      <c r="I107" s="223" t="s">
        <v>1082</v>
      </c>
    </row>
    <row r="108" customFormat="false" ht="12.75" hidden="false" customHeight="true" outlineLevel="0" collapsed="false">
      <c r="A108" s="223" t="s">
        <v>1083</v>
      </c>
      <c r="C108" s="249" t="n">
        <f aca="false">Revenue_Model!B39/1000</f>
        <v>1279.63037793696</v>
      </c>
      <c r="I108" s="223" t="s">
        <v>1084</v>
      </c>
    </row>
    <row r="109" customFormat="false" ht="12.75" hidden="false" customHeight="true" outlineLevel="0" collapsed="false"/>
    <row r="110" customFormat="false" ht="12.75" hidden="false" customHeight="true" outlineLevel="0" collapsed="false">
      <c r="A110" s="214" t="s">
        <v>1085</v>
      </c>
      <c r="B110" s="216"/>
      <c r="C110" s="216"/>
      <c r="D110" s="216"/>
      <c r="E110" s="216"/>
      <c r="F110" s="216"/>
      <c r="G110" s="216"/>
      <c r="H110" s="216"/>
      <c r="I110" s="216"/>
    </row>
    <row r="111" customFormat="false" ht="12.75" hidden="false" customHeight="true" outlineLevel="0" collapsed="false">
      <c r="A111" s="241" t="s">
        <v>862</v>
      </c>
      <c r="B111" s="227" t="s">
        <v>679</v>
      </c>
      <c r="C111" s="227" t="s">
        <v>680</v>
      </c>
      <c r="D111" s="242"/>
      <c r="E111" s="242"/>
      <c r="F111" s="242"/>
      <c r="G111" s="242"/>
      <c r="H111" s="242"/>
      <c r="I111" s="241" t="s">
        <v>6</v>
      </c>
    </row>
    <row r="112" customFormat="false" ht="12.75" hidden="false" customHeight="true" outlineLevel="0" collapsed="false">
      <c r="A112" s="219" t="s">
        <v>1086</v>
      </c>
    </row>
    <row r="113" customFormat="false" ht="12.75" hidden="false" customHeight="true" outlineLevel="0" collapsed="false">
      <c r="A113" s="223" t="s">
        <v>941</v>
      </c>
      <c r="B113" s="279" t="n">
        <v>852</v>
      </c>
      <c r="C113" s="223" t="s">
        <v>1087</v>
      </c>
      <c r="I113" s="223" t="s">
        <v>1088</v>
      </c>
    </row>
    <row r="114" customFormat="false" ht="12.75" hidden="false" customHeight="true" outlineLevel="0" collapsed="false">
      <c r="A114" s="223" t="s">
        <v>1089</v>
      </c>
      <c r="B114" s="245" t="n">
        <f aca="false">B113/C68</f>
        <v>65.0381679389313</v>
      </c>
      <c r="I114" s="223" t="s">
        <v>1090</v>
      </c>
    </row>
    <row r="115" customFormat="false" ht="12.75" hidden="false" customHeight="true" outlineLevel="0" collapsed="false">
      <c r="A115" s="223" t="s">
        <v>1091</v>
      </c>
      <c r="B115" s="245" t="n">
        <f aca="false">B113/C6</f>
        <v>42.6</v>
      </c>
      <c r="I115" s="223" t="s">
        <v>1092</v>
      </c>
    </row>
    <row r="116" customFormat="false" ht="12.75" hidden="false" customHeight="true" outlineLevel="0" collapsed="false">
      <c r="A116" s="223" t="s">
        <v>1093</v>
      </c>
      <c r="B116" s="245" t="n">
        <f aca="false">B113/D68</f>
        <v>23.6666666666667</v>
      </c>
      <c r="I116" s="223" t="s">
        <v>1094</v>
      </c>
    </row>
    <row r="117" customFormat="false" ht="12.75" hidden="false" customHeight="true" outlineLevel="0" collapsed="false">
      <c r="A117" s="223" t="s">
        <v>1095</v>
      </c>
      <c r="B117" s="245" t="n">
        <f aca="false">B113/H68</f>
        <v>2.43428571428571</v>
      </c>
      <c r="I117" s="223" t="s">
        <v>1096</v>
      </c>
    </row>
    <row r="118" customFormat="false" ht="12.75" hidden="false" customHeight="true" outlineLevel="0" collapsed="false">
      <c r="A118" s="223" t="s">
        <v>1097</v>
      </c>
      <c r="B118" s="223" t="s">
        <v>1098</v>
      </c>
      <c r="C118" s="223" t="s">
        <v>1099</v>
      </c>
      <c r="I118" s="223" t="s">
        <v>1100</v>
      </c>
    </row>
    <row r="119" customFormat="false" ht="12.75" hidden="false" customHeight="true" outlineLevel="0" collapsed="false">
      <c r="A119" s="15" t="s">
        <v>1101</v>
      </c>
      <c r="B119" s="280" t="n">
        <f aca="false">B24/H68</f>
        <v>3.42857142857143</v>
      </c>
      <c r="I119" s="15" t="s">
        <v>1102</v>
      </c>
    </row>
    <row r="120" customFormat="false" ht="12.75" hidden="false" customHeight="true" outlineLevel="0" collapsed="false">
      <c r="A120" s="219" t="s">
        <v>1103</v>
      </c>
    </row>
    <row r="121" customFormat="false" ht="12.75" hidden="false" customHeight="true" outlineLevel="0" collapsed="false">
      <c r="A121" s="223" t="s">
        <v>1104</v>
      </c>
      <c r="B121" s="281" t="n">
        <f aca="false">H68*10</f>
        <v>3500</v>
      </c>
      <c r="C121" s="223" t="s">
        <v>1087</v>
      </c>
      <c r="I121" s="223" t="s">
        <v>1105</v>
      </c>
    </row>
    <row r="122" customFormat="false" ht="12.75" hidden="false" customHeight="true" outlineLevel="0" collapsed="false">
      <c r="A122" s="223" t="s">
        <v>1106</v>
      </c>
      <c r="B122" s="281" t="n">
        <f aca="false">H68*15</f>
        <v>5250</v>
      </c>
      <c r="C122" s="223" t="s">
        <v>1087</v>
      </c>
      <c r="I122" s="223" t="s">
        <v>1107</v>
      </c>
    </row>
    <row r="123" customFormat="false" ht="12.75" hidden="false" customHeight="true" outlineLevel="0" collapsed="false">
      <c r="A123" s="223" t="s">
        <v>1108</v>
      </c>
      <c r="B123" s="281" t="n">
        <f aca="false">H68*20</f>
        <v>7000</v>
      </c>
      <c r="C123" s="223" t="s">
        <v>1087</v>
      </c>
      <c r="I123" s="223" t="s">
        <v>1109</v>
      </c>
    </row>
    <row r="124" customFormat="false" ht="12.75" hidden="false" customHeight="true" outlineLevel="0" collapsed="false">
      <c r="A124" s="223" t="s">
        <v>1110</v>
      </c>
      <c r="B124" s="253" t="n">
        <f aca="false">B122/B113-1</f>
        <v>5.16197183098592</v>
      </c>
      <c r="I124" s="223" t="s">
        <v>1111</v>
      </c>
    </row>
    <row r="125" customFormat="false" ht="12.75" hidden="false" customHeight="true" outlineLevel="0" collapsed="false"/>
    <row r="126" customFormat="false" ht="12.75" hidden="false" customHeight="true" outlineLevel="0" collapsed="false">
      <c r="A126" s="219" t="s">
        <v>1112</v>
      </c>
    </row>
    <row r="127" customFormat="false" ht="12.75" hidden="false" customHeight="true" outlineLevel="0" collapsed="false">
      <c r="A127" s="223" t="s">
        <v>1113</v>
      </c>
      <c r="B127" s="249" t="n">
        <f aca="false">C108</f>
        <v>1279.63037793696</v>
      </c>
      <c r="I127" s="223" t="s">
        <v>1114</v>
      </c>
    </row>
    <row r="128" customFormat="false" ht="12.75" hidden="false" customHeight="true" outlineLevel="0" collapsed="false">
      <c r="A128" s="223" t="s">
        <v>1115</v>
      </c>
      <c r="B128" s="249" t="n">
        <f aca="false">H68</f>
        <v>350</v>
      </c>
      <c r="I128" s="223" t="s">
        <v>1116</v>
      </c>
    </row>
    <row r="129" customFormat="false" ht="12.75" hidden="false" customHeight="true" outlineLevel="0" collapsed="false">
      <c r="A129" s="223" t="s">
        <v>1117</v>
      </c>
      <c r="B129" s="45" t="n">
        <f aca="false">B128/B127</f>
        <v>0.273516482598886</v>
      </c>
      <c r="C129" s="223" t="s">
        <v>1118</v>
      </c>
      <c r="I129" s="223" t="s">
        <v>1119</v>
      </c>
    </row>
    <row r="130" customFormat="false" ht="12.75" hidden="false" customHeight="true" outlineLevel="0" collapsed="false">
      <c r="A130" s="223" t="s">
        <v>1120</v>
      </c>
      <c r="B130" s="237" t="n">
        <f aca="false">B129/0.6</f>
        <v>0.455860804331476</v>
      </c>
      <c r="C130" s="223" t="s">
        <v>1118</v>
      </c>
      <c r="I130" s="223" t="s">
        <v>1121</v>
      </c>
    </row>
    <row r="131" customFormat="false" ht="12.75" hidden="false" customHeight="true" outlineLevel="0" collapsed="false">
      <c r="A131" s="223" t="s">
        <v>1122</v>
      </c>
      <c r="B131" s="244" t="n">
        <f aca="false">H94</f>
        <v>8.5</v>
      </c>
      <c r="C131" s="223" t="s">
        <v>1123</v>
      </c>
      <c r="I131" s="223" t="s">
        <v>1124</v>
      </c>
    </row>
    <row r="132" customFormat="false" ht="12.75" hidden="false" customHeight="true" outlineLevel="0" collapsed="false"/>
    <row r="133" customFormat="false" ht="12.75" hidden="false" customHeight="true" outlineLevel="0" collapsed="false">
      <c r="A133" s="223" t="s">
        <v>1125</v>
      </c>
      <c r="B133" s="282" t="n">
        <f aca="false">B128/(B127*H94)</f>
        <v>0.032178409717516</v>
      </c>
      <c r="I133" s="223" t="s">
        <v>1126</v>
      </c>
    </row>
    <row r="134" customFormat="false" ht="12.75" hidden="false" customHeight="true" outlineLevel="0" collapsed="false">
      <c r="A134" s="223" t="s">
        <v>1127</v>
      </c>
    </row>
    <row r="135" customFormat="false" ht="12.75" hidden="false" customHeight="true" outlineLevel="0" collapsed="false">
      <c r="A135" s="223" t="s">
        <v>1128</v>
      </c>
      <c r="B135" s="249" t="n">
        <f aca="false">0.6*B127*H94</f>
        <v>6526.1149274785</v>
      </c>
      <c r="C135" s="223" t="s">
        <v>1129</v>
      </c>
      <c r="I135" s="223" t="s">
        <v>1130</v>
      </c>
    </row>
    <row r="136" customFormat="false" ht="12.75" hidden="false" customHeight="true" outlineLevel="0" collapsed="false">
      <c r="A136" s="223" t="s">
        <v>1131</v>
      </c>
      <c r="B136" s="275" t="n">
        <f aca="false">B135-B128</f>
        <v>6176.1149274785</v>
      </c>
      <c r="C136" s="223" t="s">
        <v>1087</v>
      </c>
      <c r="I136" s="223" t="s">
        <v>1132</v>
      </c>
    </row>
    <row r="137" customFormat="false" ht="12.75" hidden="false" customHeight="true" outlineLevel="0" collapsed="false"/>
    <row r="138" customFormat="false" ht="12.75" hidden="false" customHeight="true" outlineLevel="0" collapsed="false">
      <c r="A138" s="214" t="s">
        <v>1133</v>
      </c>
      <c r="B138" s="216"/>
      <c r="C138" s="216"/>
      <c r="D138" s="216"/>
      <c r="E138" s="216"/>
      <c r="F138" s="216"/>
      <c r="G138" s="216"/>
      <c r="H138" s="216"/>
      <c r="I138" s="216"/>
    </row>
    <row r="139" customFormat="false" ht="12.75" hidden="false" customHeight="true" outlineLevel="0" collapsed="false">
      <c r="A139" s="241" t="s">
        <v>862</v>
      </c>
      <c r="B139" s="227" t="s">
        <v>679</v>
      </c>
      <c r="C139" s="227" t="s">
        <v>680</v>
      </c>
      <c r="D139" s="242"/>
      <c r="E139" s="242"/>
      <c r="F139" s="242"/>
      <c r="G139" s="242"/>
      <c r="H139" s="242"/>
      <c r="I139" s="241" t="s">
        <v>6</v>
      </c>
    </row>
    <row r="140" customFormat="false" ht="12.75" hidden="false" customHeight="true" outlineLevel="0" collapsed="false">
      <c r="A140" s="219" t="s">
        <v>1134</v>
      </c>
    </row>
    <row r="141" customFormat="false" ht="12.75" hidden="false" customHeight="true" outlineLevel="0" collapsed="false">
      <c r="A141" s="223" t="s">
        <v>1135</v>
      </c>
      <c r="B141" s="249" t="n">
        <f aca="false">C68</f>
        <v>13.1</v>
      </c>
      <c r="I141" s="223" t="s">
        <v>1136</v>
      </c>
    </row>
    <row r="142" customFormat="false" ht="12.75" hidden="false" customHeight="true" outlineLevel="0" collapsed="false">
      <c r="A142" s="223" t="s">
        <v>1137</v>
      </c>
      <c r="B142" s="244" t="n">
        <f aca="false">C94</f>
        <v>1.25</v>
      </c>
      <c r="I142" s="223" t="s">
        <v>1138</v>
      </c>
    </row>
    <row r="143" customFormat="false" ht="12.75" hidden="false" customHeight="true" outlineLevel="0" collapsed="false">
      <c r="A143" s="223" t="s">
        <v>1139</v>
      </c>
      <c r="B143" s="274" t="n">
        <f aca="false">B141/B142</f>
        <v>10.48</v>
      </c>
      <c r="C143" s="223" t="s">
        <v>1140</v>
      </c>
      <c r="I143" s="223" t="s">
        <v>1141</v>
      </c>
    </row>
    <row r="144" customFormat="false" ht="12.75" hidden="false" customHeight="true" outlineLevel="0" collapsed="false">
      <c r="A144" s="223" t="s">
        <v>1142</v>
      </c>
      <c r="B144" s="283" t="n">
        <f aca="false">C103</f>
        <v>0.363411004315141</v>
      </c>
      <c r="I144" s="223" t="s">
        <v>1143</v>
      </c>
    </row>
    <row r="145" customFormat="false" ht="12.75" hidden="false" customHeight="true" outlineLevel="0" collapsed="false">
      <c r="A145" s="223" t="s">
        <v>1144</v>
      </c>
      <c r="B145" s="274" t="n">
        <f aca="false">B141/B144</f>
        <v>36.0473399111492</v>
      </c>
      <c r="C145" s="223" t="s">
        <v>1145</v>
      </c>
      <c r="I145" s="223" t="s">
        <v>1146</v>
      </c>
    </row>
    <row r="146" customFormat="false" ht="12.75" hidden="false" customHeight="true" outlineLevel="0" collapsed="false"/>
    <row r="147" customFormat="false" ht="12.75" hidden="false" customHeight="true" outlineLevel="0" collapsed="false">
      <c r="A147" s="219" t="s">
        <v>1147</v>
      </c>
    </row>
    <row r="148" customFormat="false" ht="12.75" hidden="false" customHeight="true" outlineLevel="0" collapsed="false">
      <c r="A148" s="223" t="s">
        <v>1148</v>
      </c>
      <c r="B148" s="254" t="n">
        <v>0.64</v>
      </c>
      <c r="C148" s="223" t="s">
        <v>1149</v>
      </c>
      <c r="D148" s="249" t="n">
        <f aca="false">B148*C6</f>
        <v>12.8</v>
      </c>
      <c r="E148" s="223" t="s">
        <v>1150</v>
      </c>
      <c r="I148" s="223" t="s">
        <v>1151</v>
      </c>
    </row>
    <row r="149" customFormat="false" ht="12.75" hidden="false" customHeight="true" outlineLevel="0" collapsed="false">
      <c r="A149" s="223" t="s">
        <v>1152</v>
      </c>
      <c r="B149" s="254" t="n">
        <v>0.36</v>
      </c>
      <c r="C149" s="223" t="s">
        <v>1149</v>
      </c>
      <c r="D149" s="249" t="n">
        <f aca="false">B149*C6</f>
        <v>7.2</v>
      </c>
      <c r="E149" s="223" t="s">
        <v>1150</v>
      </c>
      <c r="I149" s="223" t="s">
        <v>1153</v>
      </c>
    </row>
    <row r="150" customFormat="false" ht="12.75" hidden="false" customHeight="true" outlineLevel="0" collapsed="false">
      <c r="A150" s="223" t="s">
        <v>1154</v>
      </c>
      <c r="B150" s="254" t="n">
        <v>0</v>
      </c>
      <c r="C150" s="223" t="s">
        <v>1149</v>
      </c>
      <c r="D150" s="249" t="n">
        <f aca="false">B150*C6</f>
        <v>0</v>
      </c>
      <c r="E150" s="223" t="s">
        <v>1150</v>
      </c>
      <c r="I150" s="223" t="s">
        <v>1155</v>
      </c>
    </row>
    <row r="151" customFormat="false" ht="12.75" hidden="false" customHeight="true" outlineLevel="0" collapsed="false"/>
    <row r="152" customFormat="false" ht="12.75" hidden="false" customHeight="true" outlineLevel="0" collapsed="false">
      <c r="A152" s="219" t="s">
        <v>1156</v>
      </c>
    </row>
    <row r="153" customFormat="false" ht="12.75" hidden="false" customHeight="true" outlineLevel="0" collapsed="false">
      <c r="A153" s="223" t="s">
        <v>1157</v>
      </c>
      <c r="B153" s="284" t="n">
        <f aca="false">H5</f>
        <v>350</v>
      </c>
      <c r="C153" s="223" t="s">
        <v>1087</v>
      </c>
      <c r="I153" s="223" t="s">
        <v>1158</v>
      </c>
    </row>
    <row r="154" customFormat="false" ht="12.75" hidden="false" customHeight="true" outlineLevel="0" collapsed="false">
      <c r="A154" s="223" t="s">
        <v>1159</v>
      </c>
      <c r="B154" s="244" t="n">
        <f aca="false">H94</f>
        <v>8.5</v>
      </c>
      <c r="C154" s="223" t="s">
        <v>1123</v>
      </c>
      <c r="I154" s="223" t="s">
        <v>1160</v>
      </c>
    </row>
    <row r="155" customFormat="false" ht="12.75" hidden="false" customHeight="true" outlineLevel="0" collapsed="false">
      <c r="A155" s="223" t="s">
        <v>1161</v>
      </c>
      <c r="B155" s="274" t="n">
        <f aca="false">B153/B154</f>
        <v>41.1764705882353</v>
      </c>
      <c r="C155" s="223" t="s">
        <v>1140</v>
      </c>
      <c r="I155" s="223" t="s">
        <v>1162</v>
      </c>
    </row>
    <row r="156" customFormat="false" ht="12.75" hidden="false" customHeight="true" outlineLevel="0" collapsed="false">
      <c r="A156" s="223" t="s">
        <v>1163</v>
      </c>
      <c r="B156" s="249" t="n">
        <f aca="false">B143</f>
        <v>10.48</v>
      </c>
      <c r="C156" s="223" t="s">
        <v>1140</v>
      </c>
      <c r="I156" s="223" t="s">
        <v>1164</v>
      </c>
    </row>
    <row r="157" customFormat="false" ht="12.75" hidden="false" customHeight="true" outlineLevel="0" collapsed="false">
      <c r="A157" s="223" t="s">
        <v>1165</v>
      </c>
      <c r="B157" s="253" t="n">
        <f aca="false">B155/B156-1</f>
        <v>2.92905253704535</v>
      </c>
      <c r="I157" s="223" t="s">
        <v>1166</v>
      </c>
    </row>
    <row r="158" customFormat="false" ht="12.75" hidden="false" customHeight="true" outlineLevel="0" collapsed="false"/>
    <row r="159" customFormat="false" ht="12.75" hidden="false" customHeight="true" outlineLevel="0" collapsed="false">
      <c r="A159" s="223" t="s">
        <v>1167</v>
      </c>
    </row>
    <row r="160" customFormat="false" ht="12.75" hidden="false" customHeight="true" outlineLevel="0" collapsed="false">
      <c r="A160" s="223" t="s">
        <v>1168</v>
      </c>
    </row>
    <row r="161" customFormat="false" ht="12.75" hidden="false" customHeight="true" outlineLevel="0" collapsed="false">
      <c r="A161" s="223" t="s">
        <v>1169</v>
      </c>
      <c r="B161" s="244" t="n">
        <f aca="false">B154*1</f>
        <v>8.5</v>
      </c>
      <c r="C161" s="223" t="s">
        <v>1118</v>
      </c>
      <c r="I161" s="223" t="s">
        <v>1170</v>
      </c>
    </row>
    <row r="162" customFormat="false" ht="12.75" hidden="false" customHeight="true" outlineLevel="0" collapsed="false">
      <c r="A162" s="223" t="s">
        <v>1171</v>
      </c>
      <c r="B162" s="249" t="n">
        <f aca="false">B153/B161</f>
        <v>41.1764705882353</v>
      </c>
      <c r="C162" s="223" t="s">
        <v>1145</v>
      </c>
      <c r="I162" s="223" t="s">
        <v>1172</v>
      </c>
    </row>
    <row r="163" customFormat="false" ht="12.75" hidden="false" customHeight="true" outlineLevel="0" collapsed="false">
      <c r="A163" s="223" t="s">
        <v>1173</v>
      </c>
      <c r="B163" s="249" t="n">
        <f aca="false">B145</f>
        <v>36.0473399111492</v>
      </c>
      <c r="C163" s="223" t="s">
        <v>1145</v>
      </c>
      <c r="I163" s="223" t="s">
        <v>1174</v>
      </c>
    </row>
    <row r="164" customFormat="false" ht="12.75" hidden="false" customHeight="true" outlineLevel="0" collapsed="false">
      <c r="A164" s="223" t="s">
        <v>1175</v>
      </c>
      <c r="B164" s="253" t="n">
        <f aca="false">B162/B163-1</f>
        <v>0.142288742795683</v>
      </c>
      <c r="I164" s="223" t="s">
        <v>1176</v>
      </c>
    </row>
    <row r="165" customFormat="false" ht="12.75" hidden="false" customHeight="true" outlineLevel="0" collapsed="false"/>
    <row r="166" customFormat="false" ht="12.75" hidden="false" customHeight="true" outlineLevel="0" collapsed="false">
      <c r="A166" s="219" t="s">
        <v>1177</v>
      </c>
    </row>
    <row r="167" customFormat="false" ht="12.75" hidden="false" customHeight="true" outlineLevel="0" collapsed="false">
      <c r="A167" s="223" t="s">
        <v>1178</v>
      </c>
      <c r="B167" s="223" t="s">
        <v>1179</v>
      </c>
      <c r="C167" s="223" t="s">
        <v>1180</v>
      </c>
      <c r="I167" s="223" t="s">
        <v>1181</v>
      </c>
    </row>
    <row r="168" customFormat="false" ht="12.75" hidden="false" customHeight="true" outlineLevel="0" collapsed="false">
      <c r="A168" s="223" t="s">
        <v>1182</v>
      </c>
      <c r="B168" s="223" t="s">
        <v>1179</v>
      </c>
      <c r="C168" s="223" t="s">
        <v>1183</v>
      </c>
      <c r="I168" s="223" t="s">
        <v>1184</v>
      </c>
    </row>
    <row r="169" customFormat="false" ht="12.75" hidden="false" customHeight="true" outlineLevel="0" collapsed="false">
      <c r="A169" s="223" t="s">
        <v>1185</v>
      </c>
      <c r="B169" s="223" t="s">
        <v>1179</v>
      </c>
      <c r="C169" s="223" t="s">
        <v>1186</v>
      </c>
      <c r="I169" s="223" t="s">
        <v>1187</v>
      </c>
    </row>
    <row r="170" customFormat="false" ht="12.75" hidden="false" customHeight="true" outlineLevel="0" collapsed="false">
      <c r="A170" s="223" t="s">
        <v>1188</v>
      </c>
      <c r="B170" s="223" t="s">
        <v>1189</v>
      </c>
      <c r="C170" s="223" t="s">
        <v>1190</v>
      </c>
      <c r="I170" s="223" t="s">
        <v>1191</v>
      </c>
    </row>
    <row r="171" customFormat="false" ht="12.75" hidden="false" customHeight="true" outlineLevel="0" collapsed="false">
      <c r="A171" s="223" t="s">
        <v>1192</v>
      </c>
      <c r="B171" s="223" t="s">
        <v>1189</v>
      </c>
      <c r="C171" s="223" t="s">
        <v>1193</v>
      </c>
      <c r="I171" s="223" t="s">
        <v>1194</v>
      </c>
    </row>
    <row r="172" customFormat="false" ht="12.75" hidden="false" customHeight="true" outlineLevel="0" collapsed="false"/>
    <row r="173" customFormat="false" ht="12.75" hidden="false" customHeight="true" outlineLevel="0" collapsed="false">
      <c r="A173" s="285" t="s">
        <v>1195</v>
      </c>
      <c r="B173" s="286"/>
      <c r="C173" s="286"/>
      <c r="D173" s="286"/>
      <c r="E173" s="286"/>
      <c r="F173" s="286"/>
      <c r="G173" s="286"/>
      <c r="H173" s="286"/>
      <c r="I173" s="286"/>
    </row>
    <row r="174" customFormat="false" ht="12.75" hidden="false" customHeight="true" outlineLevel="0" collapsed="false">
      <c r="A174" s="219" t="str">
        <f aca="false">"  2030E target $"&amp;TEXT(B153,"0")&amp;"B @ "&amp;TEXT(B154,"0.0")&amp;" GW FY-avg requires $"&amp;TEXT(B155,"0.0")&amp;"B/GW (raw) vs $"&amp;TEXT(B156,"0.0")&amp;"B/GW in 2025"</f>
        <v>  2030E target $350B @ 8.5 GW FY-avg requires $41.2B/GW (raw) vs $10.5B/GW in 2025</v>
      </c>
    </row>
    <row r="175" customFormat="false" ht="12.75" hidden="false" customHeight="true" outlineLevel="0" collapsed="false"/>
    <row r="176" customFormat="false" ht="12.75" hidden="false" customHeight="true" outlineLevel="0" collapsed="false">
      <c r="A176" s="287" t="s">
        <v>1196</v>
      </c>
      <c r="B176" s="288"/>
      <c r="C176" s="288"/>
      <c r="D176" s="288"/>
      <c r="E176" s="288"/>
      <c r="F176" s="288"/>
      <c r="G176" s="288"/>
      <c r="H176" s="288"/>
      <c r="I176" s="288"/>
    </row>
    <row r="177" customFormat="false" ht="12.75" hidden="false" customHeight="true" outlineLevel="0" collapsed="false"/>
    <row r="178" customFormat="false" ht="12.75" hidden="false" customHeight="true" outlineLevel="0" collapsed="false">
      <c r="A178" s="289" t="s">
        <v>1197</v>
      </c>
      <c r="B178" s="272" t="s">
        <v>1198</v>
      </c>
      <c r="C178" s="272" t="s">
        <v>1199</v>
      </c>
      <c r="D178" s="272" t="s">
        <v>680</v>
      </c>
      <c r="E178" s="272"/>
      <c r="F178" s="272"/>
      <c r="G178" s="272"/>
      <c r="H178" s="272"/>
      <c r="I178" s="272" t="s">
        <v>6</v>
      </c>
    </row>
    <row r="179" customFormat="false" ht="12.75" hidden="false" customHeight="true" outlineLevel="0" collapsed="false">
      <c r="A179" s="223" t="s">
        <v>1200</v>
      </c>
      <c r="I179" s="223" t="s">
        <v>1201</v>
      </c>
    </row>
    <row r="180" customFormat="false" ht="12.75" hidden="false" customHeight="true" outlineLevel="0" collapsed="false">
      <c r="A180" s="223" t="s">
        <v>1202</v>
      </c>
      <c r="B180" s="290" t="n">
        <v>0</v>
      </c>
      <c r="C180" s="290" t="n">
        <v>2.5</v>
      </c>
      <c r="D180" s="223" t="s">
        <v>890</v>
      </c>
      <c r="I180" s="223" t="s">
        <v>1203</v>
      </c>
    </row>
    <row r="181" customFormat="false" ht="12.75" hidden="false" customHeight="true" outlineLevel="0" collapsed="false">
      <c r="A181" s="223" t="s">
        <v>1204</v>
      </c>
      <c r="B181" s="290" t="n">
        <v>0</v>
      </c>
      <c r="C181" s="290" t="n">
        <v>10</v>
      </c>
      <c r="D181" s="223" t="s">
        <v>890</v>
      </c>
      <c r="I181" s="223" t="s">
        <v>1203</v>
      </c>
    </row>
    <row r="182" customFormat="false" ht="12.75" hidden="false" customHeight="true" outlineLevel="0" collapsed="false">
      <c r="A182" s="223" t="s">
        <v>1205</v>
      </c>
      <c r="B182" s="291" t="n">
        <v>3</v>
      </c>
      <c r="C182" s="291" t="n">
        <v>5</v>
      </c>
      <c r="D182" s="223" t="s">
        <v>1206</v>
      </c>
      <c r="I182" s="223" t="s">
        <v>1203</v>
      </c>
    </row>
    <row r="183" customFormat="false" ht="12.75" hidden="false" customHeight="true" outlineLevel="0" collapsed="false"/>
    <row r="184" customFormat="false" ht="12.75" hidden="false" customHeight="true" outlineLevel="0" collapsed="false">
      <c r="A184" s="292" t="s">
        <v>1207</v>
      </c>
      <c r="B184" s="251"/>
      <c r="C184" s="251"/>
      <c r="D184" s="251"/>
      <c r="E184" s="251"/>
      <c r="F184" s="251"/>
      <c r="G184" s="251"/>
      <c r="H184" s="251"/>
      <c r="I184" s="251"/>
    </row>
    <row r="185" customFormat="false" ht="12.75" hidden="false" customHeight="true" outlineLevel="0" collapsed="false">
      <c r="A185" s="289" t="s">
        <v>1208</v>
      </c>
      <c r="B185" s="272"/>
      <c r="C185" s="272"/>
      <c r="D185" s="272"/>
      <c r="E185" s="272"/>
      <c r="F185" s="272"/>
      <c r="G185" s="272"/>
      <c r="H185" s="272"/>
      <c r="I185" s="272"/>
    </row>
    <row r="186" customFormat="false" ht="12.75" hidden="false" customHeight="true" outlineLevel="0" collapsed="false">
      <c r="A186" s="287" t="s">
        <v>85</v>
      </c>
      <c r="B186" s="287" t="s">
        <v>1209</v>
      </c>
      <c r="C186" s="287" t="s">
        <v>1210</v>
      </c>
      <c r="D186" s="287" t="s">
        <v>1211</v>
      </c>
      <c r="E186" s="287" t="s">
        <v>1212</v>
      </c>
      <c r="F186" s="287" t="s">
        <v>1213</v>
      </c>
      <c r="G186" s="287"/>
      <c r="H186" s="287"/>
      <c r="I186" s="287" t="s">
        <v>681</v>
      </c>
    </row>
    <row r="187" customFormat="false" ht="12.75" hidden="false" customHeight="true" outlineLevel="0" collapsed="false">
      <c r="A187" s="223" t="s">
        <v>1214</v>
      </c>
      <c r="B187" s="238" t="n">
        <v>600</v>
      </c>
      <c r="C187" s="293" t="n">
        <v>0</v>
      </c>
      <c r="D187" s="221" t="n">
        <f aca="false">B187*C187*12/1000</f>
        <v>0</v>
      </c>
      <c r="E187" s="294" t="s">
        <v>1215</v>
      </c>
      <c r="F187" s="253" t="n">
        <f aca="false">IF(D192&gt;0,D187/D192,0)</f>
        <v>0</v>
      </c>
      <c r="G187" s="253"/>
      <c r="H187" s="253"/>
      <c r="I187" s="223" t="s">
        <v>1216</v>
      </c>
    </row>
    <row r="188" customFormat="false" ht="12.75" hidden="false" customHeight="true" outlineLevel="0" collapsed="false">
      <c r="A188" s="223" t="s">
        <v>1217</v>
      </c>
      <c r="B188" s="295" t="n">
        <v>2</v>
      </c>
      <c r="C188" s="296" t="n">
        <v>8</v>
      </c>
      <c r="D188" s="221" t="n">
        <f aca="false">B188*C188*12/1000</f>
        <v>0.192</v>
      </c>
      <c r="E188" s="253" t="n">
        <f aca="false">B188/B192</f>
        <v>0.0888888888888889</v>
      </c>
      <c r="F188" s="253" t="n">
        <f aca="false">IF(D192&gt;0,D188/D192,0)</f>
        <v>0.0227272727272727</v>
      </c>
      <c r="G188" s="253"/>
      <c r="H188" s="253"/>
      <c r="I188" s="223" t="s">
        <v>1218</v>
      </c>
    </row>
    <row r="189" customFormat="false" ht="12.75" hidden="false" customHeight="true" outlineLevel="0" collapsed="false">
      <c r="A189" s="223" t="s">
        <v>1219</v>
      </c>
      <c r="B189" s="295" t="n">
        <v>18</v>
      </c>
      <c r="C189" s="296" t="n">
        <v>20</v>
      </c>
      <c r="D189" s="221" t="n">
        <f aca="false">B189*C189*12/1000</f>
        <v>4.32</v>
      </c>
      <c r="E189" s="253" t="n">
        <f aca="false">B189/B192</f>
        <v>0.8</v>
      </c>
      <c r="F189" s="253" t="n">
        <f aca="false">IF(D192&gt;0,D189/D192,0)</f>
        <v>0.511363636363636</v>
      </c>
      <c r="G189" s="253"/>
      <c r="H189" s="253"/>
      <c r="I189" s="223" t="s">
        <v>1220</v>
      </c>
    </row>
    <row r="190" customFormat="false" ht="12.75" hidden="false" customHeight="true" outlineLevel="0" collapsed="false">
      <c r="A190" s="223" t="s">
        <v>1221</v>
      </c>
      <c r="B190" s="295" t="n">
        <v>1.5</v>
      </c>
      <c r="C190" s="296" t="n">
        <v>200</v>
      </c>
      <c r="D190" s="221" t="n">
        <f aca="false">B190*C190*12/1000</f>
        <v>3.6</v>
      </c>
      <c r="E190" s="253" t="n">
        <f aca="false">B190/B192</f>
        <v>0.0666666666666667</v>
      </c>
      <c r="F190" s="253" t="n">
        <f aca="false">IF(D192&gt;0,D190/D192,0)</f>
        <v>0.426136363636364</v>
      </c>
      <c r="G190" s="253"/>
      <c r="H190" s="253"/>
      <c r="I190" s="223" t="s">
        <v>1222</v>
      </c>
    </row>
    <row r="191" customFormat="false" ht="12.75" hidden="false" customHeight="true" outlineLevel="0" collapsed="false">
      <c r="A191" s="223" t="s">
        <v>1223</v>
      </c>
      <c r="B191" s="295" t="n">
        <v>1</v>
      </c>
      <c r="C191" s="296" t="n">
        <v>28</v>
      </c>
      <c r="D191" s="221" t="n">
        <f aca="false">B191*C191*12/1000</f>
        <v>0.336</v>
      </c>
      <c r="E191" s="253" t="n">
        <f aca="false">B191/B192</f>
        <v>0.0444444444444444</v>
      </c>
      <c r="F191" s="253" t="n">
        <f aca="false">IF(D192&gt;0,D191/D192,0)</f>
        <v>0.0397727272727273</v>
      </c>
      <c r="G191" s="253"/>
      <c r="H191" s="253"/>
      <c r="I191" s="223" t="s">
        <v>1224</v>
      </c>
    </row>
    <row r="192" customFormat="false" ht="12.75" hidden="false" customHeight="true" outlineLevel="0" collapsed="false">
      <c r="A192" s="292" t="s">
        <v>1225</v>
      </c>
      <c r="B192" s="297" t="n">
        <f aca="false">SUM(B188:B191)</f>
        <v>22.5</v>
      </c>
      <c r="C192" s="251"/>
      <c r="D192" s="298" t="n">
        <f aca="false">SUM(D188:D191)</f>
        <v>8.448</v>
      </c>
      <c r="E192" s="299" t="n">
        <v>1</v>
      </c>
      <c r="F192" s="300" t="n">
        <f aca="false">SUM(F188:F191)</f>
        <v>1</v>
      </c>
      <c r="G192" s="300"/>
      <c r="H192" s="300"/>
      <c r="I192" s="301" t="s">
        <v>1226</v>
      </c>
    </row>
    <row r="193" customFormat="false" ht="12.75" hidden="false" customHeight="true" outlineLevel="0" collapsed="false"/>
    <row r="194" customFormat="false" ht="12.75" hidden="false" customHeight="true" outlineLevel="0" collapsed="false">
      <c r="A194" s="223" t="s">
        <v>1227</v>
      </c>
      <c r="B194" s="222" t="n">
        <f aca="false">D192*1000/B192/12</f>
        <v>31.2888888888889</v>
      </c>
      <c r="C194" s="223" t="s">
        <v>1228</v>
      </c>
      <c r="I194" s="223" t="s">
        <v>1229</v>
      </c>
    </row>
    <row r="195" customFormat="false" ht="12.75" hidden="false" customHeight="true" outlineLevel="0" collapsed="false">
      <c r="A195" s="223" t="s">
        <v>1230</v>
      </c>
      <c r="B195" s="253" t="n">
        <f aca="false">B192/(B192+B187)</f>
        <v>0.036144578313253</v>
      </c>
      <c r="I195" s="223" t="s">
        <v>1231</v>
      </c>
    </row>
    <row r="196" customFormat="false" ht="12.75" hidden="false" customHeight="true" outlineLevel="0" collapsed="false">
      <c r="A196" s="292" t="s">
        <v>1232</v>
      </c>
      <c r="B196" s="297" t="n">
        <f aca="false">D192</f>
        <v>8.448</v>
      </c>
      <c r="C196" s="251" t="s">
        <v>1087</v>
      </c>
      <c r="D196" s="298"/>
      <c r="E196" s="299"/>
      <c r="F196" s="300"/>
      <c r="G196" s="300"/>
      <c r="H196" s="300"/>
      <c r="I196" s="301" t="s">
        <v>1233</v>
      </c>
    </row>
    <row r="197" customFormat="false" ht="12.75" hidden="false" customHeight="true" outlineLevel="0" collapsed="false"/>
    <row r="198" customFormat="false" ht="12.75" hidden="false" customHeight="true" outlineLevel="0" collapsed="false">
      <c r="A198" s="289" t="s">
        <v>1234</v>
      </c>
      <c r="B198" s="272"/>
      <c r="C198" s="272"/>
      <c r="D198" s="272"/>
      <c r="E198" s="272"/>
      <c r="F198" s="272"/>
      <c r="G198" s="272"/>
      <c r="H198" s="272"/>
      <c r="I198" s="272"/>
    </row>
    <row r="199" customFormat="false" ht="12.75" hidden="false" customHeight="true" outlineLevel="0" collapsed="false">
      <c r="A199" s="219" t="s">
        <v>1235</v>
      </c>
      <c r="B199" s="302" t="n">
        <f aca="false">B201/C60</f>
        <v>0.968358627433661</v>
      </c>
      <c r="I199" s="223" t="s">
        <v>1236</v>
      </c>
    </row>
    <row r="200" customFormat="false" ht="12.75" hidden="false" customHeight="true" outlineLevel="0" collapsed="false">
      <c r="A200" s="219" t="s">
        <v>1237</v>
      </c>
      <c r="B200" s="290" t="n">
        <f aca="false">Revenue_Model!B47/(C103/C94)</f>
        <v>0.154370949878802</v>
      </c>
      <c r="C200" s="223" t="s">
        <v>890</v>
      </c>
      <c r="I200" s="223" t="s">
        <v>1238</v>
      </c>
    </row>
    <row r="201" customFormat="false" ht="12.75" hidden="false" customHeight="true" outlineLevel="0" collapsed="false">
      <c r="A201" s="219" t="s">
        <v>1239</v>
      </c>
      <c r="B201" s="221" t="n">
        <f aca="false">C60-C237*B200/1000000000</f>
        <v>8.49928367298524</v>
      </c>
      <c r="C201" s="223" t="s">
        <v>1087</v>
      </c>
      <c r="I201" s="223" t="s">
        <v>1240</v>
      </c>
    </row>
    <row r="202" customFormat="false" ht="12.75" hidden="false" customHeight="true" outlineLevel="0" collapsed="false">
      <c r="A202" s="292" t="s">
        <v>1241</v>
      </c>
      <c r="B202" s="303" t="n">
        <f aca="false">B201*1000000000/B200</f>
        <v>55057533037.5184</v>
      </c>
      <c r="C202" s="251" t="s">
        <v>873</v>
      </c>
      <c r="I202" s="223" t="s">
        <v>1242</v>
      </c>
    </row>
    <row r="203" customFormat="false" ht="12.75" hidden="false" customHeight="true" outlineLevel="0" collapsed="false"/>
    <row r="204" customFormat="false" ht="12.75" hidden="false" customHeight="true" outlineLevel="0" collapsed="false">
      <c r="A204" s="219" t="s">
        <v>1243</v>
      </c>
      <c r="B204" s="287" t="s">
        <v>1244</v>
      </c>
      <c r="C204" s="287" t="s">
        <v>1245</v>
      </c>
      <c r="D204" s="287" t="s">
        <v>1246</v>
      </c>
      <c r="E204" s="287" t="s">
        <v>1247</v>
      </c>
      <c r="F204" s="287" t="s">
        <v>1248</v>
      </c>
      <c r="G204" s="287"/>
      <c r="H204" s="287"/>
      <c r="I204" s="287" t="s">
        <v>6</v>
      </c>
    </row>
    <row r="205" customFormat="false" ht="12.75" hidden="false" customHeight="true" outlineLevel="0" collapsed="false">
      <c r="A205" s="219" t="s">
        <v>1249</v>
      </c>
      <c r="B205" s="238" t="n">
        <v>3430</v>
      </c>
      <c r="C205" s="253" t="n">
        <f aca="false">D205/D210</f>
        <v>0.554080013138535</v>
      </c>
      <c r="D205" s="304" t="n">
        <f aca="false">B205*B187*1000000*365/1000000</f>
        <v>751170000</v>
      </c>
      <c r="E205" s="234" t="n">
        <v>2</v>
      </c>
      <c r="F205" s="253" t="n">
        <f aca="false">D205/D210</f>
        <v>0.554080013138535</v>
      </c>
      <c r="G205" s="253"/>
      <c r="H205" s="253"/>
      <c r="I205" s="223" t="s">
        <v>1250</v>
      </c>
    </row>
    <row r="206" customFormat="false" ht="12.75" hidden="false" customHeight="true" outlineLevel="0" collapsed="false">
      <c r="A206" s="219" t="s">
        <v>1251</v>
      </c>
      <c r="B206" s="238" t="n">
        <v>16000</v>
      </c>
      <c r="C206" s="253" t="n">
        <f aca="false">D206/D210</f>
        <v>0.00861543266298985</v>
      </c>
      <c r="D206" s="304" t="n">
        <f aca="false">B206*B188*1000000*365/1000000</f>
        <v>11680000</v>
      </c>
      <c r="E206" s="234" t="n">
        <v>2.5</v>
      </c>
      <c r="F206" s="253" t="n">
        <f aca="false">D206/D210</f>
        <v>0.00861543266298985</v>
      </c>
      <c r="G206" s="253"/>
      <c r="H206" s="253"/>
      <c r="I206" s="223" t="s">
        <v>1252</v>
      </c>
    </row>
    <row r="207" customFormat="false" ht="12.75" hidden="false" customHeight="true" outlineLevel="0" collapsed="false">
      <c r="A207" s="219" t="s">
        <v>1253</v>
      </c>
      <c r="B207" s="238" t="n">
        <v>53570</v>
      </c>
      <c r="C207" s="253" t="n">
        <f aca="false">D207/D210</f>
        <v>0.259609909362956</v>
      </c>
      <c r="D207" s="304" t="n">
        <f aca="false">B207*B189*1000000*365/1000000</f>
        <v>351954900</v>
      </c>
      <c r="E207" s="234" t="n">
        <v>3</v>
      </c>
      <c r="F207" s="253" t="n">
        <f aca="false">D207/D210</f>
        <v>0.259609909362956</v>
      </c>
      <c r="G207" s="253"/>
      <c r="H207" s="253"/>
      <c r="I207" s="223" t="s">
        <v>1254</v>
      </c>
    </row>
    <row r="208" customFormat="false" ht="12.75" hidden="false" customHeight="true" outlineLevel="0" collapsed="false">
      <c r="A208" s="219" t="s">
        <v>1255</v>
      </c>
      <c r="B208" s="238" t="n">
        <v>411430</v>
      </c>
      <c r="C208" s="253" t="n">
        <f aca="false">D208/D210</f>
        <v>0.166155349712527</v>
      </c>
      <c r="D208" s="304" t="n">
        <f aca="false">B208*B190*1000000*365/1000000</f>
        <v>225257925</v>
      </c>
      <c r="E208" s="234" t="n">
        <v>4</v>
      </c>
      <c r="F208" s="253" t="n">
        <f aca="false">D208/D210</f>
        <v>0.166155349712527</v>
      </c>
      <c r="G208" s="253"/>
      <c r="H208" s="253"/>
      <c r="I208" s="223" t="s">
        <v>1256</v>
      </c>
    </row>
    <row r="209" customFormat="false" ht="12.75" hidden="false" customHeight="true" outlineLevel="0" collapsed="false">
      <c r="A209" s="219" t="s">
        <v>1257</v>
      </c>
      <c r="B209" s="238" t="n">
        <v>42860</v>
      </c>
      <c r="C209" s="253" t="n">
        <f aca="false">D209/D210</f>
        <v>0.011539295122992</v>
      </c>
      <c r="D209" s="304" t="n">
        <f aca="false">B209*B191*1000000*365/1000000</f>
        <v>15643900</v>
      </c>
      <c r="E209" s="234" t="n">
        <v>3.5</v>
      </c>
      <c r="F209" s="253" t="n">
        <f aca="false">D209/D210</f>
        <v>0.011539295122992</v>
      </c>
      <c r="G209" s="253"/>
      <c r="H209" s="253"/>
      <c r="I209" s="223" t="s">
        <v>1258</v>
      </c>
    </row>
    <row r="210" customFormat="false" ht="12.75" hidden="false" customHeight="true" outlineLevel="0" collapsed="false">
      <c r="A210" s="292" t="s">
        <v>1259</v>
      </c>
      <c r="B210" s="297" t="n">
        <f aca="false">SUM(B205:B209)</f>
        <v>527290</v>
      </c>
      <c r="C210" s="301" t="n">
        <f aca="false">SUM(C205:C209)</f>
        <v>1</v>
      </c>
      <c r="D210" s="298" t="n">
        <f aca="false">SUM(D205:D209)</f>
        <v>1355706725</v>
      </c>
      <c r="E210" s="299"/>
      <c r="F210" s="300" t="n">
        <f aca="false">SUM(F205:F209)</f>
        <v>1</v>
      </c>
      <c r="G210" s="300"/>
      <c r="H210" s="300"/>
      <c r="I210" s="301" t="s">
        <v>1260</v>
      </c>
    </row>
    <row r="211" customFormat="false" ht="12.75" hidden="false" customHeight="true" outlineLevel="0" collapsed="false">
      <c r="A211" s="219" t="s">
        <v>1261</v>
      </c>
      <c r="B211" s="305" t="n">
        <f aca="false">B196*1000000000/(D210-D205)</f>
        <v>13.9743371256726</v>
      </c>
      <c r="C211" s="223" t="s">
        <v>890</v>
      </c>
      <c r="I211" s="223" t="s">
        <v>1262</v>
      </c>
    </row>
    <row r="212" customFormat="false" ht="12.75" hidden="false" customHeight="true" outlineLevel="0" collapsed="false">
      <c r="A212" s="219" t="s">
        <v>1263</v>
      </c>
      <c r="B212" s="221" t="n">
        <f aca="false">B196*1000000000/D210</f>
        <v>6.23143622747759</v>
      </c>
      <c r="C212" s="223" t="s">
        <v>890</v>
      </c>
      <c r="I212" s="223" t="s">
        <v>1264</v>
      </c>
    </row>
    <row r="213" customFormat="false" ht="12.75" hidden="false" customHeight="true" outlineLevel="0" collapsed="false">
      <c r="A213" s="219" t="s">
        <v>1265</v>
      </c>
      <c r="B213" s="305" t="n">
        <f aca="false">B200</f>
        <v>0.154370949878802</v>
      </c>
      <c r="C213" s="223" t="s">
        <v>890</v>
      </c>
      <c r="I213" s="223" t="s">
        <v>1266</v>
      </c>
    </row>
    <row r="214" customFormat="false" ht="12.75" hidden="false" customHeight="true" outlineLevel="0" collapsed="false">
      <c r="A214" s="219" t="s">
        <v>1267</v>
      </c>
      <c r="B214" s="253" t="n">
        <f aca="false">D205/D210</f>
        <v>0.554080013138535</v>
      </c>
      <c r="I214" s="223" t="s">
        <v>1268</v>
      </c>
    </row>
    <row r="215" customFormat="false" ht="12.75" hidden="false" customHeight="true" outlineLevel="0" collapsed="false"/>
    <row r="216" customFormat="false" ht="12.75" hidden="false" customHeight="true" outlineLevel="0" collapsed="false">
      <c r="A216" s="292" t="s">
        <v>1269</v>
      </c>
      <c r="B216" s="251"/>
      <c r="C216" s="251"/>
      <c r="D216" s="251"/>
      <c r="E216" s="251"/>
      <c r="F216" s="251"/>
      <c r="G216" s="251"/>
      <c r="H216" s="251"/>
      <c r="I216" s="251"/>
    </row>
    <row r="217" customFormat="false" ht="12.75" hidden="false" customHeight="true" outlineLevel="0" collapsed="false">
      <c r="A217" s="289" t="s">
        <v>1270</v>
      </c>
      <c r="B217" s="272"/>
      <c r="C217" s="272"/>
      <c r="D217" s="272"/>
      <c r="E217" s="272"/>
      <c r="F217" s="272"/>
      <c r="G217" s="272"/>
      <c r="H217" s="272"/>
      <c r="I217" s="272"/>
    </row>
    <row r="218" customFormat="false" ht="12.75" hidden="false" customHeight="true" outlineLevel="0" collapsed="false">
      <c r="A218" s="287" t="s">
        <v>85</v>
      </c>
      <c r="B218" s="287" t="s">
        <v>1271</v>
      </c>
      <c r="C218" s="287" t="s">
        <v>1272</v>
      </c>
      <c r="D218" s="287" t="s">
        <v>1211</v>
      </c>
      <c r="E218" s="287" t="s">
        <v>1273</v>
      </c>
      <c r="F218" s="287" t="s">
        <v>1274</v>
      </c>
      <c r="G218" s="287"/>
      <c r="H218" s="287"/>
      <c r="I218" s="287" t="s">
        <v>681</v>
      </c>
    </row>
    <row r="219" customFormat="false" ht="12.75" hidden="false" customHeight="true" outlineLevel="0" collapsed="false">
      <c r="A219" s="219" t="s">
        <v>1275</v>
      </c>
      <c r="B219" s="306" t="n">
        <v>2000</v>
      </c>
      <c r="C219" s="293" t="n">
        <v>3</v>
      </c>
      <c r="D219" s="221" t="n">
        <f aca="false">B219*C219*12/1000000</f>
        <v>0.072</v>
      </c>
      <c r="E219" s="253" t="n">
        <f aca="false">B219/B224</f>
        <v>0.865688438730901</v>
      </c>
      <c r="F219" s="253" t="n">
        <f aca="false">IF(D224&gt;0,D219/D224,0)</f>
        <v>0.011090573012939</v>
      </c>
      <c r="I219" s="223" t="s">
        <v>1276</v>
      </c>
    </row>
    <row r="220" customFormat="false" ht="12.75" hidden="false" customHeight="true" outlineLevel="0" collapsed="false">
      <c r="A220" s="219" t="s">
        <v>1277</v>
      </c>
      <c r="B220" s="306" t="n">
        <v>250</v>
      </c>
      <c r="C220" s="293" t="n">
        <v>80</v>
      </c>
      <c r="D220" s="221" t="n">
        <f aca="false">B220*C220*12/1000000</f>
        <v>0.24</v>
      </c>
      <c r="E220" s="253" t="n">
        <f aca="false">B220/B224</f>
        <v>0.108211054841363</v>
      </c>
      <c r="F220" s="253" t="n">
        <f aca="false">IF(D224&gt;0,D220/D224,0)</f>
        <v>0.0369685767097967</v>
      </c>
      <c r="I220" s="223" t="s">
        <v>1278</v>
      </c>
    </row>
    <row r="221" customFormat="false" ht="12.75" hidden="false" customHeight="true" outlineLevel="0" collapsed="false">
      <c r="A221" s="219" t="s">
        <v>1279</v>
      </c>
      <c r="B221" s="306" t="n">
        <v>50</v>
      </c>
      <c r="C221" s="293" t="n">
        <v>1500</v>
      </c>
      <c r="D221" s="221" t="n">
        <f aca="false">B221*C221*12/1000000</f>
        <v>0.9</v>
      </c>
      <c r="E221" s="253" t="n">
        <f aca="false">B221/B224</f>
        <v>0.0216422109682725</v>
      </c>
      <c r="F221" s="253" t="n">
        <f aca="false">IF(D224&gt;0,D221/D224,0)</f>
        <v>0.138632162661738</v>
      </c>
      <c r="I221" s="223" t="s">
        <v>1280</v>
      </c>
    </row>
    <row r="222" customFormat="false" ht="12.75" hidden="false" customHeight="true" outlineLevel="0" collapsed="false">
      <c r="A222" s="219" t="s">
        <v>1281</v>
      </c>
      <c r="B222" s="306" t="n">
        <v>10</v>
      </c>
      <c r="C222" s="293" t="n">
        <v>20000</v>
      </c>
      <c r="D222" s="221" t="n">
        <f aca="false">B222*C222*12/1000000</f>
        <v>2.4</v>
      </c>
      <c r="E222" s="253" t="n">
        <f aca="false">B222/B224</f>
        <v>0.0043284421936545</v>
      </c>
      <c r="F222" s="253" t="n">
        <f aca="false">IF(D224&gt;0,D222/D224,0)</f>
        <v>0.369685767097967</v>
      </c>
      <c r="I222" s="223" t="s">
        <v>1282</v>
      </c>
    </row>
    <row r="223" customFormat="false" ht="12.75" hidden="false" customHeight="true" outlineLevel="0" collapsed="false">
      <c r="A223" s="219" t="s">
        <v>1283</v>
      </c>
      <c r="B223" s="306" t="n">
        <v>0.3</v>
      </c>
      <c r="C223" s="293" t="n">
        <v>800000</v>
      </c>
      <c r="D223" s="221" t="n">
        <f aca="false">B223*C223*12/1000000</f>
        <v>2.88</v>
      </c>
      <c r="E223" s="253" t="n">
        <f aca="false">B223/B224</f>
        <v>0.000129853265809635</v>
      </c>
      <c r="F223" s="253" t="n">
        <f aca="false">IF(D224&gt;0,D223/D224,0)</f>
        <v>0.44362292051756</v>
      </c>
      <c r="I223" s="223" t="s">
        <v>1284</v>
      </c>
    </row>
    <row r="224" customFormat="false" ht="12.75" hidden="false" customHeight="true" outlineLevel="0" collapsed="false">
      <c r="A224" s="219" t="s">
        <v>1285</v>
      </c>
      <c r="B224" s="307" t="n">
        <f aca="false">SUM(B219:B223)</f>
        <v>2310.3</v>
      </c>
      <c r="D224" s="307" t="n">
        <f aca="false">SUM(D219:D223)</f>
        <v>6.492</v>
      </c>
      <c r="E224" s="308" t="n">
        <f aca="false">SUM(E219:E223)</f>
        <v>1</v>
      </c>
      <c r="F224" s="308" t="n">
        <f aca="false">SUM(F219:F223)</f>
        <v>1</v>
      </c>
      <c r="I224" s="223" t="s">
        <v>1286</v>
      </c>
    </row>
    <row r="225" customFormat="false" ht="12.75" hidden="false" customHeight="true" outlineLevel="0" collapsed="false">
      <c r="A225" s="219"/>
      <c r="B225" s="221"/>
    </row>
    <row r="226" customFormat="false" ht="12.75" hidden="false" customHeight="true" outlineLevel="0" collapsed="false">
      <c r="A226" s="219" t="s">
        <v>1287</v>
      </c>
      <c r="B226" s="221" t="n">
        <f aca="false">D224</f>
        <v>6.492</v>
      </c>
      <c r="C226" s="223" t="s">
        <v>1087</v>
      </c>
      <c r="I226" s="223" t="s">
        <v>1288</v>
      </c>
    </row>
    <row r="227" customFormat="false" ht="12.75" hidden="false" customHeight="true" outlineLevel="0" collapsed="false">
      <c r="A227" s="219" t="s">
        <v>1289</v>
      </c>
      <c r="B227" s="221" t="n">
        <f aca="false">C5-B196</f>
        <v>4.652</v>
      </c>
      <c r="C227" s="223" t="s">
        <v>1087</v>
      </c>
      <c r="I227" s="223" t="s">
        <v>1290</v>
      </c>
    </row>
    <row r="228" customFormat="false" ht="12.75" hidden="false" customHeight="true" outlineLevel="0" collapsed="false">
      <c r="A228" s="219" t="s">
        <v>1291</v>
      </c>
      <c r="B228" s="283" t="n">
        <f aca="false">B227/B226</f>
        <v>0.716574245224892</v>
      </c>
      <c r="I228" s="223" t="s">
        <v>1292</v>
      </c>
    </row>
    <row r="229" customFormat="false" ht="12.75" hidden="false" customHeight="true" outlineLevel="0" collapsed="false">
      <c r="A229" s="219"/>
      <c r="B229" s="221"/>
    </row>
    <row r="230" customFormat="false" ht="12.75" hidden="false" customHeight="true" outlineLevel="0" collapsed="false">
      <c r="A230" s="289" t="s">
        <v>1293</v>
      </c>
      <c r="B230" s="272"/>
      <c r="C230" s="272"/>
      <c r="D230" s="272"/>
      <c r="E230" s="272"/>
      <c r="F230" s="272"/>
      <c r="G230" s="272"/>
      <c r="H230" s="272"/>
      <c r="I230" s="272"/>
    </row>
    <row r="231" customFormat="false" ht="12.75" hidden="false" customHeight="true" outlineLevel="0" collapsed="false">
      <c r="A231" s="287" t="s">
        <v>1294</v>
      </c>
      <c r="B231" s="287" t="s">
        <v>1295</v>
      </c>
      <c r="C231" s="287" t="s">
        <v>1246</v>
      </c>
      <c r="D231" s="287" t="s">
        <v>1247</v>
      </c>
      <c r="E231" s="287" t="s">
        <v>1296</v>
      </c>
      <c r="F231" s="287" t="s">
        <v>1297</v>
      </c>
      <c r="G231" s="287"/>
      <c r="H231" s="287"/>
      <c r="I231" s="287" t="s">
        <v>6</v>
      </c>
    </row>
    <row r="232" customFormat="false" ht="12.75" hidden="false" customHeight="true" outlineLevel="0" collapsed="false">
      <c r="A232" s="219" t="s">
        <v>1298</v>
      </c>
      <c r="B232" s="309" t="n">
        <v>0.5</v>
      </c>
      <c r="C232" s="304" t="n">
        <f aca="false">D219*1000000000/B232*B228</f>
        <v>103186691.312384</v>
      </c>
      <c r="D232" s="235" t="n">
        <v>4</v>
      </c>
      <c r="E232" s="304" t="n">
        <f aca="false">C232*D232/(D232+1)</f>
        <v>82549353.0499076</v>
      </c>
      <c r="F232" s="304" t="n">
        <f aca="false">C232/(D232+1)</f>
        <v>20637338.2624769</v>
      </c>
      <c r="G232" s="223"/>
      <c r="I232" s="223" t="s">
        <v>1299</v>
      </c>
    </row>
    <row r="233" customFormat="false" ht="12.75" hidden="false" customHeight="true" outlineLevel="0" collapsed="false">
      <c r="A233" s="219" t="s">
        <v>1300</v>
      </c>
      <c r="B233" s="309" t="n">
        <v>1.8</v>
      </c>
      <c r="C233" s="304" t="n">
        <f aca="false">D220*1000000000/B233*B228</f>
        <v>95543232.6966523</v>
      </c>
      <c r="D233" s="235" t="n">
        <v>5</v>
      </c>
      <c r="E233" s="304" t="n">
        <f aca="false">C233*D233/(D233+1)</f>
        <v>79619360.5805436</v>
      </c>
      <c r="F233" s="304" t="n">
        <f aca="false">C233/(D233+1)</f>
        <v>15923872.1161087</v>
      </c>
      <c r="G233" s="223"/>
      <c r="I233" s="223" t="s">
        <v>1301</v>
      </c>
    </row>
    <row r="234" customFormat="false" ht="12.75" hidden="false" customHeight="true" outlineLevel="0" collapsed="false">
      <c r="A234" s="219" t="s">
        <v>1302</v>
      </c>
      <c r="B234" s="309" t="n">
        <v>3.2</v>
      </c>
      <c r="C234" s="304" t="n">
        <f aca="false">D221*1000000000/B234*B228</f>
        <v>201536506.469501</v>
      </c>
      <c r="D234" s="235" t="n">
        <v>5</v>
      </c>
      <c r="E234" s="304" t="n">
        <f aca="false">C234*D234/(D234+1)</f>
        <v>167947088.724584</v>
      </c>
      <c r="F234" s="304" t="n">
        <f aca="false">C234/(D234+1)</f>
        <v>33589417.7449168</v>
      </c>
      <c r="G234" s="223"/>
      <c r="I234" s="223" t="s">
        <v>1303</v>
      </c>
    </row>
    <row r="235" customFormat="false" ht="12.75" hidden="false" customHeight="true" outlineLevel="0" collapsed="false">
      <c r="A235" s="219" t="s">
        <v>1304</v>
      </c>
      <c r="B235" s="309" t="n">
        <v>3</v>
      </c>
      <c r="C235" s="304" t="n">
        <f aca="false">D222*1000000000/B235*B228</f>
        <v>573259396.179914</v>
      </c>
      <c r="D235" s="235" t="n">
        <v>5</v>
      </c>
      <c r="E235" s="304" t="n">
        <f aca="false">C235*D235/(D235+1)</f>
        <v>477716163.483261</v>
      </c>
      <c r="F235" s="304" t="n">
        <f aca="false">C235/(D235+1)</f>
        <v>95543232.6966523</v>
      </c>
      <c r="G235" s="223"/>
      <c r="I235" s="223" t="s">
        <v>1305</v>
      </c>
    </row>
    <row r="236" customFormat="false" ht="12.75" hidden="false" customHeight="true" outlineLevel="0" collapsed="false">
      <c r="A236" s="219" t="s">
        <v>1306</v>
      </c>
      <c r="B236" s="309" t="n">
        <v>2.5</v>
      </c>
      <c r="C236" s="304" t="n">
        <f aca="false">D223*1000000000/B236*B228</f>
        <v>825493530.499076</v>
      </c>
      <c r="D236" s="235" t="n">
        <v>5</v>
      </c>
      <c r="E236" s="304" t="n">
        <f aca="false">C236*D236/(D236+1)</f>
        <v>687911275.415896</v>
      </c>
      <c r="F236" s="304" t="n">
        <f aca="false">C236/(D236+1)</f>
        <v>137582255.083179</v>
      </c>
      <c r="G236" s="223"/>
      <c r="I236" s="223" t="s">
        <v>1307</v>
      </c>
    </row>
    <row r="237" customFormat="false" ht="12.75" hidden="false" customHeight="true" outlineLevel="0" collapsed="false">
      <c r="A237" s="219" t="s">
        <v>1308</v>
      </c>
      <c r="B237" s="310" t="n">
        <f aca="false">B227*1000000000/C237</f>
        <v>2.5858532213629</v>
      </c>
      <c r="C237" s="311" t="n">
        <f aca="false">SUM(C232:C236)</f>
        <v>1799019357.15753</v>
      </c>
      <c r="D237" s="244" t="n">
        <f aca="false">E237/F237</f>
        <v>4.93195198309301</v>
      </c>
      <c r="E237" s="311" t="n">
        <f aca="false">SUM(E232:E236)</f>
        <v>1495743241.25419</v>
      </c>
      <c r="F237" s="311" t="n">
        <f aca="false">SUM(F232:F236)</f>
        <v>303276115.903334</v>
      </c>
      <c r="G237" s="223"/>
      <c r="I237" s="223" t="s">
        <v>1309</v>
      </c>
    </row>
    <row r="238" customFormat="false" ht="12.75" hidden="false" customHeight="true" outlineLevel="0" collapsed="false">
      <c r="A238" s="219"/>
      <c r="B238" s="290"/>
    </row>
    <row r="239" customFormat="false" ht="12.75" hidden="false" customHeight="true" outlineLevel="0" collapsed="false">
      <c r="A239" s="219" t="s">
        <v>1310</v>
      </c>
      <c r="B239" s="291"/>
    </row>
    <row r="240" customFormat="false" ht="12.75" hidden="false" customHeight="true" outlineLevel="0" collapsed="false">
      <c r="A240" s="219" t="s">
        <v>1311</v>
      </c>
      <c r="B240" s="238" t="n">
        <v>6000</v>
      </c>
      <c r="C240" s="223" t="s">
        <v>1312</v>
      </c>
      <c r="G240" s="223"/>
      <c r="I240" s="223" t="s">
        <v>1313</v>
      </c>
    </row>
    <row r="241" customFormat="false" ht="12.75" hidden="false" customHeight="true" outlineLevel="0" collapsed="false">
      <c r="A241" s="219" t="s">
        <v>1314</v>
      </c>
      <c r="B241" s="243" t="n">
        <f aca="false">B240*60*24*365/1000000</f>
        <v>3153.6</v>
      </c>
      <c r="C241" s="223" t="s">
        <v>1315</v>
      </c>
      <c r="G241" s="223"/>
      <c r="I241" s="223" t="s">
        <v>1316</v>
      </c>
    </row>
    <row r="242" customFormat="false" ht="12.75" hidden="false" customHeight="true" outlineLevel="0" collapsed="false">
      <c r="A242" s="219" t="s">
        <v>1317</v>
      </c>
      <c r="B242" s="238" t="n">
        <v>5000</v>
      </c>
      <c r="C242" s="223" t="s">
        <v>1312</v>
      </c>
      <c r="G242" s="223"/>
      <c r="I242" s="223" t="s">
        <v>1318</v>
      </c>
    </row>
    <row r="243" customFormat="false" ht="12.75" hidden="false" customHeight="true" outlineLevel="0" collapsed="false">
      <c r="A243" s="219" t="s">
        <v>1319</v>
      </c>
      <c r="B243" s="243" t="n">
        <f aca="false">B242*60*24*365/1000000</f>
        <v>2628</v>
      </c>
      <c r="C243" s="223" t="s">
        <v>1315</v>
      </c>
      <c r="G243" s="223"/>
      <c r="I243" s="223" t="s">
        <v>1320</v>
      </c>
    </row>
    <row r="244" customFormat="false" ht="12.75" hidden="false" customHeight="true" outlineLevel="0" collapsed="false">
      <c r="A244" s="219" t="s">
        <v>1321</v>
      </c>
      <c r="B244" s="245" t="n">
        <f aca="false">B243/(C237/1000000)</f>
        <v>1.46079584388257</v>
      </c>
      <c r="G244" s="223"/>
      <c r="I244" s="223" t="s">
        <v>1322</v>
      </c>
    </row>
    <row r="245" customFormat="false" ht="12.75" hidden="false" customHeight="true" outlineLevel="0" collapsed="false"/>
    <row r="246" customFormat="false" ht="12.75" hidden="false" customHeight="true" outlineLevel="0" collapsed="false">
      <c r="A246" s="289" t="s">
        <v>1323</v>
      </c>
      <c r="B246" s="272"/>
      <c r="C246" s="272"/>
      <c r="D246" s="272"/>
      <c r="E246" s="272"/>
      <c r="F246" s="272"/>
      <c r="G246" s="272"/>
      <c r="H246" s="272"/>
      <c r="I246" s="272"/>
    </row>
    <row r="247" customFormat="false" ht="12.75" hidden="false" customHeight="true" outlineLevel="0" collapsed="false">
      <c r="A247" s="219" t="s">
        <v>1324</v>
      </c>
      <c r="B247" s="304" t="n">
        <f aca="false">D210</f>
        <v>1355706725</v>
      </c>
      <c r="C247" s="223" t="s">
        <v>1325</v>
      </c>
      <c r="G247" s="223"/>
      <c r="I247" s="223" t="s">
        <v>1326</v>
      </c>
    </row>
    <row r="248" customFormat="false" ht="12.75" hidden="false" customHeight="true" outlineLevel="0" collapsed="false">
      <c r="A248" s="219" t="s">
        <v>1327</v>
      </c>
      <c r="B248" s="304" t="n">
        <f aca="false">B201/B200*1000000000</f>
        <v>55057533037.5184</v>
      </c>
      <c r="C248" s="223" t="s">
        <v>1325</v>
      </c>
      <c r="G248" s="223"/>
      <c r="I248" s="223" t="s">
        <v>1328</v>
      </c>
    </row>
    <row r="249" customFormat="false" ht="12.75" hidden="false" customHeight="true" outlineLevel="0" collapsed="false">
      <c r="A249" s="292" t="s">
        <v>1329</v>
      </c>
      <c r="B249" s="312" t="n">
        <f aca="false">B248/B247</f>
        <v>40.6116839447841</v>
      </c>
      <c r="C249" s="251"/>
      <c r="D249" s="251"/>
      <c r="E249" s="251"/>
      <c r="F249" s="251"/>
      <c r="G249" s="251"/>
      <c r="H249" s="251"/>
      <c r="I249" s="251" t="s">
        <v>1330</v>
      </c>
    </row>
    <row r="250" customFormat="false" ht="12.75" hidden="false" customHeight="true" outlineLevel="0" collapsed="false">
      <c r="A250" s="223" t="s">
        <v>1331</v>
      </c>
    </row>
    <row r="251" customFormat="false" ht="12.75" hidden="false" customHeight="true" outlineLevel="0" collapsed="false">
      <c r="A251" s="223" t="s">
        <v>1332</v>
      </c>
      <c r="G251" s="223"/>
      <c r="I251" s="223" t="s">
        <v>1333</v>
      </c>
    </row>
    <row r="252" customFormat="false" ht="12.75" hidden="false" customHeight="true" outlineLevel="0" collapsed="false">
      <c r="A252" s="223" t="s">
        <v>1334</v>
      </c>
      <c r="G252" s="223"/>
      <c r="I252" s="223" t="s">
        <v>1335</v>
      </c>
    </row>
    <row r="253" customFormat="false" ht="12.75" hidden="false" customHeight="true" outlineLevel="0" collapsed="false">
      <c r="A253" s="223" t="s">
        <v>1336</v>
      </c>
      <c r="G253" s="223"/>
      <c r="I253" s="223" t="s">
        <v>1337</v>
      </c>
    </row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>
      <c r="A256" s="287" t="s">
        <v>1338</v>
      </c>
      <c r="B256" s="288"/>
      <c r="C256" s="288"/>
      <c r="D256" s="288"/>
      <c r="E256" s="288"/>
      <c r="F256" s="288"/>
      <c r="G256" s="288"/>
      <c r="H256" s="288"/>
      <c r="I256" s="288"/>
    </row>
    <row r="257" customFormat="false" ht="12.75" hidden="false" customHeight="true" outlineLevel="0" collapsed="false">
      <c r="A257" s="287" t="s">
        <v>1339</v>
      </c>
      <c r="B257" s="287" t="s">
        <v>1340</v>
      </c>
      <c r="C257" s="287" t="s">
        <v>1341</v>
      </c>
      <c r="D257" s="287" t="s">
        <v>1342</v>
      </c>
      <c r="E257" s="287" t="s">
        <v>917</v>
      </c>
      <c r="F257" s="287" t="s">
        <v>1343</v>
      </c>
      <c r="G257" s="287" t="s">
        <v>1344</v>
      </c>
      <c r="H257" s="287"/>
      <c r="I257" s="287"/>
    </row>
    <row r="258" customFormat="false" ht="12.75" hidden="false" customHeight="true" outlineLevel="0" collapsed="false">
      <c r="A258" s="223" t="s">
        <v>1345</v>
      </c>
      <c r="B258" s="243" t="n">
        <f aca="false">D258-C258</f>
        <v>965462849.920635</v>
      </c>
      <c r="C258" s="243" t="n">
        <f aca="false">SUMPRODUCT(D205:D209,1/(1+E205:E209))</f>
        <v>390243875.079365</v>
      </c>
      <c r="D258" s="243" t="n">
        <f aca="false">D210</f>
        <v>1355706725</v>
      </c>
      <c r="E258" s="221" t="n">
        <f aca="false">B196</f>
        <v>8.448</v>
      </c>
      <c r="F258" s="253" t="n">
        <f aca="false">D258/D260</f>
        <v>0.429738332170135</v>
      </c>
      <c r="G258" s="221" t="n">
        <f aca="false">E258*1000000000/D258</f>
        <v>6.23143622747759</v>
      </c>
      <c r="H258" s="221"/>
      <c r="I258" s="221"/>
    </row>
    <row r="259" customFormat="false" ht="12.75" hidden="false" customHeight="true" outlineLevel="0" collapsed="false">
      <c r="A259" s="223" t="s">
        <v>1346</v>
      </c>
      <c r="B259" s="304" t="n">
        <f aca="false">E237</f>
        <v>1495743241.25419</v>
      </c>
      <c r="C259" s="304" t="n">
        <f aca="false">F237</f>
        <v>303276115.903334</v>
      </c>
      <c r="D259" s="304" t="n">
        <f aca="false">C237</f>
        <v>1799019357.15753</v>
      </c>
      <c r="E259" s="221" t="n">
        <f aca="false">B227</f>
        <v>4.652</v>
      </c>
      <c r="F259" s="253" t="n">
        <f aca="false">D259/D260</f>
        <v>0.570261667829865</v>
      </c>
      <c r="G259" s="313" t="n">
        <f aca="false">E259*1000000000/D259</f>
        <v>2.5858532213629</v>
      </c>
      <c r="H259" s="313"/>
      <c r="I259" s="313"/>
    </row>
    <row r="260" customFormat="false" ht="12.75" hidden="false" customHeight="true" outlineLevel="0" collapsed="false">
      <c r="A260" s="292" t="s">
        <v>1347</v>
      </c>
      <c r="B260" s="314" t="n">
        <f aca="false">B258+B259</f>
        <v>2461206091.17483</v>
      </c>
      <c r="C260" s="314" t="n">
        <f aca="false">C258+C259</f>
        <v>693519990.982699</v>
      </c>
      <c r="D260" s="314" t="n">
        <f aca="false">D258+D259</f>
        <v>3154726082.15753</v>
      </c>
      <c r="E260" s="298" t="n">
        <f aca="false">E258+E259</f>
        <v>13.1</v>
      </c>
      <c r="F260" s="299" t="n">
        <v>1</v>
      </c>
      <c r="G260" s="298" t="n">
        <f aca="false">E260*1000000000/D260</f>
        <v>4.15249998219841</v>
      </c>
      <c r="H260" s="298"/>
      <c r="I260" s="298"/>
    </row>
    <row r="261" customFormat="false" ht="12.75" hidden="false" customHeight="true" outlineLevel="0" collapsed="false"/>
    <row r="262" customFormat="false" ht="12.75" hidden="false" customHeight="true" outlineLevel="0" collapsed="false">
      <c r="A262" s="223" t="s">
        <v>1348</v>
      </c>
      <c r="B262" s="237" t="n">
        <f aca="false">B260/C260</f>
        <v>3.5488610612181</v>
      </c>
      <c r="C262" s="223" t="s">
        <v>1206</v>
      </c>
    </row>
    <row r="263" customFormat="false" ht="12.75" hidden="false" customHeight="true" outlineLevel="0" collapsed="false">
      <c r="A263" s="223" t="s">
        <v>1349</v>
      </c>
      <c r="B263" s="283" t="n">
        <f aca="false">D260/1000000</f>
        <v>3154.72608215753</v>
      </c>
      <c r="C263" s="223" t="s">
        <v>1315</v>
      </c>
    </row>
    <row r="264" customFormat="false" ht="12.75" hidden="false" customHeight="true" outlineLevel="0" collapsed="false"/>
    <row r="265" customFormat="false" ht="12.75" hidden="false" customHeight="true" outlineLevel="0" collapsed="false">
      <c r="A265" s="287" t="s">
        <v>1350</v>
      </c>
      <c r="B265" s="288"/>
      <c r="C265" s="288"/>
      <c r="D265" s="288"/>
      <c r="E265" s="288"/>
      <c r="F265" s="288"/>
      <c r="G265" s="288"/>
      <c r="H265" s="288"/>
      <c r="I265" s="288"/>
    </row>
    <row r="266" customFormat="false" ht="12.75" hidden="false" customHeight="true" outlineLevel="0" collapsed="false"/>
    <row r="267" customFormat="false" ht="12.75" hidden="false" customHeight="true" outlineLevel="0" collapsed="false">
      <c r="A267" s="289" t="s">
        <v>1351</v>
      </c>
      <c r="B267" s="289" t="s">
        <v>1198</v>
      </c>
      <c r="C267" s="289" t="s">
        <v>1199</v>
      </c>
      <c r="D267" s="289" t="s">
        <v>680</v>
      </c>
      <c r="E267" s="289"/>
      <c r="F267" s="289"/>
      <c r="G267" s="289"/>
      <c r="H267" s="289"/>
      <c r="I267" s="289" t="s">
        <v>6</v>
      </c>
    </row>
    <row r="268" customFormat="false" ht="12.75" hidden="false" customHeight="true" outlineLevel="0" collapsed="false">
      <c r="A268" s="181" t="s">
        <v>1352</v>
      </c>
    </row>
    <row r="269" customFormat="false" ht="12.75" hidden="false" customHeight="true" outlineLevel="0" collapsed="false">
      <c r="A269" s="181" t="s">
        <v>1202</v>
      </c>
      <c r="B269" s="309" t="n">
        <v>0</v>
      </c>
      <c r="C269" s="309" t="n">
        <v>1.75</v>
      </c>
      <c r="D269" s="181" t="s">
        <v>890</v>
      </c>
      <c r="I269" s="181" t="s">
        <v>1353</v>
      </c>
    </row>
    <row r="270" customFormat="false" ht="12.75" hidden="false" customHeight="true" outlineLevel="0" collapsed="false">
      <c r="A270" s="181" t="s">
        <v>1204</v>
      </c>
      <c r="B270" s="309" t="n">
        <v>0</v>
      </c>
      <c r="C270" s="309" t="n">
        <v>10</v>
      </c>
      <c r="D270" s="181" t="s">
        <v>890</v>
      </c>
      <c r="I270" s="181" t="s">
        <v>1354</v>
      </c>
    </row>
    <row r="271" customFormat="false" ht="12.75" hidden="false" customHeight="true" outlineLevel="0" collapsed="false">
      <c r="A271" s="181" t="s">
        <v>1205</v>
      </c>
      <c r="B271" s="234" t="n">
        <v>2.5</v>
      </c>
      <c r="C271" s="234" t="n">
        <v>4</v>
      </c>
      <c r="D271" s="181" t="s">
        <v>1206</v>
      </c>
      <c r="I271" s="181" t="s">
        <v>1355</v>
      </c>
    </row>
    <row r="272" customFormat="false" ht="12.75" hidden="false" customHeight="true" outlineLevel="0" collapsed="false"/>
    <row r="273" customFormat="false" ht="12.75" hidden="false" customHeight="true" outlineLevel="0" collapsed="false">
      <c r="A273" s="292" t="s">
        <v>1356</v>
      </c>
      <c r="B273" s="251"/>
      <c r="C273" s="251"/>
      <c r="D273" s="251"/>
      <c r="E273" s="251"/>
      <c r="F273" s="251"/>
      <c r="G273" s="251"/>
      <c r="H273" s="251"/>
      <c r="I273" s="251"/>
    </row>
    <row r="274" customFormat="false" ht="12.75" hidden="false" customHeight="true" outlineLevel="0" collapsed="false">
      <c r="A274" s="289" t="s">
        <v>1357</v>
      </c>
      <c r="B274" s="272"/>
      <c r="C274" s="272"/>
      <c r="D274" s="272"/>
      <c r="E274" s="272"/>
      <c r="F274" s="272"/>
      <c r="G274" s="272"/>
      <c r="H274" s="272"/>
      <c r="I274" s="272"/>
    </row>
    <row r="275" customFormat="false" ht="12.75" hidden="false" customHeight="true" outlineLevel="0" collapsed="false">
      <c r="A275" s="287" t="s">
        <v>85</v>
      </c>
      <c r="B275" s="287" t="s">
        <v>1209</v>
      </c>
      <c r="C275" s="287" t="s">
        <v>1210</v>
      </c>
      <c r="D275" s="287" t="s">
        <v>1211</v>
      </c>
      <c r="E275" s="287" t="s">
        <v>1212</v>
      </c>
      <c r="F275" s="287" t="s">
        <v>1213</v>
      </c>
      <c r="G275" s="287"/>
      <c r="H275" s="287"/>
      <c r="I275" s="287" t="s">
        <v>681</v>
      </c>
    </row>
    <row r="276" customFormat="false" ht="12.75" hidden="false" customHeight="true" outlineLevel="0" collapsed="false">
      <c r="A276" s="181" t="s">
        <v>1214</v>
      </c>
      <c r="B276" s="238" t="n">
        <v>1100</v>
      </c>
      <c r="C276" s="293" t="n">
        <v>0</v>
      </c>
      <c r="D276" s="221" t="n">
        <f aca="false">B276*C276*12/1000</f>
        <v>0</v>
      </c>
      <c r="E276" s="294" t="s">
        <v>1215</v>
      </c>
      <c r="F276" s="253" t="n">
        <f aca="false">IF(D281&gt;0,D276/D281,0)</f>
        <v>0</v>
      </c>
      <c r="I276" s="181" t="s">
        <v>1358</v>
      </c>
    </row>
    <row r="277" customFormat="false" ht="12.75" hidden="false" customHeight="true" outlineLevel="0" collapsed="false">
      <c r="A277" s="181" t="s">
        <v>1217</v>
      </c>
      <c r="B277" s="295" t="n">
        <v>6</v>
      </c>
      <c r="C277" s="296" t="n">
        <v>8</v>
      </c>
      <c r="D277" s="221" t="n">
        <f aca="false">B277*C277*12/1000</f>
        <v>0.576</v>
      </c>
      <c r="E277" s="253" t="n">
        <f aca="false">B277/B281</f>
        <v>0.102564102564103</v>
      </c>
      <c r="F277" s="253" t="n">
        <f aca="false">IF(D281&gt;0,D277/D281,0)</f>
        <v>0.029126213592233</v>
      </c>
      <c r="I277" s="181" t="s">
        <v>1359</v>
      </c>
    </row>
    <row r="278" customFormat="false" ht="12.75" hidden="false" customHeight="true" outlineLevel="0" collapsed="false">
      <c r="A278" s="181" t="s">
        <v>1219</v>
      </c>
      <c r="B278" s="295" t="n">
        <v>40</v>
      </c>
      <c r="C278" s="296" t="n">
        <v>20</v>
      </c>
      <c r="D278" s="221" t="n">
        <f aca="false">B278*C278*12/1000</f>
        <v>9.6</v>
      </c>
      <c r="E278" s="253" t="n">
        <f aca="false">B278/B281</f>
        <v>0.683760683760684</v>
      </c>
      <c r="F278" s="253" t="n">
        <f aca="false">IF(D281&gt;0,D278/D281,0)</f>
        <v>0.485436893203884</v>
      </c>
      <c r="I278" s="181" t="s">
        <v>1360</v>
      </c>
    </row>
    <row r="279" customFormat="false" ht="12.75" hidden="false" customHeight="true" outlineLevel="0" collapsed="false">
      <c r="A279" s="181" t="s">
        <v>1221</v>
      </c>
      <c r="B279" s="295" t="n">
        <v>2.5</v>
      </c>
      <c r="C279" s="296" t="n">
        <v>200</v>
      </c>
      <c r="D279" s="221" t="n">
        <f aca="false">B279*C279*12/1000</f>
        <v>6</v>
      </c>
      <c r="E279" s="253" t="n">
        <f aca="false">B279/B281</f>
        <v>0.0427350427350427</v>
      </c>
      <c r="F279" s="253" t="n">
        <f aca="false">IF(D281&gt;0,D279/D281,0)</f>
        <v>0.303398058252427</v>
      </c>
      <c r="I279" s="181" t="s">
        <v>1361</v>
      </c>
    </row>
    <row r="280" customFormat="false" ht="12.75" hidden="false" customHeight="true" outlineLevel="0" collapsed="false">
      <c r="A280" s="181" t="s">
        <v>1223</v>
      </c>
      <c r="B280" s="295" t="n">
        <v>10</v>
      </c>
      <c r="C280" s="296" t="n">
        <v>30</v>
      </c>
      <c r="D280" s="221" t="n">
        <f aca="false">B280*C280*12/1000</f>
        <v>3.6</v>
      </c>
      <c r="E280" s="253" t="n">
        <f aca="false">B280/B281</f>
        <v>0.170940170940171</v>
      </c>
      <c r="F280" s="253" t="n">
        <f aca="false">IF(D281&gt;0,D280/D281,0)</f>
        <v>0.182038834951456</v>
      </c>
      <c r="I280" s="181" t="s">
        <v>1362</v>
      </c>
    </row>
    <row r="281" customFormat="false" ht="12.75" hidden="false" customHeight="true" outlineLevel="0" collapsed="false">
      <c r="A281" s="292" t="s">
        <v>1225</v>
      </c>
      <c r="B281" s="297" t="n">
        <f aca="false">SUM(B277:B280)</f>
        <v>58.5</v>
      </c>
      <c r="C281" s="251"/>
      <c r="D281" s="298" t="n">
        <f aca="false">SUM(D277:D280)</f>
        <v>19.776</v>
      </c>
      <c r="E281" s="299" t="n">
        <v>1</v>
      </c>
      <c r="F281" s="300" t="n">
        <f aca="false">SUM(F277:F280)</f>
        <v>1</v>
      </c>
      <c r="G281" s="251"/>
      <c r="H281" s="251"/>
      <c r="I281" s="251"/>
    </row>
    <row r="282" customFormat="false" ht="12.75" hidden="false" customHeight="true" outlineLevel="0" collapsed="false"/>
    <row r="283" customFormat="false" ht="12.75" hidden="false" customHeight="true" outlineLevel="0" collapsed="false">
      <c r="A283" s="181" t="s">
        <v>1227</v>
      </c>
      <c r="B283" s="222" t="n">
        <f aca="false">D281*1000/B281/12</f>
        <v>28.1709401709402</v>
      </c>
      <c r="C283" s="181" t="s">
        <v>1228</v>
      </c>
      <c r="I283" s="181" t="s">
        <v>1363</v>
      </c>
    </row>
    <row r="284" customFormat="false" ht="12.75" hidden="false" customHeight="true" outlineLevel="0" collapsed="false">
      <c r="A284" s="181" t="s">
        <v>1230</v>
      </c>
      <c r="B284" s="253" t="n">
        <f aca="false">B281/(B281+B276)</f>
        <v>0.0504963314630988</v>
      </c>
      <c r="I284" s="181" t="s">
        <v>1364</v>
      </c>
    </row>
    <row r="285" customFormat="false" ht="12.75" hidden="false" customHeight="true" outlineLevel="0" collapsed="false">
      <c r="A285" s="292" t="s">
        <v>1232</v>
      </c>
      <c r="B285" s="298" t="n">
        <f aca="false">D281</f>
        <v>19.776</v>
      </c>
      <c r="C285" s="251" t="s">
        <v>1087</v>
      </c>
      <c r="D285" s="251"/>
      <c r="E285" s="251"/>
      <c r="F285" s="251"/>
      <c r="G285" s="251"/>
      <c r="H285" s="251"/>
      <c r="I285" s="251"/>
    </row>
    <row r="286" customFormat="false" ht="12.75" hidden="false" customHeight="true" outlineLevel="0" collapsed="false"/>
    <row r="287" customFormat="false" ht="12.75" hidden="false" customHeight="true" outlineLevel="0" collapsed="false">
      <c r="A287" s="289" t="s">
        <v>1365</v>
      </c>
      <c r="B287" s="272"/>
      <c r="C287" s="272"/>
      <c r="D287" s="272"/>
      <c r="E287" s="272"/>
      <c r="F287" s="272"/>
      <c r="G287" s="272"/>
      <c r="H287" s="272"/>
      <c r="I287" s="272"/>
    </row>
    <row r="288" customFormat="false" ht="12.75" hidden="false" customHeight="true" outlineLevel="0" collapsed="false">
      <c r="A288" s="219" t="s">
        <v>1366</v>
      </c>
      <c r="B288" s="233" t="n">
        <v>0.65</v>
      </c>
      <c r="C288" s="181" t="s">
        <v>1367</v>
      </c>
      <c r="I288" s="181" t="s">
        <v>1368</v>
      </c>
    </row>
    <row r="289" customFormat="false" ht="12.75" hidden="false" customHeight="true" outlineLevel="0" collapsed="false">
      <c r="A289" s="219" t="s">
        <v>1237</v>
      </c>
      <c r="B289" s="305" t="n">
        <f aca="false">Revenue_Model!B47/(D103/D94)</f>
        <v>0.101831514515267</v>
      </c>
      <c r="C289" s="181" t="s">
        <v>890</v>
      </c>
      <c r="I289" s="181" t="s">
        <v>1369</v>
      </c>
    </row>
    <row r="290" customFormat="false" ht="12.75" hidden="false" customHeight="true" outlineLevel="0" collapsed="false">
      <c r="A290" s="219" t="s">
        <v>1239</v>
      </c>
      <c r="B290" s="221" t="n">
        <f aca="false">D60*B288</f>
        <v>9.05844526692768</v>
      </c>
      <c r="C290" s="181" t="s">
        <v>1087</v>
      </c>
      <c r="I290" s="181" t="s">
        <v>1370</v>
      </c>
    </row>
    <row r="291" customFormat="false" ht="12.75" hidden="false" customHeight="true" outlineLevel="0" collapsed="false">
      <c r="A291" s="292" t="s">
        <v>1241</v>
      </c>
      <c r="B291" s="303" t="n">
        <f aca="false">B290*1000000000/B289</f>
        <v>88955224814.7068</v>
      </c>
      <c r="C291" s="251" t="s">
        <v>873</v>
      </c>
      <c r="D291" s="251"/>
      <c r="E291" s="251"/>
      <c r="F291" s="251"/>
      <c r="G291" s="251"/>
      <c r="H291" s="251"/>
      <c r="I291" s="251" t="s">
        <v>1242</v>
      </c>
    </row>
    <row r="292" customFormat="false" ht="12.75" hidden="false" customHeight="true" outlineLevel="0" collapsed="false"/>
    <row r="293" customFormat="false" ht="12.75" hidden="false" customHeight="true" outlineLevel="0" collapsed="false">
      <c r="A293" s="287" t="s">
        <v>1243</v>
      </c>
      <c r="B293" s="287" t="s">
        <v>1244</v>
      </c>
      <c r="C293" s="287" t="s">
        <v>1245</v>
      </c>
      <c r="D293" s="287" t="s">
        <v>1246</v>
      </c>
      <c r="E293" s="287" t="s">
        <v>1247</v>
      </c>
      <c r="F293" s="287" t="s">
        <v>1248</v>
      </c>
      <c r="G293" s="287"/>
      <c r="H293" s="287"/>
      <c r="I293" s="287" t="s">
        <v>6</v>
      </c>
    </row>
    <row r="294" customFormat="false" ht="12.75" hidden="false" customHeight="true" outlineLevel="0" collapsed="false">
      <c r="A294" s="181" t="s">
        <v>1249</v>
      </c>
      <c r="B294" s="238" t="n">
        <v>5000</v>
      </c>
      <c r="C294" s="253" t="n">
        <f aca="false">D294/D299</f>
        <v>0.426356589147287</v>
      </c>
      <c r="D294" s="304" t="n">
        <f aca="false">B294*B276*1000000*365/1000000</f>
        <v>2007500000</v>
      </c>
      <c r="E294" s="234" t="n">
        <v>2</v>
      </c>
      <c r="F294" s="253" t="n">
        <f aca="false">D294/D299</f>
        <v>0.426356589147287</v>
      </c>
      <c r="I294" s="181" t="s">
        <v>1371</v>
      </c>
    </row>
    <row r="295" customFormat="false" ht="12.75" hidden="false" customHeight="true" outlineLevel="0" collapsed="false">
      <c r="A295" s="181" t="s">
        <v>1251</v>
      </c>
      <c r="B295" s="238" t="n">
        <v>25000</v>
      </c>
      <c r="C295" s="253" t="n">
        <f aca="false">D295/D299</f>
        <v>0.0116279069767442</v>
      </c>
      <c r="D295" s="304" t="n">
        <f aca="false">B295*B277*1000000*365/1000000</f>
        <v>54750000</v>
      </c>
      <c r="E295" s="234" t="n">
        <v>2.5</v>
      </c>
      <c r="F295" s="253" t="n">
        <f aca="false">D295/D299</f>
        <v>0.0116279069767442</v>
      </c>
      <c r="I295" s="181" t="s">
        <v>1372</v>
      </c>
    </row>
    <row r="296" customFormat="false" ht="12.75" hidden="false" customHeight="true" outlineLevel="0" collapsed="false">
      <c r="A296" s="181" t="s">
        <v>1253</v>
      </c>
      <c r="B296" s="238" t="n">
        <v>110000</v>
      </c>
      <c r="C296" s="253" t="n">
        <f aca="false">D296/D299</f>
        <v>0.341085271317829</v>
      </c>
      <c r="D296" s="304" t="n">
        <f aca="false">B296*B278*1000000*365/1000000</f>
        <v>1606000000</v>
      </c>
      <c r="E296" s="234" t="n">
        <v>2.5</v>
      </c>
      <c r="F296" s="253" t="n">
        <f aca="false">D296/D299</f>
        <v>0.341085271317829</v>
      </c>
      <c r="I296" s="181" t="s">
        <v>1373</v>
      </c>
    </row>
    <row r="297" customFormat="false" ht="12.75" hidden="false" customHeight="true" outlineLevel="0" collapsed="false">
      <c r="A297" s="181" t="s">
        <v>1255</v>
      </c>
      <c r="B297" s="238" t="n">
        <v>800000</v>
      </c>
      <c r="C297" s="253" t="n">
        <f aca="false">D297/D299</f>
        <v>0.155038759689922</v>
      </c>
      <c r="D297" s="304" t="n">
        <f aca="false">B297*B279*1000000*365/1000000</f>
        <v>730000000</v>
      </c>
      <c r="E297" s="234" t="n">
        <v>3</v>
      </c>
      <c r="F297" s="253" t="n">
        <f aca="false">D297/D299</f>
        <v>0.155038759689922</v>
      </c>
      <c r="I297" s="181" t="s">
        <v>1374</v>
      </c>
    </row>
    <row r="298" customFormat="false" ht="12.75" hidden="false" customHeight="true" outlineLevel="0" collapsed="false">
      <c r="A298" s="181" t="s">
        <v>1257</v>
      </c>
      <c r="B298" s="238" t="n">
        <v>85000</v>
      </c>
      <c r="C298" s="253" t="n">
        <f aca="false">D298/D299</f>
        <v>0.0658914728682171</v>
      </c>
      <c r="D298" s="304" t="n">
        <f aca="false">B298*B280*1000000*365/1000000</f>
        <v>310250000</v>
      </c>
      <c r="E298" s="234" t="n">
        <v>3</v>
      </c>
      <c r="F298" s="253" t="n">
        <f aca="false">D298/D299</f>
        <v>0.0658914728682171</v>
      </c>
      <c r="I298" s="181" t="s">
        <v>1375</v>
      </c>
    </row>
    <row r="299" customFormat="false" ht="12.75" hidden="false" customHeight="true" outlineLevel="0" collapsed="false">
      <c r="A299" s="292" t="s">
        <v>1259</v>
      </c>
      <c r="B299" s="315" t="n">
        <f aca="false">SUM(B294:B298)</f>
        <v>1025000</v>
      </c>
      <c r="C299" s="300" t="n">
        <f aca="false">SUM(C294:C298)</f>
        <v>1</v>
      </c>
      <c r="D299" s="303" t="n">
        <f aca="false">SUM(D294:D298)</f>
        <v>4708500000</v>
      </c>
      <c r="E299" s="251"/>
      <c r="F299" s="300" t="n">
        <f aca="false">SUM(F294:F298)</f>
        <v>1</v>
      </c>
      <c r="G299" s="251"/>
      <c r="H299" s="251"/>
      <c r="I299" s="251"/>
    </row>
    <row r="300" customFormat="false" ht="12.75" hidden="false" customHeight="true" outlineLevel="0" collapsed="false">
      <c r="A300" s="181" t="s">
        <v>1261</v>
      </c>
      <c r="B300" s="305" t="n">
        <f aca="false">B285*1000000000/(D299-D294)</f>
        <v>7.32173269159571</v>
      </c>
      <c r="C300" s="181" t="s">
        <v>890</v>
      </c>
      <c r="I300" s="181" t="s">
        <v>1262</v>
      </c>
    </row>
    <row r="301" customFormat="false" ht="12.75" hidden="false" customHeight="true" outlineLevel="0" collapsed="false">
      <c r="A301" s="181" t="s">
        <v>1263</v>
      </c>
      <c r="B301" s="221" t="n">
        <f aca="false">B285*1000000000/D299</f>
        <v>4.20006371455878</v>
      </c>
      <c r="C301" s="181" t="s">
        <v>890</v>
      </c>
      <c r="I301" s="181" t="s">
        <v>1376</v>
      </c>
    </row>
    <row r="302" customFormat="false" ht="12.75" hidden="false" customHeight="true" outlineLevel="0" collapsed="false">
      <c r="A302" s="181" t="s">
        <v>1265</v>
      </c>
      <c r="B302" s="305" t="n">
        <f aca="false">B289</f>
        <v>0.101831514515267</v>
      </c>
      <c r="C302" s="181" t="s">
        <v>890</v>
      </c>
      <c r="I302" s="181" t="s">
        <v>1377</v>
      </c>
    </row>
    <row r="303" customFormat="false" ht="12.75" hidden="false" customHeight="true" outlineLevel="0" collapsed="false">
      <c r="A303" s="181" t="s">
        <v>1267</v>
      </c>
      <c r="B303" s="253" t="n">
        <f aca="false">D294/D299</f>
        <v>0.426356589147287</v>
      </c>
      <c r="I303" s="181" t="s">
        <v>1378</v>
      </c>
    </row>
    <row r="304" customFormat="false" ht="12.75" hidden="false" customHeight="true" outlineLevel="0" collapsed="false"/>
    <row r="305" customFormat="false" ht="12.75" hidden="false" customHeight="true" outlineLevel="0" collapsed="false">
      <c r="A305" s="316" t="s">
        <v>1379</v>
      </c>
      <c r="B305" s="317"/>
      <c r="C305" s="318"/>
      <c r="D305" s="318"/>
      <c r="E305" s="318"/>
      <c r="F305" s="318"/>
      <c r="G305" s="318"/>
      <c r="H305" s="318"/>
      <c r="I305" s="318"/>
    </row>
    <row r="306" customFormat="false" ht="12.75" hidden="false" customHeight="true" outlineLevel="0" collapsed="false">
      <c r="A306" s="219" t="s">
        <v>1324</v>
      </c>
      <c r="B306" s="304" t="n">
        <f aca="false">D299</f>
        <v>4708500000</v>
      </c>
      <c r="C306" s="181" t="s">
        <v>1325</v>
      </c>
      <c r="I306" s="181" t="s">
        <v>1380</v>
      </c>
    </row>
    <row r="307" customFormat="false" ht="12.75" hidden="false" customHeight="true" outlineLevel="0" collapsed="false">
      <c r="A307" s="219" t="s">
        <v>1327</v>
      </c>
      <c r="B307" s="304" t="n">
        <f aca="false">B290*1000000000/B289</f>
        <v>88955224814.7068</v>
      </c>
      <c r="C307" s="181" t="s">
        <v>1325</v>
      </c>
      <c r="I307" s="181" t="s">
        <v>1381</v>
      </c>
    </row>
    <row r="308" customFormat="false" ht="12.75" hidden="false" customHeight="true" outlineLevel="0" collapsed="false">
      <c r="A308" s="292" t="s">
        <v>1329</v>
      </c>
      <c r="B308" s="312" t="n">
        <f aca="false">B307/B306</f>
        <v>18.8924763331649</v>
      </c>
      <c r="C308" s="251"/>
      <c r="D308" s="251"/>
      <c r="E308" s="251"/>
      <c r="F308" s="251"/>
      <c r="G308" s="251"/>
      <c r="H308" s="251"/>
      <c r="I308" s="251"/>
    </row>
    <row r="309" customFormat="false" ht="12.75" hidden="false" customHeight="true" outlineLevel="0" collapsed="false">
      <c r="A309" s="219"/>
      <c r="B309" s="253"/>
    </row>
    <row r="310" customFormat="false" ht="12.75" hidden="false" customHeight="true" outlineLevel="0" collapsed="false">
      <c r="A310" s="219" t="s">
        <v>1382</v>
      </c>
      <c r="B310" s="253"/>
      <c r="I310" s="181" t="s">
        <v>1383</v>
      </c>
    </row>
    <row r="311" customFormat="false" ht="12.75" hidden="false" customHeight="true" outlineLevel="0" collapsed="false">
      <c r="A311" s="219" t="s">
        <v>1384</v>
      </c>
      <c r="B311" s="253"/>
      <c r="I311" s="181" t="s">
        <v>1385</v>
      </c>
    </row>
    <row r="312" customFormat="false" ht="12.75" hidden="false" customHeight="true" outlineLevel="0" collapsed="false">
      <c r="A312" s="219" t="s">
        <v>1386</v>
      </c>
      <c r="B312" s="253"/>
      <c r="I312" s="181" t="s">
        <v>1387</v>
      </c>
    </row>
    <row r="313" customFormat="false" ht="12.75" hidden="false" customHeight="true" outlineLevel="0" collapsed="false">
      <c r="A313" s="219" t="s">
        <v>1388</v>
      </c>
      <c r="B313" s="253"/>
      <c r="I313" s="181" t="s">
        <v>1389</v>
      </c>
    </row>
    <row r="314" customFormat="false" ht="12.75" hidden="false" customHeight="true" outlineLevel="0" collapsed="false">
      <c r="A314" s="219"/>
      <c r="B314" s="253"/>
    </row>
    <row r="315" customFormat="false" ht="12.75" hidden="false" customHeight="true" outlineLevel="0" collapsed="false">
      <c r="A315" s="316" t="s">
        <v>1390</v>
      </c>
      <c r="B315" s="318"/>
      <c r="C315" s="318"/>
      <c r="D315" s="318"/>
      <c r="E315" s="318"/>
      <c r="F315" s="318"/>
      <c r="G315" s="318"/>
      <c r="H315" s="318"/>
      <c r="I315" s="318"/>
    </row>
    <row r="316" customFormat="false" ht="12.75" hidden="false" customHeight="true" outlineLevel="0" collapsed="false"/>
    <row r="317" customFormat="false" ht="12.75" hidden="false" customHeight="true" outlineLevel="0" collapsed="false">
      <c r="A317" s="219" t="s">
        <v>1391</v>
      </c>
    </row>
    <row r="318" customFormat="false" ht="12.75" hidden="false" customHeight="true" outlineLevel="0" collapsed="false">
      <c r="A318" s="287" t="s">
        <v>85</v>
      </c>
      <c r="B318" s="287" t="s">
        <v>1271</v>
      </c>
      <c r="C318" s="287" t="s">
        <v>1272</v>
      </c>
      <c r="D318" s="287" t="s">
        <v>1211</v>
      </c>
      <c r="E318" s="287" t="s">
        <v>1273</v>
      </c>
      <c r="F318" s="287" t="s">
        <v>1274</v>
      </c>
      <c r="G318" s="287"/>
      <c r="H318" s="287"/>
      <c r="I318" s="287" t="s">
        <v>681</v>
      </c>
    </row>
    <row r="319" customFormat="false" ht="12.75" hidden="false" customHeight="true" outlineLevel="0" collapsed="false">
      <c r="A319" s="181" t="s">
        <v>1275</v>
      </c>
      <c r="B319" s="306" t="n">
        <v>2552.54879206</v>
      </c>
      <c r="C319" s="293" t="n">
        <v>3.19068599</v>
      </c>
      <c r="D319" s="221" t="n">
        <f aca="false">B319*C319*12/1000000</f>
        <v>0.0977325800354072</v>
      </c>
      <c r="E319" s="253" t="n">
        <f aca="false">B319/B324</f>
        <v>0.860992724610922</v>
      </c>
      <c r="F319" s="253" t="n">
        <f aca="false">IF(D324&gt;0,D319/D324,0)</f>
        <v>0.00753295667483102</v>
      </c>
      <c r="I319" s="181" t="s">
        <v>1392</v>
      </c>
    </row>
    <row r="320" customFormat="false" ht="12.75" hidden="false" customHeight="true" outlineLevel="0" collapsed="false">
      <c r="A320" s="181" t="s">
        <v>1277</v>
      </c>
      <c r="B320" s="306" t="n">
        <v>319.06859901</v>
      </c>
      <c r="C320" s="293" t="n">
        <v>95.7205797</v>
      </c>
      <c r="D320" s="221" t="n">
        <f aca="false">B320*C320*12/1000000</f>
        <v>0.366497175135649</v>
      </c>
      <c r="E320" s="253" t="n">
        <f aca="false">B320/B324</f>
        <v>0.107624090577208</v>
      </c>
      <c r="F320" s="253" t="n">
        <f aca="false">IF(D324&gt;0,D320/D324,0)</f>
        <v>0.0282485875308377</v>
      </c>
      <c r="I320" s="181" t="s">
        <v>1393</v>
      </c>
    </row>
    <row r="321" customFormat="false" ht="12.75" hidden="false" customHeight="true" outlineLevel="0" collapsed="false">
      <c r="A321" s="181" t="s">
        <v>1279</v>
      </c>
      <c r="B321" s="306" t="n">
        <v>76.57646376</v>
      </c>
      <c r="C321" s="293" t="n">
        <v>1914.41159404</v>
      </c>
      <c r="D321" s="221" t="n">
        <f aca="false">B321*C321*12/1000000</f>
        <v>1.75918644063273</v>
      </c>
      <c r="E321" s="253" t="n">
        <f aca="false">B321/B324</f>
        <v>0.0258297817377205</v>
      </c>
      <c r="F321" s="253" t="n">
        <f aca="false">IF(D324&gt;0,D321/D324,0)</f>
        <v>0.135593220146604</v>
      </c>
      <c r="I321" s="181" t="s">
        <v>1394</v>
      </c>
    </row>
    <row r="322" customFormat="false" ht="12.75" hidden="false" customHeight="true" outlineLevel="0" collapsed="false">
      <c r="A322" s="181" t="s">
        <v>1281</v>
      </c>
      <c r="B322" s="306" t="n">
        <v>15.95342995</v>
      </c>
      <c r="C322" s="293" t="n">
        <v>25525.48792059</v>
      </c>
      <c r="D322" s="221" t="n">
        <f aca="false">B322*C322*12/1000000</f>
        <v>4.88662900176845</v>
      </c>
      <c r="E322" s="253" t="n">
        <f aca="false">B322/B324</f>
        <v>0.00538120452869177</v>
      </c>
      <c r="F322" s="253" t="n">
        <f aca="false">IF(D324&gt;0,D322/D324,0)</f>
        <v>0.376647833741403</v>
      </c>
      <c r="I322" s="181" t="s">
        <v>1395</v>
      </c>
    </row>
    <row r="323" customFormat="false" ht="12.75" hidden="false" customHeight="true" outlineLevel="0" collapsed="false">
      <c r="A323" s="181" t="s">
        <v>1283</v>
      </c>
      <c r="B323" s="306" t="n">
        <v>0.51050976</v>
      </c>
      <c r="C323" s="293" t="n">
        <v>957205.79702231</v>
      </c>
      <c r="D323" s="221" t="n">
        <f aca="false">B323*C323*12/1000000</f>
        <v>5.86395482050162</v>
      </c>
      <c r="E323" s="253" t="n">
        <f aca="false">B323/B324</f>
        <v>0.000172198545457828</v>
      </c>
      <c r="F323" s="253" t="n">
        <f aca="false">IF(D324&gt;0,D323/D324,0)</f>
        <v>0.451977401906324</v>
      </c>
      <c r="I323" s="181" t="s">
        <v>1396</v>
      </c>
    </row>
    <row r="324" customFormat="false" ht="12.75" hidden="false" customHeight="true" outlineLevel="0" collapsed="false">
      <c r="A324" s="219" t="s">
        <v>1285</v>
      </c>
      <c r="B324" s="307" t="n">
        <f aca="false">SUM(B319:B323)</f>
        <v>2964.65779454</v>
      </c>
      <c r="D324" s="307" t="n">
        <f aca="false">SUM(D319:D323)</f>
        <v>12.9740000180739</v>
      </c>
      <c r="E324" s="253" t="n">
        <f aca="false">SUM(E319:E323)</f>
        <v>1</v>
      </c>
      <c r="F324" s="253" t="n">
        <f aca="false">SUM(F319:F323)</f>
        <v>1</v>
      </c>
    </row>
    <row r="325" customFormat="false" ht="12.75" hidden="false" customHeight="true" outlineLevel="0" collapsed="false"/>
    <row r="326" customFormat="false" ht="12.75" hidden="false" customHeight="true" outlineLevel="0" collapsed="false">
      <c r="A326" s="219" t="s">
        <v>1287</v>
      </c>
      <c r="B326" s="221" t="n">
        <f aca="false">D324</f>
        <v>12.9740000180739</v>
      </c>
      <c r="C326" s="181" t="s">
        <v>1087</v>
      </c>
    </row>
    <row r="327" customFormat="false" ht="12.75" hidden="false" customHeight="true" outlineLevel="0" collapsed="false">
      <c r="A327" s="219" t="s">
        <v>1289</v>
      </c>
      <c r="B327" s="221" t="n">
        <f aca="false">D68-B285</f>
        <v>16.224</v>
      </c>
      <c r="C327" s="181" t="s">
        <v>1087</v>
      </c>
      <c r="I327" s="181" t="s">
        <v>1397</v>
      </c>
    </row>
    <row r="328" customFormat="false" ht="12.75" hidden="false" customHeight="true" outlineLevel="0" collapsed="false">
      <c r="A328" s="219" t="s">
        <v>1291</v>
      </c>
      <c r="B328" s="283" t="n">
        <f aca="false">B327/B326</f>
        <v>1.25050100026196</v>
      </c>
      <c r="I328" s="181" t="s">
        <v>1398</v>
      </c>
    </row>
    <row r="329" customFormat="false" ht="12.75" hidden="false" customHeight="true" outlineLevel="0" collapsed="false"/>
    <row r="330" customFormat="false" ht="12.75" hidden="false" customHeight="true" outlineLevel="0" collapsed="false">
      <c r="A330" s="219" t="s">
        <v>1399</v>
      </c>
    </row>
    <row r="331" customFormat="false" ht="12.75" hidden="false" customHeight="true" outlineLevel="0" collapsed="false">
      <c r="A331" s="287" t="s">
        <v>1294</v>
      </c>
      <c r="B331" s="287" t="s">
        <v>1295</v>
      </c>
      <c r="C331" s="287" t="s">
        <v>1246</v>
      </c>
      <c r="D331" s="287" t="s">
        <v>1247</v>
      </c>
      <c r="E331" s="287" t="s">
        <v>1296</v>
      </c>
      <c r="F331" s="287" t="s">
        <v>1297</v>
      </c>
      <c r="G331" s="287"/>
      <c r="H331" s="287"/>
      <c r="I331" s="287" t="s">
        <v>6</v>
      </c>
    </row>
    <row r="332" customFormat="false" ht="12.75" hidden="false" customHeight="true" outlineLevel="0" collapsed="false">
      <c r="A332" s="219" t="s">
        <v>1298</v>
      </c>
      <c r="B332" s="309" t="n">
        <v>1</v>
      </c>
      <c r="C332" s="304" t="n">
        <f aca="false">D319*1000000000/B332*B328</f>
        <v>122214689.092458</v>
      </c>
      <c r="D332" s="235" t="n">
        <v>3</v>
      </c>
      <c r="E332" s="304" t="n">
        <f aca="false">C332*D332/(D332+1)</f>
        <v>91661016.8193438</v>
      </c>
      <c r="F332" s="304" t="n">
        <f aca="false">C332/(D332+1)</f>
        <v>30553672.2731146</v>
      </c>
      <c r="I332" s="181" t="s">
        <v>1400</v>
      </c>
    </row>
    <row r="333" customFormat="false" ht="12.75" hidden="false" customHeight="true" outlineLevel="0" collapsed="false">
      <c r="A333" s="219" t="s">
        <v>1300</v>
      </c>
      <c r="B333" s="309" t="n">
        <v>2</v>
      </c>
      <c r="C333" s="304" t="n">
        <f aca="false">D320*1000000000/B333*B328</f>
        <v>229152542.050155</v>
      </c>
      <c r="D333" s="235" t="n">
        <v>4</v>
      </c>
      <c r="E333" s="304" t="n">
        <f aca="false">C333*D333/(D333+1)</f>
        <v>183322033.640124</v>
      </c>
      <c r="F333" s="304" t="n">
        <f aca="false">C333/(D333+1)</f>
        <v>45830508.410031</v>
      </c>
      <c r="I333" s="181" t="s">
        <v>1401</v>
      </c>
    </row>
    <row r="334" customFormat="false" ht="12.75" hidden="false" customHeight="true" outlineLevel="0" collapsed="false">
      <c r="A334" s="219" t="s">
        <v>1302</v>
      </c>
      <c r="B334" s="309" t="n">
        <v>2.8</v>
      </c>
      <c r="C334" s="304" t="n">
        <f aca="false">D321*1000000000/B334*B328</f>
        <v>785665858.449467</v>
      </c>
      <c r="D334" s="235" t="n">
        <v>4</v>
      </c>
      <c r="E334" s="304" t="n">
        <f aca="false">C334*D334/(D334+1)</f>
        <v>628532686.759573</v>
      </c>
      <c r="F334" s="304" t="n">
        <f aca="false">C334/(D334+1)</f>
        <v>157133171.689893</v>
      </c>
      <c r="I334" s="181" t="s">
        <v>1402</v>
      </c>
    </row>
    <row r="335" customFormat="false" ht="12.75" hidden="false" customHeight="true" outlineLevel="0" collapsed="false">
      <c r="A335" s="219" t="s">
        <v>1304</v>
      </c>
      <c r="B335" s="309" t="n">
        <v>2.8</v>
      </c>
      <c r="C335" s="304" t="n">
        <f aca="false">D322*1000000000/B335*B328</f>
        <v>2182405162.36447</v>
      </c>
      <c r="D335" s="235" t="n">
        <v>4</v>
      </c>
      <c r="E335" s="304" t="n">
        <f aca="false">C335*D335/(D335+1)</f>
        <v>1745924129.89158</v>
      </c>
      <c r="F335" s="304" t="n">
        <f aca="false">C335/(D335+1)</f>
        <v>436481032.472895</v>
      </c>
      <c r="I335" s="181" t="s">
        <v>1403</v>
      </c>
    </row>
    <row r="336" customFormat="false" ht="12.75" hidden="false" customHeight="true" outlineLevel="0" collapsed="false">
      <c r="A336" s="219" t="s">
        <v>1306</v>
      </c>
      <c r="B336" s="309" t="n">
        <v>2.4</v>
      </c>
      <c r="C336" s="304" t="n">
        <f aca="false">D323*1000000000/B336*B328</f>
        <v>3055367236.88675</v>
      </c>
      <c r="D336" s="235" t="n">
        <v>4</v>
      </c>
      <c r="E336" s="304" t="n">
        <f aca="false">C336*D336/(D336+1)</f>
        <v>2444293789.5094</v>
      </c>
      <c r="F336" s="304" t="n">
        <f aca="false">C336/(D336+1)</f>
        <v>611073447.37735</v>
      </c>
      <c r="I336" s="181" t="s">
        <v>1404</v>
      </c>
    </row>
    <row r="337" customFormat="false" ht="12.75" hidden="false" customHeight="true" outlineLevel="0" collapsed="false">
      <c r="A337" s="219" t="s">
        <v>1308</v>
      </c>
      <c r="B337" s="319" t="n">
        <f aca="false">B327*1000000000/C337</f>
        <v>2.54501882895</v>
      </c>
      <c r="C337" s="311" t="n">
        <f aca="false">SUM(C332:C336)</f>
        <v>6374805488.8433</v>
      </c>
      <c r="D337" s="244" t="n">
        <f aca="false">E337/F337</f>
        <v>3.97614991485677</v>
      </c>
      <c r="E337" s="311" t="n">
        <f aca="false">SUM(E332:E336)</f>
        <v>5093733656.62002</v>
      </c>
      <c r="F337" s="311" t="n">
        <f aca="false">SUM(F332:F336)</f>
        <v>1281071832.22328</v>
      </c>
      <c r="I337" s="181" t="s">
        <v>1405</v>
      </c>
    </row>
    <row r="338" customFormat="false" ht="12.75" hidden="false" customHeight="true" outlineLevel="0" collapsed="false"/>
    <row r="339" customFormat="false" ht="12.75" hidden="false" customHeight="true" outlineLevel="0" collapsed="false">
      <c r="A339" s="316" t="s">
        <v>1406</v>
      </c>
      <c r="B339" s="318"/>
      <c r="C339" s="318"/>
      <c r="D339" s="318"/>
      <c r="E339" s="318"/>
      <c r="F339" s="318"/>
      <c r="G339" s="318"/>
      <c r="H339" s="318"/>
      <c r="I339" s="318"/>
    </row>
    <row r="340" customFormat="false" ht="12.75" hidden="false" customHeight="true" outlineLevel="0" collapsed="false">
      <c r="A340" s="219" t="s">
        <v>1407</v>
      </c>
      <c r="B340" s="238" t="n">
        <v>8600</v>
      </c>
      <c r="C340" s="181" t="s">
        <v>1312</v>
      </c>
      <c r="I340" s="181" t="s">
        <v>1408</v>
      </c>
    </row>
    <row r="341" customFormat="false" ht="12.75" hidden="false" customHeight="true" outlineLevel="0" collapsed="false">
      <c r="A341" s="219" t="s">
        <v>1314</v>
      </c>
      <c r="B341" s="243" t="n">
        <f aca="false">B340*60*24*365/1000000</f>
        <v>4520.16</v>
      </c>
      <c r="C341" s="181" t="s">
        <v>1315</v>
      </c>
    </row>
    <row r="342" customFormat="false" ht="12.75" hidden="false" customHeight="true" outlineLevel="0" collapsed="false">
      <c r="A342" s="219" t="s">
        <v>1409</v>
      </c>
      <c r="B342" s="238" t="n">
        <v>15000</v>
      </c>
      <c r="C342" s="181" t="s">
        <v>1312</v>
      </c>
      <c r="I342" s="181" t="s">
        <v>1410</v>
      </c>
    </row>
    <row r="343" customFormat="false" ht="12.75" hidden="false" customHeight="true" outlineLevel="0" collapsed="false">
      <c r="A343" s="219" t="s">
        <v>1411</v>
      </c>
      <c r="B343" s="243" t="n">
        <f aca="false">B342*60*24*365/1000000</f>
        <v>7884</v>
      </c>
      <c r="C343" s="181" t="s">
        <v>1315</v>
      </c>
      <c r="I343" s="181" t="s">
        <v>1412</v>
      </c>
    </row>
    <row r="344" customFormat="false" ht="12.75" hidden="false" customHeight="true" outlineLevel="0" collapsed="false">
      <c r="A344" s="219" t="s">
        <v>1413</v>
      </c>
      <c r="B344" s="253" t="n">
        <f aca="false">C337/1000000/B343</f>
        <v>0.808575023952728</v>
      </c>
      <c r="I344" s="181" t="s">
        <v>1414</v>
      </c>
    </row>
    <row r="345" customFormat="false" ht="12.75" hidden="false" customHeight="true" outlineLevel="0" collapsed="false"/>
    <row r="346" customFormat="false" ht="12.75" hidden="false" customHeight="true" outlineLevel="0" collapsed="false">
      <c r="A346" s="287" t="s">
        <v>1415</v>
      </c>
      <c r="B346" s="288"/>
      <c r="C346" s="288"/>
      <c r="D346" s="288"/>
      <c r="E346" s="288"/>
      <c r="F346" s="288"/>
      <c r="G346" s="288"/>
      <c r="H346" s="288"/>
      <c r="I346" s="288"/>
    </row>
    <row r="347" customFormat="false" ht="12.75" hidden="false" customHeight="true" outlineLevel="0" collapsed="false">
      <c r="A347" s="287" t="s">
        <v>1339</v>
      </c>
      <c r="B347" s="287" t="s">
        <v>1340</v>
      </c>
      <c r="C347" s="287" t="s">
        <v>1341</v>
      </c>
      <c r="D347" s="287" t="s">
        <v>1342</v>
      </c>
      <c r="E347" s="287" t="s">
        <v>917</v>
      </c>
      <c r="F347" s="287" t="s">
        <v>1343</v>
      </c>
      <c r="G347" s="287" t="s">
        <v>1344</v>
      </c>
      <c r="H347" s="287"/>
      <c r="I347" s="287"/>
    </row>
    <row r="348" customFormat="false" ht="12.75" hidden="false" customHeight="true" outlineLevel="0" collapsed="false">
      <c r="A348" s="181" t="s">
        <v>1345</v>
      </c>
      <c r="B348" s="243" t="n">
        <f aca="false">D348-C348</f>
        <v>3304770833.33333</v>
      </c>
      <c r="C348" s="243" t="n">
        <f aca="false">SUMPRODUCT(D294:D298,1/(1+E294:E298))</f>
        <v>1403729166.66667</v>
      </c>
      <c r="D348" s="243" t="n">
        <f aca="false">D299</f>
        <v>4708500000</v>
      </c>
      <c r="E348" s="221" t="n">
        <f aca="false">B285</f>
        <v>19.776</v>
      </c>
      <c r="F348" s="253" t="n">
        <f aca="false">D348/D350</f>
        <v>0.424828134958445</v>
      </c>
      <c r="G348" s="221" t="n">
        <f aca="false">E348*1000000000/D348</f>
        <v>4.20006371455878</v>
      </c>
      <c r="H348" s="221"/>
      <c r="I348" s="221"/>
    </row>
    <row r="349" customFormat="false" ht="12.75" hidden="false" customHeight="true" outlineLevel="0" collapsed="false">
      <c r="A349" s="181" t="s">
        <v>1346</v>
      </c>
      <c r="B349" s="304" t="n">
        <f aca="false">E337</f>
        <v>5093733656.62002</v>
      </c>
      <c r="C349" s="304" t="n">
        <f aca="false">F337</f>
        <v>1281071832.22328</v>
      </c>
      <c r="D349" s="304" t="n">
        <f aca="false">C337</f>
        <v>6374805488.8433</v>
      </c>
      <c r="E349" s="221" t="n">
        <f aca="false">B327</f>
        <v>16.224</v>
      </c>
      <c r="F349" s="253" t="n">
        <f aca="false">D349/D350</f>
        <v>0.575171865041555</v>
      </c>
      <c r="G349" s="313" t="n">
        <f aca="false">E349*1000000000/D349</f>
        <v>2.54501882895</v>
      </c>
      <c r="H349" s="313"/>
      <c r="I349" s="313"/>
    </row>
    <row r="350" customFormat="false" ht="12.75" hidden="false" customHeight="true" outlineLevel="0" collapsed="false">
      <c r="A350" s="292" t="s">
        <v>1347</v>
      </c>
      <c r="B350" s="314" t="n">
        <f aca="false">B348+B349</f>
        <v>8398504489.95335</v>
      </c>
      <c r="C350" s="314" t="n">
        <f aca="false">C348+C349</f>
        <v>2684800998.88995</v>
      </c>
      <c r="D350" s="314" t="n">
        <f aca="false">D348+D349</f>
        <v>11083305488.8433</v>
      </c>
      <c r="E350" s="298" t="n">
        <f aca="false">E348+E349</f>
        <v>36</v>
      </c>
      <c r="F350" s="299" t="n">
        <v>1</v>
      </c>
      <c r="G350" s="298" t="n">
        <f aca="false">E350*1000000000/D350</f>
        <v>3.24812846097569</v>
      </c>
      <c r="H350" s="298"/>
      <c r="I350" s="298"/>
    </row>
    <row r="351" customFormat="false" ht="12.75" hidden="false" customHeight="true" outlineLevel="0" collapsed="false"/>
    <row r="352" customFormat="false" ht="12.75" hidden="false" customHeight="true" outlineLevel="0" collapsed="false">
      <c r="A352" s="181" t="s">
        <v>1348</v>
      </c>
      <c r="B352" s="237" t="n">
        <f aca="false">B350/C350</f>
        <v>3.12816647990886</v>
      </c>
      <c r="C352" s="181" t="s">
        <v>1206</v>
      </c>
    </row>
    <row r="353" customFormat="false" ht="12.75" hidden="false" customHeight="true" outlineLevel="0" collapsed="false">
      <c r="A353" s="181" t="s">
        <v>1349</v>
      </c>
      <c r="B353" s="283" t="n">
        <f aca="false">D350/1000000</f>
        <v>11083.3054888433</v>
      </c>
      <c r="C353" s="181" t="s">
        <v>1315</v>
      </c>
    </row>
    <row r="354" customFormat="false" ht="12.75" hidden="false" customHeight="true" outlineLevel="0" collapsed="false"/>
    <row r="355" customFormat="false" ht="12.75" hidden="false" customHeight="true" outlineLevel="0" collapsed="false">
      <c r="A355" s="287" t="s">
        <v>1416</v>
      </c>
      <c r="B355" s="288"/>
      <c r="C355" s="288"/>
      <c r="D355" s="288"/>
      <c r="E355" s="288"/>
      <c r="F355" s="288"/>
      <c r="G355" s="288"/>
      <c r="H355" s="288"/>
      <c r="I355" s="288"/>
    </row>
    <row r="356" customFormat="false" ht="12.75" hidden="false" customHeight="true" outlineLevel="0" collapsed="false">
      <c r="A356" s="287" t="s">
        <v>862</v>
      </c>
      <c r="B356" s="287" t="s">
        <v>1417</v>
      </c>
      <c r="C356" s="287" t="s">
        <v>1418</v>
      </c>
      <c r="D356" s="287" t="s">
        <v>1419</v>
      </c>
      <c r="E356" s="287"/>
      <c r="F356" s="287"/>
      <c r="G356" s="287"/>
      <c r="H356" s="287"/>
      <c r="I356" s="287" t="s">
        <v>6</v>
      </c>
    </row>
    <row r="357" customFormat="false" ht="12.75" hidden="false" customHeight="true" outlineLevel="0" collapsed="false">
      <c r="A357" s="181" t="s">
        <v>917</v>
      </c>
      <c r="B357" s="221" t="n">
        <f aca="false">E260</f>
        <v>13.1</v>
      </c>
      <c r="C357" s="221" t="n">
        <f aca="false">E350</f>
        <v>36</v>
      </c>
      <c r="D357" s="253" t="n">
        <f aca="false">C357/B357-1</f>
        <v>1.74809160305344</v>
      </c>
      <c r="I357" s="181" t="s">
        <v>1420</v>
      </c>
    </row>
    <row r="358" customFormat="false" ht="12.75" hidden="false" customHeight="true" outlineLevel="0" collapsed="false">
      <c r="A358" s="181" t="s">
        <v>1421</v>
      </c>
      <c r="B358" s="320" t="n">
        <f aca="false">B263</f>
        <v>3154.72608215753</v>
      </c>
      <c r="C358" s="320" t="n">
        <f aca="false">B353</f>
        <v>11083.3054888433</v>
      </c>
      <c r="D358" s="253" t="n">
        <f aca="false">C358/B358-1</f>
        <v>2.5132386141314</v>
      </c>
      <c r="I358" s="181" t="s">
        <v>1422</v>
      </c>
    </row>
    <row r="359" customFormat="false" ht="12.75" hidden="false" customHeight="true" outlineLevel="0" collapsed="false">
      <c r="A359" s="181" t="s">
        <v>1423</v>
      </c>
      <c r="B359" s="221" t="n">
        <f aca="false">G260</f>
        <v>4.15249998219841</v>
      </c>
      <c r="C359" s="221" t="n">
        <f aca="false">G350</f>
        <v>3.24812846097569</v>
      </c>
      <c r="D359" s="253" t="n">
        <f aca="false">C359/B359-1</f>
        <v>-0.217789650836779</v>
      </c>
      <c r="I359" s="181" t="s">
        <v>1424</v>
      </c>
    </row>
    <row r="360" customFormat="false" ht="12.75" hidden="false" customHeight="true" outlineLevel="0" collapsed="false">
      <c r="A360" s="181" t="s">
        <v>1425</v>
      </c>
      <c r="B360" s="221" t="n">
        <f aca="false">E258</f>
        <v>8.448</v>
      </c>
      <c r="C360" s="221" t="n">
        <f aca="false">E348</f>
        <v>19.776</v>
      </c>
      <c r="D360" s="253" t="n">
        <f aca="false">C360/B360-1</f>
        <v>1.34090909090909</v>
      </c>
      <c r="I360" s="181" t="s">
        <v>1426</v>
      </c>
    </row>
    <row r="361" customFormat="false" ht="12.75" hidden="false" customHeight="true" outlineLevel="0" collapsed="false">
      <c r="A361" s="181" t="s">
        <v>1427</v>
      </c>
      <c r="B361" s="221" t="n">
        <f aca="false">E259</f>
        <v>4.652</v>
      </c>
      <c r="C361" s="221" t="n">
        <f aca="false">E349</f>
        <v>16.224</v>
      </c>
      <c r="D361" s="253" t="n">
        <f aca="false">C361/B361-1</f>
        <v>2.48753224419605</v>
      </c>
      <c r="I361" s="181" t="s">
        <v>1428</v>
      </c>
    </row>
    <row r="362" customFormat="false" ht="12.75" hidden="false" customHeight="true" outlineLevel="0" collapsed="false">
      <c r="A362" s="181" t="s">
        <v>932</v>
      </c>
      <c r="B362" s="320" t="n">
        <f aca="false">B192</f>
        <v>22.5</v>
      </c>
      <c r="C362" s="320" t="n">
        <f aca="false">B281</f>
        <v>58.5</v>
      </c>
      <c r="D362" s="253" t="n">
        <f aca="false">C362/B362-1</f>
        <v>1.6</v>
      </c>
      <c r="I362" s="181" t="s">
        <v>1429</v>
      </c>
    </row>
    <row r="363" customFormat="false" ht="12.75" hidden="false" customHeight="true" outlineLevel="0" collapsed="false">
      <c r="A363" s="181" t="s">
        <v>1430</v>
      </c>
      <c r="B363" s="243" t="n">
        <f aca="false">(D260-D205)*1000000/(B192*1000000)/365</f>
        <v>292670.451404265</v>
      </c>
      <c r="C363" s="243" t="n">
        <f aca="false">(D350-D294)*1000000/(B281*1000000)/365</f>
        <v>425046.50457058</v>
      </c>
      <c r="D363" s="253" t="n">
        <f aca="false">C363/B363-1</f>
        <v>0.452304127496164</v>
      </c>
      <c r="I363" s="181" t="s">
        <v>1431</v>
      </c>
    </row>
    <row r="364" customFormat="false" ht="12.75" hidden="false" customHeight="true" outlineLevel="0" collapsed="false"/>
    <row r="365" customFormat="false" ht="12.75" hidden="false" customHeight="true" outlineLevel="0" collapsed="false">
      <c r="A365" s="287" t="s">
        <v>1432</v>
      </c>
      <c r="B365" s="288"/>
      <c r="C365" s="288"/>
      <c r="D365" s="288"/>
      <c r="E365" s="288"/>
      <c r="F365" s="288"/>
      <c r="G365" s="288"/>
      <c r="H365" s="288"/>
      <c r="I365" s="288"/>
    </row>
    <row r="366" customFormat="false" ht="12.75" hidden="false" customHeight="true" outlineLevel="0" collapsed="false"/>
    <row r="367" customFormat="false" ht="12.75" hidden="false" customHeight="true" outlineLevel="0" collapsed="false">
      <c r="A367" s="289" t="s">
        <v>1433</v>
      </c>
      <c r="B367" s="272" t="s">
        <v>1198</v>
      </c>
      <c r="C367" s="272" t="s">
        <v>1199</v>
      </c>
      <c r="D367" s="272" t="s">
        <v>680</v>
      </c>
      <c r="E367" s="272"/>
      <c r="F367" s="272"/>
      <c r="G367" s="272"/>
      <c r="H367" s="272"/>
      <c r="I367" s="272" t="s">
        <v>6</v>
      </c>
    </row>
    <row r="368" customFormat="false" ht="12.75" hidden="false" customHeight="true" outlineLevel="0" collapsed="false">
      <c r="A368" s="181" t="s">
        <v>1434</v>
      </c>
    </row>
    <row r="369" customFormat="false" ht="12.75" hidden="false" customHeight="true" outlineLevel="0" collapsed="false">
      <c r="A369" s="181" t="s">
        <v>1202</v>
      </c>
      <c r="B369" s="309" t="n">
        <v>0</v>
      </c>
      <c r="C369" s="309" t="n">
        <v>1.25</v>
      </c>
      <c r="D369" s="181" t="s">
        <v>890</v>
      </c>
      <c r="I369" s="181" t="s">
        <v>1435</v>
      </c>
    </row>
    <row r="370" customFormat="false" ht="12.75" hidden="false" customHeight="true" outlineLevel="0" collapsed="false">
      <c r="A370" s="181" t="s">
        <v>1204</v>
      </c>
      <c r="B370" s="309" t="n">
        <v>0</v>
      </c>
      <c r="C370" s="309" t="n">
        <v>8</v>
      </c>
      <c r="D370" s="181" t="s">
        <v>890</v>
      </c>
      <c r="I370" s="181" t="s">
        <v>1436</v>
      </c>
    </row>
    <row r="371" customFormat="false" ht="12.75" hidden="false" customHeight="true" outlineLevel="0" collapsed="false">
      <c r="A371" s="181" t="s">
        <v>1205</v>
      </c>
      <c r="B371" s="234" t="n">
        <v>2</v>
      </c>
      <c r="C371" s="234" t="n">
        <v>3.5</v>
      </c>
      <c r="D371" s="181" t="s">
        <v>1206</v>
      </c>
      <c r="I371" s="181" t="s">
        <v>1437</v>
      </c>
    </row>
    <row r="372" customFormat="false" ht="12.75" hidden="false" customHeight="true" outlineLevel="0" collapsed="false"/>
    <row r="373" customFormat="false" ht="12.75" hidden="false" customHeight="true" outlineLevel="0" collapsed="false">
      <c r="A373" s="289" t="s">
        <v>1438</v>
      </c>
      <c r="B373" s="272"/>
      <c r="C373" s="272"/>
      <c r="D373" s="272"/>
      <c r="E373" s="272"/>
      <c r="F373" s="272"/>
      <c r="G373" s="272"/>
      <c r="H373" s="272"/>
      <c r="I373" s="272"/>
    </row>
    <row r="374" customFormat="false" ht="12.75" hidden="false" customHeight="true" outlineLevel="0" collapsed="false">
      <c r="A374" s="289" t="s">
        <v>1439</v>
      </c>
      <c r="B374" s="272"/>
      <c r="C374" s="272"/>
      <c r="D374" s="272"/>
      <c r="E374" s="272"/>
      <c r="F374" s="272"/>
      <c r="G374" s="272"/>
      <c r="H374" s="272"/>
      <c r="I374" s="272"/>
    </row>
    <row r="375" customFormat="false" ht="12.75" hidden="false" customHeight="true" outlineLevel="0" collapsed="false">
      <c r="A375" s="287" t="s">
        <v>85</v>
      </c>
      <c r="B375" s="287" t="s">
        <v>1209</v>
      </c>
      <c r="C375" s="287" t="s">
        <v>1210</v>
      </c>
      <c r="D375" s="287" t="s">
        <v>1211</v>
      </c>
      <c r="E375" s="287" t="s">
        <v>1212</v>
      </c>
      <c r="F375" s="287" t="s">
        <v>1213</v>
      </c>
      <c r="G375" s="287"/>
      <c r="H375" s="287"/>
      <c r="I375" s="287" t="s">
        <v>681</v>
      </c>
    </row>
    <row r="376" customFormat="false" ht="12.75" hidden="false" customHeight="true" outlineLevel="0" collapsed="false">
      <c r="A376" s="181" t="s">
        <v>1214</v>
      </c>
      <c r="B376" s="238" t="n">
        <v>1500</v>
      </c>
      <c r="C376" s="293" t="n">
        <v>0</v>
      </c>
      <c r="D376" s="221" t="n">
        <f aca="false">B376*C376*12/1000</f>
        <v>0</v>
      </c>
      <c r="E376" s="294" t="s">
        <v>1215</v>
      </c>
      <c r="F376" s="253" t="n">
        <f aca="false">IF(D381&gt;0,D376/D381,0)</f>
        <v>0</v>
      </c>
      <c r="I376" s="181" t="s">
        <v>1440</v>
      </c>
    </row>
    <row r="377" customFormat="false" ht="12.75" hidden="false" customHeight="true" outlineLevel="0" collapsed="false">
      <c r="A377" s="181" t="s">
        <v>1217</v>
      </c>
      <c r="B377" s="295" t="n">
        <v>17</v>
      </c>
      <c r="C377" s="296" t="n">
        <v>8</v>
      </c>
      <c r="D377" s="221" t="n">
        <f aca="false">B377*C377*12/1000</f>
        <v>1.632</v>
      </c>
      <c r="E377" s="253" t="n">
        <f aca="false">B377/B381</f>
        <v>0.170854271356784</v>
      </c>
      <c r="F377" s="253" t="n">
        <f aca="false">IF(D381&gt;0,D377/D381,0)</f>
        <v>0.0484675694939415</v>
      </c>
      <c r="I377" s="181" t="s">
        <v>1441</v>
      </c>
    </row>
    <row r="378" customFormat="false" ht="12.75" hidden="false" customHeight="true" outlineLevel="0" collapsed="false">
      <c r="A378" s="181" t="s">
        <v>1219</v>
      </c>
      <c r="B378" s="295" t="n">
        <v>57</v>
      </c>
      <c r="C378" s="296" t="n">
        <v>20</v>
      </c>
      <c r="D378" s="221" t="n">
        <f aca="false">B378*C378*12/1000</f>
        <v>13.68</v>
      </c>
      <c r="E378" s="253" t="n">
        <f aca="false">B378/B381</f>
        <v>0.57286432160804</v>
      </c>
      <c r="F378" s="253" t="n">
        <f aca="false">IF(D381&gt;0,D378/D381,0)</f>
        <v>0.406272273699216</v>
      </c>
      <c r="I378" s="181" t="s">
        <v>1442</v>
      </c>
    </row>
    <row r="379" customFormat="false" ht="12.75" hidden="false" customHeight="true" outlineLevel="0" collapsed="false">
      <c r="A379" s="181" t="s">
        <v>1221</v>
      </c>
      <c r="B379" s="295" t="n">
        <v>4.5</v>
      </c>
      <c r="C379" s="296" t="n">
        <v>200</v>
      </c>
      <c r="D379" s="221" t="n">
        <f aca="false">B379*C379*12/1000</f>
        <v>10.8</v>
      </c>
      <c r="E379" s="253" t="n">
        <f aca="false">B379/B381</f>
        <v>0.0452261306532663</v>
      </c>
      <c r="F379" s="253" t="n">
        <f aca="false">IF(D381&gt;0,D379/D381,0)</f>
        <v>0.320741268709907</v>
      </c>
      <c r="I379" s="181" t="s">
        <v>1443</v>
      </c>
    </row>
    <row r="380" customFormat="false" ht="12.75" hidden="false" customHeight="true" outlineLevel="0" collapsed="false">
      <c r="A380" s="181" t="s">
        <v>1223</v>
      </c>
      <c r="B380" s="295" t="n">
        <v>21</v>
      </c>
      <c r="C380" s="296" t="n">
        <v>30</v>
      </c>
      <c r="D380" s="221" t="n">
        <f aca="false">B380*C380*12/1000</f>
        <v>7.56</v>
      </c>
      <c r="E380" s="253" t="n">
        <f aca="false">B380/B381</f>
        <v>0.21105527638191</v>
      </c>
      <c r="F380" s="253" t="n">
        <f aca="false">IF(D381&gt;0,D380/D381,0)</f>
        <v>0.224518888096935</v>
      </c>
      <c r="I380" s="181" t="s">
        <v>1444</v>
      </c>
    </row>
    <row r="381" customFormat="false" ht="12.75" hidden="false" customHeight="true" outlineLevel="0" collapsed="false">
      <c r="A381" s="292" t="s">
        <v>1225</v>
      </c>
      <c r="B381" s="297" t="n">
        <f aca="false">SUM(B377:B380)</f>
        <v>99.5</v>
      </c>
      <c r="C381" s="251"/>
      <c r="D381" s="298" t="n">
        <f aca="false">SUM(D377:D380)</f>
        <v>33.672</v>
      </c>
      <c r="E381" s="299" t="n">
        <f aca="false">1</f>
        <v>1</v>
      </c>
      <c r="F381" s="300" t="n">
        <f aca="false">SUM(F377:F380)</f>
        <v>1</v>
      </c>
      <c r="G381" s="251"/>
      <c r="H381" s="251"/>
      <c r="I381" s="251"/>
    </row>
    <row r="382" customFormat="false" ht="12.75" hidden="false" customHeight="true" outlineLevel="0" collapsed="false"/>
    <row r="383" customFormat="false" ht="12.75" hidden="false" customHeight="true" outlineLevel="0" collapsed="false">
      <c r="A383" s="181" t="s">
        <v>1227</v>
      </c>
      <c r="B383" s="222" t="n">
        <f aca="false">D381*1000/B381/12</f>
        <v>28.2010050251256</v>
      </c>
      <c r="C383" s="181" t="s">
        <v>1228</v>
      </c>
    </row>
    <row r="384" customFormat="false" ht="12.75" hidden="false" customHeight="true" outlineLevel="0" collapsed="false">
      <c r="A384" s="181" t="s">
        <v>1230</v>
      </c>
      <c r="B384" s="253" t="n">
        <f aca="false">B381/(B381+B376)</f>
        <v>0.0622069396686465</v>
      </c>
    </row>
    <row r="385" customFormat="false" ht="12.75" hidden="false" customHeight="true" outlineLevel="0" collapsed="false">
      <c r="A385" s="292" t="s">
        <v>1232</v>
      </c>
      <c r="B385" s="298" t="n">
        <f aca="false">D381</f>
        <v>33.672</v>
      </c>
      <c r="C385" s="251" t="s">
        <v>1087</v>
      </c>
      <c r="D385" s="251"/>
      <c r="E385" s="251"/>
      <c r="F385" s="251"/>
      <c r="G385" s="251"/>
      <c r="H385" s="251"/>
      <c r="I385" s="251"/>
    </row>
    <row r="386" customFormat="false" ht="12.75" hidden="false" customHeight="true" outlineLevel="0" collapsed="false"/>
    <row r="387" customFormat="false" ht="12.75" hidden="false" customHeight="true" outlineLevel="0" collapsed="false">
      <c r="A387" s="289" t="s">
        <v>1445</v>
      </c>
      <c r="B387" s="272"/>
      <c r="C387" s="272"/>
      <c r="D387" s="272"/>
      <c r="E387" s="272"/>
      <c r="F387" s="272"/>
      <c r="G387" s="272"/>
      <c r="H387" s="272"/>
      <c r="I387" s="272"/>
    </row>
    <row r="388" customFormat="false" ht="12.75" hidden="false" customHeight="true" outlineLevel="0" collapsed="false">
      <c r="A388" s="219" t="s">
        <v>1366</v>
      </c>
      <c r="B388" s="233" t="n">
        <v>0.6</v>
      </c>
      <c r="I388" s="181" t="s">
        <v>1446</v>
      </c>
    </row>
    <row r="389" customFormat="false" ht="12.75" hidden="false" customHeight="true" outlineLevel="0" collapsed="false">
      <c r="A389" s="219" t="s">
        <v>1447</v>
      </c>
      <c r="B389" s="305" t="n">
        <f aca="false">E60</f>
        <v>23.000368293312</v>
      </c>
      <c r="C389" s="181" t="s">
        <v>1087</v>
      </c>
      <c r="I389" s="181" t="s">
        <v>1448</v>
      </c>
    </row>
    <row r="390" customFormat="false" ht="12.75" hidden="false" customHeight="true" outlineLevel="0" collapsed="false">
      <c r="A390" s="219" t="s">
        <v>1237</v>
      </c>
      <c r="B390" s="305" t="n">
        <f aca="false">Revenue_Model!B47/(E103/E94)</f>
        <v>0.0730169956912051</v>
      </c>
      <c r="C390" s="181" t="s">
        <v>890</v>
      </c>
      <c r="I390" s="181" t="s">
        <v>1449</v>
      </c>
    </row>
    <row r="391" customFormat="false" ht="12.75" hidden="false" customHeight="true" outlineLevel="0" collapsed="false">
      <c r="A391" s="219" t="s">
        <v>1239</v>
      </c>
      <c r="B391" s="221" t="n">
        <f aca="false">B389*B388</f>
        <v>13.8002209759872</v>
      </c>
      <c r="C391" s="181" t="s">
        <v>1087</v>
      </c>
    </row>
    <row r="392" customFormat="false" ht="12.75" hidden="false" customHeight="true" outlineLevel="0" collapsed="false">
      <c r="A392" s="292" t="s">
        <v>1241</v>
      </c>
      <c r="B392" s="303" t="n">
        <f aca="false">B391*1000000000/B390</f>
        <v>189000120387.717</v>
      </c>
      <c r="C392" s="251" t="s">
        <v>873</v>
      </c>
      <c r="D392" s="251"/>
      <c r="E392" s="251"/>
      <c r="F392" s="251"/>
      <c r="G392" s="251"/>
      <c r="H392" s="251"/>
      <c r="I392" s="251"/>
    </row>
    <row r="393" customFormat="false" ht="12.75" hidden="false" customHeight="true" outlineLevel="0" collapsed="false"/>
    <row r="394" customFormat="false" ht="12.75" hidden="false" customHeight="true" outlineLevel="0" collapsed="false">
      <c r="A394" s="287" t="s">
        <v>1243</v>
      </c>
      <c r="B394" s="287" t="s">
        <v>1244</v>
      </c>
      <c r="C394" s="287" t="s">
        <v>1245</v>
      </c>
      <c r="D394" s="287" t="s">
        <v>1246</v>
      </c>
      <c r="E394" s="287" t="s">
        <v>1247</v>
      </c>
      <c r="F394" s="287" t="s">
        <v>1248</v>
      </c>
      <c r="G394" s="287"/>
      <c r="H394" s="287"/>
      <c r="I394" s="287" t="s">
        <v>6</v>
      </c>
    </row>
    <row r="395" customFormat="false" ht="12.75" hidden="false" customHeight="true" outlineLevel="0" collapsed="false">
      <c r="A395" s="181" t="s">
        <v>1249</v>
      </c>
      <c r="B395" s="238" t="n">
        <v>6000</v>
      </c>
      <c r="C395" s="253" t="n">
        <f aca="false">D395/D400</f>
        <v>0.380710659898477</v>
      </c>
      <c r="D395" s="304" t="n">
        <f aca="false">B395*B376*1000000*365/1000000</f>
        <v>3285000000</v>
      </c>
      <c r="E395" s="234" t="n">
        <v>2</v>
      </c>
      <c r="F395" s="253" t="n">
        <f aca="false">D395/D400</f>
        <v>0.380710659898477</v>
      </c>
      <c r="I395" s="181" t="s">
        <v>1450</v>
      </c>
    </row>
    <row r="396" customFormat="false" ht="12.75" hidden="false" customHeight="true" outlineLevel="0" collapsed="false">
      <c r="A396" s="181" t="s">
        <v>1251</v>
      </c>
      <c r="B396" s="238" t="n">
        <v>30000</v>
      </c>
      <c r="C396" s="253" t="n">
        <f aca="false">D396/D400</f>
        <v>0.0215736040609137</v>
      </c>
      <c r="D396" s="304" t="n">
        <f aca="false">B396*B377*1000000*365/1000000</f>
        <v>186150000</v>
      </c>
      <c r="E396" s="234" t="n">
        <v>2.5</v>
      </c>
      <c r="F396" s="253" t="n">
        <f aca="false">D396/D400</f>
        <v>0.0215736040609137</v>
      </c>
      <c r="I396" s="181" t="s">
        <v>1451</v>
      </c>
    </row>
    <row r="397" customFormat="false" ht="12.75" hidden="false" customHeight="true" outlineLevel="0" collapsed="false">
      <c r="A397" s="181" t="s">
        <v>1253</v>
      </c>
      <c r="B397" s="238" t="n">
        <v>140000</v>
      </c>
      <c r="C397" s="253" t="n">
        <f aca="false">D397/D400</f>
        <v>0.33756345177665</v>
      </c>
      <c r="D397" s="304" t="n">
        <f aca="false">B397*B378*1000000*365/1000000</f>
        <v>2912700000</v>
      </c>
      <c r="E397" s="234" t="n">
        <v>2</v>
      </c>
      <c r="F397" s="253" t="n">
        <f aca="false">D397/D400</f>
        <v>0.33756345177665</v>
      </c>
      <c r="I397" s="181" t="s">
        <v>1452</v>
      </c>
    </row>
    <row r="398" customFormat="false" ht="12.75" hidden="false" customHeight="true" outlineLevel="0" collapsed="false">
      <c r="A398" s="181" t="s">
        <v>1255</v>
      </c>
      <c r="B398" s="238" t="n">
        <v>900000</v>
      </c>
      <c r="C398" s="253" t="n">
        <f aca="false">D398/D400</f>
        <v>0.171319796954315</v>
      </c>
      <c r="D398" s="304" t="n">
        <f aca="false">B398*B379*1000000*365/1000000</f>
        <v>1478250000</v>
      </c>
      <c r="E398" s="234" t="n">
        <v>2.5</v>
      </c>
      <c r="F398" s="253" t="n">
        <f aca="false">D398/D400</f>
        <v>0.171319796954315</v>
      </c>
      <c r="I398" s="181" t="s">
        <v>1453</v>
      </c>
    </row>
    <row r="399" customFormat="false" ht="12.75" hidden="false" customHeight="true" outlineLevel="0" collapsed="false">
      <c r="A399" s="181" t="s">
        <v>1257</v>
      </c>
      <c r="B399" s="238" t="n">
        <v>100000</v>
      </c>
      <c r="C399" s="253" t="n">
        <f aca="false">D399/D400</f>
        <v>0.0888324873096447</v>
      </c>
      <c r="D399" s="304" t="n">
        <f aca="false">B399*B380*1000000*365/1000000</f>
        <v>766500000</v>
      </c>
      <c r="E399" s="234" t="n">
        <v>2.5</v>
      </c>
      <c r="F399" s="253" t="n">
        <f aca="false">D399/D400</f>
        <v>0.0888324873096447</v>
      </c>
      <c r="I399" s="181" t="s">
        <v>1454</v>
      </c>
    </row>
    <row r="400" customFormat="false" ht="12.75" hidden="false" customHeight="true" outlineLevel="0" collapsed="false">
      <c r="A400" s="292" t="s">
        <v>1259</v>
      </c>
      <c r="B400" s="315" t="n">
        <f aca="false">SUM(B395:B399)</f>
        <v>1176000</v>
      </c>
      <c r="C400" s="300" t="n">
        <f aca="false">SUM(C395:C399)</f>
        <v>1</v>
      </c>
      <c r="D400" s="303" t="n">
        <f aca="false">SUM(D395:D399)</f>
        <v>8628600000</v>
      </c>
      <c r="E400" s="251"/>
      <c r="F400" s="300" t="n">
        <f aca="false">SUM(F395:F399)</f>
        <v>1</v>
      </c>
      <c r="G400" s="251"/>
      <c r="H400" s="251"/>
      <c r="I400" s="251"/>
    </row>
    <row r="401" customFormat="false" ht="12.75" hidden="false" customHeight="true" outlineLevel="0" collapsed="false">
      <c r="A401" s="316" t="s">
        <v>1455</v>
      </c>
      <c r="B401" s="318"/>
      <c r="C401" s="318"/>
      <c r="D401" s="318"/>
      <c r="E401" s="318"/>
      <c r="F401" s="318"/>
      <c r="G401" s="318"/>
      <c r="H401" s="318"/>
      <c r="I401" s="318"/>
    </row>
    <row r="402" customFormat="false" ht="12.75" hidden="false" customHeight="true" outlineLevel="0" collapsed="false">
      <c r="A402" s="219" t="s">
        <v>1324</v>
      </c>
      <c r="B402" s="304" t="n">
        <f aca="false">D400</f>
        <v>8628600000</v>
      </c>
      <c r="C402" s="181" t="s">
        <v>1325</v>
      </c>
    </row>
    <row r="403" customFormat="false" ht="12.75" hidden="false" customHeight="true" outlineLevel="0" collapsed="false">
      <c r="A403" s="219" t="s">
        <v>1327</v>
      </c>
      <c r="B403" s="304" t="n">
        <f aca="false">B391*1000000000/B390</f>
        <v>189000120387.717</v>
      </c>
      <c r="C403" s="181" t="s">
        <v>1325</v>
      </c>
    </row>
    <row r="404" customFormat="false" ht="12.75" hidden="false" customHeight="true" outlineLevel="0" collapsed="false">
      <c r="A404" s="292" t="s">
        <v>1329</v>
      </c>
      <c r="B404" s="312" t="n">
        <f aca="false">B403/B402</f>
        <v>21.903914932633</v>
      </c>
      <c r="C404" s="251"/>
      <c r="D404" s="251"/>
      <c r="E404" s="251"/>
      <c r="F404" s="251"/>
      <c r="G404" s="251"/>
      <c r="H404" s="251"/>
      <c r="I404" s="251"/>
    </row>
    <row r="405" customFormat="false" ht="12.75" hidden="false" customHeight="true" outlineLevel="0" collapsed="false"/>
    <row r="406" customFormat="false" ht="12.75" hidden="false" customHeight="true" outlineLevel="0" collapsed="false">
      <c r="A406" s="316" t="s">
        <v>1456</v>
      </c>
      <c r="B406" s="318"/>
      <c r="C406" s="318"/>
      <c r="D406" s="318"/>
      <c r="E406" s="318"/>
      <c r="F406" s="318"/>
      <c r="G406" s="318"/>
      <c r="H406" s="318"/>
      <c r="I406" s="318"/>
    </row>
    <row r="407" customFormat="false" ht="12.75" hidden="false" customHeight="true" outlineLevel="0" collapsed="false"/>
    <row r="408" customFormat="false" ht="12.75" hidden="false" customHeight="true" outlineLevel="0" collapsed="false">
      <c r="A408" s="219" t="s">
        <v>1457</v>
      </c>
    </row>
    <row r="409" customFormat="false" ht="12.75" hidden="false" customHeight="true" outlineLevel="0" collapsed="false">
      <c r="A409" s="287" t="s">
        <v>85</v>
      </c>
      <c r="B409" s="287" t="s">
        <v>1271</v>
      </c>
      <c r="C409" s="287" t="s">
        <v>1272</v>
      </c>
      <c r="D409" s="287" t="s">
        <v>1211</v>
      </c>
      <c r="E409" s="287" t="s">
        <v>1273</v>
      </c>
      <c r="F409" s="287" t="s">
        <v>1274</v>
      </c>
      <c r="G409" s="287"/>
      <c r="H409" s="287"/>
      <c r="I409" s="287" t="s">
        <v>681</v>
      </c>
    </row>
    <row r="410" customFormat="false" ht="12.75" hidden="false" customHeight="true" outlineLevel="0" collapsed="false">
      <c r="A410" s="181" t="s">
        <v>1275</v>
      </c>
      <c r="B410" s="306" t="n">
        <v>5938.57225781</v>
      </c>
      <c r="C410" s="293" t="n">
        <v>7.12628671</v>
      </c>
      <c r="D410" s="221" t="n">
        <f aca="false">B410*C410*12/1000000</f>
        <v>0.507839622686473</v>
      </c>
      <c r="E410" s="253" t="n">
        <f aca="false">B410/B415</f>
        <v>0.856159985480221</v>
      </c>
      <c r="F410" s="253" t="n">
        <f aca="false">IF(D415&gt;0,D410/D415,0)</f>
        <v>0.0188679247076534</v>
      </c>
      <c r="I410" s="181" t="s">
        <v>1458</v>
      </c>
    </row>
    <row r="411" customFormat="false" ht="12.75" hidden="false" customHeight="true" outlineLevel="0" collapsed="false">
      <c r="A411" s="181" t="s">
        <v>1277</v>
      </c>
      <c r="B411" s="306" t="n">
        <v>712.62867094</v>
      </c>
      <c r="C411" s="293" t="n">
        <v>178.15716773</v>
      </c>
      <c r="D411" s="221" t="n">
        <f aca="false">B411*C411*12/1000000</f>
        <v>1.52351886789437</v>
      </c>
      <c r="E411" s="253" t="n">
        <f aca="false">B411/B415</f>
        <v>0.10273919825803</v>
      </c>
      <c r="F411" s="253" t="n">
        <f aca="false">IF(D415&gt;0,D411/D415,0)</f>
        <v>0.0566037741168282</v>
      </c>
      <c r="I411" s="181" t="s">
        <v>1459</v>
      </c>
    </row>
    <row r="412" customFormat="false" ht="12.75" hidden="false" customHeight="true" outlineLevel="0" collapsed="false">
      <c r="A412" s="181" t="s">
        <v>1279</v>
      </c>
      <c r="B412" s="306" t="n">
        <v>237.54289031</v>
      </c>
      <c r="C412" s="293" t="n">
        <v>3563.14335469</v>
      </c>
      <c r="D412" s="221" t="n">
        <f aca="false">B412*C412*12/1000000</f>
        <v>10.1567924527432</v>
      </c>
      <c r="E412" s="253" t="n">
        <f aca="false">B412/B415</f>
        <v>0.0342463994188628</v>
      </c>
      <c r="F412" s="253" t="n">
        <f aca="false">IF(D415&gt;0,D412/D415,0)</f>
        <v>0.377358494116424</v>
      </c>
      <c r="I412" s="181" t="s">
        <v>1460</v>
      </c>
    </row>
    <row r="413" customFormat="false" ht="12.75" hidden="false" customHeight="true" outlineLevel="0" collapsed="false">
      <c r="A413" s="181" t="s">
        <v>1281</v>
      </c>
      <c r="B413" s="306" t="n">
        <v>47.50857806</v>
      </c>
      <c r="C413" s="293" t="n">
        <v>21378.86012811</v>
      </c>
      <c r="D413" s="221" t="n">
        <f aca="false">B413*C413*12/1000000</f>
        <v>12.1881509427616</v>
      </c>
      <c r="E413" s="253" t="n">
        <f aca="false">B413/B415</f>
        <v>0.00684927988348423</v>
      </c>
      <c r="F413" s="253" t="n">
        <f aca="false">IF(D415&gt;0,D413/D415,0)</f>
        <v>0.45283019292001</v>
      </c>
      <c r="I413" s="181" t="s">
        <v>1461</v>
      </c>
    </row>
    <row r="414" customFormat="false" ht="12.75" hidden="false" customHeight="true" outlineLevel="0" collapsed="false">
      <c r="A414" s="181" t="s">
        <v>1283</v>
      </c>
      <c r="B414" s="306" t="n">
        <v>0.03563143</v>
      </c>
      <c r="C414" s="293" t="n">
        <v>5938572.25780877</v>
      </c>
      <c r="D414" s="221" t="n">
        <f aca="false">B414*C414*12/1000000</f>
        <v>2.53919786044866</v>
      </c>
      <c r="E414" s="253" t="n">
        <f aca="false">B414/B415</f>
        <v>5.1369594015329E-006</v>
      </c>
      <c r="F414" s="253" t="n">
        <f aca="false">IF(D415&gt;0,D414/D415,0)</f>
        <v>0.094339614139084</v>
      </c>
      <c r="I414" s="181" t="s">
        <v>1462</v>
      </c>
    </row>
    <row r="415" customFormat="false" ht="12.75" hidden="false" customHeight="true" outlineLevel="0" collapsed="false">
      <c r="A415" s="219" t="s">
        <v>1285</v>
      </c>
      <c r="B415" s="307" t="n">
        <f aca="false">SUM(B410:B414)</f>
        <v>6936.28802855</v>
      </c>
      <c r="D415" s="307" t="n">
        <f aca="false">SUM(D410:D414)</f>
        <v>26.9154997465343</v>
      </c>
      <c r="E415" s="253" t="n">
        <f aca="false">SUM(E410:E414)</f>
        <v>1</v>
      </c>
      <c r="F415" s="253" t="n">
        <f aca="false">SUM(F410:F414)</f>
        <v>1</v>
      </c>
    </row>
    <row r="416" customFormat="false" ht="12.75" hidden="false" customHeight="true" outlineLevel="0" collapsed="false"/>
    <row r="417" customFormat="false" ht="12.75" hidden="false" customHeight="true" outlineLevel="0" collapsed="false">
      <c r="A417" s="219" t="s">
        <v>1287</v>
      </c>
      <c r="B417" s="221" t="n">
        <f aca="false">D415</f>
        <v>26.9154997465343</v>
      </c>
      <c r="C417" s="181" t="s">
        <v>1087</v>
      </c>
    </row>
    <row r="418" customFormat="false" ht="12.75" hidden="false" customHeight="true" outlineLevel="0" collapsed="false">
      <c r="A418" s="219" t="s">
        <v>1289</v>
      </c>
      <c r="B418" s="221" t="n">
        <f aca="false">E68-B385</f>
        <v>41.428</v>
      </c>
      <c r="C418" s="181" t="s">
        <v>1087</v>
      </c>
      <c r="I418" s="181" t="s">
        <v>1463</v>
      </c>
    </row>
    <row r="419" customFormat="false" ht="12.75" hidden="false" customHeight="true" outlineLevel="0" collapsed="false">
      <c r="A419" s="219" t="s">
        <v>1291</v>
      </c>
      <c r="B419" s="283" t="n">
        <f aca="false">B418/B417</f>
        <v>1.53918747153615</v>
      </c>
    </row>
    <row r="420" customFormat="false" ht="12.75" hidden="false" customHeight="true" outlineLevel="0" collapsed="false"/>
    <row r="421" customFormat="false" ht="12.75" hidden="false" customHeight="true" outlineLevel="0" collapsed="false">
      <c r="A421" s="219" t="s">
        <v>1464</v>
      </c>
    </row>
    <row r="422" customFormat="false" ht="12.75" hidden="false" customHeight="true" outlineLevel="0" collapsed="false">
      <c r="A422" s="287" t="s">
        <v>1294</v>
      </c>
      <c r="B422" s="287" t="n">
        <v>1</v>
      </c>
      <c r="C422" s="287" t="s">
        <v>1246</v>
      </c>
      <c r="D422" s="287" t="s">
        <v>1247</v>
      </c>
      <c r="E422" s="287" t="s">
        <v>1296</v>
      </c>
      <c r="F422" s="287" t="s">
        <v>1297</v>
      </c>
      <c r="G422" s="287"/>
      <c r="H422" s="287"/>
      <c r="I422" s="287" t="s">
        <v>1465</v>
      </c>
    </row>
    <row r="423" customFormat="false" ht="12.75" hidden="false" customHeight="true" outlineLevel="0" collapsed="false">
      <c r="A423" s="219" t="s">
        <v>1298</v>
      </c>
      <c r="B423" s="309" t="n">
        <v>1.8</v>
      </c>
      <c r="C423" s="304" t="n">
        <f aca="false">D410*1000000000/B423*B419</f>
        <v>434255769.327036</v>
      </c>
      <c r="D423" s="235" t="n">
        <v>3</v>
      </c>
      <c r="E423" s="304" t="n">
        <f aca="false">C423*D423/(D423+1)</f>
        <v>325691826.995277</v>
      </c>
      <c r="F423" s="304" t="n">
        <f aca="false">C423/(D423+1)</f>
        <v>108563942.331759</v>
      </c>
      <c r="I423" s="181" t="s">
        <v>1466</v>
      </c>
    </row>
    <row r="424" customFormat="false" ht="12.75" hidden="false" customHeight="true" outlineLevel="0" collapsed="false">
      <c r="A424" s="219" t="s">
        <v>1300</v>
      </c>
      <c r="B424" s="309" t="n">
        <v>3</v>
      </c>
      <c r="C424" s="304" t="n">
        <f aca="false">D411*1000000000/B424*B419</f>
        <v>781660384.703986</v>
      </c>
      <c r="D424" s="235" t="n">
        <v>3.5</v>
      </c>
      <c r="E424" s="304" t="n">
        <f aca="false">C424*D424/(D424+1)</f>
        <v>607958076.991989</v>
      </c>
      <c r="F424" s="304" t="n">
        <f aca="false">C424/(D424+1)</f>
        <v>173702307.711997</v>
      </c>
      <c r="I424" s="181" t="s">
        <v>1467</v>
      </c>
    </row>
    <row r="425" customFormat="false" ht="12.75" hidden="false" customHeight="true" outlineLevel="0" collapsed="false">
      <c r="A425" s="219" t="s">
        <v>1302</v>
      </c>
      <c r="B425" s="309" t="n">
        <v>2.8</v>
      </c>
      <c r="C425" s="304" t="n">
        <f aca="false">D412*1000000000/B425*B419</f>
        <v>5583288462.23401</v>
      </c>
      <c r="D425" s="235" t="n">
        <v>3.5</v>
      </c>
      <c r="E425" s="304" t="n">
        <f aca="false">C425*D425/(D425+1)</f>
        <v>4342557692.84867</v>
      </c>
      <c r="F425" s="304" t="n">
        <f aca="false">C425/(D425+1)</f>
        <v>1240730769.38533</v>
      </c>
      <c r="I425" s="181" t="s">
        <v>1468</v>
      </c>
    </row>
    <row r="426" customFormat="false" ht="12.75" hidden="false" customHeight="true" outlineLevel="0" collapsed="false">
      <c r="A426" s="219" t="s">
        <v>1304</v>
      </c>
      <c r="B426" s="309" t="n">
        <v>2.4</v>
      </c>
      <c r="C426" s="304" t="n">
        <f aca="false">D413*1000000000/B426*B419</f>
        <v>7816603846.78758</v>
      </c>
      <c r="D426" s="235" t="n">
        <v>3.5</v>
      </c>
      <c r="E426" s="304" t="n">
        <f aca="false">C426*D426/(D426+1)</f>
        <v>6079580769.72367</v>
      </c>
      <c r="F426" s="304" t="n">
        <f aca="false">C426/(D426+1)</f>
        <v>1737023077.06391</v>
      </c>
      <c r="I426" s="181" t="s">
        <v>1469</v>
      </c>
    </row>
    <row r="427" customFormat="false" ht="12.75" hidden="false" customHeight="true" outlineLevel="0" collapsed="false">
      <c r="A427" s="219" t="s">
        <v>1306</v>
      </c>
      <c r="B427" s="309" t="n">
        <v>1.8</v>
      </c>
      <c r="C427" s="304" t="n">
        <f aca="false">D414*1000000000/B427*B419</f>
        <v>2171278630.30776</v>
      </c>
      <c r="D427" s="235" t="n">
        <v>3.5</v>
      </c>
      <c r="E427" s="304" t="n">
        <f aca="false">C427*D427/(D427+1)</f>
        <v>1688772268.01715</v>
      </c>
      <c r="F427" s="304" t="n">
        <f aca="false">C427/(D427+1)</f>
        <v>482506362.290614</v>
      </c>
      <c r="I427" s="181" t="s">
        <v>1470</v>
      </c>
    </row>
    <row r="428" customFormat="false" ht="12.75" hidden="false" customHeight="true" outlineLevel="0" collapsed="false">
      <c r="A428" s="219" t="s">
        <v>1308</v>
      </c>
      <c r="B428" s="319" t="n">
        <f aca="false">B418*1000000000/C428</f>
        <v>2.46784923254408</v>
      </c>
      <c r="C428" s="311" t="n">
        <f aca="false">SUM(C423:C427)</f>
        <v>16787087093.3604</v>
      </c>
      <c r="D428" s="244" t="n">
        <f aca="false">E428/F428</f>
        <v>3.48549590182897</v>
      </c>
      <c r="E428" s="311" t="n">
        <f aca="false">SUM(E423:E427)</f>
        <v>13044560634.5768</v>
      </c>
      <c r="F428" s="311" t="n">
        <f aca="false">SUM(F423:F427)</f>
        <v>3742526458.78361</v>
      </c>
    </row>
    <row r="429" customFormat="false" ht="12.75" hidden="false" customHeight="true" outlineLevel="0" collapsed="false">
      <c r="A429" s="292" t="s">
        <v>1471</v>
      </c>
      <c r="B429" s="321" t="n">
        <f aca="false">B428</f>
        <v>2.46784923254408</v>
      </c>
      <c r="C429" s="251"/>
      <c r="D429" s="251"/>
      <c r="E429" s="251"/>
      <c r="F429" s="251"/>
      <c r="G429" s="251"/>
      <c r="H429" s="251"/>
      <c r="I429" s="251" t="s">
        <v>1472</v>
      </c>
    </row>
    <row r="430" customFormat="false" ht="12.75" hidden="false" customHeight="true" outlineLevel="0" collapsed="false">
      <c r="A430" s="287" t="s">
        <v>1473</v>
      </c>
      <c r="B430" s="288"/>
      <c r="C430" s="288"/>
      <c r="D430" s="288"/>
      <c r="E430" s="288"/>
      <c r="F430" s="288"/>
      <c r="G430" s="288"/>
      <c r="H430" s="288"/>
      <c r="I430" s="288"/>
    </row>
    <row r="431" customFormat="false" ht="12.75" hidden="false" customHeight="true" outlineLevel="0" collapsed="false">
      <c r="A431" s="287" t="s">
        <v>1339</v>
      </c>
      <c r="B431" s="287" t="s">
        <v>1340</v>
      </c>
      <c r="C431" s="287" t="s">
        <v>1341</v>
      </c>
      <c r="D431" s="287" t="s">
        <v>1342</v>
      </c>
      <c r="E431" s="287" t="s">
        <v>917</v>
      </c>
      <c r="F431" s="287" t="s">
        <v>1343</v>
      </c>
      <c r="G431" s="287" t="s">
        <v>1344</v>
      </c>
      <c r="H431" s="287"/>
      <c r="I431" s="287" t="s">
        <v>1344</v>
      </c>
    </row>
    <row r="432" customFormat="false" ht="12.75" hidden="false" customHeight="true" outlineLevel="0" collapsed="false">
      <c r="A432" s="181" t="s">
        <v>1345</v>
      </c>
      <c r="B432" s="243" t="n">
        <f aca="false">D432-C432</f>
        <v>5868157142.85714</v>
      </c>
      <c r="C432" s="243" t="n">
        <f aca="false">SUMPRODUCT(D395:D399,1/(1+E395:E399))</f>
        <v>2760442857.14286</v>
      </c>
      <c r="D432" s="243" t="n">
        <f aca="false">D400</f>
        <v>8628600000</v>
      </c>
      <c r="E432" s="221" t="n">
        <f aca="false">B385</f>
        <v>33.672</v>
      </c>
      <c r="F432" s="253" t="n">
        <f aca="false">D432/D434</f>
        <v>0.339498986130269</v>
      </c>
      <c r="G432" s="221" t="n">
        <f aca="false">E432*1000000000/D432</f>
        <v>3.90237118420138</v>
      </c>
      <c r="H432" s="221"/>
      <c r="I432" s="221" t="n">
        <f aca="false">E432*1000000000/D432</f>
        <v>3.90237118420138</v>
      </c>
    </row>
    <row r="433" customFormat="false" ht="12.75" hidden="false" customHeight="true" outlineLevel="0" collapsed="false">
      <c r="A433" s="181" t="s">
        <v>1346</v>
      </c>
      <c r="B433" s="304" t="n">
        <f aca="false">D433*C371/(C371+1)</f>
        <v>13056623294.8358</v>
      </c>
      <c r="C433" s="304" t="n">
        <f aca="false">D433/(C371+1)</f>
        <v>3730463798.52453</v>
      </c>
      <c r="D433" s="304" t="n">
        <f aca="false">B418*1000000000/B429</f>
        <v>16787087093.3604</v>
      </c>
      <c r="E433" s="221" t="n">
        <f aca="false">B418</f>
        <v>41.428</v>
      </c>
      <c r="F433" s="253" t="n">
        <f aca="false">D433/D434</f>
        <v>0.660501013869731</v>
      </c>
      <c r="G433" s="313" t="n">
        <f aca="false">E433*1000000000/D433</f>
        <v>2.46784923254408</v>
      </c>
      <c r="H433" s="313"/>
      <c r="I433" s="313" t="n">
        <f aca="false">E433*1000000000/D433</f>
        <v>2.46784923254408</v>
      </c>
    </row>
    <row r="434" customFormat="false" ht="12.75" hidden="false" customHeight="true" outlineLevel="0" collapsed="false">
      <c r="A434" s="292" t="s">
        <v>1347</v>
      </c>
      <c r="B434" s="314" t="n">
        <f aca="false">B432+B433</f>
        <v>18924780437.693</v>
      </c>
      <c r="C434" s="314" t="n">
        <f aca="false">C432+C433</f>
        <v>6490906655.66738</v>
      </c>
      <c r="D434" s="314" t="n">
        <f aca="false">D432+D433</f>
        <v>25415687093.3604</v>
      </c>
      <c r="E434" s="298" t="n">
        <f aca="false">E432+E433</f>
        <v>75.1</v>
      </c>
      <c r="F434" s="299" t="n">
        <v>1</v>
      </c>
      <c r="G434" s="298" t="n">
        <f aca="false">E434*1000000000/D434</f>
        <v>2.95486798071335</v>
      </c>
      <c r="H434" s="298"/>
      <c r="I434" s="298" t="n">
        <f aca="false">E434*1000000000/D434</f>
        <v>2.95486798071335</v>
      </c>
    </row>
    <row r="435" customFormat="false" ht="12.75" hidden="false" customHeight="true" outlineLevel="0" collapsed="false"/>
    <row r="436" customFormat="false" ht="12.75" hidden="false" customHeight="true" outlineLevel="0" collapsed="false">
      <c r="A436" s="181" t="s">
        <v>1349</v>
      </c>
      <c r="B436" s="283" t="n">
        <f aca="false">D434/1000000</f>
        <v>25415.6870933604</v>
      </c>
      <c r="C436" s="181" t="s">
        <v>1315</v>
      </c>
    </row>
    <row r="437" customFormat="false" ht="12.75" hidden="false" customHeight="true" outlineLevel="0" collapsed="false"/>
    <row r="438" customFormat="false" ht="12.75" hidden="false" customHeight="true" outlineLevel="0" collapsed="false">
      <c r="A438" s="287" t="s">
        <v>1474</v>
      </c>
      <c r="B438" s="288"/>
      <c r="C438" s="288"/>
      <c r="D438" s="288"/>
      <c r="E438" s="288"/>
      <c r="F438" s="288"/>
      <c r="G438" s="288"/>
      <c r="H438" s="288"/>
      <c r="I438" s="288"/>
    </row>
    <row r="439" customFormat="false" ht="12.75" hidden="false" customHeight="true" outlineLevel="0" collapsed="false"/>
    <row r="440" customFormat="false" ht="12.75" hidden="false" customHeight="true" outlineLevel="0" collapsed="false">
      <c r="A440" s="289" t="s">
        <v>1475</v>
      </c>
      <c r="B440" s="272" t="s">
        <v>1198</v>
      </c>
      <c r="C440" s="272" t="s">
        <v>1199</v>
      </c>
      <c r="D440" s="272" t="s">
        <v>680</v>
      </c>
      <c r="E440" s="272"/>
      <c r="F440" s="272"/>
      <c r="G440" s="272"/>
      <c r="H440" s="272"/>
      <c r="I440" s="272" t="s">
        <v>6</v>
      </c>
    </row>
    <row r="441" customFormat="false" ht="12.75" hidden="false" customHeight="true" outlineLevel="0" collapsed="false"/>
    <row r="442" customFormat="false" ht="12.75" hidden="false" customHeight="true" outlineLevel="0" collapsed="false">
      <c r="A442" s="223" t="s">
        <v>1202</v>
      </c>
      <c r="B442" s="235" t="n">
        <v>0</v>
      </c>
      <c r="C442" s="309" t="n">
        <v>0.8</v>
      </c>
      <c r="D442" s="223" t="s">
        <v>890</v>
      </c>
      <c r="G442" s="223"/>
      <c r="H442" s="223"/>
      <c r="I442" s="223" t="s">
        <v>1476</v>
      </c>
    </row>
    <row r="443" customFormat="false" ht="12.75" hidden="false" customHeight="true" outlineLevel="0" collapsed="false">
      <c r="A443" s="223" t="s">
        <v>1204</v>
      </c>
      <c r="B443" s="235" t="n">
        <v>0</v>
      </c>
      <c r="C443" s="309" t="n">
        <v>6</v>
      </c>
      <c r="D443" s="223" t="s">
        <v>890</v>
      </c>
      <c r="G443" s="223"/>
      <c r="H443" s="223"/>
      <c r="I443" s="223" t="s">
        <v>1477</v>
      </c>
    </row>
    <row r="444" customFormat="false" ht="12.75" hidden="false" customHeight="true" outlineLevel="0" collapsed="false">
      <c r="A444" s="223" t="s">
        <v>1205</v>
      </c>
      <c r="B444" s="234" t="n">
        <v>1.8</v>
      </c>
      <c r="C444" s="234" t="n">
        <v>3</v>
      </c>
      <c r="D444" s="223" t="s">
        <v>1206</v>
      </c>
    </row>
    <row r="445" customFormat="false" ht="12.75" hidden="false" customHeight="true" outlineLevel="0" collapsed="false"/>
    <row r="446" customFormat="false" ht="12.75" hidden="false" customHeight="true" outlineLevel="0" collapsed="false">
      <c r="A446" s="289" t="s">
        <v>1478</v>
      </c>
      <c r="B446" s="272"/>
      <c r="C446" s="272"/>
      <c r="D446" s="272"/>
      <c r="E446" s="272"/>
      <c r="F446" s="272"/>
      <c r="G446" s="272"/>
      <c r="H446" s="272"/>
      <c r="I446" s="272"/>
    </row>
    <row r="447" customFormat="false" ht="12.75" hidden="false" customHeight="true" outlineLevel="0" collapsed="false">
      <c r="A447" s="289" t="s">
        <v>1479</v>
      </c>
      <c r="B447" s="272"/>
      <c r="C447" s="272"/>
      <c r="D447" s="272"/>
      <c r="E447" s="272"/>
      <c r="F447" s="272"/>
      <c r="G447" s="272"/>
      <c r="H447" s="272"/>
      <c r="I447" s="272"/>
    </row>
    <row r="448" customFormat="false" ht="12.75" hidden="false" customHeight="true" outlineLevel="0" collapsed="false">
      <c r="A448" s="287" t="s">
        <v>85</v>
      </c>
      <c r="B448" s="287" t="s">
        <v>1209</v>
      </c>
      <c r="C448" s="287" t="s">
        <v>1210</v>
      </c>
      <c r="D448" s="287" t="s">
        <v>1211</v>
      </c>
      <c r="E448" s="287" t="s">
        <v>1212</v>
      </c>
      <c r="F448" s="287" t="s">
        <v>1213</v>
      </c>
      <c r="G448" s="287"/>
      <c r="H448" s="287"/>
      <c r="I448" s="287" t="s">
        <v>681</v>
      </c>
    </row>
    <row r="449" customFormat="false" ht="12.75" hidden="false" customHeight="true" outlineLevel="0" collapsed="false">
      <c r="A449" s="223" t="s">
        <v>1214</v>
      </c>
      <c r="B449" s="238" t="n">
        <v>2300</v>
      </c>
      <c r="C449" s="293" t="n">
        <v>0</v>
      </c>
      <c r="D449" s="221" t="n">
        <f aca="false">B449*C449*12/1000</f>
        <v>0</v>
      </c>
      <c r="E449" s="322" t="s">
        <v>1215</v>
      </c>
      <c r="F449" s="253" t="n">
        <f aca="false">IF(D454&gt;0,D449/D454,0)</f>
        <v>0</v>
      </c>
      <c r="G449" s="223"/>
      <c r="H449" s="223"/>
      <c r="I449" s="223" t="s">
        <v>1480</v>
      </c>
    </row>
    <row r="450" customFormat="false" ht="12.75" hidden="false" customHeight="true" outlineLevel="0" collapsed="false">
      <c r="A450" s="223" t="s">
        <v>1217</v>
      </c>
      <c r="B450" s="295" t="n">
        <v>38</v>
      </c>
      <c r="C450" s="296" t="n">
        <v>8</v>
      </c>
      <c r="D450" s="221" t="n">
        <f aca="false">B450*C450*12/1000</f>
        <v>3.648</v>
      </c>
      <c r="E450" s="253" t="n">
        <f aca="false">B450/B454</f>
        <v>0.206521739130435</v>
      </c>
      <c r="F450" s="253" t="n">
        <f aca="false">IF(D454&gt;0,D450/D454,0)</f>
        <v>0.0597954366640441</v>
      </c>
      <c r="G450" s="223"/>
      <c r="H450" s="223"/>
      <c r="I450" s="223" t="s">
        <v>1481</v>
      </c>
    </row>
    <row r="451" customFormat="false" ht="12.75" hidden="false" customHeight="true" outlineLevel="0" collapsed="false">
      <c r="A451" s="223" t="s">
        <v>1219</v>
      </c>
      <c r="B451" s="295" t="n">
        <v>96</v>
      </c>
      <c r="C451" s="296" t="n">
        <v>20</v>
      </c>
      <c r="D451" s="221" t="n">
        <f aca="false">B451*C451*12/1000</f>
        <v>23.04</v>
      </c>
      <c r="E451" s="253" t="n">
        <f aca="false">B451/B454</f>
        <v>0.521739130434783</v>
      </c>
      <c r="F451" s="253" t="n">
        <f aca="false">IF(D454&gt;0,D451/D454,0)</f>
        <v>0.37765538945712</v>
      </c>
      <c r="G451" s="223"/>
      <c r="H451" s="223"/>
      <c r="I451" s="223" t="s">
        <v>1482</v>
      </c>
    </row>
    <row r="452" customFormat="false" ht="12.75" hidden="false" customHeight="true" outlineLevel="0" collapsed="false">
      <c r="A452" s="223" t="s">
        <v>1221</v>
      </c>
      <c r="B452" s="295" t="n">
        <v>8</v>
      </c>
      <c r="C452" s="296" t="n">
        <v>200</v>
      </c>
      <c r="D452" s="221" t="n">
        <f aca="false">B452*C452*12/1000</f>
        <v>19.2</v>
      </c>
      <c r="E452" s="253" t="n">
        <f aca="false">B452/B454</f>
        <v>0.0434782608695652</v>
      </c>
      <c r="F452" s="253" t="n">
        <f aca="false">IF(D454&gt;0,D452/D454,0)</f>
        <v>0.3147128245476</v>
      </c>
      <c r="G452" s="223"/>
      <c r="H452" s="223"/>
      <c r="I452" s="223" t="s">
        <v>1483</v>
      </c>
    </row>
    <row r="453" customFormat="false" ht="12.75" hidden="false" customHeight="true" outlineLevel="0" collapsed="false">
      <c r="A453" s="223" t="s">
        <v>1223</v>
      </c>
      <c r="B453" s="295" t="n">
        <v>42</v>
      </c>
      <c r="C453" s="296" t="n">
        <v>30</v>
      </c>
      <c r="D453" s="221" t="n">
        <f aca="false">B453*C453*12/1000</f>
        <v>15.12</v>
      </c>
      <c r="E453" s="253" t="n">
        <f aca="false">B453/B454</f>
        <v>0.228260869565217</v>
      </c>
      <c r="F453" s="253" t="n">
        <f aca="false">IF(D454&gt;0,D453/D454,0)</f>
        <v>0.247836349331235</v>
      </c>
      <c r="G453" s="223"/>
      <c r="H453" s="223"/>
      <c r="I453" s="223" t="s">
        <v>1484</v>
      </c>
    </row>
    <row r="454" customFormat="false" ht="12.75" hidden="false" customHeight="true" outlineLevel="0" collapsed="false">
      <c r="A454" s="292" t="s">
        <v>1225</v>
      </c>
      <c r="B454" s="297" t="n">
        <f aca="false">SUM(B450:B453)</f>
        <v>184</v>
      </c>
      <c r="C454" s="251"/>
      <c r="D454" s="298" t="n">
        <f aca="false">SUM(D450:D453)</f>
        <v>61.008</v>
      </c>
      <c r="E454" s="299" t="n">
        <v>1</v>
      </c>
      <c r="F454" s="300" t="n">
        <f aca="false">SUM(F450:F453)</f>
        <v>1</v>
      </c>
      <c r="G454" s="251"/>
      <c r="H454" s="251"/>
      <c r="I454" s="251"/>
    </row>
    <row r="455" customFormat="false" ht="12.75" hidden="false" customHeight="true" outlineLevel="0" collapsed="false"/>
    <row r="456" customFormat="false" ht="12.75" hidden="false" customHeight="true" outlineLevel="0" collapsed="false">
      <c r="A456" s="223" t="s">
        <v>1227</v>
      </c>
      <c r="B456" s="222" t="n">
        <f aca="false">D454*1000/B454/12</f>
        <v>27.6304347826087</v>
      </c>
    </row>
    <row r="457" customFormat="false" ht="12.75" hidden="false" customHeight="true" outlineLevel="0" collapsed="false">
      <c r="A457" s="223" t="s">
        <v>1230</v>
      </c>
      <c r="B457" s="253" t="n">
        <f aca="false">B454/(B454+B449)</f>
        <v>0.0740740740740741</v>
      </c>
    </row>
    <row r="458" customFormat="false" ht="12.75" hidden="false" customHeight="true" outlineLevel="0" collapsed="false">
      <c r="A458" s="292" t="s">
        <v>1232</v>
      </c>
      <c r="B458" s="298" t="n">
        <f aca="false">D454</f>
        <v>61.008</v>
      </c>
      <c r="C458" s="251" t="s">
        <v>1087</v>
      </c>
      <c r="D458" s="251"/>
      <c r="E458" s="251"/>
      <c r="F458" s="251"/>
      <c r="G458" s="251"/>
      <c r="H458" s="251"/>
      <c r="I458" s="251"/>
    </row>
    <row r="459" customFormat="false" ht="12.75" hidden="false" customHeight="true" outlineLevel="0" collapsed="false"/>
    <row r="460" customFormat="false" ht="12.75" hidden="false" customHeight="true" outlineLevel="0" collapsed="false">
      <c r="A460" s="289" t="s">
        <v>1485</v>
      </c>
      <c r="B460" s="272"/>
      <c r="C460" s="272"/>
      <c r="D460" s="272"/>
      <c r="E460" s="272"/>
      <c r="F460" s="272"/>
      <c r="G460" s="272"/>
      <c r="H460" s="272"/>
      <c r="I460" s="272"/>
    </row>
    <row r="461" customFormat="false" ht="12.75" hidden="false" customHeight="true" outlineLevel="0" collapsed="false">
      <c r="A461" s="223" t="s">
        <v>1366</v>
      </c>
      <c r="B461" s="233" t="n">
        <v>0.55</v>
      </c>
    </row>
    <row r="462" customFormat="false" ht="12.75" hidden="false" customHeight="true" outlineLevel="0" collapsed="false">
      <c r="A462" s="223" t="s">
        <v>1486</v>
      </c>
      <c r="B462" s="305" t="n">
        <f aca="false">F60</f>
        <v>33.199901656786</v>
      </c>
      <c r="C462" s="223" t="s">
        <v>1087</v>
      </c>
    </row>
    <row r="463" customFormat="false" ht="12.75" hidden="false" customHeight="true" outlineLevel="0" collapsed="false">
      <c r="A463" s="223" t="s">
        <v>1237</v>
      </c>
      <c r="B463" s="305" t="n">
        <f aca="false">Revenue_Model!B47/(F103/F94)</f>
        <v>0.0543292227297738</v>
      </c>
      <c r="C463" s="223" t="s">
        <v>890</v>
      </c>
      <c r="G463" s="223"/>
      <c r="H463" s="223"/>
      <c r="I463" s="223" t="s">
        <v>1487</v>
      </c>
    </row>
    <row r="464" customFormat="false" ht="12.75" hidden="false" customHeight="true" outlineLevel="0" collapsed="false">
      <c r="A464" s="223" t="s">
        <v>1239</v>
      </c>
      <c r="B464" s="221" t="n">
        <f aca="false">B462*B461</f>
        <v>18.2599459112323</v>
      </c>
    </row>
    <row r="465" customFormat="false" ht="12.75" hidden="false" customHeight="true" outlineLevel="0" collapsed="false">
      <c r="A465" s="292" t="s">
        <v>1241</v>
      </c>
      <c r="B465" s="303" t="n">
        <f aca="false">B464*1000000000/B463</f>
        <v>336098051725.4</v>
      </c>
      <c r="C465" s="251"/>
      <c r="D465" s="251"/>
      <c r="E465" s="251"/>
      <c r="F465" s="251"/>
      <c r="G465" s="251"/>
      <c r="H465" s="251"/>
      <c r="I465" s="251"/>
    </row>
    <row r="466" customFormat="false" ht="12.75" hidden="false" customHeight="true" outlineLevel="0" collapsed="false"/>
    <row r="467" customFormat="false" ht="12.75" hidden="false" customHeight="true" outlineLevel="0" collapsed="false">
      <c r="A467" s="287" t="s">
        <v>1243</v>
      </c>
      <c r="B467" s="287" t="s">
        <v>1244</v>
      </c>
      <c r="C467" s="287" t="s">
        <v>1245</v>
      </c>
      <c r="D467" s="287" t="s">
        <v>1246</v>
      </c>
      <c r="E467" s="287" t="s">
        <v>1247</v>
      </c>
      <c r="F467" s="287" t="s">
        <v>1248</v>
      </c>
      <c r="G467" s="287"/>
      <c r="H467" s="287"/>
      <c r="I467" s="287" t="s">
        <v>6</v>
      </c>
    </row>
    <row r="468" customFormat="false" ht="12.75" hidden="false" customHeight="true" outlineLevel="0" collapsed="false">
      <c r="A468" s="223" t="s">
        <v>1249</v>
      </c>
      <c r="B468" s="238" t="n">
        <v>7000</v>
      </c>
      <c r="C468" s="253" t="n">
        <f aca="false">D468/D473</f>
        <v>0.351298276238272</v>
      </c>
      <c r="D468" s="304" t="n">
        <f aca="false">B468*B449*1000000*365/1000000</f>
        <v>5876500000</v>
      </c>
      <c r="E468" s="234" t="n">
        <v>1.8</v>
      </c>
      <c r="F468" s="253" t="n">
        <f aca="false">D468/D473</f>
        <v>0.351298276238272</v>
      </c>
      <c r="G468" s="223"/>
      <c r="H468" s="223"/>
      <c r="I468" s="223" t="s">
        <v>1488</v>
      </c>
    </row>
    <row r="469" customFormat="false" ht="12.75" hidden="false" customHeight="true" outlineLevel="0" collapsed="false">
      <c r="A469" s="223" t="s">
        <v>1251</v>
      </c>
      <c r="B469" s="238" t="n">
        <v>35000</v>
      </c>
      <c r="C469" s="253" t="n">
        <f aca="false">D469/D473</f>
        <v>0.0290202923849007</v>
      </c>
      <c r="D469" s="304" t="n">
        <f aca="false">B469*B450*1000000*365/1000000</f>
        <v>485450000</v>
      </c>
      <c r="E469" s="234" t="n">
        <v>2</v>
      </c>
      <c r="F469" s="253" t="n">
        <f aca="false">D469/D473</f>
        <v>0.0290202923849007</v>
      </c>
      <c r="G469" s="223"/>
      <c r="H469" s="223"/>
      <c r="I469" s="223" t="s">
        <v>1489</v>
      </c>
    </row>
    <row r="470" customFormat="false" ht="12.75" hidden="false" customHeight="true" outlineLevel="0" collapsed="false">
      <c r="A470" s="223" t="s">
        <v>1253</v>
      </c>
      <c r="B470" s="238" t="n">
        <v>160000</v>
      </c>
      <c r="C470" s="253" t="n">
        <f aca="false">D470/D473</f>
        <v>0.335151647392538</v>
      </c>
      <c r="D470" s="304" t="n">
        <f aca="false">B470*B451*1000000*365/1000000</f>
        <v>5606400000</v>
      </c>
      <c r="E470" s="234" t="n">
        <v>1.8</v>
      </c>
      <c r="F470" s="253" t="n">
        <f aca="false">D470/D473</f>
        <v>0.335151647392538</v>
      </c>
      <c r="G470" s="223"/>
      <c r="H470" s="223"/>
      <c r="I470" s="223" t="s">
        <v>1490</v>
      </c>
    </row>
    <row r="471" customFormat="false" ht="12.75" hidden="false" customHeight="true" outlineLevel="0" collapsed="false">
      <c r="A471" s="223" t="s">
        <v>1255</v>
      </c>
      <c r="B471" s="238" t="n">
        <v>1000000</v>
      </c>
      <c r="C471" s="253" t="n">
        <f aca="false">D471/D473</f>
        <v>0.174558149683613</v>
      </c>
      <c r="D471" s="304" t="n">
        <f aca="false">B471*B452*1000000*365/1000000</f>
        <v>2920000000</v>
      </c>
      <c r="E471" s="234" t="n">
        <v>2</v>
      </c>
      <c r="F471" s="253" t="n">
        <f aca="false">D471/D473</f>
        <v>0.174558149683613</v>
      </c>
      <c r="G471" s="223"/>
      <c r="H471" s="223"/>
      <c r="I471" s="223" t="s">
        <v>1491</v>
      </c>
    </row>
    <row r="472" customFormat="false" ht="12.75" hidden="false" customHeight="true" outlineLevel="0" collapsed="false">
      <c r="A472" s="223" t="s">
        <v>1257</v>
      </c>
      <c r="B472" s="238" t="n">
        <v>120000</v>
      </c>
      <c r="C472" s="253" t="n">
        <f aca="false">D472/D473</f>
        <v>0.109971634300676</v>
      </c>
      <c r="D472" s="304" t="n">
        <f aca="false">B472*B453*1000000*365/1000000</f>
        <v>1839600000</v>
      </c>
      <c r="E472" s="234" t="n">
        <v>2</v>
      </c>
      <c r="F472" s="253" t="n">
        <f aca="false">D472/D473</f>
        <v>0.109971634300676</v>
      </c>
      <c r="G472" s="223"/>
      <c r="H472" s="223"/>
      <c r="I472" s="223" t="s">
        <v>1492</v>
      </c>
    </row>
    <row r="473" customFormat="false" ht="12.75" hidden="false" customHeight="true" outlineLevel="0" collapsed="false">
      <c r="A473" s="292" t="s">
        <v>1259</v>
      </c>
      <c r="B473" s="251"/>
      <c r="C473" s="300" t="n">
        <f aca="false">SUM(C468:C472)</f>
        <v>1</v>
      </c>
      <c r="D473" s="303" t="n">
        <f aca="false">SUM(D468:D472)</f>
        <v>16727950000</v>
      </c>
      <c r="E473" s="251"/>
      <c r="F473" s="300" t="n">
        <f aca="false">SUM(F468:F472)</f>
        <v>1</v>
      </c>
      <c r="G473" s="251"/>
      <c r="H473" s="251"/>
      <c r="I473" s="251"/>
    </row>
    <row r="474" customFormat="false" ht="12.75" hidden="false" customHeight="true" outlineLevel="0" collapsed="false"/>
    <row r="475" customFormat="false" ht="12.75" hidden="false" customHeight="true" outlineLevel="0" collapsed="false">
      <c r="A475" s="316" t="s">
        <v>1493</v>
      </c>
      <c r="B475" s="318"/>
      <c r="C475" s="318"/>
      <c r="D475" s="318"/>
      <c r="E475" s="318"/>
      <c r="F475" s="318"/>
      <c r="G475" s="318"/>
      <c r="H475" s="318"/>
      <c r="I475" s="318"/>
    </row>
    <row r="476" customFormat="false" ht="12.75" hidden="false" customHeight="true" outlineLevel="0" collapsed="false">
      <c r="A476" s="223" t="s">
        <v>1494</v>
      </c>
      <c r="B476" s="304" t="n">
        <f aca="false">D473</f>
        <v>16727950000</v>
      </c>
      <c r="C476" s="223" t="s">
        <v>1325</v>
      </c>
    </row>
    <row r="477" customFormat="false" ht="12.75" hidden="false" customHeight="true" outlineLevel="0" collapsed="false">
      <c r="A477" s="223" t="s">
        <v>1495</v>
      </c>
      <c r="B477" s="304" t="n">
        <f aca="false">B464*1000000000/B463</f>
        <v>336098051725.4</v>
      </c>
      <c r="C477" s="223" t="s">
        <v>1325</v>
      </c>
    </row>
    <row r="478" customFormat="false" ht="12.75" hidden="false" customHeight="true" outlineLevel="0" collapsed="false">
      <c r="A478" s="292" t="s">
        <v>1496</v>
      </c>
      <c r="B478" s="312" t="n">
        <f aca="false">B477/B476</f>
        <v>20.0920048018675</v>
      </c>
      <c r="C478" s="251"/>
      <c r="D478" s="251"/>
      <c r="E478" s="251"/>
      <c r="F478" s="251"/>
      <c r="G478" s="251"/>
      <c r="H478" s="251"/>
      <c r="I478" s="251"/>
    </row>
    <row r="479" customFormat="false" ht="12.75" hidden="false" customHeight="true" outlineLevel="0" collapsed="false"/>
    <row r="480" customFormat="false" ht="12.75" hidden="false" customHeight="true" outlineLevel="0" collapsed="false">
      <c r="A480" s="316" t="s">
        <v>1497</v>
      </c>
      <c r="B480" s="318"/>
      <c r="C480" s="318"/>
      <c r="D480" s="318"/>
      <c r="E480" s="318"/>
      <c r="F480" s="318"/>
      <c r="G480" s="318"/>
      <c r="H480" s="318"/>
      <c r="I480" s="318"/>
    </row>
    <row r="481" customFormat="false" ht="12.75" hidden="false" customHeight="true" outlineLevel="0" collapsed="false">
      <c r="A481" s="287" t="s">
        <v>85</v>
      </c>
      <c r="B481" s="287" t="s">
        <v>1271</v>
      </c>
      <c r="C481" s="287" t="s">
        <v>1272</v>
      </c>
      <c r="D481" s="287" t="s">
        <v>1211</v>
      </c>
      <c r="E481" s="287" t="s">
        <v>1273</v>
      </c>
      <c r="F481" s="287" t="s">
        <v>1274</v>
      </c>
      <c r="G481" s="287"/>
      <c r="H481" s="287"/>
      <c r="I481" s="287" t="s">
        <v>681</v>
      </c>
    </row>
    <row r="482" customFormat="false" ht="12.75" hidden="false" customHeight="true" outlineLevel="0" collapsed="false">
      <c r="A482" s="223" t="s">
        <v>1275</v>
      </c>
      <c r="B482" s="323" t="n">
        <v>8289.97465525</v>
      </c>
      <c r="C482" s="293" t="n">
        <v>8.28997466</v>
      </c>
      <c r="D482" s="221" t="n">
        <f aca="false">B482*C482*12/1000000</f>
        <v>0.824684157888777</v>
      </c>
      <c r="E482" s="253" t="n">
        <f aca="false">B482/B487</f>
        <v>0.873357678178874</v>
      </c>
      <c r="F482" s="253" t="n">
        <f aca="false">IF(D487&gt;0,D482/D487,0)</f>
        <v>0.0161453078297292</v>
      </c>
      <c r="G482" s="223"/>
      <c r="H482" s="223"/>
      <c r="I482" s="223" t="s">
        <v>1498</v>
      </c>
    </row>
    <row r="483" customFormat="false" ht="12.75" hidden="false" customHeight="true" outlineLevel="0" collapsed="false">
      <c r="A483" s="223" t="s">
        <v>1277</v>
      </c>
      <c r="B483" s="323" t="n">
        <v>828.99746553</v>
      </c>
      <c r="C483" s="293" t="n">
        <v>259.06170798</v>
      </c>
      <c r="D483" s="221" t="n">
        <f aca="false">B483*C483*12/1000000</f>
        <v>2.57713799197552</v>
      </c>
      <c r="E483" s="253" t="n">
        <f aca="false">B483/B487</f>
        <v>0.0873357678184142</v>
      </c>
      <c r="F483" s="253" t="n">
        <f aca="false">IF(D487&gt;0,D483/D487,0)</f>
        <v>0.0504540869399683</v>
      </c>
      <c r="G483" s="223"/>
      <c r="H483" s="223"/>
      <c r="I483" s="223" t="s">
        <v>1499</v>
      </c>
    </row>
    <row r="484" customFormat="false" ht="12.75" hidden="false" customHeight="true" outlineLevel="0" collapsed="false">
      <c r="A484" s="223" t="s">
        <v>1279</v>
      </c>
      <c r="B484" s="323" t="n">
        <v>310.87404957</v>
      </c>
      <c r="C484" s="293" t="n">
        <v>5181.23415953</v>
      </c>
      <c r="D484" s="221" t="n">
        <f aca="false">B484*C484*12/1000000</f>
        <v>19.3285349393221</v>
      </c>
      <c r="E484" s="253" t="n">
        <f aca="false">B484/B487</f>
        <v>0.0327509129315103</v>
      </c>
      <c r="F484" s="253" t="n">
        <f aca="false">IF(D487&gt;0,D484/D487,0)</f>
        <v>0.378405652040085</v>
      </c>
      <c r="G484" s="223"/>
      <c r="H484" s="223"/>
      <c r="I484" s="223" t="s">
        <v>1500</v>
      </c>
    </row>
    <row r="485" customFormat="false" ht="12.75" hidden="false" customHeight="true" outlineLevel="0" collapsed="false">
      <c r="A485" s="223" t="s">
        <v>1281</v>
      </c>
      <c r="B485" s="323" t="n">
        <v>62.17480991</v>
      </c>
      <c r="C485" s="293" t="n">
        <v>31087.4049572</v>
      </c>
      <c r="D485" s="221" t="n">
        <f aca="false">B485*C485*12/1000000</f>
        <v>23.1942419257092</v>
      </c>
      <c r="E485" s="253" t="n">
        <f aca="false">B485/B487</f>
        <v>0.00655018258588065</v>
      </c>
      <c r="F485" s="253" t="n">
        <f aca="false">IF(D487&gt;0,D485/D487,0)</f>
        <v>0.454086782419181</v>
      </c>
      <c r="G485" s="223"/>
      <c r="H485" s="223"/>
      <c r="I485" s="223" t="s">
        <v>1501</v>
      </c>
    </row>
    <row r="486" customFormat="false" ht="12.75" hidden="false" customHeight="true" outlineLevel="0" collapsed="false">
      <c r="A486" s="223" t="s">
        <v>1283</v>
      </c>
      <c r="B486" s="323" t="n">
        <v>0.05181234</v>
      </c>
      <c r="C486" s="293" t="n">
        <v>8289974.65525252</v>
      </c>
      <c r="D486" s="221" t="n">
        <f aca="false">B486*C486*12/1000000</f>
        <v>5.15427582515192</v>
      </c>
      <c r="E486" s="253" t="n">
        <f aca="false">B486/B487</f>
        <v>5.45848532055009E-006</v>
      </c>
      <c r="F486" s="253" t="n">
        <f aca="false">IF(D487&gt;0,D486/D487,0)</f>
        <v>0.100908170771037</v>
      </c>
      <c r="G486" s="223"/>
      <c r="H486" s="223"/>
      <c r="I486" s="223" t="s">
        <v>1502</v>
      </c>
    </row>
    <row r="487" customFormat="false" ht="12.75" hidden="false" customHeight="true" outlineLevel="0" collapsed="false">
      <c r="A487" s="219" t="s">
        <v>1503</v>
      </c>
      <c r="B487" s="324" t="n">
        <f aca="false">SUM(B482:B486)</f>
        <v>9492.0727926</v>
      </c>
      <c r="C487" s="293"/>
      <c r="D487" s="307" t="n">
        <f aca="false">SUM(D482:D486)</f>
        <v>51.0788748400475</v>
      </c>
      <c r="G487" s="223"/>
      <c r="H487" s="223"/>
      <c r="I487" s="223"/>
    </row>
    <row r="488" customFormat="false" ht="12.75" hidden="false" customHeight="true" outlineLevel="0" collapsed="false">
      <c r="C488" s="293"/>
      <c r="G488" s="223"/>
      <c r="H488" s="223"/>
      <c r="I488" s="223"/>
    </row>
    <row r="489" customFormat="false" ht="12.75" hidden="false" customHeight="true" outlineLevel="0" collapsed="false">
      <c r="A489" s="223" t="s">
        <v>1289</v>
      </c>
      <c r="B489" s="221" t="n">
        <f aca="false">F68-B458</f>
        <v>80.492</v>
      </c>
      <c r="C489" s="223" t="s">
        <v>1087</v>
      </c>
    </row>
    <row r="490" customFormat="false" ht="12.75" hidden="false" customHeight="true" outlineLevel="0" collapsed="false">
      <c r="A490" s="223" t="s">
        <v>1291</v>
      </c>
      <c r="B490" s="283" t="n">
        <f aca="false">B489/D487</f>
        <v>1.57583737410151</v>
      </c>
    </row>
    <row r="491" customFormat="false" ht="12.75" hidden="false" customHeight="true" outlineLevel="0" collapsed="false"/>
    <row r="492" customFormat="false" ht="12.75" hidden="false" customHeight="true" outlineLevel="0" collapsed="false">
      <c r="A492" s="287" t="s">
        <v>1294</v>
      </c>
      <c r="B492" s="287" t="s">
        <v>1504</v>
      </c>
      <c r="C492" s="287" t="s">
        <v>1246</v>
      </c>
      <c r="D492" s="287" t="s">
        <v>1247</v>
      </c>
      <c r="E492" s="287" t="s">
        <v>1296</v>
      </c>
      <c r="F492" s="287" t="s">
        <v>1297</v>
      </c>
      <c r="G492" s="287"/>
      <c r="H492" s="287"/>
      <c r="I492" s="287" t="s">
        <v>6</v>
      </c>
    </row>
    <row r="493" customFormat="false" ht="12.75" hidden="false" customHeight="true" outlineLevel="0" collapsed="false">
      <c r="A493" s="223" t="s">
        <v>1275</v>
      </c>
      <c r="B493" s="309" t="n">
        <v>2.163874873879</v>
      </c>
      <c r="C493" s="304" t="n">
        <f aca="false">D482*1000000000/B493*B490</f>
        <v>600574521.899658</v>
      </c>
      <c r="D493" s="235" t="n">
        <v>2.5</v>
      </c>
      <c r="E493" s="304" t="n">
        <f aca="false">C493*D493/(D493+1)</f>
        <v>428981801.356898</v>
      </c>
      <c r="F493" s="304" t="n">
        <f aca="false">C493/(D493+1)</f>
        <v>171592720.542759</v>
      </c>
      <c r="G493" s="223"/>
      <c r="H493" s="223"/>
      <c r="I493" s="223" t="s">
        <v>1505</v>
      </c>
    </row>
    <row r="494" customFormat="false" ht="12.75" hidden="false" customHeight="true" outlineLevel="0" collapsed="false">
      <c r="A494" s="223" t="s">
        <v>1277</v>
      </c>
      <c r="B494" s="309" t="n">
        <v>2.404305415421</v>
      </c>
      <c r="C494" s="304" t="n">
        <f aca="false">D483*1000000000/B494*B490</f>
        <v>1689115841.90763</v>
      </c>
      <c r="D494" s="235" t="n">
        <v>3</v>
      </c>
      <c r="E494" s="304" t="n">
        <f aca="false">C494*D494/(D494+1)</f>
        <v>1266836881.43073</v>
      </c>
      <c r="F494" s="304" t="n">
        <f aca="false">C494/(D494+1)</f>
        <v>422278960.476909</v>
      </c>
      <c r="G494" s="223"/>
      <c r="H494" s="223"/>
      <c r="I494" s="223" t="s">
        <v>1506</v>
      </c>
    </row>
    <row r="495" customFormat="false" ht="12.75" hidden="false" customHeight="true" outlineLevel="0" collapsed="false">
      <c r="A495" s="223" t="s">
        <v>1279</v>
      </c>
      <c r="B495" s="309" t="n">
        <v>2.404305415421</v>
      </c>
      <c r="C495" s="304" t="n">
        <f aca="false">D484*1000000000/B495*B490</f>
        <v>12668368813.9833</v>
      </c>
      <c r="D495" s="235" t="n">
        <v>3</v>
      </c>
      <c r="E495" s="304" t="n">
        <f aca="false">C495*D495/(D495+1)</f>
        <v>9501276610.48747</v>
      </c>
      <c r="F495" s="304" t="n">
        <f aca="false">C495/(D495+1)</f>
        <v>3167092203.49582</v>
      </c>
      <c r="G495" s="223"/>
      <c r="H495" s="223"/>
      <c r="I495" s="223" t="s">
        <v>1507</v>
      </c>
    </row>
    <row r="496" customFormat="false" ht="12.75" hidden="false" customHeight="true" outlineLevel="0" collapsed="false">
      <c r="A496" s="223" t="s">
        <v>1281</v>
      </c>
      <c r="B496" s="309" t="n">
        <v>2.404305415421</v>
      </c>
      <c r="C496" s="304" t="n">
        <f aca="false">D485*1000000000/B496*B490</f>
        <v>15202042575.8117</v>
      </c>
      <c r="D496" s="235" t="n">
        <v>3</v>
      </c>
      <c r="E496" s="304" t="n">
        <f aca="false">C496*D496/(D496+1)</f>
        <v>11401531931.8588</v>
      </c>
      <c r="F496" s="304" t="n">
        <f aca="false">C496/(D496+1)</f>
        <v>3800510643.95293</v>
      </c>
      <c r="G496" s="223"/>
      <c r="H496" s="223"/>
      <c r="I496" s="223" t="s">
        <v>1508</v>
      </c>
    </row>
    <row r="497" customFormat="false" ht="12.75" hidden="false" customHeight="true" outlineLevel="0" collapsed="false">
      <c r="A497" s="223" t="s">
        <v>1283</v>
      </c>
      <c r="B497" s="309" t="n">
        <v>2.404305415421</v>
      </c>
      <c r="C497" s="304" t="n">
        <f aca="false">D486*1000000000/B497*B490</f>
        <v>3378231579.73466</v>
      </c>
      <c r="D497" s="235" t="n">
        <v>3</v>
      </c>
      <c r="E497" s="304" t="n">
        <f aca="false">C497*D497/(D497+1)</f>
        <v>2533673684.80099</v>
      </c>
      <c r="F497" s="304" t="n">
        <f aca="false">C497/(D497+1)</f>
        <v>844557894.933664</v>
      </c>
      <c r="G497" s="223"/>
      <c r="H497" s="223"/>
      <c r="I497" s="223" t="s">
        <v>1509</v>
      </c>
    </row>
    <row r="498" customFormat="false" ht="12.75" hidden="false" customHeight="true" outlineLevel="0" collapsed="false">
      <c r="A498" s="219" t="s">
        <v>1308</v>
      </c>
      <c r="B498" s="309" t="n">
        <v>2</v>
      </c>
      <c r="C498" s="311" t="n">
        <f aca="false">SUM(C493:C497)</f>
        <v>33538333333.337</v>
      </c>
      <c r="E498" s="311" t="n">
        <f aca="false">SUM(E493:E497)</f>
        <v>25132300909.9349</v>
      </c>
      <c r="F498" s="311" t="n">
        <f aca="false">SUM(F493:F497)</f>
        <v>8406032423.40208</v>
      </c>
      <c r="G498" s="223"/>
      <c r="H498" s="223"/>
      <c r="I498" s="223" t="s">
        <v>1510</v>
      </c>
    </row>
    <row r="499" customFormat="false" ht="12.75" hidden="false" customHeight="true" outlineLevel="0" collapsed="false">
      <c r="A499" s="292" t="s">
        <v>1471</v>
      </c>
      <c r="B499" s="321" t="n">
        <v>2.4</v>
      </c>
      <c r="C499" s="251"/>
      <c r="D499" s="251"/>
      <c r="E499" s="251"/>
      <c r="F499" s="251"/>
      <c r="G499" s="251"/>
      <c r="H499" s="251"/>
      <c r="I499" s="251" t="s">
        <v>1511</v>
      </c>
    </row>
    <row r="500" customFormat="false" ht="12.75" hidden="false" customHeight="true" outlineLevel="0" collapsed="false">
      <c r="A500" s="287" t="s">
        <v>1512</v>
      </c>
      <c r="B500" s="288"/>
      <c r="C500" s="288"/>
      <c r="D500" s="288"/>
      <c r="E500" s="288"/>
      <c r="F500" s="288"/>
      <c r="G500" s="288"/>
      <c r="H500" s="288"/>
      <c r="I500" s="288" t="s">
        <v>1513</v>
      </c>
    </row>
    <row r="501" customFormat="false" ht="12.75" hidden="false" customHeight="true" outlineLevel="0" collapsed="false">
      <c r="A501" s="287" t="s">
        <v>1339</v>
      </c>
      <c r="B501" s="287" t="s">
        <v>1340</v>
      </c>
      <c r="C501" s="287" t="s">
        <v>1297</v>
      </c>
      <c r="D501" s="287" t="s">
        <v>1342</v>
      </c>
      <c r="E501" s="287" t="s">
        <v>917</v>
      </c>
      <c r="F501" s="287" t="s">
        <v>1343</v>
      </c>
      <c r="G501" s="287" t="s">
        <v>1344</v>
      </c>
      <c r="H501" s="287"/>
      <c r="I501" s="287" t="s">
        <v>1514</v>
      </c>
    </row>
    <row r="502" customFormat="false" ht="12.75" hidden="false" customHeight="true" outlineLevel="0" collapsed="false">
      <c r="A502" s="223" t="s">
        <v>1345</v>
      </c>
      <c r="B502" s="243" t="n">
        <f aca="false">D502-C502</f>
        <v>10878564285.7143</v>
      </c>
      <c r="C502" s="243" t="n">
        <f aca="false">SUMPRODUCT(D468:D472,1/(1+E468:E472))</f>
        <v>5849385714.28571</v>
      </c>
      <c r="D502" s="243" t="n">
        <f aca="false">D473</f>
        <v>16727950000</v>
      </c>
      <c r="E502" s="221" t="n">
        <f aca="false">B458</f>
        <v>61.008</v>
      </c>
      <c r="F502" s="253" t="n">
        <f aca="false">D502/D504</f>
        <v>0.332786689023159</v>
      </c>
      <c r="G502" s="221" t="n">
        <f aca="false">E502*1000000000/D502</f>
        <v>3.64706972462256</v>
      </c>
      <c r="H502" s="221"/>
      <c r="I502" s="221" t="n">
        <f aca="false">E502*1000000000/D502</f>
        <v>3.64706972462256</v>
      </c>
    </row>
    <row r="503" customFormat="false" ht="12.75" hidden="false" customHeight="true" outlineLevel="0" collapsed="false">
      <c r="A503" s="223" t="s">
        <v>1346</v>
      </c>
      <c r="B503" s="304" t="n">
        <f aca="false">D503*C444/(C444+1)</f>
        <v>25153750000</v>
      </c>
      <c r="C503" s="304" t="n">
        <f aca="false">D503/(C444+1)</f>
        <v>8384583333.33333</v>
      </c>
      <c r="D503" s="304" t="n">
        <f aca="false">B489*1000000000/B499</f>
        <v>33538333333.3333</v>
      </c>
      <c r="E503" s="221" t="n">
        <f aca="false">B489</f>
        <v>80.492</v>
      </c>
      <c r="F503" s="253" t="n">
        <f aca="false">D503/D504</f>
        <v>0.667213310976841</v>
      </c>
      <c r="G503" s="313" t="n">
        <f aca="false">E503*1000000000/D503</f>
        <v>2.4</v>
      </c>
      <c r="H503" s="313"/>
      <c r="I503" s="313" t="n">
        <f aca="false">E503*1000000000/D503</f>
        <v>2.4</v>
      </c>
    </row>
    <row r="504" customFormat="false" ht="12.75" hidden="false" customHeight="true" outlineLevel="0" collapsed="false">
      <c r="A504" s="292" t="s">
        <v>1347</v>
      </c>
      <c r="B504" s="314" t="n">
        <f aca="false">B502+B503</f>
        <v>36032314285.7143</v>
      </c>
      <c r="C504" s="314" t="n">
        <f aca="false">C502+C503</f>
        <v>14233969047.6191</v>
      </c>
      <c r="D504" s="314" t="n">
        <f aca="false">D502+D503</f>
        <v>50266283333.3333</v>
      </c>
      <c r="E504" s="298" t="n">
        <f aca="false">E502+E503</f>
        <v>141.5</v>
      </c>
      <c r="F504" s="299" t="n">
        <v>1</v>
      </c>
      <c r="G504" s="298" t="n">
        <f aca="false">E504*1000000000/D504</f>
        <v>2.81500820463817</v>
      </c>
      <c r="H504" s="298"/>
      <c r="I504" s="298" t="n">
        <f aca="false">E504*1000000000/D504</f>
        <v>2.81500820463817</v>
      </c>
    </row>
    <row r="505" customFormat="false" ht="12.75" hidden="false" customHeight="true" outlineLevel="0" collapsed="false">
      <c r="E505" s="223"/>
    </row>
    <row r="506" customFormat="false" ht="12.75" hidden="false" customHeight="true" outlineLevel="0" collapsed="false">
      <c r="A506" s="223" t="s">
        <v>1349</v>
      </c>
      <c r="B506" s="283" t="n">
        <f aca="false">D504/1000000</f>
        <v>50266.2833333333</v>
      </c>
      <c r="C506" s="223" t="s">
        <v>1315</v>
      </c>
    </row>
    <row r="507" customFormat="false" ht="12.75" hidden="false" customHeight="true" outlineLevel="0" collapsed="false"/>
    <row r="508" customFormat="false" ht="12.75" hidden="false" customHeight="true" outlineLevel="0" collapsed="false">
      <c r="A508" s="287" t="s">
        <v>1515</v>
      </c>
      <c r="B508" s="288"/>
      <c r="C508" s="288"/>
      <c r="D508" s="288"/>
      <c r="E508" s="288"/>
      <c r="F508" s="288"/>
      <c r="G508" s="288"/>
      <c r="H508" s="288"/>
      <c r="I508" s="288"/>
    </row>
    <row r="509" customFormat="false" ht="12.75" hidden="false" customHeight="true" outlineLevel="0" collapsed="false"/>
    <row r="510" customFormat="false" ht="12.75" hidden="false" customHeight="true" outlineLevel="0" collapsed="false">
      <c r="A510" s="289" t="s">
        <v>1516</v>
      </c>
      <c r="B510" s="289" t="s">
        <v>1198</v>
      </c>
      <c r="C510" s="289" t="s">
        <v>1199</v>
      </c>
      <c r="D510" s="289" t="s">
        <v>680</v>
      </c>
      <c r="E510" s="289"/>
      <c r="F510" s="289"/>
      <c r="G510" s="289"/>
      <c r="H510" s="289"/>
      <c r="I510" s="289" t="s">
        <v>6</v>
      </c>
    </row>
    <row r="511" customFormat="false" ht="12.75" hidden="false" customHeight="true" outlineLevel="0" collapsed="false"/>
    <row r="512" customFormat="false" ht="12.75" hidden="false" customHeight="true" outlineLevel="0" collapsed="false">
      <c r="A512" s="223" t="s">
        <v>1202</v>
      </c>
      <c r="B512" s="235" t="n">
        <v>0</v>
      </c>
      <c r="C512" s="309" t="n">
        <v>0.6</v>
      </c>
      <c r="D512" s="223" t="s">
        <v>890</v>
      </c>
      <c r="G512" s="223"/>
      <c r="H512" s="223"/>
      <c r="I512" s="223" t="s">
        <v>1517</v>
      </c>
    </row>
    <row r="513" customFormat="false" ht="12.75" hidden="false" customHeight="true" outlineLevel="0" collapsed="false">
      <c r="A513" s="223" t="s">
        <v>1204</v>
      </c>
      <c r="B513" s="235" t="n">
        <v>0</v>
      </c>
      <c r="C513" s="309" t="n">
        <v>5</v>
      </c>
      <c r="D513" s="223" t="s">
        <v>890</v>
      </c>
      <c r="G513" s="223"/>
      <c r="H513" s="223"/>
      <c r="I513" s="223" t="s">
        <v>1518</v>
      </c>
    </row>
    <row r="514" customFormat="false" ht="12.75" hidden="false" customHeight="true" outlineLevel="0" collapsed="false">
      <c r="A514" s="223" t="s">
        <v>1205</v>
      </c>
      <c r="B514" s="234" t="n">
        <v>1.5</v>
      </c>
      <c r="C514" s="234" t="n">
        <v>2.5</v>
      </c>
      <c r="D514" s="223" t="s">
        <v>1206</v>
      </c>
      <c r="G514" s="223"/>
      <c r="H514" s="223"/>
      <c r="I514" s="223" t="s">
        <v>1519</v>
      </c>
    </row>
    <row r="515" customFormat="false" ht="12.75" hidden="false" customHeight="true" outlineLevel="0" collapsed="false"/>
    <row r="516" customFormat="false" ht="12.75" hidden="false" customHeight="true" outlineLevel="0" collapsed="false">
      <c r="A516" s="289" t="s">
        <v>1520</v>
      </c>
      <c r="B516" s="272"/>
      <c r="C516" s="272"/>
      <c r="D516" s="272"/>
      <c r="E516" s="272"/>
      <c r="F516" s="272"/>
      <c r="G516" s="272"/>
      <c r="H516" s="272"/>
      <c r="I516" s="272"/>
    </row>
    <row r="517" customFormat="false" ht="12.75" hidden="false" customHeight="true" outlineLevel="0" collapsed="false">
      <c r="A517" s="289" t="s">
        <v>1521</v>
      </c>
      <c r="B517" s="272"/>
      <c r="C517" s="272"/>
      <c r="D517" s="272"/>
      <c r="E517" s="272"/>
      <c r="F517" s="272"/>
      <c r="G517" s="272"/>
      <c r="H517" s="272"/>
      <c r="I517" s="272"/>
    </row>
    <row r="518" customFormat="false" ht="12.75" hidden="false" customHeight="true" outlineLevel="0" collapsed="false">
      <c r="A518" s="287" t="s">
        <v>85</v>
      </c>
      <c r="B518" s="287" t="s">
        <v>1209</v>
      </c>
      <c r="C518" s="287" t="s">
        <v>1210</v>
      </c>
      <c r="D518" s="287" t="s">
        <v>1211</v>
      </c>
      <c r="E518" s="287" t="s">
        <v>1212</v>
      </c>
      <c r="F518" s="287" t="s">
        <v>1213</v>
      </c>
      <c r="G518" s="287"/>
      <c r="H518" s="287"/>
      <c r="I518" s="287" t="s">
        <v>681</v>
      </c>
    </row>
    <row r="519" customFormat="false" ht="12.75" hidden="false" customHeight="true" outlineLevel="0" collapsed="false">
      <c r="A519" s="223" t="s">
        <v>1214</v>
      </c>
      <c r="B519" s="238" t="n">
        <v>2550</v>
      </c>
      <c r="C519" s="293" t="n">
        <v>0</v>
      </c>
      <c r="D519" s="221" t="n">
        <f aca="false">B519*C519*12/1000</f>
        <v>0</v>
      </c>
      <c r="E519" s="322" t="s">
        <v>1215</v>
      </c>
      <c r="F519" s="253" t="n">
        <f aca="false">IF(D524&gt;0,D519/D524,0)</f>
        <v>0</v>
      </c>
      <c r="G519" s="223"/>
      <c r="H519" s="223"/>
      <c r="I519" s="223" t="s">
        <v>1522</v>
      </c>
    </row>
    <row r="520" customFormat="false" ht="12.75" hidden="false" customHeight="true" outlineLevel="0" collapsed="false">
      <c r="A520" s="223" t="s">
        <v>1217</v>
      </c>
      <c r="B520" s="295" t="n">
        <v>50</v>
      </c>
      <c r="C520" s="296" t="n">
        <v>8</v>
      </c>
      <c r="D520" s="221" t="n">
        <f aca="false">B520*C520*12/1000</f>
        <v>4.8</v>
      </c>
      <c r="E520" s="253" t="n">
        <f aca="false">B520/B524</f>
        <v>0.210970464135021</v>
      </c>
      <c r="F520" s="253" t="n">
        <f aca="false">IF(D524&gt;0,D520/D524,0)</f>
        <v>0.0517799352750809</v>
      </c>
      <c r="G520" s="223"/>
      <c r="H520" s="223"/>
      <c r="I520" s="223" t="s">
        <v>1523</v>
      </c>
    </row>
    <row r="521" customFormat="false" ht="12.75" hidden="false" customHeight="true" outlineLevel="0" collapsed="false">
      <c r="A521" s="223" t="s">
        <v>1219</v>
      </c>
      <c r="B521" s="295" t="n">
        <v>120</v>
      </c>
      <c r="C521" s="296" t="n">
        <v>25</v>
      </c>
      <c r="D521" s="221" t="n">
        <f aca="false">B521*C521*12/1000</f>
        <v>36</v>
      </c>
      <c r="E521" s="253" t="n">
        <f aca="false">B521/B524</f>
        <v>0.506329113924051</v>
      </c>
      <c r="F521" s="253" t="n">
        <f aca="false">IF(D524&gt;0,D521/D524,0)</f>
        <v>0.388349514563107</v>
      </c>
      <c r="G521" s="223"/>
      <c r="H521" s="223"/>
      <c r="I521" s="223" t="s">
        <v>1524</v>
      </c>
    </row>
    <row r="522" customFormat="false" ht="12.75" hidden="false" customHeight="true" outlineLevel="0" collapsed="false">
      <c r="A522" s="223" t="s">
        <v>1221</v>
      </c>
      <c r="B522" s="295" t="n">
        <v>12</v>
      </c>
      <c r="C522" s="296" t="n">
        <v>200</v>
      </c>
      <c r="D522" s="221" t="n">
        <f aca="false">B522*C522*12/1000</f>
        <v>28.8</v>
      </c>
      <c r="E522" s="253" t="n">
        <f aca="false">B522/B524</f>
        <v>0.0506329113924051</v>
      </c>
      <c r="F522" s="253" t="n">
        <f aca="false">IF(D524&gt;0,D522/D524,0)</f>
        <v>0.310679611650485</v>
      </c>
      <c r="G522" s="223"/>
      <c r="H522" s="223"/>
      <c r="I522" s="223" t="s">
        <v>1525</v>
      </c>
    </row>
    <row r="523" customFormat="false" ht="12.75" hidden="false" customHeight="true" outlineLevel="0" collapsed="false">
      <c r="A523" s="223" t="s">
        <v>1223</v>
      </c>
      <c r="B523" s="295" t="n">
        <v>55</v>
      </c>
      <c r="C523" s="296" t="n">
        <v>35</v>
      </c>
      <c r="D523" s="221" t="n">
        <f aca="false">B523*C523*12/1000</f>
        <v>23.1</v>
      </c>
      <c r="E523" s="253" t="n">
        <f aca="false">B523/B524</f>
        <v>0.232067510548523</v>
      </c>
      <c r="F523" s="253" t="n">
        <f aca="false">IF(D524&gt;0,D523/D524,0)</f>
        <v>0.249190938511327</v>
      </c>
      <c r="G523" s="223"/>
      <c r="H523" s="223"/>
      <c r="I523" s="223" t="s">
        <v>1526</v>
      </c>
    </row>
    <row r="524" customFormat="false" ht="12.75" hidden="false" customHeight="true" outlineLevel="0" collapsed="false">
      <c r="A524" s="292" t="s">
        <v>1225</v>
      </c>
      <c r="B524" s="297" t="n">
        <f aca="false">SUM(B520:B523)</f>
        <v>237</v>
      </c>
      <c r="C524" s="251"/>
      <c r="D524" s="298" t="n">
        <f aca="false">SUM(D520:D523)</f>
        <v>92.7</v>
      </c>
      <c r="E524" s="299" t="n">
        <v>1</v>
      </c>
      <c r="F524" s="300" t="n">
        <f aca="false">SUM(F520:F523)</f>
        <v>1</v>
      </c>
      <c r="G524" s="251"/>
      <c r="H524" s="251"/>
      <c r="I524" s="251"/>
    </row>
    <row r="525" customFormat="false" ht="12.75" hidden="false" customHeight="true" outlineLevel="0" collapsed="false"/>
    <row r="526" customFormat="false" ht="12.75" hidden="false" customHeight="true" outlineLevel="0" collapsed="false">
      <c r="A526" s="223" t="s">
        <v>1227</v>
      </c>
      <c r="B526" s="222" t="n">
        <f aca="false">D524*1000/B524/12</f>
        <v>32.5949367088608</v>
      </c>
    </row>
    <row r="527" customFormat="false" ht="12.75" hidden="false" customHeight="true" outlineLevel="0" collapsed="false">
      <c r="A527" s="223" t="s">
        <v>1230</v>
      </c>
      <c r="B527" s="253" t="n">
        <f aca="false">B524/(B524+B519)</f>
        <v>0.085037674919268</v>
      </c>
    </row>
    <row r="528" customFormat="false" ht="12.75" hidden="false" customHeight="true" outlineLevel="0" collapsed="false">
      <c r="A528" s="292" t="s">
        <v>1232</v>
      </c>
      <c r="B528" s="298" t="n">
        <f aca="false">D524</f>
        <v>92.7</v>
      </c>
      <c r="C528" s="251" t="s">
        <v>1087</v>
      </c>
      <c r="D528" s="251"/>
      <c r="E528" s="251"/>
      <c r="F528" s="251"/>
      <c r="G528" s="251"/>
      <c r="H528" s="251"/>
      <c r="I528" s="251"/>
    </row>
    <row r="529" customFormat="false" ht="12.75" hidden="false" customHeight="true" outlineLevel="0" collapsed="false"/>
    <row r="530" customFormat="false" ht="12.75" hidden="false" customHeight="true" outlineLevel="0" collapsed="false">
      <c r="A530" s="289" t="s">
        <v>1527</v>
      </c>
      <c r="B530" s="272"/>
      <c r="C530" s="272"/>
      <c r="D530" s="272"/>
      <c r="E530" s="272"/>
      <c r="F530" s="272"/>
      <c r="G530" s="272"/>
      <c r="H530" s="272"/>
      <c r="I530" s="272"/>
    </row>
    <row r="531" customFormat="false" ht="12.75" hidden="false" customHeight="true" outlineLevel="0" collapsed="false">
      <c r="A531" s="223" t="s">
        <v>1366</v>
      </c>
      <c r="B531" s="233" t="n">
        <v>0.5</v>
      </c>
      <c r="G531" s="223"/>
      <c r="H531" s="223"/>
      <c r="I531" s="223" t="s">
        <v>1528</v>
      </c>
    </row>
    <row r="532" customFormat="false" ht="12.75" hidden="false" customHeight="true" outlineLevel="0" collapsed="false">
      <c r="A532" s="223" t="s">
        <v>1529</v>
      </c>
      <c r="B532" s="305" t="n">
        <f aca="false">G60</f>
        <v>43.617739485636</v>
      </c>
      <c r="C532" s="223" t="s">
        <v>1087</v>
      </c>
      <c r="G532" s="223"/>
      <c r="H532" s="223"/>
      <c r="I532" s="223" t="s">
        <v>1530</v>
      </c>
    </row>
    <row r="533" customFormat="false" ht="12.75" hidden="false" customHeight="true" outlineLevel="0" collapsed="false">
      <c r="A533" s="223" t="s">
        <v>1237</v>
      </c>
      <c r="B533" s="305" t="n">
        <f aca="false">Revenue_Model!B47/(G103/G94)</f>
        <v>0.0481655431238068</v>
      </c>
      <c r="C533" s="223" t="s">
        <v>890</v>
      </c>
      <c r="G533" s="223"/>
      <c r="H533" s="223"/>
      <c r="I533" s="223" t="s">
        <v>1531</v>
      </c>
    </row>
    <row r="534" customFormat="false" ht="12.75" hidden="false" customHeight="true" outlineLevel="0" collapsed="false">
      <c r="A534" s="223" t="s">
        <v>1239</v>
      </c>
      <c r="B534" s="221" t="n">
        <f aca="false">B532*B531</f>
        <v>21.808869742818</v>
      </c>
    </row>
    <row r="535" customFormat="false" ht="12.75" hidden="false" customHeight="true" outlineLevel="0" collapsed="false">
      <c r="A535" s="292" t="s">
        <v>1241</v>
      </c>
      <c r="B535" s="303" t="n">
        <f aca="false">B534*1000000000/B533</f>
        <v>452789864463.057</v>
      </c>
      <c r="C535" s="251"/>
      <c r="D535" s="251"/>
      <c r="E535" s="251"/>
      <c r="F535" s="251"/>
      <c r="G535" s="251"/>
      <c r="H535" s="251"/>
      <c r="I535" s="251"/>
    </row>
    <row r="536" customFormat="false" ht="12.75" hidden="false" customHeight="true" outlineLevel="0" collapsed="false"/>
    <row r="537" customFormat="false" ht="12.75" hidden="false" customHeight="true" outlineLevel="0" collapsed="false">
      <c r="A537" s="287" t="s">
        <v>1243</v>
      </c>
      <c r="B537" s="287" t="s">
        <v>1244</v>
      </c>
      <c r="C537" s="287" t="s">
        <v>1245</v>
      </c>
      <c r="D537" s="287" t="s">
        <v>1246</v>
      </c>
      <c r="E537" s="287" t="s">
        <v>1247</v>
      </c>
      <c r="F537" s="287" t="s">
        <v>1248</v>
      </c>
      <c r="G537" s="287"/>
      <c r="H537" s="287"/>
      <c r="I537" s="287" t="s">
        <v>6</v>
      </c>
    </row>
    <row r="538" customFormat="false" ht="12.75" hidden="false" customHeight="true" outlineLevel="0" collapsed="false">
      <c r="A538" s="223" t="s">
        <v>1249</v>
      </c>
      <c r="B538" s="238" t="n">
        <v>10000</v>
      </c>
      <c r="C538" s="253" t="n">
        <f aca="false">D538/D543</f>
        <v>0.325878594249201</v>
      </c>
      <c r="D538" s="304" t="n">
        <f aca="false">B538*B519*1000000*365/1000000</f>
        <v>9307500000</v>
      </c>
      <c r="E538" s="234" t="n">
        <v>1.5</v>
      </c>
      <c r="F538" s="253" t="n">
        <f aca="false">D538/D543</f>
        <v>0.325878594249201</v>
      </c>
      <c r="G538" s="223"/>
      <c r="H538" s="223"/>
      <c r="I538" s="223" t="s">
        <v>1532</v>
      </c>
    </row>
    <row r="539" customFormat="false" ht="12.75" hidden="false" customHeight="true" outlineLevel="0" collapsed="false">
      <c r="A539" s="223" t="s">
        <v>1251</v>
      </c>
      <c r="B539" s="238" t="n">
        <v>50000</v>
      </c>
      <c r="C539" s="253" t="n">
        <f aca="false">D539/D543</f>
        <v>0.0319488817891374</v>
      </c>
      <c r="D539" s="304" t="n">
        <f aca="false">B539*B520*1000000*365/1000000</f>
        <v>912500000</v>
      </c>
      <c r="E539" s="234" t="n">
        <v>1.8</v>
      </c>
      <c r="F539" s="253" t="n">
        <f aca="false">D539/D543</f>
        <v>0.0319488817891374</v>
      </c>
      <c r="G539" s="223"/>
      <c r="H539" s="223"/>
      <c r="I539" s="223" t="s">
        <v>1533</v>
      </c>
    </row>
    <row r="540" customFormat="false" ht="12.75" hidden="false" customHeight="true" outlineLevel="0" collapsed="false">
      <c r="A540" s="223" t="s">
        <v>1253</v>
      </c>
      <c r="B540" s="238" t="n">
        <v>200000</v>
      </c>
      <c r="C540" s="253" t="n">
        <f aca="false">D540/D543</f>
        <v>0.306709265175719</v>
      </c>
      <c r="D540" s="304" t="n">
        <f aca="false">B540*B521*1000000*365/1000000</f>
        <v>8760000000</v>
      </c>
      <c r="E540" s="234" t="n">
        <v>1.5</v>
      </c>
      <c r="F540" s="253" t="n">
        <f aca="false">D540/D543</f>
        <v>0.306709265175719</v>
      </c>
      <c r="G540" s="223"/>
      <c r="H540" s="223"/>
      <c r="I540" s="223" t="s">
        <v>1534</v>
      </c>
    </row>
    <row r="541" customFormat="false" ht="12.75" hidden="false" customHeight="true" outlineLevel="0" collapsed="false">
      <c r="A541" s="223" t="s">
        <v>1255</v>
      </c>
      <c r="B541" s="238" t="n">
        <v>1500000</v>
      </c>
      <c r="C541" s="253" t="n">
        <f aca="false">D541/D543</f>
        <v>0.230031948881789</v>
      </c>
      <c r="D541" s="304" t="n">
        <f aca="false">B541*B522*1000000*365/1000000</f>
        <v>6570000000</v>
      </c>
      <c r="E541" s="234" t="n">
        <v>2</v>
      </c>
      <c r="F541" s="253" t="n">
        <f aca="false">D541/D543</f>
        <v>0.230031948881789</v>
      </c>
      <c r="G541" s="223"/>
      <c r="H541" s="223"/>
      <c r="I541" s="223" t="s">
        <v>1535</v>
      </c>
    </row>
    <row r="542" customFormat="false" ht="12.75" hidden="false" customHeight="true" outlineLevel="0" collapsed="false">
      <c r="A542" s="223" t="s">
        <v>1257</v>
      </c>
      <c r="B542" s="238" t="n">
        <v>150000</v>
      </c>
      <c r="C542" s="253" t="n">
        <f aca="false">D542/D543</f>
        <v>0.105431309904153</v>
      </c>
      <c r="D542" s="304" t="n">
        <f aca="false">B542*B523*1000000*365/1000000</f>
        <v>3011250000</v>
      </c>
      <c r="E542" s="234" t="n">
        <v>1.8</v>
      </c>
      <c r="F542" s="253" t="n">
        <f aca="false">D542/D543</f>
        <v>0.105431309904153</v>
      </c>
      <c r="G542" s="223"/>
      <c r="H542" s="223"/>
      <c r="I542" s="223" t="s">
        <v>1536</v>
      </c>
    </row>
    <row r="543" customFormat="false" ht="12.75" hidden="false" customHeight="true" outlineLevel="0" collapsed="false">
      <c r="A543" s="292" t="s">
        <v>1259</v>
      </c>
      <c r="B543" s="251"/>
      <c r="C543" s="300" t="n">
        <f aca="false">SUM(C538:C542)</f>
        <v>1</v>
      </c>
      <c r="D543" s="303" t="n">
        <f aca="false">SUM(D538:D542)</f>
        <v>28561250000</v>
      </c>
      <c r="E543" s="251"/>
      <c r="F543" s="300" t="n">
        <f aca="false">SUM(F538:F542)</f>
        <v>1</v>
      </c>
      <c r="G543" s="251"/>
      <c r="H543" s="251"/>
      <c r="I543" s="251"/>
    </row>
    <row r="544" customFormat="false" ht="12.75" hidden="false" customHeight="true" outlineLevel="0" collapsed="false"/>
    <row r="545" customFormat="false" ht="12.75" hidden="false" customHeight="true" outlineLevel="0" collapsed="false">
      <c r="A545" s="316" t="s">
        <v>1537</v>
      </c>
      <c r="B545" s="318"/>
      <c r="C545" s="318"/>
      <c r="D545" s="318"/>
      <c r="E545" s="318"/>
      <c r="F545" s="318"/>
      <c r="G545" s="318"/>
      <c r="H545" s="318"/>
      <c r="I545" s="318"/>
    </row>
    <row r="546" customFormat="false" ht="12.75" hidden="false" customHeight="true" outlineLevel="0" collapsed="false">
      <c r="A546" s="223" t="s">
        <v>1494</v>
      </c>
      <c r="B546" s="304" t="n">
        <f aca="false">D543</f>
        <v>28561250000</v>
      </c>
      <c r="C546" s="223" t="s">
        <v>1325</v>
      </c>
    </row>
    <row r="547" customFormat="false" ht="12.75" hidden="false" customHeight="true" outlineLevel="0" collapsed="false">
      <c r="A547" s="223" t="s">
        <v>1495</v>
      </c>
      <c r="B547" s="304" t="n">
        <f aca="false">B534*1000000000/B533</f>
        <v>452789864463.057</v>
      </c>
      <c r="C547" s="223" t="s">
        <v>1325</v>
      </c>
    </row>
    <row r="548" customFormat="false" ht="12.75" hidden="false" customHeight="true" outlineLevel="0" collapsed="false">
      <c r="A548" s="292" t="s">
        <v>1496</v>
      </c>
      <c r="B548" s="312" t="n">
        <f aca="false">B547/B546</f>
        <v>15.8532929918353</v>
      </c>
      <c r="C548" s="251"/>
      <c r="D548" s="251"/>
      <c r="E548" s="251"/>
      <c r="F548" s="251"/>
      <c r="G548" s="251"/>
      <c r="H548" s="251"/>
      <c r="I548" s="251"/>
    </row>
    <row r="549" customFormat="false" ht="12.75" hidden="false" customHeight="true" outlineLevel="0" collapsed="false"/>
    <row r="550" customFormat="false" ht="12.75" hidden="false" customHeight="true" outlineLevel="0" collapsed="false">
      <c r="A550" s="316" t="s">
        <v>1538</v>
      </c>
      <c r="B550" s="318"/>
      <c r="C550" s="318"/>
      <c r="D550" s="318"/>
      <c r="E550" s="318"/>
      <c r="F550" s="318"/>
      <c r="G550" s="318"/>
      <c r="H550" s="318"/>
      <c r="I550" s="318"/>
    </row>
    <row r="551" customFormat="false" ht="12.75" hidden="false" customHeight="true" outlineLevel="0" collapsed="false">
      <c r="A551" s="287" t="s">
        <v>85</v>
      </c>
      <c r="B551" s="287" t="s">
        <v>1271</v>
      </c>
      <c r="C551" s="287" t="s">
        <v>1272</v>
      </c>
      <c r="D551" s="287" t="s">
        <v>1211</v>
      </c>
      <c r="E551" s="287" t="s">
        <v>1273</v>
      </c>
      <c r="F551" s="287" t="s">
        <v>1274</v>
      </c>
      <c r="G551" s="287"/>
      <c r="H551" s="287"/>
      <c r="I551" s="287" t="s">
        <v>681</v>
      </c>
    </row>
    <row r="552" customFormat="false" ht="12.75" hidden="false" customHeight="true" outlineLevel="0" collapsed="false">
      <c r="A552" s="223" t="s">
        <v>1275</v>
      </c>
      <c r="B552" s="323" t="n">
        <v>11442.92594384</v>
      </c>
      <c r="C552" s="293" t="n">
        <v>9.53577162</v>
      </c>
      <c r="D552" s="221" t="n">
        <f aca="false">B552*C552*12/1000000</f>
        <v>1.30940554158037</v>
      </c>
      <c r="E552" s="253" t="n">
        <f aca="false">B552/B557</f>
        <v>0.877186570273865</v>
      </c>
      <c r="F552" s="253" t="n">
        <f aca="false">IF(D557&gt;0,D552/D557,0)</f>
        <v>0.0151133500502341</v>
      </c>
      <c r="G552" s="223"/>
      <c r="H552" s="223"/>
      <c r="I552" s="223" t="s">
        <v>1539</v>
      </c>
    </row>
    <row r="553" customFormat="false" ht="12.75" hidden="false" customHeight="true" outlineLevel="0" collapsed="false">
      <c r="A553" s="223" t="s">
        <v>1277</v>
      </c>
      <c r="B553" s="323" t="n">
        <v>1144.29259438</v>
      </c>
      <c r="C553" s="293" t="n">
        <v>333.7520067</v>
      </c>
      <c r="D553" s="221" t="n">
        <f aca="false">B553*C553*12/1000000</f>
        <v>4.58291939551529</v>
      </c>
      <c r="E553" s="253" t="n">
        <f aca="false">B553/B557</f>
        <v>0.0877186570270798</v>
      </c>
      <c r="F553" s="253" t="n">
        <f aca="false">IF(D557&gt;0,D553/D557,0)</f>
        <v>0.0528967251756346</v>
      </c>
      <c r="G553" s="223"/>
      <c r="H553" s="223"/>
      <c r="I553" s="223" t="s">
        <v>1540</v>
      </c>
    </row>
    <row r="554" customFormat="false" ht="12.75" hidden="false" customHeight="true" outlineLevel="0" collapsed="false">
      <c r="A554" s="223" t="s">
        <v>1279</v>
      </c>
      <c r="B554" s="323" t="n">
        <v>381.43086479</v>
      </c>
      <c r="C554" s="293" t="n">
        <v>6675.04013391</v>
      </c>
      <c r="D554" s="221" t="n">
        <f aca="false">B554*C554*12/1000000</f>
        <v>30.552795969423</v>
      </c>
      <c r="E554" s="253" t="n">
        <f aca="false">B554/B557</f>
        <v>0.0292395523421044</v>
      </c>
      <c r="F554" s="253" t="n">
        <f aca="false">IF(D557&gt;0,D554/D557,0)</f>
        <v>0.352644834496394</v>
      </c>
      <c r="G554" s="223"/>
      <c r="H554" s="223"/>
      <c r="I554" s="223" t="s">
        <v>1541</v>
      </c>
    </row>
    <row r="555" customFormat="false" ht="12.75" hidden="false" customHeight="true" outlineLevel="0" collapsed="false">
      <c r="A555" s="223" t="s">
        <v>1281</v>
      </c>
      <c r="B555" s="323" t="n">
        <v>76.28617296</v>
      </c>
      <c r="C555" s="293" t="n">
        <v>42910.97228939</v>
      </c>
      <c r="D555" s="221" t="n">
        <f aca="false">B555*C555*12/1000000</f>
        <v>39.2821662474021</v>
      </c>
      <c r="E555" s="253" t="n">
        <f aca="false">B555/B557</f>
        <v>0.0058479104685742</v>
      </c>
      <c r="F555" s="253" t="n">
        <f aca="false">IF(D557&gt;0,D555/D557,0)</f>
        <v>0.453400501506918</v>
      </c>
      <c r="G555" s="223"/>
      <c r="H555" s="223"/>
      <c r="I555" s="223" t="s">
        <v>1542</v>
      </c>
    </row>
    <row r="556" customFormat="false" ht="12.75" hidden="false" customHeight="true" outlineLevel="0" collapsed="false">
      <c r="A556" s="223" t="s">
        <v>1283</v>
      </c>
      <c r="B556" s="323" t="n">
        <v>0.09535772</v>
      </c>
      <c r="C556" s="293" t="n">
        <v>9535771.61986538</v>
      </c>
      <c r="D556" s="221" t="n">
        <f aca="false">B556*C556*12/1000000</f>
        <v>10.9117132813328</v>
      </c>
      <c r="E556" s="253" t="n">
        <f aca="false">B556/B557</f>
        <v>7.30988837701641E-006</v>
      </c>
      <c r="F556" s="253" t="n">
        <f aca="false">IF(D557&gt;0,D556/D557,0)</f>
        <v>0.125944588770819</v>
      </c>
      <c r="G556" s="223"/>
      <c r="H556" s="223"/>
      <c r="I556" s="223" t="s">
        <v>1543</v>
      </c>
    </row>
    <row r="557" customFormat="false" ht="12.75" hidden="false" customHeight="true" outlineLevel="0" collapsed="false">
      <c r="A557" s="219" t="s">
        <v>1503</v>
      </c>
      <c r="B557" s="324" t="n">
        <f aca="false">SUM(B552:B556)</f>
        <v>13045.03093369</v>
      </c>
      <c r="D557" s="307" t="n">
        <f aca="false">SUM(D552:D556)</f>
        <v>86.6390004352536</v>
      </c>
    </row>
    <row r="558" customFormat="false" ht="12.75" hidden="false" customHeight="true" outlineLevel="0" collapsed="false"/>
    <row r="559" customFormat="false" ht="12.75" hidden="false" customHeight="true" outlineLevel="0" collapsed="false">
      <c r="A559" s="223" t="s">
        <v>1289</v>
      </c>
      <c r="B559" s="221" t="n">
        <f aca="false">G68-B528</f>
        <v>144.7</v>
      </c>
      <c r="C559" s="223" t="s">
        <v>1087</v>
      </c>
    </row>
    <row r="560" customFormat="false" ht="12.75" hidden="false" customHeight="true" outlineLevel="0" collapsed="false">
      <c r="A560" s="223" t="s">
        <v>1291</v>
      </c>
      <c r="B560" s="283" t="n">
        <f aca="false">B559/D557</f>
        <v>1.67014853903048</v>
      </c>
    </row>
    <row r="561" customFormat="false" ht="12.75" hidden="false" customHeight="true" outlineLevel="0" collapsed="false"/>
    <row r="562" customFormat="false" ht="12.75" hidden="false" customHeight="true" outlineLevel="0" collapsed="false">
      <c r="A562" s="287" t="s">
        <v>1294</v>
      </c>
      <c r="B562" s="287" t="s">
        <v>1504</v>
      </c>
      <c r="C562" s="287" t="s">
        <v>1246</v>
      </c>
      <c r="D562" s="287" t="s">
        <v>1247</v>
      </c>
      <c r="E562" s="287" t="s">
        <v>1296</v>
      </c>
      <c r="F562" s="287" t="s">
        <v>1297</v>
      </c>
      <c r="G562" s="287"/>
      <c r="H562" s="287"/>
      <c r="I562" s="287" t="s">
        <v>6</v>
      </c>
    </row>
    <row r="563" customFormat="false" ht="12.75" hidden="false" customHeight="true" outlineLevel="0" collapsed="false">
      <c r="A563" s="223" t="s">
        <v>1275</v>
      </c>
      <c r="B563" s="309" t="n">
        <v>0.355151637786</v>
      </c>
      <c r="C563" s="304" t="n">
        <f aca="false">D552*1000000000/B563*B560</f>
        <v>6157656391.23032</v>
      </c>
      <c r="D563" s="235" t="n">
        <v>2</v>
      </c>
      <c r="E563" s="304" t="n">
        <f aca="false">C563*D563/(D563+1)</f>
        <v>4105104260.82021</v>
      </c>
      <c r="F563" s="304" t="n">
        <f aca="false">C563/(D563+1)</f>
        <v>2052552130.41011</v>
      </c>
      <c r="G563" s="223"/>
      <c r="H563" s="223"/>
      <c r="I563" s="223" t="s">
        <v>1544</v>
      </c>
    </row>
    <row r="564" customFormat="false" ht="12.75" hidden="false" customHeight="true" outlineLevel="0" collapsed="false">
      <c r="A564" s="223" t="s">
        <v>1277</v>
      </c>
      <c r="B564" s="309" t="n">
        <v>1.479798490777</v>
      </c>
      <c r="C564" s="304" t="n">
        <f aca="false">D553*1000000000/B564*B560</f>
        <v>5172431368.6084</v>
      </c>
      <c r="D564" s="235" t="n">
        <v>2.5</v>
      </c>
      <c r="E564" s="304" t="n">
        <f aca="false">C564*D564/(D564+1)</f>
        <v>3694593834.72028</v>
      </c>
      <c r="F564" s="304" t="n">
        <f aca="false">C564/(D564+1)</f>
        <v>1477837533.88811</v>
      </c>
      <c r="G564" s="223"/>
      <c r="H564" s="223"/>
      <c r="I564" s="223" t="s">
        <v>1545</v>
      </c>
    </row>
    <row r="565" customFormat="false" ht="12.75" hidden="false" customHeight="true" outlineLevel="0" collapsed="false">
      <c r="A565" s="223" t="s">
        <v>1279</v>
      </c>
      <c r="B565" s="309" t="n">
        <v>2.959596981554</v>
      </c>
      <c r="C565" s="304" t="n">
        <f aca="false">D554*1000000000/B565*B560</f>
        <v>17241437894.9782</v>
      </c>
      <c r="D565" s="235" t="n">
        <v>2.5</v>
      </c>
      <c r="E565" s="304" t="n">
        <f aca="false">C565*D565/(D565+1)</f>
        <v>12315312782.1273</v>
      </c>
      <c r="F565" s="304" t="n">
        <f aca="false">C565/(D565+1)</f>
        <v>4926125112.85091</v>
      </c>
      <c r="G565" s="223"/>
      <c r="H565" s="223"/>
      <c r="I565" s="223" t="s">
        <v>1546</v>
      </c>
    </row>
    <row r="566" customFormat="false" ht="12.75" hidden="false" customHeight="true" outlineLevel="0" collapsed="false">
      <c r="A566" s="223" t="s">
        <v>1281</v>
      </c>
      <c r="B566" s="309" t="n">
        <v>2.663637283398</v>
      </c>
      <c r="C566" s="304" t="n">
        <f aca="false">D555*1000000000/B566*B560</f>
        <v>24630625564.8878</v>
      </c>
      <c r="D566" s="235" t="n">
        <v>2.5</v>
      </c>
      <c r="E566" s="304" t="n">
        <f aca="false">C566*D566/(D566+1)</f>
        <v>17593303974.9199</v>
      </c>
      <c r="F566" s="304" t="n">
        <f aca="false">C566/(D566+1)</f>
        <v>7037321589.96794</v>
      </c>
      <c r="G566" s="223"/>
      <c r="H566" s="223"/>
      <c r="I566" s="223" t="s">
        <v>1547</v>
      </c>
    </row>
    <row r="567" customFormat="false" ht="12.75" hidden="false" customHeight="true" outlineLevel="0" collapsed="false">
      <c r="A567" s="223" t="s">
        <v>1283</v>
      </c>
      <c r="B567" s="309" t="n">
        <v>1.775758188932</v>
      </c>
      <c r="C567" s="304" t="n">
        <f aca="false">D556*1000000000/B567*B560</f>
        <v>10262761061.0081</v>
      </c>
      <c r="D567" s="235" t="n">
        <v>2.5</v>
      </c>
      <c r="E567" s="304" t="n">
        <f aca="false">C567*D567/(D567+1)</f>
        <v>7330543615.00576</v>
      </c>
      <c r="F567" s="304" t="n">
        <f aca="false">C567/(D567+1)</f>
        <v>2932217446.0023</v>
      </c>
      <c r="G567" s="223"/>
      <c r="H567" s="223"/>
      <c r="I567" s="223" t="s">
        <v>1548</v>
      </c>
    </row>
    <row r="568" customFormat="false" ht="12.75" hidden="false" customHeight="true" outlineLevel="0" collapsed="false">
      <c r="A568" s="219" t="s">
        <v>1308</v>
      </c>
      <c r="B568" s="309" t="n">
        <v>1.4</v>
      </c>
      <c r="C568" s="311" t="n">
        <f aca="false">SUM(C563:C567)</f>
        <v>63464912280.7128</v>
      </c>
      <c r="E568" s="311" t="n">
        <f aca="false">SUM(E563:E567)</f>
        <v>45038858467.5934</v>
      </c>
      <c r="F568" s="311" t="n">
        <f aca="false">SUM(F563:F567)</f>
        <v>18426053813.1194</v>
      </c>
      <c r="G568" s="223"/>
      <c r="H568" s="223"/>
      <c r="I568" s="223" t="s">
        <v>1549</v>
      </c>
    </row>
    <row r="569" customFormat="false" ht="12.75" hidden="false" customHeight="true" outlineLevel="0" collapsed="false">
      <c r="A569" s="292" t="s">
        <v>1471</v>
      </c>
      <c r="B569" s="321" t="n">
        <v>2.28</v>
      </c>
      <c r="C569" s="251"/>
      <c r="D569" s="251"/>
      <c r="E569" s="251"/>
      <c r="F569" s="251"/>
      <c r="G569" s="251"/>
      <c r="H569" s="251"/>
      <c r="I569" s="251" t="s">
        <v>1550</v>
      </c>
    </row>
    <row r="570" customFormat="false" ht="12.75" hidden="false" customHeight="true" outlineLevel="0" collapsed="false">
      <c r="A570" s="219"/>
      <c r="B570" s="309"/>
    </row>
    <row r="571" customFormat="false" ht="12.75" hidden="false" customHeight="true" outlineLevel="0" collapsed="false">
      <c r="A571" s="287" t="s">
        <v>1551</v>
      </c>
      <c r="B571" s="288"/>
      <c r="C571" s="288"/>
      <c r="D571" s="288"/>
      <c r="E571" s="288"/>
      <c r="F571" s="288"/>
      <c r="G571" s="288"/>
      <c r="H571" s="288"/>
      <c r="I571" s="288" t="s">
        <v>1552</v>
      </c>
    </row>
    <row r="572" customFormat="false" ht="12.75" hidden="false" customHeight="true" outlineLevel="0" collapsed="false">
      <c r="A572" s="287" t="s">
        <v>1339</v>
      </c>
      <c r="B572" s="287"/>
      <c r="C572" s="287" t="s">
        <v>1297</v>
      </c>
      <c r="D572" s="287" t="s">
        <v>1342</v>
      </c>
      <c r="E572" s="287" t="s">
        <v>917</v>
      </c>
      <c r="F572" s="287" t="s">
        <v>1343</v>
      </c>
      <c r="G572" s="287" t="s">
        <v>1344</v>
      </c>
      <c r="H572" s="287"/>
      <c r="I572" s="287" t="s">
        <v>1553</v>
      </c>
    </row>
    <row r="573" customFormat="false" ht="12.75" hidden="false" customHeight="true" outlineLevel="0" collapsed="false">
      <c r="A573" s="223" t="s">
        <v>1345</v>
      </c>
      <c r="B573" s="243" t="n">
        <f aca="false">D573-C573</f>
        <v>17742910714.2857</v>
      </c>
      <c r="C573" s="243" t="n">
        <f aca="false">SUMPRODUCT(D538:D542,1/(1+E538:E542))</f>
        <v>10818339285.7143</v>
      </c>
      <c r="D573" s="243" t="n">
        <f aca="false">D543</f>
        <v>28561250000</v>
      </c>
      <c r="E573" s="221" t="n">
        <f aca="false">B528</f>
        <v>92.7</v>
      </c>
      <c r="F573" s="253" t="n">
        <f aca="false">D573/D575</f>
        <v>0.310360111648266</v>
      </c>
      <c r="G573" s="221" t="n">
        <f aca="false">E573*1000000000/D573</f>
        <v>3.24565626504442</v>
      </c>
      <c r="H573" s="221"/>
      <c r="I573" s="221" t="n">
        <f aca="false">E573*1000000000/D573</f>
        <v>3.24565626504442</v>
      </c>
    </row>
    <row r="574" customFormat="false" ht="12.75" hidden="false" customHeight="true" outlineLevel="0" collapsed="false">
      <c r="A574" s="223" t="s">
        <v>1346</v>
      </c>
      <c r="B574" s="304" t="n">
        <f aca="false">D574*C514/(C514+1)</f>
        <v>45332080200.5013</v>
      </c>
      <c r="C574" s="304" t="n">
        <f aca="false">D574/(C514+1)</f>
        <v>18132832080.2005</v>
      </c>
      <c r="D574" s="304" t="n">
        <f aca="false">B559*1000000000/B569</f>
        <v>63464912280.7018</v>
      </c>
      <c r="E574" s="221" t="n">
        <f aca="false">B559</f>
        <v>144.7</v>
      </c>
      <c r="F574" s="253" t="n">
        <f aca="false">D574/D575</f>
        <v>0.689639888351735</v>
      </c>
      <c r="G574" s="313" t="n">
        <f aca="false">E574*1000000000/D574</f>
        <v>2.28</v>
      </c>
      <c r="H574" s="313"/>
      <c r="I574" s="313" t="n">
        <f aca="false">E574*1000000000/D574</f>
        <v>2.28</v>
      </c>
    </row>
    <row r="575" customFormat="false" ht="12.75" hidden="false" customHeight="true" outlineLevel="0" collapsed="false">
      <c r="A575" s="292" t="s">
        <v>1347</v>
      </c>
      <c r="B575" s="314" t="n">
        <f aca="false">B573+B574</f>
        <v>63074990914.787</v>
      </c>
      <c r="C575" s="314" t="n">
        <f aca="false">C573+C574</f>
        <v>28951171365.9148</v>
      </c>
      <c r="D575" s="314" t="n">
        <f aca="false">D573+D574</f>
        <v>92026162280.7018</v>
      </c>
      <c r="E575" s="298" t="n">
        <f aca="false">E573+E574</f>
        <v>237.4</v>
      </c>
      <c r="F575" s="299" t="n">
        <v>1</v>
      </c>
      <c r="G575" s="298" t="n">
        <f aca="false">E575*1000000000/D575</f>
        <v>2.57970118623303</v>
      </c>
      <c r="H575" s="298"/>
      <c r="I575" s="298" t="n">
        <f aca="false">E575*1000000000/D575</f>
        <v>2.57970118623303</v>
      </c>
    </row>
    <row r="576" customFormat="false" ht="12.75" hidden="false" customHeight="true" outlineLevel="0" collapsed="false"/>
    <row r="577" customFormat="false" ht="12.75" hidden="false" customHeight="true" outlineLevel="0" collapsed="false">
      <c r="A577" s="223" t="s">
        <v>1349</v>
      </c>
      <c r="B577" s="283" t="n">
        <f aca="false">D575/1000000</f>
        <v>92026.1622807018</v>
      </c>
      <c r="C577" s="223" t="s">
        <v>1315</v>
      </c>
    </row>
    <row r="578" customFormat="false" ht="12.75" hidden="false" customHeight="true" outlineLevel="0" collapsed="false"/>
    <row r="579" customFormat="false" ht="12.75" hidden="false" customHeight="true" outlineLevel="0" collapsed="false">
      <c r="A579" s="287" t="s">
        <v>1554</v>
      </c>
      <c r="B579" s="288"/>
      <c r="C579" s="288"/>
      <c r="D579" s="288"/>
      <c r="E579" s="288"/>
      <c r="F579" s="288"/>
      <c r="G579" s="288"/>
      <c r="H579" s="288"/>
      <c r="I579" s="288"/>
    </row>
    <row r="580" customFormat="false" ht="12.75" hidden="false" customHeight="true" outlineLevel="0" collapsed="false"/>
    <row r="581" customFormat="false" ht="12.75" hidden="false" customHeight="true" outlineLevel="0" collapsed="false">
      <c r="A581" s="289" t="s">
        <v>1555</v>
      </c>
      <c r="B581" s="289" t="s">
        <v>1198</v>
      </c>
      <c r="C581" s="289" t="s">
        <v>1199</v>
      </c>
      <c r="D581" s="289" t="s">
        <v>680</v>
      </c>
      <c r="E581" s="289"/>
      <c r="F581" s="289"/>
      <c r="G581" s="289"/>
      <c r="H581" s="289"/>
      <c r="I581" s="289" t="s">
        <v>6</v>
      </c>
    </row>
    <row r="582" customFormat="false" ht="12.75" hidden="false" customHeight="true" outlineLevel="0" collapsed="false"/>
    <row r="583" customFormat="false" ht="12.75" hidden="false" customHeight="true" outlineLevel="0" collapsed="false">
      <c r="A583" s="223" t="s">
        <v>1202</v>
      </c>
      <c r="B583" s="235" t="n">
        <v>0</v>
      </c>
      <c r="C583" s="309" t="n">
        <v>0.5</v>
      </c>
      <c r="D583" s="223" t="s">
        <v>890</v>
      </c>
      <c r="G583" s="223"/>
      <c r="H583" s="223"/>
      <c r="I583" s="223" t="s">
        <v>1556</v>
      </c>
    </row>
    <row r="584" customFormat="false" ht="12.75" hidden="false" customHeight="true" outlineLevel="0" collapsed="false">
      <c r="A584" s="223" t="s">
        <v>1204</v>
      </c>
      <c r="B584" s="235" t="n">
        <v>0</v>
      </c>
      <c r="C584" s="309" t="n">
        <v>4</v>
      </c>
      <c r="D584" s="223" t="s">
        <v>890</v>
      </c>
      <c r="G584" s="223"/>
      <c r="H584" s="223"/>
      <c r="I584" s="223" t="s">
        <v>1557</v>
      </c>
    </row>
    <row r="585" customFormat="false" ht="12.75" hidden="false" customHeight="true" outlineLevel="0" collapsed="false">
      <c r="A585" s="223" t="s">
        <v>1205</v>
      </c>
      <c r="B585" s="234" t="n">
        <v>1.5</v>
      </c>
      <c r="C585" s="234" t="n">
        <v>2</v>
      </c>
      <c r="D585" s="223" t="s">
        <v>1206</v>
      </c>
      <c r="G585" s="223"/>
      <c r="H585" s="223"/>
      <c r="I585" s="223" t="s">
        <v>1558</v>
      </c>
    </row>
    <row r="586" customFormat="false" ht="12.75" hidden="false" customHeight="true" outlineLevel="0" collapsed="false"/>
    <row r="587" customFormat="false" ht="12.75" hidden="false" customHeight="true" outlineLevel="0" collapsed="false">
      <c r="A587" s="289" t="s">
        <v>1559</v>
      </c>
      <c r="B587" s="272"/>
      <c r="C587" s="272"/>
      <c r="D587" s="272"/>
      <c r="E587" s="272"/>
      <c r="F587" s="272"/>
      <c r="G587" s="272"/>
      <c r="H587" s="272"/>
      <c r="I587" s="272"/>
    </row>
    <row r="588" customFormat="false" ht="12.75" hidden="false" customHeight="true" outlineLevel="0" collapsed="false">
      <c r="A588" s="289" t="s">
        <v>1560</v>
      </c>
      <c r="B588" s="272"/>
      <c r="C588" s="272"/>
      <c r="D588" s="272"/>
      <c r="E588" s="272"/>
      <c r="F588" s="272"/>
      <c r="G588" s="272"/>
      <c r="H588" s="272"/>
      <c r="I588" s="272"/>
    </row>
    <row r="589" customFormat="false" ht="12.75" hidden="false" customHeight="true" outlineLevel="0" collapsed="false">
      <c r="A589" s="287" t="s">
        <v>85</v>
      </c>
      <c r="B589" s="287" t="s">
        <v>1209</v>
      </c>
      <c r="C589" s="287" t="s">
        <v>1210</v>
      </c>
      <c r="D589" s="287" t="s">
        <v>1211</v>
      </c>
      <c r="E589" s="287" t="s">
        <v>1212</v>
      </c>
      <c r="F589" s="287" t="s">
        <v>1213</v>
      </c>
      <c r="G589" s="287"/>
      <c r="H589" s="287"/>
      <c r="I589" s="287" t="s">
        <v>681</v>
      </c>
    </row>
    <row r="590" customFormat="false" ht="12.75" hidden="false" customHeight="true" outlineLevel="0" collapsed="false">
      <c r="A590" s="223" t="s">
        <v>1214</v>
      </c>
      <c r="B590" s="238" t="n">
        <v>2800</v>
      </c>
      <c r="C590" s="293" t="n">
        <v>0</v>
      </c>
      <c r="D590" s="221" t="n">
        <f aca="false">B590*C590*12/1000</f>
        <v>0</v>
      </c>
      <c r="E590" s="322" t="s">
        <v>1215</v>
      </c>
      <c r="F590" s="253" t="n">
        <f aca="false">IF(D595&gt;0,D590/D595,0)</f>
        <v>0</v>
      </c>
      <c r="G590" s="223"/>
      <c r="H590" s="223"/>
      <c r="I590" s="223" t="s">
        <v>1561</v>
      </c>
    </row>
    <row r="591" customFormat="false" ht="12.75" hidden="false" customHeight="true" outlineLevel="0" collapsed="false">
      <c r="A591" s="223" t="s">
        <v>1217</v>
      </c>
      <c r="B591" s="295" t="n">
        <v>85</v>
      </c>
      <c r="C591" s="296" t="n">
        <v>10</v>
      </c>
      <c r="D591" s="221" t="n">
        <f aca="false">B591*C591*12/1000</f>
        <v>10.2</v>
      </c>
      <c r="E591" s="253" t="n">
        <f aca="false">B591/B595</f>
        <v>0.265625</v>
      </c>
      <c r="F591" s="253" t="n">
        <f aca="false">IF(D595&gt;0,D591/D595,0)</f>
        <v>0.0714285714285714</v>
      </c>
      <c r="G591" s="223"/>
      <c r="H591" s="223"/>
      <c r="I591" s="223" t="s">
        <v>1562</v>
      </c>
    </row>
    <row r="592" customFormat="false" ht="12.75" hidden="false" customHeight="true" outlineLevel="0" collapsed="false">
      <c r="A592" s="223" t="s">
        <v>1219</v>
      </c>
      <c r="B592" s="295" t="n">
        <v>150</v>
      </c>
      <c r="C592" s="296" t="n">
        <v>30</v>
      </c>
      <c r="D592" s="221" t="n">
        <f aca="false">B592*C592*12/1000</f>
        <v>54</v>
      </c>
      <c r="E592" s="253" t="n">
        <f aca="false">B592/B595</f>
        <v>0.46875</v>
      </c>
      <c r="F592" s="253" t="n">
        <f aca="false">IF(D595&gt;0,D592/D595,0)</f>
        <v>0.378151260504202</v>
      </c>
      <c r="G592" s="223"/>
      <c r="H592" s="223"/>
      <c r="I592" s="223" t="s">
        <v>1563</v>
      </c>
    </row>
    <row r="593" customFormat="false" ht="12.75" hidden="false" customHeight="true" outlineLevel="0" collapsed="false">
      <c r="A593" s="223" t="s">
        <v>1221</v>
      </c>
      <c r="B593" s="295" t="n">
        <v>15</v>
      </c>
      <c r="C593" s="296" t="n">
        <v>250</v>
      </c>
      <c r="D593" s="221" t="n">
        <f aca="false">B593*C593*12/1000</f>
        <v>45</v>
      </c>
      <c r="E593" s="253" t="n">
        <f aca="false">B593/B595</f>
        <v>0.046875</v>
      </c>
      <c r="F593" s="253" t="n">
        <f aca="false">IF(D595&gt;0,D593/D595,0)</f>
        <v>0.315126050420168</v>
      </c>
      <c r="G593" s="223"/>
      <c r="H593" s="223"/>
      <c r="I593" s="223" t="s">
        <v>1564</v>
      </c>
    </row>
    <row r="594" customFormat="false" ht="12.75" hidden="false" customHeight="true" outlineLevel="0" collapsed="false">
      <c r="A594" s="223" t="s">
        <v>1223</v>
      </c>
      <c r="B594" s="295" t="n">
        <v>70</v>
      </c>
      <c r="C594" s="296" t="n">
        <v>40</v>
      </c>
      <c r="D594" s="221" t="n">
        <f aca="false">B594*C594*12/1000</f>
        <v>33.6</v>
      </c>
      <c r="E594" s="253" t="n">
        <f aca="false">B594/B595</f>
        <v>0.21875</v>
      </c>
      <c r="F594" s="253" t="n">
        <f aca="false">IF(D595&gt;0,D594/D595,0)</f>
        <v>0.235294117647059</v>
      </c>
      <c r="G594" s="223"/>
      <c r="H594" s="223"/>
      <c r="I594" s="223" t="s">
        <v>1565</v>
      </c>
    </row>
    <row r="595" customFormat="false" ht="12.75" hidden="false" customHeight="true" outlineLevel="0" collapsed="false">
      <c r="A595" s="292" t="s">
        <v>1225</v>
      </c>
      <c r="B595" s="297" t="n">
        <f aca="false">SUM(B591:B594)</f>
        <v>320</v>
      </c>
      <c r="C595" s="251"/>
      <c r="D595" s="298" t="n">
        <f aca="false">SUM(D591:D594)</f>
        <v>142.8</v>
      </c>
      <c r="E595" s="299" t="n">
        <v>1</v>
      </c>
      <c r="F595" s="300" t="n">
        <f aca="false">SUM(F591:F594)</f>
        <v>1</v>
      </c>
      <c r="G595" s="251"/>
      <c r="H595" s="251"/>
      <c r="I595" s="251"/>
    </row>
    <row r="596" customFormat="false" ht="12.75" hidden="false" customHeight="true" outlineLevel="0" collapsed="false"/>
    <row r="597" customFormat="false" ht="12.75" hidden="false" customHeight="true" outlineLevel="0" collapsed="false">
      <c r="A597" s="223" t="s">
        <v>1227</v>
      </c>
      <c r="B597" s="222" t="n">
        <f aca="false">D595*1000/B595/12</f>
        <v>37.1875</v>
      </c>
    </row>
    <row r="598" customFormat="false" ht="12.75" hidden="false" customHeight="true" outlineLevel="0" collapsed="false">
      <c r="A598" s="181" t="s">
        <v>1230</v>
      </c>
      <c r="B598" s="253" t="n">
        <f aca="false">B595/(B595+B590)</f>
        <v>0.102564102564103</v>
      </c>
    </row>
    <row r="599" customFormat="false" ht="12.75" hidden="false" customHeight="true" outlineLevel="0" collapsed="false">
      <c r="A599" s="292" t="s">
        <v>1232</v>
      </c>
      <c r="B599" s="298" t="n">
        <f aca="false">D595</f>
        <v>142.8</v>
      </c>
      <c r="C599" s="251" t="s">
        <v>1087</v>
      </c>
      <c r="D599" s="251"/>
      <c r="E599" s="251"/>
      <c r="F599" s="251"/>
      <c r="G599" s="251"/>
      <c r="H599" s="251"/>
      <c r="I599" s="251"/>
    </row>
    <row r="600" customFormat="false" ht="12.75" hidden="false" customHeight="true" outlineLevel="0" collapsed="false"/>
    <row r="601" customFormat="false" ht="12.75" hidden="false" customHeight="true" outlineLevel="0" collapsed="false">
      <c r="A601" s="289" t="s">
        <v>1566</v>
      </c>
      <c r="B601" s="272"/>
      <c r="C601" s="272"/>
      <c r="D601" s="272"/>
      <c r="E601" s="272"/>
      <c r="F601" s="272"/>
      <c r="G601" s="272"/>
      <c r="H601" s="272"/>
      <c r="I601" s="272"/>
    </row>
    <row r="602" customFormat="false" ht="12.75" hidden="false" customHeight="true" outlineLevel="0" collapsed="false">
      <c r="A602" s="223" t="s">
        <v>1366</v>
      </c>
      <c r="B602" s="233" t="n">
        <v>0.45</v>
      </c>
      <c r="G602" s="223"/>
      <c r="H602" s="223"/>
      <c r="I602" s="223" t="s">
        <v>1567</v>
      </c>
    </row>
    <row r="603" customFormat="false" ht="12.75" hidden="false" customHeight="true" outlineLevel="0" collapsed="false">
      <c r="A603" s="223" t="s">
        <v>1568</v>
      </c>
      <c r="B603" s="305" t="n">
        <f aca="false">H60</f>
        <v>60.0662223174933</v>
      </c>
      <c r="C603" s="223" t="s">
        <v>1087</v>
      </c>
    </row>
    <row r="604" customFormat="false" ht="12.75" hidden="false" customHeight="true" outlineLevel="0" collapsed="false">
      <c r="A604" s="223" t="s">
        <v>1237</v>
      </c>
      <c r="B604" s="305" t="n">
        <f aca="false">Revenue_Model!B47/(H103/H94)</f>
        <v>0.0448800815460302</v>
      </c>
      <c r="C604" s="223" t="s">
        <v>890</v>
      </c>
      <c r="G604" s="223"/>
      <c r="H604" s="223"/>
      <c r="I604" s="223" t="s">
        <v>1569</v>
      </c>
    </row>
    <row r="605" customFormat="false" ht="12.75" hidden="false" customHeight="true" outlineLevel="0" collapsed="false">
      <c r="A605" s="223" t="s">
        <v>1239</v>
      </c>
      <c r="B605" s="221" t="n">
        <f aca="false">B603*B602</f>
        <v>27.029800042872</v>
      </c>
    </row>
    <row r="606" customFormat="false" ht="12.75" hidden="false" customHeight="true" outlineLevel="0" collapsed="false">
      <c r="A606" s="292" t="s">
        <v>1241</v>
      </c>
      <c r="B606" s="303" t="n">
        <f aca="false">B605*1000000000/B604</f>
        <v>602267177593.016</v>
      </c>
      <c r="C606" s="251"/>
      <c r="D606" s="251"/>
      <c r="E606" s="251"/>
      <c r="F606" s="251"/>
      <c r="G606" s="251"/>
      <c r="H606" s="251"/>
      <c r="I606" s="251"/>
    </row>
    <row r="607" customFormat="false" ht="12.75" hidden="false" customHeight="true" outlineLevel="0" collapsed="false"/>
    <row r="608" customFormat="false" ht="12.75" hidden="false" customHeight="true" outlineLevel="0" collapsed="false">
      <c r="A608" s="287" t="s">
        <v>1243</v>
      </c>
      <c r="B608" s="287" t="s">
        <v>1244</v>
      </c>
      <c r="C608" s="287" t="s">
        <v>1245</v>
      </c>
      <c r="D608" s="287" t="s">
        <v>1246</v>
      </c>
      <c r="E608" s="287" t="s">
        <v>1247</v>
      </c>
      <c r="F608" s="287" t="s">
        <v>1248</v>
      </c>
      <c r="G608" s="287"/>
      <c r="H608" s="287"/>
      <c r="I608" s="287" t="s">
        <v>6</v>
      </c>
    </row>
    <row r="609" customFormat="false" ht="12.75" hidden="false" customHeight="true" outlineLevel="0" collapsed="false">
      <c r="A609" s="223" t="s">
        <v>1249</v>
      </c>
      <c r="B609" s="238" t="n">
        <v>10000</v>
      </c>
      <c r="C609" s="253" t="n">
        <f aca="false">D609/D614</f>
        <v>0.229885057471264</v>
      </c>
      <c r="D609" s="304" t="n">
        <f aca="false">B609*B590*1000000*365/1000000</f>
        <v>10220000000</v>
      </c>
      <c r="E609" s="234" t="n">
        <v>1.5</v>
      </c>
      <c r="F609" s="253" t="n">
        <f aca="false">D609/D614</f>
        <v>0.229885057471264</v>
      </c>
      <c r="G609" s="223"/>
      <c r="H609" s="223"/>
      <c r="I609" s="223" t="s">
        <v>1570</v>
      </c>
    </row>
    <row r="610" customFormat="false" ht="12.75" hidden="false" customHeight="true" outlineLevel="0" collapsed="false">
      <c r="A610" s="223" t="s">
        <v>1251</v>
      </c>
      <c r="B610" s="238" t="n">
        <v>80000</v>
      </c>
      <c r="C610" s="253" t="n">
        <f aca="false">D610/D614</f>
        <v>0.0558292282430214</v>
      </c>
      <c r="D610" s="304" t="n">
        <f aca="false">B610*B591*1000000*365/1000000</f>
        <v>2482000000</v>
      </c>
      <c r="E610" s="234" t="n">
        <v>1.5</v>
      </c>
      <c r="F610" s="253" t="n">
        <f aca="false">D610/D614</f>
        <v>0.0558292282430214</v>
      </c>
      <c r="G610" s="223"/>
      <c r="H610" s="223"/>
      <c r="I610" s="223" t="s">
        <v>1571</v>
      </c>
    </row>
    <row r="611" customFormat="false" ht="12.75" hidden="false" customHeight="true" outlineLevel="0" collapsed="false">
      <c r="A611" s="223" t="s">
        <v>1253</v>
      </c>
      <c r="B611" s="238" t="n">
        <v>250000</v>
      </c>
      <c r="C611" s="253" t="n">
        <f aca="false">D611/D614</f>
        <v>0.307881773399015</v>
      </c>
      <c r="D611" s="304" t="n">
        <f aca="false">B611*B592*1000000*365/1000000</f>
        <v>13687500000</v>
      </c>
      <c r="E611" s="234" t="n">
        <v>1.5</v>
      </c>
      <c r="F611" s="253" t="n">
        <f aca="false">D611/D614</f>
        <v>0.307881773399015</v>
      </c>
      <c r="G611" s="223"/>
      <c r="H611" s="223"/>
      <c r="I611" s="223" t="s">
        <v>1572</v>
      </c>
    </row>
    <row r="612" customFormat="false" ht="12.75" hidden="false" customHeight="true" outlineLevel="0" collapsed="false">
      <c r="A612" s="223" t="s">
        <v>1255</v>
      </c>
      <c r="B612" s="238" t="n">
        <v>1900000</v>
      </c>
      <c r="C612" s="253" t="n">
        <f aca="false">D612/D614</f>
        <v>0.233990147783251</v>
      </c>
      <c r="D612" s="304" t="n">
        <f aca="false">B612*B593*1000000*365/1000000</f>
        <v>10402500000</v>
      </c>
      <c r="E612" s="234" t="n">
        <v>1.8</v>
      </c>
      <c r="F612" s="253" t="n">
        <f aca="false">D612/D614</f>
        <v>0.233990147783251</v>
      </c>
      <c r="G612" s="223"/>
      <c r="H612" s="223"/>
      <c r="I612" s="223" t="s">
        <v>1573</v>
      </c>
    </row>
    <row r="613" customFormat="false" ht="12.75" hidden="false" customHeight="true" outlineLevel="0" collapsed="false">
      <c r="A613" s="223" t="s">
        <v>1257</v>
      </c>
      <c r="B613" s="238" t="n">
        <v>300000</v>
      </c>
      <c r="C613" s="253" t="n">
        <f aca="false">D613/D614</f>
        <v>0.172413793103448</v>
      </c>
      <c r="D613" s="304" t="n">
        <f aca="false">B613*B594*1000000*365/1000000</f>
        <v>7665000000</v>
      </c>
      <c r="E613" s="234" t="n">
        <v>1.5</v>
      </c>
      <c r="F613" s="253" t="n">
        <f aca="false">D613/D614</f>
        <v>0.172413793103448</v>
      </c>
      <c r="G613" s="223"/>
      <c r="H613" s="223"/>
      <c r="I613" s="223" t="s">
        <v>1574</v>
      </c>
    </row>
    <row r="614" customFormat="false" ht="12.75" hidden="false" customHeight="true" outlineLevel="0" collapsed="false">
      <c r="A614" s="292" t="s">
        <v>1259</v>
      </c>
      <c r="B614" s="251"/>
      <c r="C614" s="300" t="n">
        <f aca="false">SUM(C609:C613)</f>
        <v>1</v>
      </c>
      <c r="D614" s="303" t="n">
        <f aca="false">SUM(D609:D613)</f>
        <v>44457000000</v>
      </c>
      <c r="E614" s="251"/>
      <c r="F614" s="300" t="n">
        <f aca="false">SUM(F609:F613)</f>
        <v>1</v>
      </c>
      <c r="G614" s="251"/>
      <c r="H614" s="251"/>
      <c r="I614" s="251"/>
    </row>
    <row r="615" customFormat="false" ht="12.75" hidden="false" customHeight="true" outlineLevel="0" collapsed="false"/>
    <row r="616" customFormat="false" ht="12.75" hidden="false" customHeight="true" outlineLevel="0" collapsed="false">
      <c r="A616" s="316" t="s">
        <v>1575</v>
      </c>
      <c r="B616" s="318"/>
      <c r="C616" s="318"/>
      <c r="D616" s="318"/>
      <c r="E616" s="318"/>
      <c r="F616" s="318"/>
      <c r="G616" s="318"/>
      <c r="H616" s="318"/>
      <c r="I616" s="318"/>
    </row>
    <row r="617" customFormat="false" ht="12.75" hidden="false" customHeight="true" outlineLevel="0" collapsed="false">
      <c r="A617" s="223" t="s">
        <v>1494</v>
      </c>
      <c r="B617" s="304" t="n">
        <f aca="false">D614</f>
        <v>44457000000</v>
      </c>
      <c r="C617" s="223" t="s">
        <v>1325</v>
      </c>
    </row>
    <row r="618" customFormat="false" ht="12.75" hidden="false" customHeight="true" outlineLevel="0" collapsed="false">
      <c r="A618" s="223" t="s">
        <v>1495</v>
      </c>
      <c r="B618" s="304" t="n">
        <f aca="false">B605*1000000000/B604</f>
        <v>602267177593.016</v>
      </c>
      <c r="C618" s="223" t="s">
        <v>1325</v>
      </c>
    </row>
    <row r="619" customFormat="false" ht="12.75" hidden="false" customHeight="true" outlineLevel="0" collapsed="false">
      <c r="A619" s="292" t="s">
        <v>1496</v>
      </c>
      <c r="B619" s="312" t="n">
        <f aca="false">B618/B617</f>
        <v>13.5471844162453</v>
      </c>
      <c r="C619" s="251"/>
      <c r="D619" s="251"/>
      <c r="E619" s="251"/>
      <c r="F619" s="251"/>
      <c r="G619" s="251"/>
      <c r="H619" s="251"/>
      <c r="I619" s="251"/>
    </row>
    <row r="620" customFormat="false" ht="12.75" hidden="false" customHeight="true" outlineLevel="0" collapsed="false"/>
    <row r="621" customFormat="false" ht="12.75" hidden="false" customHeight="true" outlineLevel="0" collapsed="false">
      <c r="A621" s="316" t="s">
        <v>1576</v>
      </c>
      <c r="B621" s="318"/>
      <c r="C621" s="318"/>
      <c r="D621" s="318"/>
      <c r="E621" s="318"/>
      <c r="F621" s="318"/>
      <c r="G621" s="318"/>
      <c r="H621" s="318"/>
      <c r="I621" s="318"/>
    </row>
    <row r="622" customFormat="false" ht="12.75" hidden="false" customHeight="true" outlineLevel="0" collapsed="false">
      <c r="A622" s="287" t="s">
        <v>85</v>
      </c>
      <c r="B622" s="287" t="s">
        <v>1271</v>
      </c>
      <c r="C622" s="287" t="s">
        <v>1272</v>
      </c>
      <c r="D622" s="287" t="s">
        <v>1211</v>
      </c>
      <c r="E622" s="287" t="s">
        <v>1273</v>
      </c>
      <c r="F622" s="287" t="s">
        <v>1274</v>
      </c>
      <c r="G622" s="287"/>
      <c r="H622" s="287"/>
      <c r="I622" s="287" t="s">
        <v>681</v>
      </c>
    </row>
    <row r="623" customFormat="false" ht="12.75" hidden="false" customHeight="true" outlineLevel="0" collapsed="false">
      <c r="A623" s="223" t="s">
        <v>1275</v>
      </c>
      <c r="B623" s="323" t="n">
        <v>13825.21219442</v>
      </c>
      <c r="C623" s="293" t="n">
        <v>10.13848894</v>
      </c>
      <c r="D623" s="221" t="n">
        <f aca="false">B623*C623*12/1000000</f>
        <v>1.68200113111536</v>
      </c>
      <c r="E623" s="253" t="n">
        <f aca="false">B623/B628</f>
        <v>0.877182723009165</v>
      </c>
      <c r="F623" s="253" t="n">
        <f aca="false">IF(D628&gt;0,D623/D628,0)</f>
        <v>0.011669024071159</v>
      </c>
      <c r="G623" s="223"/>
      <c r="H623" s="223"/>
      <c r="I623" s="223" t="s">
        <v>1577</v>
      </c>
    </row>
    <row r="624" customFormat="false" ht="12.75" hidden="false" customHeight="true" outlineLevel="0" collapsed="false">
      <c r="A624" s="223" t="s">
        <v>1277</v>
      </c>
      <c r="B624" s="323" t="n">
        <v>1382.52121944</v>
      </c>
      <c r="C624" s="293" t="n">
        <v>414.75636583</v>
      </c>
      <c r="D624" s="221" t="n">
        <f aca="false">B624*C624*12/1000000</f>
        <v>6.88091371989353</v>
      </c>
      <c r="E624" s="253" t="n">
        <f aca="false">B624/B628</f>
        <v>0.0877182723007896</v>
      </c>
      <c r="F624" s="253" t="n">
        <f aca="false">IF(D628&gt;0,D624/D628,0)</f>
        <v>0.0477369166664958</v>
      </c>
      <c r="G624" s="223"/>
      <c r="H624" s="223"/>
      <c r="I624" s="223" t="s">
        <v>1578</v>
      </c>
    </row>
    <row r="625" customFormat="false" ht="12.75" hidden="false" customHeight="true" outlineLevel="0" collapsed="false">
      <c r="A625" s="223" t="s">
        <v>1279</v>
      </c>
      <c r="B625" s="323" t="n">
        <v>460.84040648</v>
      </c>
      <c r="C625" s="293" t="n">
        <v>9216.80812961</v>
      </c>
      <c r="D625" s="221" t="n">
        <f aca="false">B625*C625*12/1000000</f>
        <v>50.9697312587717</v>
      </c>
      <c r="E625" s="253" t="n">
        <f aca="false">B625/B628</f>
        <v>0.0292394241002632</v>
      </c>
      <c r="F625" s="253" t="n">
        <f aca="false">IF(D628&gt;0,D625/D628,0)</f>
        <v>0.35360679012428</v>
      </c>
      <c r="G625" s="223"/>
      <c r="H625" s="223"/>
      <c r="I625" s="223" t="s">
        <v>1579</v>
      </c>
    </row>
    <row r="626" customFormat="false" ht="12.75" hidden="false" customHeight="true" outlineLevel="0" collapsed="false">
      <c r="A626" s="223" t="s">
        <v>1281</v>
      </c>
      <c r="B626" s="323" t="n">
        <v>92.1680813</v>
      </c>
      <c r="C626" s="293" t="n">
        <v>53457.48715174</v>
      </c>
      <c r="D626" s="221" t="n">
        <f aca="false">B626*C626*12/1000000</f>
        <v>59.1248882627433</v>
      </c>
      <c r="E626" s="253" t="n">
        <f aca="false">B626/B628</f>
        <v>0.00584788482030643</v>
      </c>
      <c r="F626" s="253" t="n">
        <f aca="false">IF(D628&gt;0,D626/D628,0)</f>
        <v>0.410183876561982</v>
      </c>
      <c r="G626" s="223"/>
      <c r="H626" s="223"/>
      <c r="I626" s="223" t="s">
        <v>1580</v>
      </c>
    </row>
    <row r="627" customFormat="false" ht="12.75" hidden="false" customHeight="true" outlineLevel="0" collapsed="false">
      <c r="A627" s="223" t="s">
        <v>1283</v>
      </c>
      <c r="B627" s="323" t="n">
        <v>0.18433616</v>
      </c>
      <c r="C627" s="293" t="n">
        <v>11521010.162014</v>
      </c>
      <c r="D627" s="221" t="n">
        <f aca="false">B627*C627*12/1000000</f>
        <v>25.4848652710397</v>
      </c>
      <c r="E627" s="253" t="n">
        <f aca="false">B627/B628</f>
        <v>1.16957694756479E-005</v>
      </c>
      <c r="F627" s="253" t="n">
        <f aca="false">IF(D628&gt;0,D627/D628,0)</f>
        <v>0.176803392576083</v>
      </c>
      <c r="G627" s="223"/>
      <c r="H627" s="223"/>
      <c r="I627" s="223" t="s">
        <v>1581</v>
      </c>
    </row>
    <row r="628" customFormat="false" ht="12.75" hidden="false" customHeight="true" outlineLevel="0" collapsed="false">
      <c r="A628" s="219" t="s">
        <v>1503</v>
      </c>
      <c r="B628" s="324" t="n">
        <f aca="false">SUM(B623:B627)</f>
        <v>15760.9262378</v>
      </c>
      <c r="D628" s="307" t="n">
        <f aca="false">SUM(D623:D627)</f>
        <v>144.142399643564</v>
      </c>
    </row>
    <row r="629" customFormat="false" ht="12.75" hidden="false" customHeight="true" outlineLevel="0" collapsed="false"/>
    <row r="630" customFormat="false" ht="12.75" hidden="false" customHeight="true" outlineLevel="0" collapsed="false">
      <c r="A630" s="223" t="s">
        <v>1289</v>
      </c>
      <c r="B630" s="221" t="n">
        <f aca="false">H68-B599</f>
        <v>207.2</v>
      </c>
      <c r="C630" s="223" t="s">
        <v>1087</v>
      </c>
    </row>
    <row r="631" customFormat="false" ht="12.75" hidden="false" customHeight="true" outlineLevel="0" collapsed="false">
      <c r="A631" s="223" t="s">
        <v>1291</v>
      </c>
      <c r="B631" s="283" t="n">
        <f aca="false">B630/D628</f>
        <v>1.43746739691004</v>
      </c>
    </row>
    <row r="632" customFormat="false" ht="12.75" hidden="false" customHeight="true" outlineLevel="0" collapsed="false"/>
    <row r="633" customFormat="false" ht="12.75" hidden="false" customHeight="true" outlineLevel="0" collapsed="false">
      <c r="A633" s="287" t="s">
        <v>1294</v>
      </c>
      <c r="B633" s="287" t="s">
        <v>1504</v>
      </c>
      <c r="C633" s="287" t="s">
        <v>1246</v>
      </c>
      <c r="D633" s="287" t="s">
        <v>1247</v>
      </c>
      <c r="E633" s="287" t="s">
        <v>1296</v>
      </c>
      <c r="F633" s="287" t="s">
        <v>1297</v>
      </c>
      <c r="G633" s="287"/>
      <c r="H633" s="287"/>
      <c r="I633" s="287" t="s">
        <v>6</v>
      </c>
    </row>
    <row r="634" customFormat="false" ht="12.75" hidden="false" customHeight="true" outlineLevel="0" collapsed="false">
      <c r="A634" s="223" t="s">
        <v>1275</v>
      </c>
      <c r="B634" s="309" t="n">
        <v>0.802534931701</v>
      </c>
      <c r="C634" s="304" t="n">
        <f aca="false">D623*1000000000/B634*B631</f>
        <v>3012730900.59705</v>
      </c>
      <c r="D634" s="235" t="n">
        <v>2</v>
      </c>
      <c r="E634" s="304" t="n">
        <f aca="false">C634*D634/(D634+1)</f>
        <v>2008487267.0647</v>
      </c>
      <c r="F634" s="304" t="n">
        <f aca="false">C634/(D634+1)</f>
        <v>1004243633.53235</v>
      </c>
      <c r="G634" s="223"/>
      <c r="H634" s="223"/>
      <c r="I634" s="223" t="s">
        <v>1582</v>
      </c>
    </row>
    <row r="635" customFormat="false" ht="12.75" hidden="false" customHeight="true" outlineLevel="0" collapsed="false">
      <c r="A635" s="223" t="s">
        <v>1277</v>
      </c>
      <c r="B635" s="309" t="n">
        <v>1.805703596327</v>
      </c>
      <c r="C635" s="304" t="n">
        <f aca="false">D624*1000000000/B635*B631</f>
        <v>5477692547.88964</v>
      </c>
      <c r="D635" s="235" t="n">
        <v>2</v>
      </c>
      <c r="E635" s="304" t="n">
        <f aca="false">C635*D635/(D635+1)</f>
        <v>3651795031.92643</v>
      </c>
      <c r="F635" s="304" t="n">
        <f aca="false">C635/(D635+1)</f>
        <v>1825897515.96321</v>
      </c>
      <c r="G635" s="223"/>
      <c r="H635" s="223"/>
      <c r="I635" s="223" t="s">
        <v>1583</v>
      </c>
    </row>
    <row r="636" customFormat="false" ht="12.75" hidden="false" customHeight="true" outlineLevel="0" collapsed="false">
      <c r="A636" s="223" t="s">
        <v>1279</v>
      </c>
      <c r="B636" s="309" t="n">
        <v>2.206971062177</v>
      </c>
      <c r="C636" s="304" t="n">
        <f aca="false">D625*1000000000/B636*B631</f>
        <v>33198136654.0794</v>
      </c>
      <c r="D636" s="235" t="n">
        <v>2</v>
      </c>
      <c r="E636" s="304" t="n">
        <f aca="false">C636*D636/(D636+1)</f>
        <v>22132091102.7196</v>
      </c>
      <c r="F636" s="304" t="n">
        <f aca="false">C636/(D636+1)</f>
        <v>11066045551.3598</v>
      </c>
      <c r="G636" s="223"/>
      <c r="H636" s="223"/>
      <c r="I636" s="223" t="s">
        <v>1584</v>
      </c>
    </row>
    <row r="637" customFormat="false" ht="12.75" hidden="false" customHeight="true" outlineLevel="0" collapsed="false">
      <c r="A637" s="223" t="s">
        <v>1281</v>
      </c>
      <c r="B637" s="309" t="n">
        <v>2.407604795102</v>
      </c>
      <c r="C637" s="304" t="n">
        <f aca="false">D626*1000000000/B637*B631</f>
        <v>35300685310.3738</v>
      </c>
      <c r="D637" s="235" t="n">
        <v>2</v>
      </c>
      <c r="E637" s="304" t="n">
        <f aca="false">C637*D637/(D637+1)</f>
        <v>23533790206.9158</v>
      </c>
      <c r="F637" s="304" t="n">
        <f aca="false">C637/(D637+1)</f>
        <v>11766895103.4579</v>
      </c>
      <c r="G637" s="223"/>
      <c r="H637" s="223"/>
      <c r="I637" s="223" t="s">
        <v>1585</v>
      </c>
    </row>
    <row r="638" customFormat="false" ht="12.75" hidden="false" customHeight="true" outlineLevel="0" collapsed="false">
      <c r="A638" s="223" t="s">
        <v>1283</v>
      </c>
      <c r="B638" s="309" t="n">
        <v>1.805703596327</v>
      </c>
      <c r="C638" s="304" t="n">
        <f aca="false">D627*1000000000/B638*B631</f>
        <v>20287749892.2201</v>
      </c>
      <c r="D638" s="235" t="n">
        <v>2</v>
      </c>
      <c r="E638" s="304" t="n">
        <f aca="false">C638*D638/(D638+1)</f>
        <v>13525166594.8134</v>
      </c>
      <c r="F638" s="304" t="n">
        <f aca="false">C638/(D638+1)</f>
        <v>6762583297.40669</v>
      </c>
      <c r="G638" s="223"/>
      <c r="H638" s="223"/>
      <c r="I638" s="223" t="s">
        <v>1586</v>
      </c>
    </row>
    <row r="639" customFormat="false" ht="12.75" hidden="false" customHeight="true" outlineLevel="0" collapsed="false">
      <c r="A639" s="219" t="s">
        <v>1308</v>
      </c>
      <c r="C639" s="311" t="n">
        <f aca="false">SUM(C634:C638)</f>
        <v>97276995305.1599</v>
      </c>
      <c r="E639" s="311" t="n">
        <f aca="false">SUM(E634:E638)</f>
        <v>64851330203.44</v>
      </c>
      <c r="F639" s="311" t="n">
        <f aca="false">SUM(F634:F638)</f>
        <v>32425665101.72</v>
      </c>
    </row>
    <row r="640" customFormat="false" ht="12.75" hidden="false" customHeight="true" outlineLevel="0" collapsed="false">
      <c r="A640" s="292" t="s">
        <v>1471</v>
      </c>
      <c r="B640" s="321" t="n">
        <v>2.13</v>
      </c>
      <c r="C640" s="251"/>
      <c r="D640" s="251"/>
      <c r="E640" s="251"/>
      <c r="F640" s="251"/>
      <c r="G640" s="251"/>
      <c r="H640" s="251"/>
      <c r="I640" s="251" t="s">
        <v>1587</v>
      </c>
    </row>
    <row r="641" customFormat="false" ht="12.75" hidden="false" customHeight="true" outlineLevel="0" collapsed="false">
      <c r="A641" s="219"/>
      <c r="B641" s="309"/>
    </row>
    <row r="642" customFormat="false" ht="12.75" hidden="false" customHeight="true" outlineLevel="0" collapsed="false">
      <c r="A642" s="287" t="s">
        <v>1588</v>
      </c>
      <c r="B642" s="288"/>
      <c r="C642" s="288"/>
      <c r="D642" s="288"/>
      <c r="E642" s="288"/>
      <c r="F642" s="288"/>
      <c r="G642" s="288"/>
      <c r="H642" s="288"/>
      <c r="I642" s="288"/>
    </row>
    <row r="643" customFormat="false" ht="12.75" hidden="false" customHeight="true" outlineLevel="0" collapsed="false">
      <c r="A643" s="287" t="s">
        <v>1339</v>
      </c>
      <c r="B643" s="287" t="s">
        <v>1296</v>
      </c>
      <c r="C643" s="287" t="s">
        <v>1297</v>
      </c>
      <c r="D643" s="287" t="s">
        <v>1342</v>
      </c>
      <c r="E643" s="287" t="s">
        <v>917</v>
      </c>
      <c r="F643" s="287" t="s">
        <v>1343</v>
      </c>
      <c r="G643" s="287" t="s">
        <v>1344</v>
      </c>
      <c r="H643" s="287"/>
      <c r="I643" s="287"/>
    </row>
    <row r="644" customFormat="false" ht="12.75" hidden="false" customHeight="true" outlineLevel="0" collapsed="false">
      <c r="A644" s="223" t="s">
        <v>1345</v>
      </c>
      <c r="B644" s="243" t="n">
        <f aca="false">D644-C644</f>
        <v>27120021428.5714</v>
      </c>
      <c r="C644" s="243" t="n">
        <f aca="false">SUMPRODUCT(D609:D613,1/(1+E609:E613))</f>
        <v>17336978571.4286</v>
      </c>
      <c r="D644" s="243" t="n">
        <f aca="false">D614</f>
        <v>44457000000</v>
      </c>
      <c r="E644" s="221" t="n">
        <f aca="false">B599</f>
        <v>142.8</v>
      </c>
      <c r="F644" s="253" t="n">
        <f aca="false">D644/D646</f>
        <v>0.313665044891175</v>
      </c>
      <c r="G644" s="221" t="n">
        <f aca="false">E644*1000000000/D644</f>
        <v>3.21209258384506</v>
      </c>
      <c r="H644" s="221"/>
      <c r="I644" s="221"/>
    </row>
    <row r="645" customFormat="false" ht="12.75" hidden="false" customHeight="true" outlineLevel="0" collapsed="false">
      <c r="A645" s="223" t="s">
        <v>1346</v>
      </c>
      <c r="B645" s="304" t="n">
        <f aca="false">D645*C585/(C585+1)</f>
        <v>64851330203.4429</v>
      </c>
      <c r="C645" s="304" t="n">
        <f aca="false">D645/(C585+1)</f>
        <v>32425665101.7214</v>
      </c>
      <c r="D645" s="304" t="n">
        <f aca="false">B630*1000000000/B640</f>
        <v>97276995305.1643</v>
      </c>
      <c r="E645" s="221" t="n">
        <f aca="false">B630</f>
        <v>207.2</v>
      </c>
      <c r="F645" s="253" t="n">
        <f aca="false">D645/D646</f>
        <v>0.686334955108825</v>
      </c>
      <c r="G645" s="313" t="n">
        <f aca="false">E645*1000000000/D645</f>
        <v>2.13</v>
      </c>
      <c r="H645" s="313"/>
      <c r="I645" s="313"/>
    </row>
    <row r="646" customFormat="false" ht="12.75" hidden="false" customHeight="true" outlineLevel="0" collapsed="false">
      <c r="A646" s="292" t="s">
        <v>1347</v>
      </c>
      <c r="B646" s="314" t="n">
        <f aca="false">B644+B645</f>
        <v>91971351632.0143</v>
      </c>
      <c r="C646" s="314" t="n">
        <f aca="false">C644+C645</f>
        <v>49762643673.15</v>
      </c>
      <c r="D646" s="314" t="n">
        <f aca="false">D644+D645</f>
        <v>141733995305.164</v>
      </c>
      <c r="E646" s="298" t="n">
        <f aca="false">E644+E645</f>
        <v>350</v>
      </c>
      <c r="F646" s="299" t="n">
        <v>1</v>
      </c>
      <c r="G646" s="298" t="n">
        <f aca="false">E646*1000000000/D646</f>
        <v>2.46941461888817</v>
      </c>
      <c r="H646" s="298"/>
      <c r="I646" s="298"/>
    </row>
    <row r="647" customFormat="false" ht="12.75" hidden="false" customHeight="true" outlineLevel="0" collapsed="false"/>
    <row r="648" customFormat="false" ht="12.75" hidden="false" customHeight="true" outlineLevel="0" collapsed="false">
      <c r="A648" s="223" t="s">
        <v>1349</v>
      </c>
      <c r="B648" s="283" t="n">
        <f aca="false">D646/1000000</f>
        <v>141733.995305164</v>
      </c>
      <c r="C648" s="223" t="s">
        <v>1315</v>
      </c>
    </row>
    <row r="649" customFormat="false" ht="12.75" hidden="false" customHeight="true" outlineLevel="0" collapsed="false"/>
    <row r="650" customFormat="false" ht="12.75" hidden="false" customHeight="true" outlineLevel="0" collapsed="false">
      <c r="A650" s="325" t="s">
        <v>1589</v>
      </c>
      <c r="B650" s="326"/>
      <c r="C650" s="326"/>
      <c r="D650" s="326"/>
      <c r="E650" s="326"/>
      <c r="F650" s="326"/>
      <c r="G650" s="326"/>
      <c r="H650" s="326"/>
      <c r="I650" s="326"/>
    </row>
    <row r="651" customFormat="false" ht="12.75" hidden="false" customHeight="true" outlineLevel="0" collapsed="false">
      <c r="A651" s="287" t="s">
        <v>862</v>
      </c>
      <c r="B651" s="287" t="s">
        <v>910</v>
      </c>
      <c r="C651" s="287" t="s">
        <v>911</v>
      </c>
      <c r="D651" s="287" t="s">
        <v>912</v>
      </c>
      <c r="E651" s="287" t="s">
        <v>913</v>
      </c>
      <c r="F651" s="287" t="s">
        <v>914</v>
      </c>
      <c r="G651" s="287" t="s">
        <v>915</v>
      </c>
      <c r="H651" s="287" t="s">
        <v>916</v>
      </c>
      <c r="I651" s="287"/>
    </row>
    <row r="652" customFormat="false" ht="12.75" hidden="false" customHeight="true" outlineLevel="0" collapsed="false">
      <c r="A652" s="219" t="s">
        <v>917</v>
      </c>
      <c r="B652" s="249" t="n">
        <f aca="false">B5</f>
        <v>3.7</v>
      </c>
      <c r="C652" s="249" t="n">
        <f aca="false">C68</f>
        <v>13.1</v>
      </c>
      <c r="D652" s="249" t="n">
        <f aca="false">D68</f>
        <v>36</v>
      </c>
      <c r="E652" s="249" t="n">
        <f aca="false">E68</f>
        <v>75.1</v>
      </c>
      <c r="F652" s="249" t="n">
        <f aca="false">F68</f>
        <v>141.5</v>
      </c>
      <c r="G652" s="249" t="n">
        <f aca="false">G68</f>
        <v>237.4</v>
      </c>
      <c r="H652" s="249" t="n">
        <f aca="false">H68</f>
        <v>350</v>
      </c>
      <c r="I652" s="249"/>
    </row>
    <row r="653" customFormat="false" ht="12.75" hidden="false" customHeight="true" outlineLevel="0" collapsed="false">
      <c r="A653" s="219" t="s">
        <v>1590</v>
      </c>
      <c r="B653" s="188" t="s">
        <v>1215</v>
      </c>
      <c r="C653" s="230" t="n">
        <f aca="false">C652/B652-1</f>
        <v>2.54054054054054</v>
      </c>
      <c r="D653" s="230" t="n">
        <f aca="false">D652/C652-1</f>
        <v>1.74809160305344</v>
      </c>
      <c r="E653" s="230" t="n">
        <f aca="false">E652/D652-1</f>
        <v>1.08611111111111</v>
      </c>
      <c r="F653" s="230" t="n">
        <f aca="false">F652/E652-1</f>
        <v>0.884154460719042</v>
      </c>
      <c r="G653" s="230" t="n">
        <f aca="false">G652/F652-1</f>
        <v>0.67773851590106</v>
      </c>
      <c r="H653" s="230" t="n">
        <f aca="false">H652/G652-1</f>
        <v>0.474304970513901</v>
      </c>
      <c r="I653" s="230"/>
    </row>
    <row r="654" customFormat="false" ht="12.75" hidden="false" customHeight="true" outlineLevel="0" collapsed="false">
      <c r="A654" s="219" t="s">
        <v>1591</v>
      </c>
      <c r="B654" s="327" t="s">
        <v>308</v>
      </c>
      <c r="C654" s="238" t="n">
        <f aca="false">B187+B192</f>
        <v>622.5</v>
      </c>
      <c r="D654" s="243" t="n">
        <f aca="false">B276+B281</f>
        <v>1158.5</v>
      </c>
      <c r="E654" s="243" t="n">
        <f aca="false">B376+B381</f>
        <v>1599.5</v>
      </c>
      <c r="F654" s="243" t="n">
        <f aca="false">B449+B454</f>
        <v>2484</v>
      </c>
      <c r="G654" s="243" t="n">
        <f aca="false">B519+B524</f>
        <v>2787</v>
      </c>
      <c r="H654" s="243" t="n">
        <f aca="false">B590+B595</f>
        <v>3120</v>
      </c>
      <c r="I654" s="243"/>
    </row>
    <row r="655" customFormat="false" ht="12.75" hidden="false" customHeight="true" outlineLevel="0" collapsed="false">
      <c r="A655" s="219" t="s">
        <v>932</v>
      </c>
      <c r="B655" s="328" t="s">
        <v>308</v>
      </c>
      <c r="C655" s="320" t="n">
        <v>21.8</v>
      </c>
      <c r="D655" s="320" t="n">
        <f aca="false">B281</f>
        <v>58.5</v>
      </c>
      <c r="E655" s="320" t="n">
        <f aca="false">B381</f>
        <v>99.5</v>
      </c>
      <c r="F655" s="320" t="n">
        <f aca="false">B454</f>
        <v>184</v>
      </c>
      <c r="G655" s="320" t="n">
        <f aca="false">B524</f>
        <v>237</v>
      </c>
      <c r="H655" s="320" t="n">
        <f aca="false">B595</f>
        <v>320</v>
      </c>
      <c r="I655" s="320"/>
    </row>
    <row r="656" customFormat="false" ht="12.75" hidden="false" customHeight="true" outlineLevel="0" collapsed="false">
      <c r="A656" s="219" t="s">
        <v>1230</v>
      </c>
      <c r="B656" s="329" t="s">
        <v>308</v>
      </c>
      <c r="C656" s="253" t="n">
        <f aca="false">C655/C654</f>
        <v>0.0350200803212851</v>
      </c>
      <c r="D656" s="253" t="n">
        <f aca="false">D655/D654</f>
        <v>0.0504963314630988</v>
      </c>
      <c r="E656" s="253" t="n">
        <f aca="false">E655/E654</f>
        <v>0.0622069396686465</v>
      </c>
      <c r="F656" s="253" t="n">
        <f aca="false">F655/F654</f>
        <v>0.0740740740740741</v>
      </c>
      <c r="G656" s="253" t="n">
        <f aca="false">G655/G654</f>
        <v>0.085037674919268</v>
      </c>
      <c r="H656" s="253" t="n">
        <f aca="false">H655/H654</f>
        <v>0.102564102564103</v>
      </c>
      <c r="I656" s="253"/>
    </row>
    <row r="657" customFormat="false" ht="12.75" hidden="false" customHeight="true" outlineLevel="0" collapsed="false">
      <c r="A657" s="219" t="s">
        <v>1592</v>
      </c>
      <c r="B657" s="330" t="s">
        <v>308</v>
      </c>
      <c r="C657" s="304" t="n">
        <f aca="false">D258</f>
        <v>1355706725</v>
      </c>
      <c r="D657" s="304" t="n">
        <f aca="false">D348</f>
        <v>4708500000</v>
      </c>
      <c r="E657" s="304" t="n">
        <f aca="false">D432</f>
        <v>8628600000</v>
      </c>
      <c r="F657" s="304" t="n">
        <f aca="false">D502</f>
        <v>16727950000</v>
      </c>
      <c r="G657" s="304" t="n">
        <f aca="false">D573</f>
        <v>28561250000</v>
      </c>
      <c r="H657" s="304" t="n">
        <f aca="false">D644</f>
        <v>44457000000</v>
      </c>
      <c r="I657" s="304"/>
    </row>
    <row r="658" customFormat="false" ht="12.75" hidden="false" customHeight="true" outlineLevel="0" collapsed="false">
      <c r="A658" s="331" t="s">
        <v>1593</v>
      </c>
      <c r="B658" s="330" t="s">
        <v>308</v>
      </c>
      <c r="C658" s="304" t="n">
        <f aca="false">C657/C654/365</f>
        <v>5966.69076305221</v>
      </c>
      <c r="D658" s="304" t="n">
        <f aca="false">D657/D654/365</f>
        <v>11135.0884764782</v>
      </c>
      <c r="E658" s="304" t="n">
        <f aca="false">E657/E654/365</f>
        <v>14779.6186308221</v>
      </c>
      <c r="F658" s="304" t="n">
        <f aca="false">F657/F654/365</f>
        <v>18450.0805152979</v>
      </c>
      <c r="G658" s="304" t="n">
        <f aca="false">G657/G654/365</f>
        <v>28076.7850735558</v>
      </c>
      <c r="H658" s="304" t="n">
        <f aca="false">H657/H654/365</f>
        <v>39038.4615384615</v>
      </c>
      <c r="I658" s="304"/>
    </row>
    <row r="659" customFormat="false" ht="12.75" hidden="false" customHeight="true" outlineLevel="0" collapsed="false">
      <c r="A659" s="331" t="s">
        <v>1594</v>
      </c>
      <c r="B659" s="330" t="s">
        <v>308</v>
      </c>
      <c r="C659" s="304" t="n">
        <f aca="false">C657/C655/365</f>
        <v>170379.128440367</v>
      </c>
      <c r="D659" s="304" t="n">
        <f aca="false">D657/D655/365</f>
        <v>220512.820512821</v>
      </c>
      <c r="E659" s="304" t="n">
        <f aca="false">E657/E655/365</f>
        <v>237587.939698492</v>
      </c>
      <c r="F659" s="304" t="n">
        <f aca="false">F657/F655/365</f>
        <v>249076.086956522</v>
      </c>
      <c r="G659" s="304" t="n">
        <f aca="false">G657/G655/365</f>
        <v>330168.776371308</v>
      </c>
      <c r="H659" s="304" t="n">
        <f aca="false">H657/H655/365</f>
        <v>380625</v>
      </c>
      <c r="I659" s="304"/>
    </row>
    <row r="660" customFormat="false" ht="12.75" hidden="false" customHeight="true" outlineLevel="0" collapsed="false">
      <c r="A660" s="219" t="s">
        <v>1425</v>
      </c>
      <c r="B660" s="332" t="s">
        <v>308</v>
      </c>
      <c r="C660" s="249" t="n">
        <f aca="false">D192</f>
        <v>8.448</v>
      </c>
      <c r="D660" s="249" t="n">
        <f aca="false">B285</f>
        <v>19.776</v>
      </c>
      <c r="E660" s="249" t="n">
        <f aca="false">B385</f>
        <v>33.672</v>
      </c>
      <c r="F660" s="249" t="n">
        <f aca="false">B458</f>
        <v>61.008</v>
      </c>
      <c r="G660" s="249" t="n">
        <f aca="false">B528</f>
        <v>92.7</v>
      </c>
      <c r="H660" s="249" t="n">
        <f aca="false">B599</f>
        <v>142.8</v>
      </c>
      <c r="I660" s="249"/>
    </row>
    <row r="661" customFormat="false" ht="12.75" hidden="false" customHeight="true" outlineLevel="0" collapsed="false">
      <c r="A661" s="333" t="s">
        <v>1595</v>
      </c>
      <c r="B661" s="334" t="s">
        <v>308</v>
      </c>
      <c r="C661" s="335" t="n">
        <f aca="false">C660*1000000000/C657</f>
        <v>6.23143622747759</v>
      </c>
      <c r="D661" s="335" t="n">
        <f aca="false">D660*1000000000/D657</f>
        <v>4.20006371455878</v>
      </c>
      <c r="E661" s="335" t="n">
        <f aca="false">E660*1000000000/E657</f>
        <v>3.90237118420138</v>
      </c>
      <c r="F661" s="335" t="n">
        <f aca="false">F660*1000000000/F657</f>
        <v>3.64706972462256</v>
      </c>
      <c r="G661" s="335" t="n">
        <f aca="false">G660*1000000000/G657</f>
        <v>3.24565626504442</v>
      </c>
      <c r="H661" s="335" t="n">
        <f aca="false">H660*1000000000/H657</f>
        <v>3.21209258384506</v>
      </c>
      <c r="I661" s="335"/>
    </row>
    <row r="662" customFormat="false" ht="12.75" hidden="false" customHeight="true" outlineLevel="0" collapsed="false">
      <c r="A662" s="219" t="s">
        <v>1427</v>
      </c>
      <c r="B662" s="332" t="s">
        <v>308</v>
      </c>
      <c r="C662" s="249" t="n">
        <f aca="false">C652-C660</f>
        <v>4.652</v>
      </c>
      <c r="D662" s="249" t="n">
        <f aca="false">D652-D660</f>
        <v>16.224</v>
      </c>
      <c r="E662" s="249" t="n">
        <f aca="false">E652-E660</f>
        <v>41.428</v>
      </c>
      <c r="F662" s="249" t="n">
        <f aca="false">F652-F660</f>
        <v>80.492</v>
      </c>
      <c r="G662" s="249" t="n">
        <f aca="false">G652-G660</f>
        <v>144.7</v>
      </c>
      <c r="H662" s="249" t="n">
        <f aca="false">H652-H660</f>
        <v>207.2</v>
      </c>
      <c r="I662" s="249"/>
    </row>
    <row r="663" customFormat="false" ht="12.75" hidden="false" customHeight="true" outlineLevel="0" collapsed="false">
      <c r="A663" s="219" t="s">
        <v>1596</v>
      </c>
      <c r="B663" s="330" t="s">
        <v>308</v>
      </c>
      <c r="C663" s="304" t="n">
        <f aca="false">D259</f>
        <v>1799019357.15753</v>
      </c>
      <c r="D663" s="304" t="n">
        <f aca="false">D349</f>
        <v>6374805488.8433</v>
      </c>
      <c r="E663" s="304" t="n">
        <f aca="false">D433</f>
        <v>16787087093.3604</v>
      </c>
      <c r="F663" s="304" t="n">
        <f aca="false">D503</f>
        <v>33538333333.3333</v>
      </c>
      <c r="G663" s="304" t="n">
        <f aca="false">D574</f>
        <v>63464912280.7018</v>
      </c>
      <c r="H663" s="304" t="n">
        <f aca="false">D645</f>
        <v>97276995305.1643</v>
      </c>
      <c r="I663" s="304"/>
    </row>
    <row r="664" customFormat="false" ht="12.75" hidden="false" customHeight="true" outlineLevel="0" collapsed="false">
      <c r="A664" s="333" t="s">
        <v>1597</v>
      </c>
      <c r="B664" s="336" t="s">
        <v>308</v>
      </c>
      <c r="C664" s="337" t="n">
        <f aca="false">C662*1000000000/C663</f>
        <v>2.5858532213629</v>
      </c>
      <c r="D664" s="337" t="n">
        <f aca="false">D662*1000000000/D663</f>
        <v>2.54501882895</v>
      </c>
      <c r="E664" s="337" t="n">
        <f aca="false">E662*1000000000/E663</f>
        <v>2.46784923254408</v>
      </c>
      <c r="F664" s="337" t="n">
        <f aca="false">F662*1000000000/F663</f>
        <v>2.4</v>
      </c>
      <c r="G664" s="337" t="n">
        <f aca="false">G662*1000000000/G663</f>
        <v>2.28</v>
      </c>
      <c r="H664" s="337" t="n">
        <f aca="false">H662*1000000000/H663</f>
        <v>2.13</v>
      </c>
      <c r="I664" s="337"/>
    </row>
    <row r="665" customFormat="false" ht="12.75" hidden="false" customHeight="true" outlineLevel="0" collapsed="false">
      <c r="A665" s="219" t="s">
        <v>1598</v>
      </c>
      <c r="B665" s="329" t="s">
        <v>308</v>
      </c>
      <c r="C665" s="253" t="n">
        <f aca="false">C660/C652</f>
        <v>0.644885496183206</v>
      </c>
      <c r="D665" s="253" t="n">
        <f aca="false">D660/D652</f>
        <v>0.549333333333333</v>
      </c>
      <c r="E665" s="253" t="n">
        <f aca="false">E660/E652</f>
        <v>0.448362183754993</v>
      </c>
      <c r="F665" s="253" t="n">
        <f aca="false">F660/F652</f>
        <v>0.431151943462898</v>
      </c>
      <c r="G665" s="253" t="n">
        <f aca="false">G660/G652</f>
        <v>0.390480202190396</v>
      </c>
      <c r="H665" s="253" t="n">
        <f aca="false">H660/H652</f>
        <v>0.408</v>
      </c>
      <c r="I665" s="253"/>
    </row>
    <row r="666" customFormat="false" ht="12.75" hidden="false" customHeight="true" outlineLevel="0" collapsed="false">
      <c r="B666" s="338" t="s">
        <v>308</v>
      </c>
    </row>
    <row r="667" customFormat="false" ht="12.75" hidden="false" customHeight="true" outlineLevel="0" collapsed="false">
      <c r="A667" s="339"/>
      <c r="B667" s="340" t="s">
        <v>910</v>
      </c>
      <c r="C667" s="341" t="s">
        <v>911</v>
      </c>
      <c r="D667" s="341" t="s">
        <v>912</v>
      </c>
      <c r="E667" s="341" t="s">
        <v>913</v>
      </c>
      <c r="F667" s="341" t="s">
        <v>914</v>
      </c>
      <c r="G667" s="341" t="s">
        <v>915</v>
      </c>
      <c r="H667" s="341" t="s">
        <v>916</v>
      </c>
      <c r="I667" s="339"/>
    </row>
    <row r="668" customFormat="false" ht="12.75" hidden="false" customHeight="true" outlineLevel="0" collapsed="false">
      <c r="A668" s="219" t="s">
        <v>1599</v>
      </c>
      <c r="B668" s="342" t="s">
        <v>308</v>
      </c>
      <c r="C668" s="343" t="n">
        <f aca="false">C103*Revenue_Model!$B$24/1000000*C59</f>
        <v>87266.4898233401</v>
      </c>
      <c r="D668" s="343" t="n">
        <f aca="false">D103*Revenue_Model!$B$24/1000000*D59</f>
        <v>187366.935909918</v>
      </c>
      <c r="E668" s="343" t="n">
        <f aca="false">E103*Revenue_Model!$B$24/1000000*E59</f>
        <v>387121.618653204</v>
      </c>
      <c r="F668" s="343" t="n">
        <f aca="false">F103*Revenue_Model!$B$24/1000000*F59</f>
        <v>666609.918761194</v>
      </c>
      <c r="G668" s="343" t="n">
        <f aca="false">G103*Revenue_Model!$B$24/1000000*G59</f>
        <v>935309.015873078</v>
      </c>
      <c r="H668" s="343" t="n">
        <f aca="false">H103*Revenue_Model!$B$24/1000000*H59</f>
        <v>1338371.50576226</v>
      </c>
    </row>
    <row r="669" customFormat="false" ht="12.75" hidden="false" customHeight="true" outlineLevel="0" collapsed="false">
      <c r="A669" s="344" t="s">
        <v>1600</v>
      </c>
      <c r="B669" s="342" t="s">
        <v>308</v>
      </c>
      <c r="C669" s="345" t="n">
        <f aca="false">C670/C668</f>
        <v>0.0361504867279969</v>
      </c>
      <c r="D669" s="345" t="n">
        <f aca="false">D670/D668</f>
        <v>0.0591529419799655</v>
      </c>
      <c r="E669" s="345" t="n">
        <f aca="false">E670/E668</f>
        <v>0.0656529779498793</v>
      </c>
      <c r="F669" s="345" t="n">
        <f aca="false">F670/F668</f>
        <v>0.0754058436855343</v>
      </c>
      <c r="G669" s="345" t="n">
        <f aca="false">G670/G668</f>
        <v>0.0983911848586198</v>
      </c>
      <c r="H669" s="345" t="n">
        <f aca="false">H670/H668</f>
        <v>0.105900338355187</v>
      </c>
    </row>
    <row r="670" customFormat="false" ht="12.75" hidden="false" customHeight="true" outlineLevel="0" collapsed="false">
      <c r="A670" s="219" t="s">
        <v>1421</v>
      </c>
      <c r="B670" s="346" t="s">
        <v>308</v>
      </c>
      <c r="C670" s="243" t="n">
        <f aca="false">B263</f>
        <v>3154.72608215753</v>
      </c>
      <c r="D670" s="243" t="n">
        <f aca="false">B353</f>
        <v>11083.3054888433</v>
      </c>
      <c r="E670" s="243" t="n">
        <f aca="false">B436</f>
        <v>25415.6870933604</v>
      </c>
      <c r="F670" s="243" t="n">
        <f aca="false">B506</f>
        <v>50266.2833333333</v>
      </c>
      <c r="G670" s="243" t="n">
        <f aca="false">B577</f>
        <v>92026.1622807018</v>
      </c>
      <c r="H670" s="243" t="n">
        <f aca="false">B648</f>
        <v>141733.995305164</v>
      </c>
      <c r="I670" s="243"/>
    </row>
    <row r="671" customFormat="false" ht="12.75" hidden="false" customHeight="true" outlineLevel="0" collapsed="false">
      <c r="A671" s="347" t="s">
        <v>1601</v>
      </c>
      <c r="B671" s="338" t="s">
        <v>308</v>
      </c>
      <c r="C671" s="181" t="s">
        <v>1215</v>
      </c>
      <c r="D671" s="230" t="n">
        <f aca="false">D670/C670-1</f>
        <v>2.5132386141314</v>
      </c>
      <c r="E671" s="230" t="n">
        <f aca="false">E670/D670-1</f>
        <v>1.2931504611999</v>
      </c>
      <c r="F671" s="230" t="n">
        <f aca="false">F670/E670-1</f>
        <v>0.977766060334642</v>
      </c>
      <c r="G671" s="230" t="n">
        <f aca="false">G670/F670-1</f>
        <v>0.830773158032076</v>
      </c>
      <c r="H671" s="230" t="n">
        <f aca="false">H670/G670-1</f>
        <v>0.540148929310361</v>
      </c>
      <c r="I671" s="230"/>
    </row>
    <row r="672" customFormat="false" ht="12.75" hidden="false" customHeight="true" outlineLevel="0" collapsed="false">
      <c r="A672" s="219" t="s">
        <v>1423</v>
      </c>
      <c r="B672" s="348" t="s">
        <v>308</v>
      </c>
      <c r="C672" s="222" t="n">
        <f aca="false">C652*1000/C670</f>
        <v>4.15249998219841</v>
      </c>
      <c r="D672" s="222" t="n">
        <f aca="false">D652*1000/D670</f>
        <v>3.24812846097569</v>
      </c>
      <c r="E672" s="222" t="n">
        <f aca="false">E652*1000/E670</f>
        <v>2.95486798071335</v>
      </c>
      <c r="F672" s="222" t="n">
        <f aca="false">F652*1000/F670</f>
        <v>2.81500820463817</v>
      </c>
      <c r="G672" s="222" t="n">
        <f aca="false">G652*1000/G670</f>
        <v>2.57970118623303</v>
      </c>
      <c r="H672" s="222" t="n">
        <f aca="false">H652*1000/H670</f>
        <v>2.46941461888817</v>
      </c>
      <c r="I672" s="222"/>
    </row>
    <row r="673" customFormat="false" ht="12.75" hidden="false" customHeight="true" outlineLevel="0" collapsed="false">
      <c r="A673" s="219" t="s">
        <v>1602</v>
      </c>
      <c r="B673" s="348" t="s">
        <v>308</v>
      </c>
      <c r="C673" s="222" t="n">
        <f aca="false">C660*1000/C655/12</f>
        <v>32.2935779816514</v>
      </c>
      <c r="D673" s="222" t="n">
        <f aca="false">D660*1000/D655/12</f>
        <v>28.1709401709402</v>
      </c>
      <c r="E673" s="222" t="n">
        <f aca="false">E660*1000/E655/12</f>
        <v>28.2010050251256</v>
      </c>
      <c r="F673" s="222" t="n">
        <f aca="false">F660*1000/F655/12</f>
        <v>27.6304347826087</v>
      </c>
      <c r="G673" s="222" t="n">
        <f aca="false">G660*1000/G655/12</f>
        <v>32.5949367088608</v>
      </c>
      <c r="H673" s="222" t="n">
        <f aca="false">H660*1000/H655/12</f>
        <v>37.1875</v>
      </c>
      <c r="I673" s="222"/>
    </row>
    <row r="674" customFormat="false" ht="12.75" hidden="false" customHeight="true" outlineLevel="0" collapsed="false"/>
    <row r="675" customFormat="false" ht="12.75" hidden="false" customHeight="true" outlineLevel="0" collapsed="false">
      <c r="A675" s="2" t="s">
        <v>1603</v>
      </c>
      <c r="B675" s="349" t="str">
        <f aca="false">FT_Sep2026!B82</f>
        <v>OK: within capacity</v>
      </c>
    </row>
    <row r="676" customFormat="false" ht="12.75" hidden="false" customHeight="true" outlineLevel="0" collapsed="false">
      <c r="A676" s="15" t="s">
        <v>1604</v>
      </c>
      <c r="D676" s="350" t="n">
        <f aca="false">FT_Sep2026!B79</f>
        <v>3.5</v>
      </c>
      <c r="E676" s="350" t="n">
        <f aca="false">FT_Sep2026!C79</f>
        <v>4.5</v>
      </c>
      <c r="F676" s="350" t="n">
        <f aca="false">FT_Sep2026!D79</f>
        <v>5.75</v>
      </c>
      <c r="G676" s="350" t="n">
        <f aca="false">FT_Sep2026!E79</f>
        <v>7</v>
      </c>
      <c r="H676" s="350" t="n">
        <f aca="false">FT_Sep2026!F79</f>
        <v>10</v>
      </c>
    </row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conditionalFormatting sqref="C669:H669">
    <cfRule type="expression" priority="2" aboveAverage="0" equalAverage="0" bottom="0" percent="0" rank="0" text="" dxfId="0">
      <formula>C669&gt;1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H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7" min="2" style="1" width="13"/>
    <col collapsed="false" customWidth="true" hidden="false" outlineLevel="0" max="8" min="8" style="1" width="70"/>
  </cols>
  <sheetData>
    <row r="1" customFormat="false" ht="15" hidden="false" customHeight="true" outlineLevel="0" collapsed="false">
      <c r="A1" s="2" t="s">
        <v>1605</v>
      </c>
      <c r="H1" s="351"/>
    </row>
    <row r="2" customFormat="false" ht="15" hidden="false" customHeight="true" outlineLevel="0" collapsed="false">
      <c r="A2" s="15" t="s">
        <v>1606</v>
      </c>
      <c r="H2" s="351"/>
    </row>
    <row r="3" customFormat="false" ht="15" hidden="false" customHeight="true" outlineLevel="0" collapsed="false">
      <c r="H3" s="351"/>
    </row>
    <row r="4" customFormat="false" ht="15" hidden="false" customHeight="true" outlineLevel="0" collapsed="false">
      <c r="A4" s="352" t="s">
        <v>1607</v>
      </c>
      <c r="B4" s="143"/>
      <c r="C4" s="143"/>
      <c r="D4" s="143"/>
      <c r="E4" s="143"/>
      <c r="F4" s="143"/>
      <c r="G4" s="143"/>
      <c r="H4" s="353"/>
    </row>
    <row r="5" customFormat="false" ht="15" hidden="false" customHeight="true" outlineLevel="0" collapsed="false">
      <c r="A5" s="354" t="s">
        <v>862</v>
      </c>
      <c r="B5" s="354" t="s">
        <v>1608</v>
      </c>
      <c r="C5" s="354" t="s">
        <v>1609</v>
      </c>
      <c r="D5" s="354" t="s">
        <v>1610</v>
      </c>
      <c r="E5" s="354" t="s">
        <v>1611</v>
      </c>
      <c r="F5" s="354"/>
      <c r="G5" s="354"/>
      <c r="H5" s="355" t="s">
        <v>73</v>
      </c>
    </row>
    <row r="6" customFormat="false" ht="32.25" hidden="false" customHeight="true" outlineLevel="0" collapsed="false">
      <c r="A6" s="15" t="s">
        <v>1612</v>
      </c>
      <c r="C6" s="232" t="n">
        <v>30</v>
      </c>
      <c r="E6" s="232" t="n">
        <v>36</v>
      </c>
      <c r="H6" s="20" t="s">
        <v>1613</v>
      </c>
    </row>
    <row r="7" customFormat="false" ht="15" hidden="false" customHeight="true" outlineLevel="0" collapsed="false">
      <c r="A7" s="15" t="s">
        <v>1614</v>
      </c>
      <c r="C7" s="232" t="n">
        <v>62</v>
      </c>
      <c r="H7" s="20" t="s">
        <v>1615</v>
      </c>
    </row>
    <row r="8" customFormat="false" ht="15" hidden="false" customHeight="true" outlineLevel="0" collapsed="false">
      <c r="A8" s="15" t="s">
        <v>1616</v>
      </c>
      <c r="C8" s="232" t="n">
        <v>280</v>
      </c>
      <c r="E8" s="232" t="n">
        <v>350</v>
      </c>
      <c r="H8" s="20" t="s">
        <v>1617</v>
      </c>
    </row>
    <row r="9" customFormat="false" ht="21.75" hidden="false" customHeight="true" outlineLevel="0" collapsed="false">
      <c r="A9" s="15" t="s">
        <v>1618</v>
      </c>
      <c r="E9" s="232" t="n">
        <v>840</v>
      </c>
      <c r="H9" s="20" t="s">
        <v>1619</v>
      </c>
    </row>
    <row r="10" customFormat="false" ht="15" hidden="false" customHeight="true" outlineLevel="0" collapsed="false">
      <c r="A10" s="15" t="s">
        <v>1620</v>
      </c>
      <c r="B10" s="232" t="n">
        <v>-17</v>
      </c>
      <c r="C10" s="232" t="n">
        <v>-25</v>
      </c>
      <c r="H10" s="20" t="s">
        <v>1621</v>
      </c>
    </row>
    <row r="11" customFormat="false" ht="15" hidden="false" customHeight="true" outlineLevel="0" collapsed="false">
      <c r="A11" s="15" t="s">
        <v>1622</v>
      </c>
      <c r="B11" s="232" t="n">
        <v>-35</v>
      </c>
      <c r="C11" s="232" t="n">
        <v>-57</v>
      </c>
      <c r="H11" s="20" t="s">
        <v>1623</v>
      </c>
    </row>
    <row r="12" customFormat="false" ht="15" hidden="false" customHeight="true" outlineLevel="0" collapsed="false">
      <c r="A12" s="15" t="s">
        <v>1624</v>
      </c>
      <c r="B12" s="232" t="n">
        <v>-45</v>
      </c>
      <c r="H12" s="20" t="s">
        <v>1625</v>
      </c>
    </row>
    <row r="13" customFormat="false" ht="15" hidden="false" customHeight="true" outlineLevel="0" collapsed="false">
      <c r="A13" s="15" t="s">
        <v>1626</v>
      </c>
      <c r="C13" s="232" t="n">
        <v>-218</v>
      </c>
      <c r="H13" s="20" t="s">
        <v>1627</v>
      </c>
    </row>
    <row r="14" customFormat="false" ht="15" hidden="false" customHeight="true" outlineLevel="0" collapsed="false">
      <c r="A14" s="15" t="s">
        <v>1628</v>
      </c>
      <c r="C14" s="232" t="n">
        <v>39</v>
      </c>
      <c r="H14" s="20" t="s">
        <v>1629</v>
      </c>
    </row>
    <row r="15" customFormat="false" ht="15" hidden="false" customHeight="true" outlineLevel="0" collapsed="false">
      <c r="A15" s="15" t="s">
        <v>1630</v>
      </c>
      <c r="C15" s="277" t="n">
        <f aca="false">C13+C14</f>
        <v>-179</v>
      </c>
      <c r="D15" s="232" t="n">
        <v>-305</v>
      </c>
      <c r="E15" s="232" t="n">
        <v>-278</v>
      </c>
      <c r="H15" s="20" t="s">
        <v>1631</v>
      </c>
    </row>
    <row r="16" customFormat="false" ht="21.75" hidden="false" customHeight="true" outlineLevel="0" collapsed="false">
      <c r="A16" s="15" t="s">
        <v>1632</v>
      </c>
      <c r="C16" s="232" t="n">
        <v>600</v>
      </c>
      <c r="E16" s="232" t="n">
        <v>856</v>
      </c>
      <c r="H16" s="20" t="s">
        <v>1633</v>
      </c>
    </row>
    <row r="17" customFormat="false" ht="15" hidden="false" customHeight="true" outlineLevel="0" collapsed="false">
      <c r="A17" s="15" t="s">
        <v>1634</v>
      </c>
      <c r="E17" s="232" t="n">
        <v>122</v>
      </c>
      <c r="H17" s="20" t="s">
        <v>1635</v>
      </c>
    </row>
    <row r="18" customFormat="false" ht="15" hidden="false" customHeight="true" outlineLevel="0" collapsed="false">
      <c r="A18" s="15" t="s">
        <v>1636</v>
      </c>
      <c r="E18" s="232" t="n">
        <v>852</v>
      </c>
      <c r="H18" s="20" t="s">
        <v>1637</v>
      </c>
    </row>
    <row r="19" customFormat="false" ht="15" hidden="false" customHeight="true" outlineLevel="0" collapsed="false">
      <c r="A19" s="15" t="s">
        <v>1638</v>
      </c>
      <c r="E19" s="232" t="n">
        <v>1200</v>
      </c>
      <c r="H19" s="20" t="s">
        <v>1639</v>
      </c>
    </row>
    <row r="20" customFormat="false" ht="15" hidden="false" customHeight="true" outlineLevel="0" collapsed="false">
      <c r="A20" s="15" t="s">
        <v>1640</v>
      </c>
      <c r="H20" s="351"/>
    </row>
    <row r="21" customFormat="false" ht="15" hidden="false" customHeight="true" outlineLevel="0" collapsed="false">
      <c r="H21" s="351"/>
    </row>
    <row r="22" customFormat="false" ht="15" hidden="false" customHeight="true" outlineLevel="0" collapsed="false">
      <c r="A22" s="352" t="s">
        <v>1641</v>
      </c>
      <c r="B22" s="143"/>
      <c r="C22" s="143"/>
      <c r="D22" s="143"/>
      <c r="E22" s="143"/>
      <c r="F22" s="143"/>
      <c r="G22" s="143"/>
      <c r="H22" s="353"/>
    </row>
    <row r="23" customFormat="false" ht="15" hidden="false" customHeight="true" outlineLevel="0" collapsed="false">
      <c r="A23" s="354" t="s">
        <v>862</v>
      </c>
      <c r="B23" s="354" t="s">
        <v>912</v>
      </c>
      <c r="C23" s="354" t="s">
        <v>913</v>
      </c>
      <c r="D23" s="354" t="s">
        <v>914</v>
      </c>
      <c r="E23" s="354" t="s">
        <v>915</v>
      </c>
      <c r="F23" s="354" t="s">
        <v>916</v>
      </c>
      <c r="G23" s="354" t="s">
        <v>1642</v>
      </c>
      <c r="H23" s="355" t="s">
        <v>73</v>
      </c>
    </row>
    <row r="24" customFormat="false" ht="32.25" hidden="false" customHeight="true" outlineLevel="0" collapsed="false">
      <c r="A24" s="15" t="s">
        <v>1643</v>
      </c>
      <c r="B24" s="277" t="n">
        <f aca="false">E6</f>
        <v>36</v>
      </c>
      <c r="C24" s="356" t="n">
        <v>75.1</v>
      </c>
      <c r="D24" s="356" t="n">
        <v>141.5</v>
      </c>
      <c r="E24" s="277" t="n">
        <f aca="false">E9-B24-C24-D24-F24</f>
        <v>237.4</v>
      </c>
      <c r="F24" s="277" t="n">
        <f aca="false">E8</f>
        <v>350</v>
      </c>
      <c r="G24" s="277" t="n">
        <f aca="false">SUM(B24:F24)</f>
        <v>840</v>
      </c>
      <c r="H24" s="20" t="s">
        <v>1644</v>
      </c>
    </row>
    <row r="25" customFormat="false" ht="15" hidden="false" customHeight="true" outlineLevel="0" collapsed="false">
      <c r="A25" s="15" t="s">
        <v>1645</v>
      </c>
      <c r="B25" s="357" t="n">
        <f aca="false">B24/OpenAI_Sim!C68-1</f>
        <v>1.74809160305344</v>
      </c>
      <c r="C25" s="358" t="n">
        <f aca="false">C24/B24-1</f>
        <v>1.08611111111111</v>
      </c>
      <c r="D25" s="358" t="n">
        <f aca="false">D24/C24-1</f>
        <v>0.884154460719042</v>
      </c>
      <c r="E25" s="358" t="n">
        <f aca="false">E24/D24-1</f>
        <v>0.67773851590106</v>
      </c>
      <c r="F25" s="358" t="n">
        <f aca="false">F24/E24-1</f>
        <v>0.474304970513901</v>
      </c>
      <c r="H25" s="20" t="s">
        <v>1646</v>
      </c>
    </row>
    <row r="26" customFormat="false" ht="15" hidden="false" customHeight="true" outlineLevel="0" collapsed="false">
      <c r="A26" s="15" t="s">
        <v>1647</v>
      </c>
      <c r="B26" s="232" t="n">
        <v>32.75</v>
      </c>
      <c r="C26" s="232" t="n">
        <v>60.5875</v>
      </c>
      <c r="D26" s="232" t="n">
        <v>112.0869</v>
      </c>
      <c r="E26" s="232" t="n">
        <v>179.339</v>
      </c>
      <c r="F26" s="232" t="n">
        <v>286.9424</v>
      </c>
      <c r="G26" s="277" t="n">
        <f aca="false">SUM(B26:F26)</f>
        <v>671.7058</v>
      </c>
      <c r="H26" s="20" t="s">
        <v>1648</v>
      </c>
    </row>
    <row r="27" customFormat="false" ht="15" hidden="false" customHeight="true" outlineLevel="0" collapsed="false">
      <c r="A27" s="15" t="s">
        <v>1649</v>
      </c>
      <c r="B27" s="358" t="n">
        <f aca="false">B24/B26-1</f>
        <v>0.0992366412213741</v>
      </c>
      <c r="C27" s="358" t="n">
        <f aca="false">C24/C26-1</f>
        <v>0.23952960594182</v>
      </c>
      <c r="D27" s="358" t="n">
        <f aca="false">D24/D26-1</f>
        <v>0.262413359634355</v>
      </c>
      <c r="E27" s="358" t="n">
        <f aca="false">E24/E26-1</f>
        <v>0.32374999302996</v>
      </c>
      <c r="F27" s="358" t="n">
        <f aca="false">F24/F26-1</f>
        <v>0.219756996526132</v>
      </c>
      <c r="G27" s="358" t="n">
        <f aca="false">G24/G26-1</f>
        <v>0.250547486712189</v>
      </c>
      <c r="H27" s="351"/>
    </row>
    <row r="28" customFormat="false" ht="15" hidden="false" customHeight="true" outlineLevel="0" collapsed="false">
      <c r="A28" s="15" t="s">
        <v>1650</v>
      </c>
      <c r="G28" s="277" t="n">
        <f aca="false">SUMPRODUCT(B24*((F24/B24)^({0,1,2,3,4}/4)))</f>
        <v>760.029003707135</v>
      </c>
      <c r="H28" s="20" t="s">
        <v>1651</v>
      </c>
    </row>
    <row r="29" customFormat="false" ht="15" hidden="false" customHeight="true" outlineLevel="0" collapsed="false">
      <c r="H29" s="351"/>
    </row>
    <row r="30" customFormat="false" ht="15" hidden="false" customHeight="true" outlineLevel="0" collapsed="false">
      <c r="A30" s="352" t="s">
        <v>1652</v>
      </c>
      <c r="B30" s="143"/>
      <c r="C30" s="143"/>
      <c r="D30" s="143"/>
      <c r="E30" s="143"/>
      <c r="F30" s="143"/>
      <c r="G30" s="143"/>
      <c r="H30" s="353"/>
    </row>
    <row r="31" customFormat="false" ht="15" hidden="false" customHeight="true" outlineLevel="0" collapsed="false">
      <c r="A31" s="354" t="s">
        <v>1653</v>
      </c>
      <c r="B31" s="354" t="s">
        <v>912</v>
      </c>
      <c r="C31" s="354" t="s">
        <v>913</v>
      </c>
      <c r="D31" s="354" t="s">
        <v>914</v>
      </c>
      <c r="E31" s="354" t="s">
        <v>915</v>
      </c>
      <c r="F31" s="354" t="s">
        <v>916</v>
      </c>
      <c r="G31" s="354" t="s">
        <v>1642</v>
      </c>
      <c r="H31" s="355" t="s">
        <v>1654</v>
      </c>
    </row>
    <row r="32" customFormat="false" ht="15" hidden="false" customHeight="true" outlineLevel="0" collapsed="false">
      <c r="A32" s="15" t="s">
        <v>1655</v>
      </c>
      <c r="B32" s="359" t="n">
        <f aca="false">E16</f>
        <v>856</v>
      </c>
      <c r="H32" s="20" t="s">
        <v>1656</v>
      </c>
    </row>
    <row r="33" customFormat="false" ht="21.75" hidden="false" customHeight="true" outlineLevel="0" collapsed="false">
      <c r="A33" s="15" t="s">
        <v>1657</v>
      </c>
      <c r="B33" s="360" t="n">
        <v>0.6</v>
      </c>
      <c r="H33" s="20" t="s">
        <v>1658</v>
      </c>
    </row>
    <row r="34" customFormat="false" ht="21.75" hidden="false" customHeight="true" outlineLevel="0" collapsed="false">
      <c r="A34" s="15" t="s">
        <v>1659</v>
      </c>
      <c r="B34" s="229" t="n">
        <f aca="false">OpenAI_Sim!D53</f>
        <v>40</v>
      </c>
      <c r="C34" s="229" t="n">
        <f aca="false">OpenAI_Sim!E53</f>
        <v>60</v>
      </c>
      <c r="D34" s="229" t="n">
        <f aca="false">OpenAI_Sim!F53</f>
        <v>100</v>
      </c>
      <c r="E34" s="229" t="n">
        <f aca="false">OpenAI_Sim!G53</f>
        <v>125</v>
      </c>
      <c r="F34" s="229" t="n">
        <f aca="false">OpenAI_Sim!H53</f>
        <v>150</v>
      </c>
      <c r="G34" s="277" t="n">
        <f aca="false">SUM(B34:F34)</f>
        <v>475</v>
      </c>
      <c r="H34" s="20" t="s">
        <v>1660</v>
      </c>
    </row>
    <row r="35" customFormat="false" ht="21.75" hidden="false" customHeight="true" outlineLevel="0" collapsed="false">
      <c r="A35" s="15" t="s">
        <v>1661</v>
      </c>
      <c r="B35" s="360" t="n">
        <v>0</v>
      </c>
      <c r="H35" s="20" t="s">
        <v>1662</v>
      </c>
    </row>
    <row r="36" customFormat="false" ht="15" hidden="false" customHeight="true" outlineLevel="0" collapsed="false">
      <c r="H36" s="351"/>
    </row>
    <row r="37" customFormat="false" ht="15" hidden="false" customHeight="true" outlineLevel="0" collapsed="false">
      <c r="A37" s="15" t="s">
        <v>1663</v>
      </c>
      <c r="B37" s="229" t="n">
        <f aca="false">OpenAI_Sim!D68</f>
        <v>36</v>
      </c>
      <c r="C37" s="229" t="n">
        <f aca="false">OpenAI_Sim!E68</f>
        <v>75.1</v>
      </c>
      <c r="D37" s="229" t="n">
        <f aca="false">OpenAI_Sim!F68</f>
        <v>141.5</v>
      </c>
      <c r="E37" s="229" t="n">
        <f aca="false">OpenAI_Sim!G68</f>
        <v>237.4</v>
      </c>
      <c r="F37" s="229" t="n">
        <f aca="false">OpenAI_Sim!H68</f>
        <v>350</v>
      </c>
      <c r="G37" s="277" t="n">
        <f aca="false">SUM(B37:F37)</f>
        <v>840</v>
      </c>
      <c r="H37" s="20" t="s">
        <v>1664</v>
      </c>
    </row>
    <row r="38" customFormat="false" ht="15" hidden="false" customHeight="true" outlineLevel="0" collapsed="false">
      <c r="A38" s="15" t="s">
        <v>1665</v>
      </c>
      <c r="B38" s="229" t="n">
        <f aca="false">OpenAI_Sim!D69</f>
        <v>-7.2</v>
      </c>
      <c r="C38" s="229" t="n">
        <f aca="false">OpenAI_Sim!E69</f>
        <v>-13.1425</v>
      </c>
      <c r="D38" s="229" t="n">
        <f aca="false">OpenAI_Sim!F69</f>
        <v>-21.225</v>
      </c>
      <c r="E38" s="229" t="n">
        <f aca="false">OpenAI_Sim!G69</f>
        <v>-29.675</v>
      </c>
      <c r="F38" s="229" t="n">
        <f aca="false">OpenAI_Sim!H69</f>
        <v>-35</v>
      </c>
      <c r="G38" s="277" t="n">
        <f aca="false">SUM(B38:F38)</f>
        <v>-106.2425</v>
      </c>
      <c r="H38" s="20" t="s">
        <v>1666</v>
      </c>
    </row>
    <row r="39" customFormat="false" ht="15" hidden="false" customHeight="true" outlineLevel="0" collapsed="false">
      <c r="A39" s="15" t="s">
        <v>1667</v>
      </c>
      <c r="B39" s="277" t="n">
        <f aca="false">-$B$32*B34/$G$34</f>
        <v>-72.0842105263158</v>
      </c>
      <c r="C39" s="277" t="n">
        <f aca="false">-$B$32*C34/$G$34</f>
        <v>-108.126315789474</v>
      </c>
      <c r="D39" s="277" t="n">
        <f aca="false">-$B$32*D34/$G$34</f>
        <v>-180.210526315789</v>
      </c>
      <c r="E39" s="277" t="n">
        <f aca="false">-$B$32*E34/$G$34</f>
        <v>-225.263157894737</v>
      </c>
      <c r="F39" s="277" t="n">
        <f aca="false">-$B$32*F34/$G$34</f>
        <v>-270.315789473684</v>
      </c>
      <c r="G39" s="277" t="n">
        <f aca="false">SUM(B39:F39)</f>
        <v>-856</v>
      </c>
      <c r="H39" s="20" t="s">
        <v>1668</v>
      </c>
    </row>
    <row r="40" customFormat="false" ht="15" hidden="false" customHeight="true" outlineLevel="0" collapsed="false">
      <c r="A40" s="15" t="s">
        <v>1669</v>
      </c>
      <c r="B40" s="277" t="n">
        <f aca="false">-B34</f>
        <v>-40</v>
      </c>
      <c r="C40" s="277" t="n">
        <f aca="false">-C34</f>
        <v>-60</v>
      </c>
      <c r="D40" s="277" t="n">
        <f aca="false">-D34</f>
        <v>-100</v>
      </c>
      <c r="E40" s="277" t="n">
        <f aca="false">-E34</f>
        <v>-125</v>
      </c>
      <c r="F40" s="277" t="n">
        <f aca="false">-F34</f>
        <v>-150</v>
      </c>
      <c r="G40" s="277" t="n">
        <f aca="false">SUM(B40:F40)</f>
        <v>-475</v>
      </c>
      <c r="H40" s="20" t="s">
        <v>1670</v>
      </c>
    </row>
    <row r="41" customFormat="false" ht="15" hidden="false" customHeight="true" outlineLevel="0" collapsed="false">
      <c r="A41" s="15" t="s">
        <v>1671</v>
      </c>
      <c r="B41" s="277" t="n">
        <f aca="false">B39-B40</f>
        <v>-32.0842105263158</v>
      </c>
      <c r="C41" s="277" t="n">
        <f aca="false">C39-C40</f>
        <v>-48.1263157894737</v>
      </c>
      <c r="D41" s="277" t="n">
        <f aca="false">D39-D40</f>
        <v>-80.2105263157895</v>
      </c>
      <c r="E41" s="277" t="n">
        <f aca="false">E39-E40</f>
        <v>-100.263157894737</v>
      </c>
      <c r="F41" s="277" t="n">
        <f aca="false">F39-F40</f>
        <v>-120.315789473684</v>
      </c>
      <c r="G41" s="277" t="n">
        <f aca="false">SUM(B41:F41)</f>
        <v>-381</v>
      </c>
      <c r="H41" s="20" t="s">
        <v>1672</v>
      </c>
    </row>
    <row r="42" customFormat="false" ht="15" hidden="false" customHeight="true" outlineLevel="0" collapsed="false">
      <c r="A42" s="15" t="s">
        <v>1673</v>
      </c>
      <c r="B42" s="277" t="n">
        <f aca="false">-B39*$B$35</f>
        <v>0</v>
      </c>
      <c r="C42" s="277" t="n">
        <f aca="false">-C39*$B$35</f>
        <v>0</v>
      </c>
      <c r="D42" s="277" t="n">
        <f aca="false">-D39*$B$35</f>
        <v>0</v>
      </c>
      <c r="E42" s="277" t="n">
        <f aca="false">-E39*$B$35</f>
        <v>0</v>
      </c>
      <c r="F42" s="277" t="n">
        <f aca="false">-F39*$B$35</f>
        <v>0</v>
      </c>
      <c r="G42" s="277" t="n">
        <f aca="false">SUM(B42:F42)</f>
        <v>0</v>
      </c>
      <c r="H42" s="20" t="s">
        <v>1674</v>
      </c>
    </row>
    <row r="43" customFormat="false" ht="15" hidden="false" customHeight="true" outlineLevel="0" collapsed="false">
      <c r="A43" s="15" t="s">
        <v>1675</v>
      </c>
      <c r="B43" s="229" t="n">
        <f aca="false">OpenAI_Sim!D76*(1-$B$33)</f>
        <v>-5.76</v>
      </c>
      <c r="C43" s="229" t="n">
        <f aca="false">OpenAI_Sim!E76*(1-$B$33)</f>
        <v>-9.012</v>
      </c>
      <c r="D43" s="229" t="n">
        <f aca="false">OpenAI_Sim!F76*(1-$B$33)</f>
        <v>-14.15</v>
      </c>
      <c r="E43" s="229" t="n">
        <f aca="false">OpenAI_Sim!G76*(1-$B$33)</f>
        <v>-18.992</v>
      </c>
      <c r="F43" s="229" t="n">
        <f aca="false">OpenAI_Sim!H76*(1-$B$33)</f>
        <v>-21</v>
      </c>
      <c r="G43" s="277" t="n">
        <f aca="false">SUM(B43:F43)</f>
        <v>-68.914</v>
      </c>
      <c r="H43" s="20" t="s">
        <v>1676</v>
      </c>
    </row>
    <row r="44" customFormat="false" ht="15" hidden="false" customHeight="true" outlineLevel="0" collapsed="false">
      <c r="A44" s="15" t="s">
        <v>1677</v>
      </c>
      <c r="B44" s="229" t="n">
        <f aca="false">OpenAI_Sim!D77</f>
        <v>-4.32</v>
      </c>
      <c r="C44" s="229" t="n">
        <f aca="false">OpenAI_Sim!E77</f>
        <v>-7.51</v>
      </c>
      <c r="D44" s="229" t="n">
        <f aca="false">OpenAI_Sim!F77</f>
        <v>-11.32</v>
      </c>
      <c r="E44" s="229" t="n">
        <f aca="false">OpenAI_Sim!G77</f>
        <v>-15.431</v>
      </c>
      <c r="F44" s="229" t="n">
        <f aca="false">OpenAI_Sim!H77</f>
        <v>-17.5</v>
      </c>
      <c r="G44" s="277" t="n">
        <f aca="false">SUM(B44:F44)</f>
        <v>-56.081</v>
      </c>
      <c r="H44" s="20" t="s">
        <v>1678</v>
      </c>
    </row>
    <row r="45" customFormat="false" ht="15" hidden="false" customHeight="true" outlineLevel="0" collapsed="false">
      <c r="A45" s="15" t="s">
        <v>1679</v>
      </c>
      <c r="B45" s="229" t="n">
        <f aca="false">OpenAI_Sim!D78</f>
        <v>-1.8</v>
      </c>
      <c r="C45" s="229" t="n">
        <f aca="false">OpenAI_Sim!E78</f>
        <v>-3.3795</v>
      </c>
      <c r="D45" s="229" t="n">
        <f aca="false">OpenAI_Sim!F78</f>
        <v>-5.66</v>
      </c>
      <c r="E45" s="229" t="n">
        <f aca="false">OpenAI_Sim!G78</f>
        <v>-8.309</v>
      </c>
      <c r="F45" s="229" t="n">
        <f aca="false">OpenAI_Sim!H78</f>
        <v>-10.5</v>
      </c>
      <c r="G45" s="277" t="n">
        <f aca="false">SUM(B45:F45)</f>
        <v>-29.6485</v>
      </c>
      <c r="H45" s="20" t="s">
        <v>1680</v>
      </c>
    </row>
    <row r="46" customFormat="false" ht="21.75" hidden="false" customHeight="true" outlineLevel="0" collapsed="false">
      <c r="A46" s="2" t="s">
        <v>1681</v>
      </c>
      <c r="B46" s="361" t="n">
        <f aca="false">SUM(B37:B39)+SUM(B42:B45)</f>
        <v>-55.1642105263158</v>
      </c>
      <c r="C46" s="361" t="n">
        <f aca="false">SUM(C37:C39)+SUM(C42:C45)</f>
        <v>-66.0703157894737</v>
      </c>
      <c r="D46" s="361" t="n">
        <f aca="false">SUM(D37:D39)+SUM(D42:D45)</f>
        <v>-91.0655263157895</v>
      </c>
      <c r="E46" s="361" t="n">
        <f aca="false">SUM(E37:E39)+SUM(E42:E45)</f>
        <v>-60.2701578947369</v>
      </c>
      <c r="F46" s="361" t="n">
        <f aca="false">SUM(F37:F39)+SUM(F42:F45)</f>
        <v>-4.31578947368422</v>
      </c>
      <c r="G46" s="361" t="n">
        <f aca="false">SUM(B46:F46)</f>
        <v>-276.886</v>
      </c>
      <c r="H46" s="20" t="s">
        <v>1682</v>
      </c>
    </row>
    <row r="47" customFormat="false" ht="15" hidden="false" customHeight="true" outlineLevel="0" collapsed="false">
      <c r="A47" s="15" t="s">
        <v>1683</v>
      </c>
      <c r="B47" s="277" t="n">
        <f aca="false">B46</f>
        <v>-55.1642105263158</v>
      </c>
      <c r="C47" s="277" t="n">
        <f aca="false">B47+C46</f>
        <v>-121.234526315789</v>
      </c>
      <c r="D47" s="277" t="n">
        <f aca="false">C47+D46</f>
        <v>-212.300052631579</v>
      </c>
      <c r="E47" s="277" t="n">
        <f aca="false">D47+E46</f>
        <v>-272.570210526316</v>
      </c>
      <c r="F47" s="277" t="n">
        <f aca="false">E47+F46</f>
        <v>-276.886</v>
      </c>
      <c r="H47" s="20" t="s">
        <v>1684</v>
      </c>
    </row>
    <row r="48" customFormat="false" ht="15" hidden="false" customHeight="true" outlineLevel="0" collapsed="false">
      <c r="A48" s="15" t="s">
        <v>1685</v>
      </c>
      <c r="B48" s="358" t="n">
        <f aca="false">B46/B37</f>
        <v>-1.53233918128655</v>
      </c>
      <c r="C48" s="358" t="n">
        <f aca="false">C46/C37</f>
        <v>-0.879764524493658</v>
      </c>
      <c r="D48" s="358" t="n">
        <f aca="false">D46/D37</f>
        <v>-0.643572624139855</v>
      </c>
      <c r="E48" s="358" t="n">
        <f aca="false">E46/E37</f>
        <v>-0.253875981022481</v>
      </c>
      <c r="F48" s="358" t="n">
        <f aca="false">F46/F37</f>
        <v>-0.0123308270676692</v>
      </c>
      <c r="G48" s="358" t="n">
        <f aca="false">G46/G37</f>
        <v>-0.329626190476191</v>
      </c>
      <c r="H48" s="20"/>
    </row>
    <row r="49" customFormat="false" ht="15" hidden="false" customHeight="true" outlineLevel="0" collapsed="false">
      <c r="H49" s="351"/>
    </row>
    <row r="50" customFormat="false" ht="21.75" hidden="false" customHeight="true" outlineLevel="0" collapsed="false">
      <c r="A50" s="15" t="s">
        <v>1686</v>
      </c>
      <c r="B50" s="229" t="n">
        <f aca="false">OpenAI_Sim!D82-OpenAI_Sim!D53+ABS(OpenAI_Sim!D79)</f>
        <v>-45.6560696414272</v>
      </c>
      <c r="C50" s="229" t="n">
        <f aca="false">OpenAI_Sim!E82-OpenAI_Sim!E53+ABS(OpenAI_Sim!E79)</f>
        <v>-54.462368293312</v>
      </c>
      <c r="D50" s="229" t="n">
        <f aca="false">OpenAI_Sim!F82-OpenAI_Sim!F53+ABS(OpenAI_Sim!F79)</f>
        <v>-65.279901656786</v>
      </c>
      <c r="E50" s="229" t="n">
        <f aca="false">OpenAI_Sim!G82-OpenAI_Sim!G53+ABS(OpenAI_Sim!G79)</f>
        <v>-32.112739485636</v>
      </c>
      <c r="F50" s="229" t="n">
        <f aca="false">OpenAI_Sim!H82-OpenAI_Sim!H53+ABS(OpenAI_Sim!H79)</f>
        <v>24.4337776825067</v>
      </c>
      <c r="G50" s="277" t="n">
        <f aca="false">SUM(B50:F50)</f>
        <v>-173.077301394655</v>
      </c>
      <c r="H50" s="20" t="s">
        <v>1687</v>
      </c>
    </row>
    <row r="51" customFormat="false" ht="15" hidden="false" customHeight="true" outlineLevel="0" collapsed="false">
      <c r="H51" s="351"/>
    </row>
    <row r="52" customFormat="false" ht="15" hidden="false" customHeight="true" outlineLevel="0" collapsed="false">
      <c r="A52" s="15" t="s">
        <v>1688</v>
      </c>
      <c r="H52" s="351"/>
    </row>
    <row r="53" customFormat="false" ht="15" hidden="false" customHeight="true" outlineLevel="0" collapsed="false">
      <c r="A53" s="15" t="s">
        <v>1689</v>
      </c>
      <c r="G53" s="277" t="n">
        <f aca="false">E15</f>
        <v>-278</v>
      </c>
      <c r="H53" s="351"/>
    </row>
    <row r="54" customFormat="false" ht="15" hidden="false" customHeight="true" outlineLevel="0" collapsed="false">
      <c r="A54" s="15" t="s">
        <v>1690</v>
      </c>
      <c r="G54" s="277" t="n">
        <f aca="false">G46-G53</f>
        <v>1.11399999999998</v>
      </c>
      <c r="H54" s="351"/>
    </row>
    <row r="55" customFormat="false" ht="15" hidden="false" customHeight="true" outlineLevel="0" collapsed="false">
      <c r="A55" s="15" t="s">
        <v>1691</v>
      </c>
      <c r="G55" s="277" t="n">
        <f aca="false">E9-E16-E15</f>
        <v>262</v>
      </c>
      <c r="H55" s="20" t="s">
        <v>1692</v>
      </c>
    </row>
    <row r="56" customFormat="false" ht="15" hidden="false" customHeight="true" outlineLevel="0" collapsed="false">
      <c r="A56" s="15" t="s">
        <v>1693</v>
      </c>
      <c r="G56" s="277" t="n">
        <f aca="false">-(G38+G43+G44+G45)</f>
        <v>260.886</v>
      </c>
      <c r="H56" s="351"/>
    </row>
    <row r="57" customFormat="false" ht="15" hidden="false" customHeight="true" outlineLevel="0" collapsed="false">
      <c r="A57" s="15" t="s">
        <v>1694</v>
      </c>
      <c r="G57" s="277" t="n">
        <f aca="false">G50-G53</f>
        <v>104.922698605345</v>
      </c>
      <c r="H57" s="351"/>
    </row>
    <row r="58" customFormat="false" ht="15" hidden="false" customHeight="true" outlineLevel="0" collapsed="false">
      <c r="H58" s="351"/>
    </row>
    <row r="59" customFormat="false" ht="15" hidden="false" customHeight="true" outlineLevel="0" collapsed="false">
      <c r="A59" s="352" t="s">
        <v>1695</v>
      </c>
      <c r="B59" s="143"/>
      <c r="C59" s="143"/>
      <c r="D59" s="143"/>
      <c r="E59" s="143"/>
      <c r="F59" s="143"/>
      <c r="G59" s="143"/>
      <c r="H59" s="353"/>
    </row>
    <row r="60" customFormat="false" ht="15" hidden="false" customHeight="true" outlineLevel="0" collapsed="false">
      <c r="A60" s="354" t="s">
        <v>1696</v>
      </c>
      <c r="B60" s="362" t="n">
        <v>0</v>
      </c>
      <c r="C60" s="362" t="n">
        <v>0.1</v>
      </c>
      <c r="D60" s="362" t="n">
        <v>0.2</v>
      </c>
      <c r="E60" s="362" t="n">
        <v>0.3</v>
      </c>
      <c r="F60" s="354"/>
      <c r="G60" s="354"/>
      <c r="H60" s="355" t="s">
        <v>1697</v>
      </c>
    </row>
    <row r="61" customFormat="false" ht="15" hidden="false" customHeight="true" outlineLevel="0" collapsed="false">
      <c r="A61" s="363" t="n">
        <v>0.4</v>
      </c>
      <c r="B61" s="277" t="n">
        <f aca="false">$G$37+$G$38+$G$39*(1-B$60)+SUM(OpenAI_Sim!$D$76:$H$76)*(1-$A61)+$G$44+$G$45</f>
        <v>-311.343</v>
      </c>
      <c r="C61" s="277" t="n">
        <f aca="false">$G$37+$G$38+$G$39*(1-C$60)+SUM(OpenAI_Sim!$D$76:$H$76)*(1-$A61)+$G$44+$G$45</f>
        <v>-225.743</v>
      </c>
      <c r="D61" s="277" t="n">
        <f aca="false">$G$37+$G$38+$G$39*(1-D$60)+SUM(OpenAI_Sim!$D$76:$H$76)*(1-$A61)+$G$44+$G$45</f>
        <v>-140.143</v>
      </c>
      <c r="E61" s="277" t="n">
        <f aca="false">$G$37+$G$38+$G$39*(1-E$60)+SUM(OpenAI_Sim!$D$76:$H$76)*(1-$A61)+$G$44+$G$45</f>
        <v>-54.5429999999999</v>
      </c>
      <c r="H61" s="351"/>
    </row>
    <row r="62" customFormat="false" ht="15" hidden="false" customHeight="true" outlineLevel="0" collapsed="false">
      <c r="A62" s="363" t="n">
        <v>0.5</v>
      </c>
      <c r="B62" s="277" t="n">
        <f aca="false">$G$37+$G$38+$G$39*(1-B$60)+SUM(OpenAI_Sim!$D$76:$H$76)*(1-$A62)+$G$44+$G$45</f>
        <v>-294.1145</v>
      </c>
      <c r="C62" s="277" t="n">
        <f aca="false">$G$37+$G$38+$G$39*(1-C$60)+SUM(OpenAI_Sim!$D$76:$H$76)*(1-$A62)+$G$44+$G$45</f>
        <v>-208.5145</v>
      </c>
      <c r="D62" s="277" t="n">
        <f aca="false">$G$37+$G$38+$G$39*(1-D$60)+SUM(OpenAI_Sim!$D$76:$H$76)*(1-$A62)+$G$44+$G$45</f>
        <v>-122.9145</v>
      </c>
      <c r="E62" s="277" t="n">
        <f aca="false">$G$37+$G$38+$G$39*(1-E$60)+SUM(OpenAI_Sim!$D$76:$H$76)*(1-$A62)+$G$44+$G$45</f>
        <v>-37.3144999999999</v>
      </c>
      <c r="H62" s="351"/>
    </row>
    <row r="63" customFormat="false" ht="15" hidden="false" customHeight="true" outlineLevel="0" collapsed="false">
      <c r="A63" s="363" t="n">
        <v>0.6</v>
      </c>
      <c r="B63" s="277" t="n">
        <f aca="false">$G$37+$G$38+$G$39*(1-B$60)+SUM(OpenAI_Sim!$D$76:$H$76)*(1-$A63)+$G$44+$G$45</f>
        <v>-276.886</v>
      </c>
      <c r="C63" s="277" t="n">
        <f aca="false">$G$37+$G$38+$G$39*(1-C$60)+SUM(OpenAI_Sim!$D$76:$H$76)*(1-$A63)+$G$44+$G$45</f>
        <v>-191.286</v>
      </c>
      <c r="D63" s="277" t="n">
        <f aca="false">$G$37+$G$38+$G$39*(1-D$60)+SUM(OpenAI_Sim!$D$76:$H$76)*(1-$A63)+$G$44+$G$45</f>
        <v>-105.686</v>
      </c>
      <c r="E63" s="277" t="n">
        <f aca="false">$G$37+$G$38+$G$39*(1-E$60)+SUM(OpenAI_Sim!$D$76:$H$76)*(1-$A63)+$G$44+$G$45</f>
        <v>-20.0859999999999</v>
      </c>
      <c r="H63" s="351"/>
    </row>
    <row r="64" customFormat="false" ht="15" hidden="false" customHeight="true" outlineLevel="0" collapsed="false">
      <c r="A64" s="363" t="n">
        <v>0.7</v>
      </c>
      <c r="B64" s="277" t="n">
        <f aca="false">$G$37+$G$38+$G$39*(1-B$60)+SUM(OpenAI_Sim!$D$76:$H$76)*(1-$A64)+$G$44+$G$45</f>
        <v>-259.6575</v>
      </c>
      <c r="C64" s="277" t="n">
        <f aca="false">$G$37+$G$38+$G$39*(1-C$60)+SUM(OpenAI_Sim!$D$76:$H$76)*(1-$A64)+$G$44+$G$45</f>
        <v>-174.0575</v>
      </c>
      <c r="D64" s="277" t="n">
        <f aca="false">$G$37+$G$38+$G$39*(1-D$60)+SUM(OpenAI_Sim!$D$76:$H$76)*(1-$A64)+$G$44+$G$45</f>
        <v>-88.4575</v>
      </c>
      <c r="E64" s="277" t="n">
        <f aca="false">$G$37+$G$38+$G$39*(1-E$60)+SUM(OpenAI_Sim!$D$76:$H$76)*(1-$A64)+$G$44+$G$45</f>
        <v>-2.85749999999989</v>
      </c>
      <c r="H64" s="351"/>
    </row>
    <row r="65" customFormat="false" ht="15" hidden="false" customHeight="true" outlineLevel="0" collapsed="false">
      <c r="A65" s="363" t="n">
        <v>0.8</v>
      </c>
      <c r="B65" s="277" t="n">
        <f aca="false">$G$37+$G$38+$G$39*(1-B$60)+SUM(OpenAI_Sim!$D$76:$H$76)*(1-$A65)+$G$44+$G$45</f>
        <v>-242.429</v>
      </c>
      <c r="C65" s="277" t="n">
        <f aca="false">$G$37+$G$38+$G$39*(1-C$60)+SUM(OpenAI_Sim!$D$76:$H$76)*(1-$A65)+$G$44+$G$45</f>
        <v>-156.829</v>
      </c>
      <c r="D65" s="277" t="n">
        <f aca="false">$G$37+$G$38+$G$39*(1-D$60)+SUM(OpenAI_Sim!$D$76:$H$76)*(1-$A65)+$G$44+$G$45</f>
        <v>-71.229</v>
      </c>
      <c r="E65" s="277" t="n">
        <f aca="false">$G$37+$G$38+$G$39*(1-E$60)+SUM(OpenAI_Sim!$D$76:$H$76)*(1-$A65)+$G$44+$G$45</f>
        <v>14.3710000000001</v>
      </c>
      <c r="H65" s="351"/>
    </row>
    <row r="66" customFormat="false" ht="15" hidden="false" customHeight="true" outlineLevel="0" collapsed="false">
      <c r="H66" s="351"/>
    </row>
    <row r="67" customFormat="false" ht="15" hidden="false" customHeight="true" outlineLevel="0" collapsed="false">
      <c r="A67" s="352" t="s">
        <v>1698</v>
      </c>
      <c r="B67" s="143"/>
      <c r="C67" s="143"/>
      <c r="D67" s="143"/>
      <c r="E67" s="143"/>
      <c r="F67" s="143"/>
      <c r="G67" s="143"/>
      <c r="H67" s="353"/>
    </row>
    <row r="68" customFormat="false" ht="15" hidden="false" customHeight="true" outlineLevel="0" collapsed="false">
      <c r="A68" s="354" t="s">
        <v>1699</v>
      </c>
      <c r="B68" s="354" t="s">
        <v>912</v>
      </c>
      <c r="C68" s="354" t="s">
        <v>913</v>
      </c>
      <c r="D68" s="354" t="s">
        <v>914</v>
      </c>
      <c r="E68" s="354" t="s">
        <v>915</v>
      </c>
      <c r="F68" s="354" t="s">
        <v>916</v>
      </c>
      <c r="G68" s="354"/>
      <c r="H68" s="355" t="s">
        <v>1654</v>
      </c>
    </row>
    <row r="69" customFormat="false" ht="21.75" hidden="false" customHeight="true" outlineLevel="0" collapsed="false">
      <c r="A69" s="15" t="s">
        <v>1700</v>
      </c>
      <c r="B69" s="356" t="n">
        <v>40</v>
      </c>
      <c r="H69" s="20" t="s">
        <v>1701</v>
      </c>
    </row>
    <row r="70" customFormat="false" ht="15" hidden="false" customHeight="true" outlineLevel="0" collapsed="false">
      <c r="A70" s="15" t="s">
        <v>1702</v>
      </c>
      <c r="B70" s="277" t="n">
        <f aca="false">E17</f>
        <v>122</v>
      </c>
      <c r="H70" s="351"/>
    </row>
    <row r="71" customFormat="false" ht="15" hidden="false" customHeight="true" outlineLevel="0" collapsed="false">
      <c r="A71" s="15" t="s">
        <v>1703</v>
      </c>
      <c r="B71" s="277" t="n">
        <f aca="false">B69+B70+B46</f>
        <v>106.835789473684</v>
      </c>
      <c r="C71" s="277" t="n">
        <f aca="false">B71+C46</f>
        <v>40.7654736842105</v>
      </c>
      <c r="D71" s="277" t="n">
        <f aca="false">C71+D46</f>
        <v>-50.300052631579</v>
      </c>
      <c r="E71" s="277" t="n">
        <f aca="false">D71+E46</f>
        <v>-110.570210526316</v>
      </c>
      <c r="F71" s="277" t="n">
        <f aca="false">E71+F46</f>
        <v>-114.886</v>
      </c>
      <c r="H71" s="20" t="s">
        <v>1704</v>
      </c>
    </row>
    <row r="72" customFormat="false" ht="15" hidden="false" customHeight="true" outlineLevel="0" collapsed="false">
      <c r="A72" s="15" t="s">
        <v>1705</v>
      </c>
      <c r="B72" s="277" t="n">
        <f aca="false">MAX(0,-B71)</f>
        <v>0</v>
      </c>
      <c r="C72" s="277" t="n">
        <f aca="false">MAX(0,-C71)</f>
        <v>0</v>
      </c>
      <c r="D72" s="277" t="n">
        <f aca="false">MAX(0,-D71)</f>
        <v>50.300052631579</v>
      </c>
      <c r="E72" s="277" t="n">
        <f aca="false">MAX(0,-E71)</f>
        <v>110.570210526316</v>
      </c>
      <c r="F72" s="277" t="n">
        <f aca="false">MAX(0,-F71)</f>
        <v>114.886</v>
      </c>
      <c r="H72" s="351"/>
    </row>
    <row r="73" customFormat="false" ht="15" hidden="false" customHeight="true" outlineLevel="0" collapsed="false">
      <c r="A73" s="15" t="s">
        <v>1706</v>
      </c>
      <c r="B73" s="15" t="str">
        <f aca="false">IFERROR(INDEX($B$23:$F$23,MATCH(TRUE(),INDEX($B$71:$F$71&lt;0,0),0)),"none ≤2030")</f>
        <v>2028E</v>
      </c>
      <c r="H73" s="20" t="s">
        <v>1707</v>
      </c>
    </row>
    <row r="74" customFormat="false" ht="15" hidden="false" customHeight="true" outlineLevel="0" collapsed="false">
      <c r="H74" s="351"/>
    </row>
    <row r="75" customFormat="false" ht="15" hidden="false" customHeight="true" outlineLevel="0" collapsed="false">
      <c r="A75" s="352" t="s">
        <v>1708</v>
      </c>
      <c r="B75" s="143"/>
      <c r="C75" s="143"/>
      <c r="D75" s="143"/>
      <c r="E75" s="143"/>
      <c r="F75" s="143"/>
      <c r="G75" s="143"/>
      <c r="H75" s="353"/>
    </row>
    <row r="76" customFormat="false" ht="15" hidden="false" customHeight="true" outlineLevel="0" collapsed="false">
      <c r="A76" s="354" t="s">
        <v>1699</v>
      </c>
      <c r="B76" s="354" t="s">
        <v>912</v>
      </c>
      <c r="C76" s="354" t="s">
        <v>913</v>
      </c>
      <c r="D76" s="354" t="s">
        <v>914</v>
      </c>
      <c r="E76" s="354" t="s">
        <v>915</v>
      </c>
      <c r="F76" s="354" t="s">
        <v>916</v>
      </c>
      <c r="G76" s="354"/>
      <c r="H76" s="355" t="s">
        <v>1654</v>
      </c>
    </row>
    <row r="77" customFormat="false" ht="15" hidden="false" customHeight="true" outlineLevel="0" collapsed="false">
      <c r="A77" s="15" t="s">
        <v>1709</v>
      </c>
      <c r="B77" s="357" t="n">
        <f aca="false">OpenAI_Sim!D669</f>
        <v>0.0591529419799655</v>
      </c>
      <c r="C77" s="357" t="n">
        <f aca="false">OpenAI_Sim!E669</f>
        <v>0.0656529779498793</v>
      </c>
      <c r="D77" s="357" t="n">
        <f aca="false">OpenAI_Sim!F669</f>
        <v>0.0754058436855343</v>
      </c>
      <c r="E77" s="357" t="n">
        <f aca="false">OpenAI_Sim!G669</f>
        <v>0.0983911848586198</v>
      </c>
      <c r="F77" s="357" t="n">
        <f aca="false">OpenAI_Sim!H669</f>
        <v>0.105900338355187</v>
      </c>
      <c r="H77" s="351"/>
    </row>
    <row r="78" customFormat="false" ht="15" hidden="false" customHeight="true" outlineLevel="0" collapsed="false">
      <c r="A78" s="15" t="s">
        <v>1710</v>
      </c>
      <c r="B78" s="350" t="n">
        <f aca="false">OpenAI_Sim!D95</f>
        <v>3.5</v>
      </c>
      <c r="C78" s="350" t="n">
        <f aca="false">OpenAI_Sim!E95</f>
        <v>4.5</v>
      </c>
      <c r="D78" s="350" t="n">
        <f aca="false">OpenAI_Sim!F95</f>
        <v>5.75</v>
      </c>
      <c r="E78" s="350" t="n">
        <f aca="false">OpenAI_Sim!G95</f>
        <v>7</v>
      </c>
      <c r="F78" s="350" t="n">
        <f aca="false">OpenAI_Sim!H95</f>
        <v>10</v>
      </c>
      <c r="H78" s="351"/>
    </row>
    <row r="79" customFormat="false" ht="15" hidden="false" customHeight="true" outlineLevel="0" collapsed="false">
      <c r="A79" s="15" t="s">
        <v>1711</v>
      </c>
      <c r="B79" s="280" t="n">
        <f aca="false">B78*MAX(1,B77)</f>
        <v>3.5</v>
      </c>
      <c r="C79" s="280" t="n">
        <f aca="false">C78*MAX(1,C77)</f>
        <v>4.5</v>
      </c>
      <c r="D79" s="280" t="n">
        <f aca="false">D78*MAX(1,D77)</f>
        <v>5.75</v>
      </c>
      <c r="E79" s="280" t="n">
        <f aca="false">E78*MAX(1,E77)</f>
        <v>7</v>
      </c>
      <c r="F79" s="280" t="n">
        <f aca="false">F78*MAX(1,F77)</f>
        <v>10</v>
      </c>
      <c r="H79" s="20" t="s">
        <v>1712</v>
      </c>
    </row>
    <row r="80" customFormat="false" ht="21.75" hidden="false" customHeight="true" outlineLevel="0" collapsed="false">
      <c r="A80" s="15" t="s">
        <v>1713</v>
      </c>
      <c r="F80" s="280" t="n">
        <f aca="false">OpenAI_Sim!H11*E16/C16</f>
        <v>14.2666666666667</v>
      </c>
      <c r="H80" s="20" t="s">
        <v>1714</v>
      </c>
    </row>
    <row r="81" customFormat="false" ht="15" hidden="false" customHeight="true" outlineLevel="0" collapsed="false">
      <c r="A81" s="15" t="s">
        <v>1715</v>
      </c>
      <c r="F81" s="358" t="n">
        <f aca="false">F77*OpenAI_Sim!H11/F80</f>
        <v>0.0742292091274676</v>
      </c>
      <c r="H81" s="351"/>
    </row>
    <row r="82" customFormat="false" ht="15" hidden="false" customHeight="true" outlineLevel="0" collapsed="false">
      <c r="A82" s="15" t="s">
        <v>1716</v>
      </c>
      <c r="B82" s="2" t="str">
        <f aca="false">IF(MAX(B77:F77)&gt;1,"⚠ Token projection exceeds theoretical fleet capacity in "&amp;INDEX(B23:F23,MATCH(MAX(B77:F77),B77:F77,0))&amp;" — revenue path needs more GW or higher $/token","OK: within capacity")</f>
        <v>OK: within capacity</v>
      </c>
      <c r="H82" s="351"/>
    </row>
  </sheetData>
  <conditionalFormatting sqref="B77:F77">
    <cfRule type="expression" priority="2" aboveAverage="0" equalAverage="0" bottom="0" percent="0" rank="0" text="" dxfId="0">
      <formula>B77&gt;1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796875" defaultRowHeight="12" zeroHeight="false" outlineLevelRow="0" outlineLevelCol="0"/>
  <cols>
    <col collapsed="false" customWidth="true" hidden="false" outlineLevel="0" max="1" min="1" style="364" width="6.33"/>
    <col collapsed="false" customWidth="true" hidden="false" outlineLevel="0" max="2" min="2" style="364" width="9.33"/>
    <col collapsed="false" customWidth="true" hidden="false" outlineLevel="0" max="6" min="3" style="364" width="31.67"/>
    <col collapsed="false" customWidth="true" hidden="false" outlineLevel="0" max="26" min="7" style="364" width="11.11"/>
    <col collapsed="false" customWidth="false" hidden="false" outlineLevel="0" max="16384" min="27" style="364" width="12.67"/>
  </cols>
  <sheetData>
    <row r="1" customFormat="false" ht="12.75" hidden="false" customHeight="true" outlineLevel="0" collapsed="false">
      <c r="A1" s="365" t="s">
        <v>1717</v>
      </c>
      <c r="B1" s="365" t="s">
        <v>1718</v>
      </c>
      <c r="C1" s="365" t="s">
        <v>1719</v>
      </c>
      <c r="D1" s="365" t="s">
        <v>1720</v>
      </c>
      <c r="E1" s="365" t="s">
        <v>1721</v>
      </c>
      <c r="F1" s="365" t="s">
        <v>1722</v>
      </c>
    </row>
    <row r="2" customFormat="false" ht="12.75" hidden="false" customHeight="true" outlineLevel="0" collapsed="false">
      <c r="A2" s="366" t="n">
        <v>1</v>
      </c>
      <c r="B2" s="367" t="n">
        <v>46106</v>
      </c>
      <c r="C2" s="366" t="s">
        <v>1723</v>
      </c>
      <c r="D2" s="366" t="s">
        <v>1724</v>
      </c>
      <c r="E2" s="366" t="s">
        <v>1725</v>
      </c>
      <c r="F2" s="366" t="s">
        <v>1726</v>
      </c>
    </row>
    <row r="3" customFormat="false" ht="12.75" hidden="false" customHeight="true" outlineLevel="0" collapsed="false">
      <c r="A3" s="366" t="n">
        <v>2</v>
      </c>
      <c r="B3" s="367" t="n">
        <v>46106</v>
      </c>
      <c r="C3" s="366" t="s">
        <v>1727</v>
      </c>
      <c r="D3" s="366" t="s">
        <v>1728</v>
      </c>
      <c r="E3" s="366" t="s">
        <v>1729</v>
      </c>
      <c r="F3" s="366" t="s">
        <v>1730</v>
      </c>
    </row>
    <row r="4" customFormat="false" ht="12.75" hidden="false" customHeight="true" outlineLevel="0" collapsed="false">
      <c r="A4" s="366" t="n">
        <v>3</v>
      </c>
      <c r="B4" s="367" t="n">
        <v>46106</v>
      </c>
      <c r="C4" s="366" t="s">
        <v>1731</v>
      </c>
      <c r="D4" s="366" t="s">
        <v>1732</v>
      </c>
      <c r="E4" s="366" t="s">
        <v>1733</v>
      </c>
      <c r="F4" s="366" t="s">
        <v>1734</v>
      </c>
    </row>
    <row r="5" customFormat="false" ht="12.75" hidden="false" customHeight="true" outlineLevel="0" collapsed="false">
      <c r="A5" s="366" t="n">
        <v>4</v>
      </c>
      <c r="B5" s="367" t="n">
        <v>46106</v>
      </c>
      <c r="C5" s="366" t="s">
        <v>1735</v>
      </c>
      <c r="D5" s="366" t="s">
        <v>1736</v>
      </c>
      <c r="E5" s="366" t="s">
        <v>1737</v>
      </c>
      <c r="F5" s="366" t="s">
        <v>1738</v>
      </c>
    </row>
    <row r="6" customFormat="false" ht="12.75" hidden="false" customHeight="true" outlineLevel="0" collapsed="false">
      <c r="A6" s="366" t="n">
        <v>5</v>
      </c>
      <c r="B6" s="367" t="n">
        <v>46106</v>
      </c>
      <c r="C6" s="366" t="s">
        <v>1739</v>
      </c>
      <c r="D6" s="366" t="s">
        <v>1740</v>
      </c>
      <c r="E6" s="366" t="s">
        <v>1741</v>
      </c>
      <c r="F6" s="366" t="s">
        <v>1742</v>
      </c>
    </row>
    <row r="7" customFormat="false" ht="12.75" hidden="false" customHeight="true" outlineLevel="0" collapsed="false">
      <c r="A7" s="366" t="n">
        <v>6</v>
      </c>
      <c r="B7" s="367" t="n">
        <v>46106</v>
      </c>
      <c r="C7" s="366" t="s">
        <v>1743</v>
      </c>
      <c r="D7" s="366" t="s">
        <v>1744</v>
      </c>
      <c r="E7" s="366" t="s">
        <v>1745</v>
      </c>
      <c r="F7" s="366" t="s">
        <v>1746</v>
      </c>
    </row>
    <row r="8" customFormat="false" ht="12.75" hidden="false" customHeight="true" outlineLevel="0" collapsed="false">
      <c r="A8" s="366" t="n">
        <v>7</v>
      </c>
      <c r="B8" s="367" t="n">
        <v>46106</v>
      </c>
      <c r="C8" s="366" t="s">
        <v>1747</v>
      </c>
      <c r="D8" s="366" t="s">
        <v>1748</v>
      </c>
      <c r="E8" s="366" t="s">
        <v>1749</v>
      </c>
      <c r="F8" s="366" t="s">
        <v>1750</v>
      </c>
    </row>
    <row r="9" customFormat="false" ht="12.75" hidden="false" customHeight="true" outlineLevel="0" collapsed="false">
      <c r="A9" s="366"/>
      <c r="B9" s="367"/>
      <c r="C9" s="366"/>
      <c r="D9" s="366"/>
      <c r="E9" s="366"/>
      <c r="F9" s="366"/>
    </row>
    <row r="10" customFormat="false" ht="12.75" hidden="false" customHeight="true" outlineLevel="0" collapsed="false">
      <c r="A10" s="366" t="n">
        <v>9</v>
      </c>
      <c r="B10" s="367" t="n">
        <v>46106</v>
      </c>
      <c r="C10" s="366" t="s">
        <v>1751</v>
      </c>
      <c r="D10" s="366" t="s">
        <v>1752</v>
      </c>
      <c r="E10" s="366" t="s">
        <v>1753</v>
      </c>
      <c r="F10" s="366" t="s">
        <v>1754</v>
      </c>
    </row>
    <row r="11" customFormat="false" ht="12.75" hidden="false" customHeight="true" outlineLevel="0" collapsed="false">
      <c r="A11" s="366" t="n">
        <v>10</v>
      </c>
      <c r="B11" s="367" t="n">
        <v>46106</v>
      </c>
      <c r="C11" s="366" t="s">
        <v>1755</v>
      </c>
      <c r="D11" s="366" t="s">
        <v>1756</v>
      </c>
      <c r="E11" s="366" t="s">
        <v>1757</v>
      </c>
      <c r="F11" s="366" t="s">
        <v>1758</v>
      </c>
    </row>
    <row r="12" customFormat="false" ht="12.75" hidden="false" customHeight="true" outlineLevel="0" collapsed="false">
      <c r="A12" s="366" t="n">
        <v>11</v>
      </c>
      <c r="B12" s="367" t="n">
        <v>46106</v>
      </c>
      <c r="C12" s="366" t="s">
        <v>1759</v>
      </c>
      <c r="D12" s="366" t="s">
        <v>1760</v>
      </c>
      <c r="E12" s="366" t="s">
        <v>1761</v>
      </c>
      <c r="F12" s="366" t="s">
        <v>1762</v>
      </c>
    </row>
    <row r="13" customFormat="false" ht="12.75" hidden="false" customHeight="true" outlineLevel="0" collapsed="false">
      <c r="A13" s="366" t="n">
        <v>12</v>
      </c>
      <c r="B13" s="367" t="n">
        <v>46106</v>
      </c>
      <c r="C13" s="366" t="s">
        <v>1763</v>
      </c>
      <c r="D13" s="366" t="s">
        <v>1764</v>
      </c>
      <c r="E13" s="366" t="s">
        <v>1765</v>
      </c>
      <c r="F13" s="366" t="s">
        <v>1766</v>
      </c>
    </row>
    <row r="14" customFormat="false" ht="12.75" hidden="false" customHeight="true" outlineLevel="0" collapsed="false">
      <c r="A14" s="366" t="n">
        <v>13</v>
      </c>
      <c r="B14" s="367" t="n">
        <v>46106</v>
      </c>
      <c r="C14" s="366" t="s">
        <v>1767</v>
      </c>
      <c r="D14" s="366" t="s">
        <v>1768</v>
      </c>
      <c r="E14" s="366" t="s">
        <v>1769</v>
      </c>
      <c r="F14" s="366" t="s">
        <v>1770</v>
      </c>
    </row>
    <row r="15" customFormat="false" ht="12.75" hidden="false" customHeight="true" outlineLevel="0" collapsed="false">
      <c r="A15" s="366" t="n">
        <v>14</v>
      </c>
      <c r="B15" s="367" t="n">
        <v>46106</v>
      </c>
      <c r="C15" s="366" t="s">
        <v>1771</v>
      </c>
      <c r="D15" s="366" t="s">
        <v>1772</v>
      </c>
      <c r="E15" s="366" t="s">
        <v>1773</v>
      </c>
      <c r="F15" s="366" t="s">
        <v>1774</v>
      </c>
    </row>
    <row r="16" customFormat="false" ht="12.75" hidden="false" customHeight="true" outlineLevel="0" collapsed="false">
      <c r="A16" s="366" t="n">
        <v>15</v>
      </c>
      <c r="B16" s="367" t="n">
        <v>46106</v>
      </c>
      <c r="C16" s="366" t="s">
        <v>1775</v>
      </c>
      <c r="D16" s="366" t="s">
        <v>1776</v>
      </c>
      <c r="E16" s="366" t="s">
        <v>1777</v>
      </c>
      <c r="F16" s="366" t="s">
        <v>1778</v>
      </c>
    </row>
    <row r="17" customFormat="false" ht="12.75" hidden="false" customHeight="true" outlineLevel="0" collapsed="false">
      <c r="A17" s="366" t="n">
        <v>16</v>
      </c>
      <c r="B17" s="367" t="n">
        <v>46106</v>
      </c>
      <c r="C17" s="366" t="s">
        <v>1779</v>
      </c>
      <c r="D17" s="366" t="s">
        <v>1780</v>
      </c>
      <c r="E17" s="366" t="s">
        <v>1781</v>
      </c>
      <c r="F17" s="366" t="s">
        <v>1782</v>
      </c>
    </row>
    <row r="18" customFormat="false" ht="12.75" hidden="false" customHeight="true" outlineLevel="0" collapsed="false">
      <c r="A18" s="366" t="n">
        <v>17</v>
      </c>
      <c r="B18" s="367" t="n">
        <v>46106</v>
      </c>
      <c r="C18" s="366" t="s">
        <v>1783</v>
      </c>
      <c r="D18" s="366" t="s">
        <v>1784</v>
      </c>
      <c r="E18" s="366" t="s">
        <v>1785</v>
      </c>
      <c r="F18" s="366" t="s">
        <v>1786</v>
      </c>
    </row>
    <row r="19" customFormat="false" ht="12.75" hidden="false" customHeight="true" outlineLevel="0" collapsed="false">
      <c r="A19" s="366" t="n">
        <v>18</v>
      </c>
      <c r="B19" s="367" t="n">
        <v>46106</v>
      </c>
      <c r="C19" s="366" t="s">
        <v>1787</v>
      </c>
      <c r="D19" s="366" t="s">
        <v>1788</v>
      </c>
      <c r="E19" s="366" t="s">
        <v>1789</v>
      </c>
      <c r="F19" s="366" t="s">
        <v>1790</v>
      </c>
    </row>
    <row r="20" customFormat="false" ht="12.75" hidden="false" customHeight="true" outlineLevel="0" collapsed="false">
      <c r="A20" s="366" t="n">
        <v>19</v>
      </c>
      <c r="B20" s="367" t="n">
        <v>46106</v>
      </c>
      <c r="C20" s="366" t="s">
        <v>1791</v>
      </c>
      <c r="D20" s="366" t="s">
        <v>1792</v>
      </c>
      <c r="E20" s="366" t="s">
        <v>1793</v>
      </c>
      <c r="F20" s="366" t="s">
        <v>1794</v>
      </c>
    </row>
    <row r="21" customFormat="false" ht="12.75" hidden="false" customHeight="true" outlineLevel="0" collapsed="false">
      <c r="A21" s="366" t="n">
        <v>20</v>
      </c>
      <c r="B21" s="367" t="n">
        <v>46106</v>
      </c>
      <c r="C21" s="366" t="s">
        <v>1795</v>
      </c>
      <c r="D21" s="366" t="s">
        <v>1796</v>
      </c>
      <c r="E21" s="366" t="s">
        <v>1797</v>
      </c>
      <c r="F21" s="366" t="s">
        <v>1798</v>
      </c>
    </row>
    <row r="22" customFormat="false" ht="12.75" hidden="false" customHeight="true" outlineLevel="0" collapsed="false">
      <c r="A22" s="366" t="n">
        <v>21</v>
      </c>
      <c r="B22" s="367" t="n">
        <v>46106</v>
      </c>
      <c r="C22" s="366" t="s">
        <v>1799</v>
      </c>
      <c r="D22" s="366" t="s">
        <v>1800</v>
      </c>
      <c r="E22" s="366" t="s">
        <v>1801</v>
      </c>
      <c r="F22" s="366" t="s">
        <v>1802</v>
      </c>
    </row>
    <row r="23" customFormat="false" ht="12.75" hidden="false" customHeight="true" outlineLevel="0" collapsed="false">
      <c r="A23" s="366" t="n">
        <v>22</v>
      </c>
      <c r="B23" s="367" t="n">
        <v>46106</v>
      </c>
      <c r="C23" s="366" t="s">
        <v>1803</v>
      </c>
      <c r="D23" s="366" t="s">
        <v>1804</v>
      </c>
      <c r="E23" s="366" t="s">
        <v>1805</v>
      </c>
      <c r="F23" s="366" t="s">
        <v>1806</v>
      </c>
    </row>
    <row r="24" customFormat="false" ht="12.75" hidden="false" customHeight="true" outlineLevel="0" collapsed="false">
      <c r="A24" s="368" t="n">
        <v>23</v>
      </c>
      <c r="B24" s="369" t="n">
        <v>46106</v>
      </c>
      <c r="C24" s="368" t="s">
        <v>1807</v>
      </c>
      <c r="D24" s="368" t="s">
        <v>1808</v>
      </c>
      <c r="E24" s="368" t="s">
        <v>1809</v>
      </c>
      <c r="F24" s="368" t="s">
        <v>1810</v>
      </c>
    </row>
    <row r="25" customFormat="false" ht="12.75" hidden="false" customHeight="true" outlineLevel="0" collapsed="false">
      <c r="A25" s="368" t="n">
        <v>25</v>
      </c>
      <c r="B25" s="369" t="n">
        <v>46106</v>
      </c>
      <c r="C25" s="368" t="s">
        <v>1811</v>
      </c>
      <c r="D25" s="368" t="s">
        <v>1812</v>
      </c>
      <c r="E25" s="368" t="s">
        <v>1813</v>
      </c>
      <c r="F25" s="368" t="s">
        <v>1814</v>
      </c>
    </row>
    <row r="26" customFormat="false" ht="12.75" hidden="false" customHeight="true" outlineLevel="0" collapsed="false">
      <c r="A26" s="368" t="n">
        <v>26</v>
      </c>
      <c r="B26" s="369" t="n">
        <v>46106</v>
      </c>
      <c r="C26" s="368" t="s">
        <v>1815</v>
      </c>
      <c r="D26" s="368" t="s">
        <v>1816</v>
      </c>
      <c r="E26" s="368" t="s">
        <v>1817</v>
      </c>
      <c r="F26" s="368" t="s">
        <v>1818</v>
      </c>
    </row>
    <row r="27" customFormat="false" ht="12.75" hidden="false" customHeight="true" outlineLevel="0" collapsed="false">
      <c r="A27" s="368" t="n">
        <v>27</v>
      </c>
      <c r="B27" s="369" t="n">
        <v>46106</v>
      </c>
      <c r="C27" s="368" t="s">
        <v>1819</v>
      </c>
      <c r="D27" s="368" t="s">
        <v>1820</v>
      </c>
      <c r="E27" s="368" t="s">
        <v>1821</v>
      </c>
      <c r="F27" s="368" t="s">
        <v>1822</v>
      </c>
    </row>
    <row r="28" customFormat="false" ht="12.75" hidden="false" customHeight="true" outlineLevel="0" collapsed="false">
      <c r="A28" s="368" t="n">
        <v>28</v>
      </c>
      <c r="B28" s="367" t="n">
        <v>46106</v>
      </c>
      <c r="C28" s="368" t="s">
        <v>1823</v>
      </c>
      <c r="D28" s="368" t="s">
        <v>1824</v>
      </c>
      <c r="E28" s="368" t="s">
        <v>1825</v>
      </c>
      <c r="F28" s="368" t="s">
        <v>1826</v>
      </c>
    </row>
    <row r="29" customFormat="false" ht="12.75" hidden="false" customHeight="true" outlineLevel="0" collapsed="false">
      <c r="A29" s="368" t="n">
        <v>29</v>
      </c>
      <c r="B29" s="367" t="n">
        <v>46106</v>
      </c>
      <c r="C29" s="368" t="s">
        <v>1827</v>
      </c>
      <c r="D29" s="368" t="s">
        <v>1828</v>
      </c>
      <c r="E29" s="368" t="s">
        <v>1829</v>
      </c>
      <c r="F29" s="368" t="s">
        <v>1830</v>
      </c>
    </row>
    <row r="30" customFormat="false" ht="12.75" hidden="false" customHeight="true" outlineLevel="0" collapsed="false">
      <c r="A30" s="368" t="n">
        <v>30</v>
      </c>
      <c r="B30" s="367" t="n">
        <v>46106</v>
      </c>
      <c r="C30" s="368" t="s">
        <v>1831</v>
      </c>
      <c r="D30" s="368" t="s">
        <v>1832</v>
      </c>
      <c r="E30" s="368" t="s">
        <v>1833</v>
      </c>
      <c r="F30" s="368" t="s">
        <v>1834</v>
      </c>
    </row>
    <row r="31" customFormat="false" ht="12.75" hidden="false" customHeight="true" outlineLevel="0" collapsed="false">
      <c r="A31" s="368" t="n">
        <v>31</v>
      </c>
      <c r="B31" s="367" t="n">
        <v>46218</v>
      </c>
      <c r="C31" s="370" t="s">
        <v>1835</v>
      </c>
      <c r="D31" s="370" t="s">
        <v>1836</v>
      </c>
      <c r="E31" s="370" t="s">
        <v>1837</v>
      </c>
      <c r="F31" s="370" t="s">
        <v>1838</v>
      </c>
    </row>
    <row r="32" customFormat="false" ht="12.75" hidden="false" customHeight="true" outlineLevel="0" collapsed="false">
      <c r="A32" s="20" t="n">
        <v>32</v>
      </c>
      <c r="B32" s="371" t="n">
        <v>46287</v>
      </c>
      <c r="C32" s="370" t="s">
        <v>1839</v>
      </c>
      <c r="D32" s="370" t="s">
        <v>1840</v>
      </c>
      <c r="E32" s="370" t="s">
        <v>1841</v>
      </c>
      <c r="F32" s="370" t="s">
        <v>1842</v>
      </c>
    </row>
    <row r="33" customFormat="false" ht="12.75" hidden="false" customHeight="true" outlineLevel="0" collapsed="false">
      <c r="A33" s="372" t="n">
        <v>33</v>
      </c>
      <c r="B33" s="373" t="n">
        <v>46287</v>
      </c>
      <c r="C33" s="374" t="s">
        <v>1843</v>
      </c>
      <c r="D33" s="372" t="s">
        <v>1844</v>
      </c>
      <c r="E33" s="374" t="s">
        <v>1845</v>
      </c>
      <c r="F33" s="374" t="s">
        <v>1846</v>
      </c>
    </row>
    <row r="34" customFormat="false" ht="12.75" hidden="false" customHeight="true" outlineLevel="0" collapsed="false">
      <c r="A34" s="368"/>
      <c r="B34" s="367"/>
      <c r="C34" s="368"/>
      <c r="D34" s="368"/>
      <c r="E34" s="368"/>
      <c r="F34" s="368"/>
    </row>
    <row r="35" customFormat="false" ht="12.75" hidden="false" customHeight="true" outlineLevel="0" collapsed="false">
      <c r="A35" s="368"/>
      <c r="B35" s="367"/>
      <c r="C35" s="368"/>
      <c r="D35" s="368"/>
      <c r="E35" s="368"/>
      <c r="F35" s="368"/>
    </row>
    <row r="36" customFormat="false" ht="12.75" hidden="false" customHeight="true" outlineLevel="0" collapsed="false"/>
    <row r="37" customFormat="false" ht="12.75" hidden="false" customHeight="true" outlineLevel="0" collapsed="false">
      <c r="A37" s="368"/>
      <c r="B37" s="367"/>
      <c r="C37" s="368"/>
      <c r="D37" s="368"/>
      <c r="E37" s="368"/>
      <c r="F37" s="368"/>
    </row>
    <row r="38" customFormat="false" ht="12.75" hidden="false" customHeight="true" outlineLevel="0" collapsed="false">
      <c r="A38" s="368"/>
      <c r="B38" s="367"/>
      <c r="C38" s="368"/>
      <c r="D38" s="368"/>
      <c r="E38" s="368"/>
      <c r="F38" s="368"/>
    </row>
    <row r="39" customFormat="false" ht="12.75" hidden="false" customHeight="true" outlineLevel="0" collapsed="false">
      <c r="A39" s="368"/>
      <c r="B39" s="367"/>
      <c r="C39" s="368"/>
      <c r="D39" s="368"/>
      <c r="E39" s="368"/>
      <c r="F39" s="368"/>
    </row>
    <row r="40" customFormat="false" ht="12.75" hidden="false" customHeight="true" outlineLevel="0" collapsed="false">
      <c r="A40" s="366"/>
      <c r="B40" s="367"/>
      <c r="C40" s="366"/>
      <c r="D40" s="366"/>
      <c r="E40" s="366"/>
      <c r="F40" s="366"/>
    </row>
    <row r="41" customFormat="false" ht="12.75" hidden="false" customHeight="true" outlineLevel="0" collapsed="false">
      <c r="A41" s="366"/>
      <c r="B41" s="367"/>
      <c r="C41" s="366"/>
      <c r="D41" s="366"/>
      <c r="E41" s="366"/>
      <c r="F41" s="366"/>
    </row>
    <row r="42" customFormat="false" ht="12.75" hidden="false" customHeight="true" outlineLevel="0" collapsed="false">
      <c r="A42" s="366"/>
      <c r="B42" s="367"/>
      <c r="C42" s="366"/>
      <c r="D42" s="366"/>
      <c r="E42" s="366"/>
      <c r="F42" s="366"/>
    </row>
    <row r="43" customFormat="false" ht="12.75" hidden="false" customHeight="true" outlineLevel="0" collapsed="false">
      <c r="A43" s="366"/>
      <c r="B43" s="367"/>
      <c r="C43" s="366"/>
      <c r="D43" s="366"/>
      <c r="E43" s="366"/>
      <c r="F43" s="366"/>
    </row>
    <row r="44" customFormat="false" ht="12.75" hidden="false" customHeight="true" outlineLevel="0" collapsed="false">
      <c r="A44" s="366"/>
      <c r="B44" s="367"/>
      <c r="C44" s="366"/>
      <c r="D44" s="366"/>
      <c r="E44" s="366"/>
      <c r="F44" s="366"/>
    </row>
    <row r="45" customFormat="false" ht="12.75" hidden="false" customHeight="true" outlineLevel="0" collapsed="false">
      <c r="A45" s="366"/>
      <c r="B45" s="367"/>
      <c r="C45" s="366"/>
      <c r="D45" s="366"/>
      <c r="E45" s="366"/>
      <c r="F45" s="366"/>
    </row>
    <row r="46" customFormat="false" ht="12.75" hidden="false" customHeight="true" outlineLevel="0" collapsed="false">
      <c r="A46" s="366"/>
      <c r="B46" s="367"/>
      <c r="C46" s="366"/>
      <c r="D46" s="366"/>
      <c r="E46" s="366"/>
      <c r="F46" s="366"/>
    </row>
    <row r="47" customFormat="false" ht="12.75" hidden="false" customHeight="true" outlineLevel="0" collapsed="false">
      <c r="A47" s="366"/>
      <c r="B47" s="367"/>
      <c r="C47" s="366"/>
      <c r="D47" s="366"/>
      <c r="E47" s="366"/>
      <c r="F47" s="366"/>
    </row>
    <row r="48" customFormat="false" ht="12.75" hidden="false" customHeight="true" outlineLevel="0" collapsed="false">
      <c r="A48" s="366"/>
      <c r="B48" s="367"/>
      <c r="C48" s="366"/>
      <c r="D48" s="366"/>
      <c r="E48" s="366"/>
      <c r="F48" s="366"/>
    </row>
    <row r="49" customFormat="false" ht="12.75" hidden="false" customHeight="true" outlineLevel="0" collapsed="false">
      <c r="A49" s="366"/>
      <c r="B49" s="367"/>
      <c r="C49" s="366"/>
      <c r="D49" s="366"/>
      <c r="E49" s="366"/>
      <c r="F49" s="366"/>
    </row>
    <row r="50" customFormat="false" ht="12.75" hidden="false" customHeight="true" outlineLevel="0" collapsed="false">
      <c r="A50" s="366"/>
      <c r="B50" s="367"/>
      <c r="C50" s="366"/>
      <c r="D50" s="366"/>
      <c r="E50" s="366"/>
      <c r="F50" s="366"/>
    </row>
    <row r="51" customFormat="false" ht="12.75" hidden="false" customHeight="true" outlineLevel="0" collapsed="false">
      <c r="A51" s="366"/>
      <c r="B51" s="367"/>
      <c r="C51" s="366"/>
      <c r="D51" s="366"/>
      <c r="E51" s="366"/>
      <c r="F51" s="366"/>
    </row>
    <row r="52" customFormat="false" ht="12.75" hidden="false" customHeight="true" outlineLevel="0" collapsed="false">
      <c r="A52" s="366"/>
      <c r="B52" s="367"/>
      <c r="C52" s="366"/>
      <c r="D52" s="366"/>
      <c r="E52" s="366"/>
      <c r="F52" s="366"/>
    </row>
    <row r="53" customFormat="false" ht="12.75" hidden="false" customHeight="true" outlineLevel="0" collapsed="false">
      <c r="A53" s="366"/>
      <c r="B53" s="367"/>
      <c r="C53" s="366"/>
      <c r="D53" s="366"/>
      <c r="E53" s="366"/>
      <c r="F53" s="366"/>
    </row>
    <row r="54" customFormat="false" ht="12.75" hidden="false" customHeight="true" outlineLevel="0" collapsed="false">
      <c r="A54" s="366"/>
      <c r="B54" s="367"/>
      <c r="C54" s="366"/>
      <c r="D54" s="366"/>
      <c r="E54" s="366"/>
      <c r="F54" s="366"/>
    </row>
    <row r="55" customFormat="false" ht="12.75" hidden="false" customHeight="true" outlineLevel="0" collapsed="false">
      <c r="A55" s="366"/>
      <c r="B55" s="367"/>
      <c r="C55" s="366"/>
      <c r="D55" s="366"/>
      <c r="E55" s="366"/>
      <c r="F55" s="366"/>
    </row>
    <row r="56" customFormat="false" ht="12.75" hidden="false" customHeight="true" outlineLevel="0" collapsed="false">
      <c r="A56" s="366"/>
      <c r="B56" s="367"/>
      <c r="C56" s="366"/>
      <c r="D56" s="366"/>
      <c r="E56" s="366"/>
      <c r="F56" s="366"/>
    </row>
    <row r="57" customFormat="false" ht="12.75" hidden="false" customHeight="true" outlineLevel="0" collapsed="false">
      <c r="A57" s="366"/>
      <c r="B57" s="367"/>
      <c r="C57" s="366"/>
      <c r="D57" s="366"/>
      <c r="E57" s="366"/>
      <c r="F57" s="366"/>
    </row>
    <row r="58" customFormat="false" ht="12.75" hidden="false" customHeight="true" outlineLevel="0" collapsed="false">
      <c r="A58" s="366"/>
      <c r="B58" s="367"/>
      <c r="C58" s="366"/>
      <c r="D58" s="366"/>
      <c r="E58" s="366"/>
      <c r="F58" s="366"/>
    </row>
    <row r="59" customFormat="false" ht="12.75" hidden="false" customHeight="true" outlineLevel="0" collapsed="false">
      <c r="A59" s="366"/>
      <c r="B59" s="367"/>
      <c r="C59" s="366"/>
      <c r="D59" s="366"/>
      <c r="E59" s="366"/>
      <c r="F59" s="366"/>
    </row>
    <row r="60" customFormat="false" ht="12.75" hidden="false" customHeight="true" outlineLevel="0" collapsed="false">
      <c r="A60" s="366"/>
      <c r="B60" s="367"/>
      <c r="C60" s="366"/>
      <c r="D60" s="366"/>
      <c r="E60" s="366"/>
      <c r="F60" s="366"/>
    </row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5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2.7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34"/>
    <col collapsed="false" customWidth="true" hidden="false" outlineLevel="0" max="4" min="4" style="1" width="36"/>
    <col collapsed="false" customWidth="true" hidden="false" outlineLevel="0" max="5" min="5" style="1" width="34"/>
    <col collapsed="false" customWidth="true" hidden="false" outlineLevel="0" max="7" min="6" style="1" width="14"/>
    <col collapsed="false" customWidth="true" hidden="false" outlineLevel="0" max="8" min="8" style="1" width="45"/>
  </cols>
  <sheetData>
    <row r="1" customFormat="false" ht="17.25" hidden="false" customHeight="true" outlineLevel="0" collapsed="false">
      <c r="A1" s="375" t="s">
        <v>1847</v>
      </c>
      <c r="B1" s="375"/>
      <c r="C1" s="375"/>
      <c r="D1" s="375"/>
      <c r="E1" s="375"/>
      <c r="F1" s="375"/>
      <c r="G1" s="375"/>
      <c r="H1" s="375"/>
    </row>
    <row r="2" customFormat="false" ht="15" hidden="false" customHeight="true" outlineLevel="0" collapsed="false">
      <c r="A2" s="376"/>
      <c r="B2" s="376"/>
      <c r="C2" s="376"/>
      <c r="D2" s="376"/>
      <c r="E2" s="376"/>
      <c r="F2" s="376"/>
      <c r="G2" s="376"/>
      <c r="H2" s="376"/>
    </row>
    <row r="3" customFormat="false" ht="15" hidden="false" customHeight="true" outlineLevel="0" collapsed="false">
      <c r="A3" s="376" t="s">
        <v>1848</v>
      </c>
      <c r="B3" s="377" t="n">
        <v>46218</v>
      </c>
      <c r="C3" s="376"/>
      <c r="D3" s="376"/>
      <c r="E3" s="376"/>
      <c r="F3" s="376"/>
      <c r="G3" s="376"/>
      <c r="H3" s="376"/>
    </row>
    <row r="4" customFormat="false" ht="34.5" hidden="false" customHeight="true" outlineLevel="0" collapsed="false">
      <c r="A4" s="376" t="s">
        <v>1849</v>
      </c>
      <c r="B4" s="376" t="s">
        <v>1850</v>
      </c>
      <c r="C4" s="376"/>
      <c r="D4" s="376"/>
      <c r="E4" s="376"/>
      <c r="F4" s="376"/>
      <c r="G4" s="376"/>
      <c r="H4" s="376"/>
    </row>
    <row r="5" customFormat="false" ht="90.75" hidden="false" customHeight="true" outlineLevel="0" collapsed="false">
      <c r="A5" s="376" t="s">
        <v>1851</v>
      </c>
      <c r="B5" s="376" t="s">
        <v>1852</v>
      </c>
      <c r="C5" s="376"/>
      <c r="D5" s="376"/>
      <c r="E5" s="376"/>
      <c r="F5" s="376"/>
      <c r="G5" s="376"/>
      <c r="H5" s="376"/>
    </row>
    <row r="6" customFormat="false" ht="15" hidden="false" customHeight="true" outlineLevel="0" collapsed="false">
      <c r="A6" s="376"/>
      <c r="B6" s="376"/>
      <c r="C6" s="376"/>
      <c r="D6" s="376"/>
      <c r="E6" s="376"/>
      <c r="F6" s="376"/>
      <c r="G6" s="376"/>
      <c r="H6" s="376"/>
    </row>
    <row r="7" customFormat="false" ht="23.25" hidden="false" customHeight="true" outlineLevel="0" collapsed="false">
      <c r="A7" s="376" t="s">
        <v>1853</v>
      </c>
      <c r="B7" s="378" t="s">
        <v>1854</v>
      </c>
      <c r="C7" s="378"/>
      <c r="D7" s="378"/>
      <c r="E7" s="378"/>
      <c r="F7" s="378"/>
      <c r="G7" s="378"/>
      <c r="H7" s="378"/>
    </row>
    <row r="8" customFormat="false" ht="15" hidden="false" customHeight="true" outlineLevel="0" collapsed="false">
      <c r="A8" s="376"/>
      <c r="B8" s="376"/>
      <c r="C8" s="376"/>
      <c r="D8" s="376"/>
      <c r="E8" s="376"/>
      <c r="F8" s="376"/>
      <c r="G8" s="376"/>
      <c r="H8" s="376"/>
    </row>
    <row r="9" customFormat="false" ht="26.25" hidden="false" customHeight="true" outlineLevel="0" collapsed="false">
      <c r="A9" s="379" t="s">
        <v>1855</v>
      </c>
      <c r="B9" s="379" t="s">
        <v>1856</v>
      </c>
      <c r="C9" s="379" t="s">
        <v>1857</v>
      </c>
      <c r="D9" s="379" t="s">
        <v>1858</v>
      </c>
      <c r="E9" s="379" t="s">
        <v>1859</v>
      </c>
      <c r="F9" s="379" t="s">
        <v>1860</v>
      </c>
      <c r="G9" s="379" t="s">
        <v>1861</v>
      </c>
      <c r="H9" s="379" t="s">
        <v>1862</v>
      </c>
    </row>
    <row r="10" customFormat="false" ht="15" hidden="false" customHeight="true" outlineLevel="0" collapsed="false">
      <c r="A10" s="376" t="s">
        <v>1863</v>
      </c>
      <c r="B10" s="376" t="s">
        <v>1864</v>
      </c>
      <c r="C10" s="376" t="n">
        <v>0</v>
      </c>
      <c r="D10" s="376" t="n">
        <v>0</v>
      </c>
      <c r="E10" s="380" t="s">
        <v>1865</v>
      </c>
      <c r="F10" s="376" t="s">
        <v>303</v>
      </c>
      <c r="G10" s="380" t="s">
        <v>1866</v>
      </c>
      <c r="H10" s="376" t="s">
        <v>1867</v>
      </c>
    </row>
    <row r="11" customFormat="false" ht="34.5" hidden="false" customHeight="true" outlineLevel="0" collapsed="false">
      <c r="A11" s="376" t="s">
        <v>1868</v>
      </c>
      <c r="B11" s="376" t="s">
        <v>1869</v>
      </c>
      <c r="C11" s="376" t="n">
        <v>56</v>
      </c>
      <c r="D11" s="376" t="n">
        <v>0</v>
      </c>
      <c r="E11" s="380" t="s">
        <v>1865</v>
      </c>
      <c r="F11" s="376" t="s">
        <v>1870</v>
      </c>
      <c r="G11" s="381" t="s">
        <v>1871</v>
      </c>
      <c r="H11" s="376" t="s">
        <v>1872</v>
      </c>
    </row>
    <row r="12" customFormat="false" ht="34.5" hidden="false" customHeight="true" outlineLevel="0" collapsed="false">
      <c r="A12" s="376" t="s">
        <v>1873</v>
      </c>
      <c r="B12" s="376" t="s">
        <v>1874</v>
      </c>
      <c r="C12" s="376" t="n">
        <v>193</v>
      </c>
      <c r="D12" s="376" t="n">
        <v>82</v>
      </c>
      <c r="E12" s="380" t="s">
        <v>1870</v>
      </c>
      <c r="F12" s="376" t="s">
        <v>1870</v>
      </c>
      <c r="G12" s="382" t="s">
        <v>1875</v>
      </c>
      <c r="H12" s="376" t="s">
        <v>1876</v>
      </c>
    </row>
    <row r="13" customFormat="false" ht="23.25" hidden="false" customHeight="true" outlineLevel="0" collapsed="false">
      <c r="A13" s="376" t="s">
        <v>1877</v>
      </c>
      <c r="B13" s="376" t="s">
        <v>1878</v>
      </c>
      <c r="C13" s="376" t="n">
        <v>211</v>
      </c>
      <c r="D13" s="376" t="n">
        <v>67</v>
      </c>
      <c r="E13" s="380" t="s">
        <v>1870</v>
      </c>
      <c r="F13" s="376" t="s">
        <v>1870</v>
      </c>
      <c r="G13" s="382" t="s">
        <v>1875</v>
      </c>
      <c r="H13" s="376" t="s">
        <v>1879</v>
      </c>
    </row>
    <row r="14" customFormat="false" ht="34.5" hidden="false" customHeight="true" outlineLevel="0" collapsed="false">
      <c r="A14" s="376" t="s">
        <v>1880</v>
      </c>
      <c r="B14" s="376" t="s">
        <v>1881</v>
      </c>
      <c r="C14" s="376" t="n">
        <v>236</v>
      </c>
      <c r="D14" s="376" t="n">
        <v>14</v>
      </c>
      <c r="E14" s="380" t="s">
        <v>1865</v>
      </c>
      <c r="F14" s="376" t="s">
        <v>1865</v>
      </c>
      <c r="G14" s="381" t="s">
        <v>1871</v>
      </c>
      <c r="H14" s="376" t="s">
        <v>1882</v>
      </c>
    </row>
    <row r="15" customFormat="false" ht="34.5" hidden="false" customHeight="true" outlineLevel="0" collapsed="false">
      <c r="A15" s="376" t="s">
        <v>1883</v>
      </c>
      <c r="B15" s="376" t="s">
        <v>1884</v>
      </c>
      <c r="C15" s="376" t="n">
        <v>60</v>
      </c>
      <c r="D15" s="376" t="n">
        <v>20</v>
      </c>
      <c r="E15" s="380" t="s">
        <v>1865</v>
      </c>
      <c r="F15" s="376" t="s">
        <v>1865</v>
      </c>
      <c r="G15" s="381" t="s">
        <v>1871</v>
      </c>
      <c r="H15" s="376" t="s">
        <v>1885</v>
      </c>
    </row>
    <row r="16" customFormat="false" ht="34.5" hidden="false" customHeight="true" outlineLevel="0" collapsed="false">
      <c r="A16" s="376" t="s">
        <v>1886</v>
      </c>
      <c r="B16" s="376" t="s">
        <v>1887</v>
      </c>
      <c r="C16" s="376" t="n">
        <v>1049</v>
      </c>
      <c r="D16" s="376" t="n">
        <v>39</v>
      </c>
      <c r="E16" s="380" t="s">
        <v>1870</v>
      </c>
      <c r="F16" s="376" t="s">
        <v>1888</v>
      </c>
      <c r="G16" s="382" t="s">
        <v>1875</v>
      </c>
      <c r="H16" s="376" t="s">
        <v>1889</v>
      </c>
    </row>
    <row r="17" customFormat="false" ht="15" hidden="false" customHeight="true" outlineLevel="0" collapsed="false">
      <c r="A17" s="376"/>
      <c r="B17" s="376"/>
      <c r="C17" s="376"/>
      <c r="D17" s="376"/>
      <c r="E17" s="376"/>
      <c r="F17" s="376"/>
      <c r="G17" s="376"/>
      <c r="H17" s="376"/>
    </row>
    <row r="18" customFormat="false" ht="15" hidden="false" customHeight="true" outlineLevel="0" collapsed="false">
      <c r="A18" s="376"/>
      <c r="B18" s="376"/>
      <c r="C18" s="376"/>
      <c r="D18" s="376"/>
      <c r="E18" s="376"/>
      <c r="F18" s="376"/>
      <c r="G18" s="376"/>
      <c r="H18" s="376"/>
    </row>
    <row r="19" customFormat="false" ht="15" hidden="false" customHeight="true" outlineLevel="0" collapsed="false">
      <c r="A19" s="383" t="s">
        <v>1890</v>
      </c>
      <c r="B19" s="383"/>
      <c r="C19" s="383"/>
      <c r="D19" s="383"/>
      <c r="E19" s="383"/>
      <c r="F19" s="383"/>
      <c r="G19" s="383"/>
      <c r="H19" s="383"/>
    </row>
    <row r="20" customFormat="false" ht="15" hidden="false" customHeight="true" outlineLevel="0" collapsed="false">
      <c r="A20" s="384" t="s">
        <v>1891</v>
      </c>
      <c r="B20" s="384" t="s">
        <v>1892</v>
      </c>
      <c r="C20" s="384" t="s">
        <v>1893</v>
      </c>
      <c r="D20" s="384" t="s">
        <v>1894</v>
      </c>
      <c r="E20" s="384" t="s">
        <v>1895</v>
      </c>
      <c r="F20" s="384"/>
      <c r="G20" s="384"/>
      <c r="H20" s="384"/>
    </row>
    <row r="21" customFormat="false" ht="15" hidden="false" customHeight="true" outlineLevel="0" collapsed="false">
      <c r="A21" s="376" t="s">
        <v>1873</v>
      </c>
      <c r="B21" s="376" t="s">
        <v>1896</v>
      </c>
      <c r="C21" s="376" t="s">
        <v>1897</v>
      </c>
      <c r="D21" s="376" t="s">
        <v>1898</v>
      </c>
      <c r="E21" s="378" t="s">
        <v>1899</v>
      </c>
      <c r="F21" s="378"/>
      <c r="G21" s="378"/>
      <c r="H21" s="378"/>
    </row>
    <row r="22" customFormat="false" ht="15" hidden="false" customHeight="true" outlineLevel="0" collapsed="false">
      <c r="A22" s="376" t="s">
        <v>1873</v>
      </c>
      <c r="B22" s="376" t="s">
        <v>1900</v>
      </c>
      <c r="C22" s="376" t="s">
        <v>1901</v>
      </c>
      <c r="D22" s="376" t="s">
        <v>1902</v>
      </c>
      <c r="E22" s="378" t="s">
        <v>1903</v>
      </c>
      <c r="F22" s="378"/>
      <c r="G22" s="378"/>
      <c r="H22" s="378"/>
    </row>
    <row r="23" customFormat="false" ht="15" hidden="false" customHeight="true" outlineLevel="0" collapsed="false">
      <c r="A23" s="376" t="s">
        <v>1873</v>
      </c>
      <c r="B23" s="376" t="s">
        <v>1904</v>
      </c>
      <c r="C23" s="376" t="s">
        <v>1905</v>
      </c>
      <c r="D23" s="376" t="s">
        <v>1906</v>
      </c>
      <c r="E23" s="378" t="s">
        <v>1907</v>
      </c>
      <c r="F23" s="378"/>
      <c r="G23" s="378"/>
      <c r="H23" s="378"/>
    </row>
    <row r="24" customFormat="false" ht="15" hidden="false" customHeight="true" outlineLevel="0" collapsed="false">
      <c r="A24" s="376" t="s">
        <v>1886</v>
      </c>
      <c r="B24" s="376" t="s">
        <v>1908</v>
      </c>
      <c r="C24" s="376" t="s">
        <v>1909</v>
      </c>
      <c r="D24" s="376" t="s">
        <v>1910</v>
      </c>
      <c r="E24" s="378" t="s">
        <v>1911</v>
      </c>
      <c r="F24" s="378"/>
      <c r="G24" s="378"/>
      <c r="H24" s="378"/>
    </row>
    <row r="25" customFormat="false" ht="15" hidden="false" customHeight="true" outlineLevel="0" collapsed="false">
      <c r="A25" s="376" t="s">
        <v>1868</v>
      </c>
      <c r="B25" s="376" t="s">
        <v>1912</v>
      </c>
      <c r="C25" s="376" t="s">
        <v>1913</v>
      </c>
      <c r="D25" s="376" t="s">
        <v>1914</v>
      </c>
      <c r="E25" s="378" t="s">
        <v>1915</v>
      </c>
      <c r="F25" s="378"/>
      <c r="G25" s="378"/>
      <c r="H25" s="378"/>
    </row>
    <row r="26" customFormat="false" ht="34.5" hidden="false" customHeight="true" outlineLevel="0" collapsed="false">
      <c r="A26" s="376" t="s">
        <v>1868</v>
      </c>
      <c r="B26" s="376" t="s">
        <v>1916</v>
      </c>
      <c r="C26" s="376" t="s">
        <v>1917</v>
      </c>
      <c r="D26" s="376" t="s">
        <v>1918</v>
      </c>
      <c r="E26" s="378" t="s">
        <v>1919</v>
      </c>
      <c r="F26" s="378"/>
      <c r="G26" s="378"/>
      <c r="H26" s="378"/>
    </row>
    <row r="27" customFormat="false" ht="23.25" hidden="false" customHeight="true" outlineLevel="0" collapsed="false">
      <c r="A27" s="376" t="s">
        <v>1873</v>
      </c>
      <c r="B27" s="376" t="s">
        <v>1920</v>
      </c>
      <c r="C27" s="376" t="s">
        <v>1921</v>
      </c>
      <c r="D27" s="376" t="s">
        <v>1922</v>
      </c>
      <c r="E27" s="378" t="s">
        <v>1923</v>
      </c>
      <c r="F27" s="378"/>
      <c r="G27" s="378"/>
      <c r="H27" s="378"/>
    </row>
    <row r="28" customFormat="false" ht="15" hidden="false" customHeight="true" outlineLevel="0" collapsed="false">
      <c r="A28" s="376" t="s">
        <v>1877</v>
      </c>
      <c r="B28" s="376" t="s">
        <v>1924</v>
      </c>
      <c r="C28" s="385" t="s">
        <v>1925</v>
      </c>
      <c r="D28" s="376" t="s">
        <v>1926</v>
      </c>
      <c r="E28" s="378" t="s">
        <v>1927</v>
      </c>
      <c r="F28" s="378"/>
      <c r="G28" s="378"/>
      <c r="H28" s="378"/>
    </row>
    <row r="29" customFormat="false" ht="23.25" hidden="false" customHeight="true" outlineLevel="0" collapsed="false">
      <c r="A29" s="376" t="s">
        <v>1877</v>
      </c>
      <c r="B29" s="376" t="s">
        <v>1928</v>
      </c>
      <c r="C29" s="376" t="s">
        <v>1929</v>
      </c>
      <c r="D29" s="376" t="s">
        <v>593</v>
      </c>
      <c r="E29" s="378" t="s">
        <v>1930</v>
      </c>
      <c r="F29" s="378"/>
      <c r="G29" s="378"/>
      <c r="H29" s="378"/>
    </row>
    <row r="30" customFormat="false" ht="23.25" hidden="false" customHeight="true" outlineLevel="0" collapsed="false">
      <c r="A30" s="376" t="s">
        <v>1877</v>
      </c>
      <c r="B30" s="376" t="s">
        <v>1931</v>
      </c>
      <c r="C30" s="376" t="s">
        <v>1932</v>
      </c>
      <c r="D30" s="376" t="s">
        <v>594</v>
      </c>
      <c r="E30" s="378" t="s">
        <v>1933</v>
      </c>
      <c r="F30" s="378"/>
      <c r="G30" s="378"/>
      <c r="H30" s="378"/>
    </row>
    <row r="31" customFormat="false" ht="15" hidden="false" customHeight="true" outlineLevel="0" collapsed="false">
      <c r="A31" s="376" t="s">
        <v>1877</v>
      </c>
      <c r="B31" s="376" t="s">
        <v>1934</v>
      </c>
      <c r="C31" s="376" t="s">
        <v>1935</v>
      </c>
      <c r="D31" s="376" t="s">
        <v>1936</v>
      </c>
      <c r="E31" s="378" t="s">
        <v>1937</v>
      </c>
      <c r="F31" s="378"/>
      <c r="G31" s="378"/>
      <c r="H31" s="378"/>
    </row>
    <row r="32" customFormat="false" ht="23.25" hidden="false" customHeight="true" outlineLevel="0" collapsed="false">
      <c r="A32" s="376" t="s">
        <v>1877</v>
      </c>
      <c r="B32" s="376" t="s">
        <v>1938</v>
      </c>
      <c r="C32" s="376" t="s">
        <v>1939</v>
      </c>
      <c r="D32" s="376" t="s">
        <v>596</v>
      </c>
      <c r="E32" s="378" t="s">
        <v>1940</v>
      </c>
      <c r="F32" s="378"/>
      <c r="G32" s="378"/>
      <c r="H32" s="378"/>
    </row>
    <row r="33" customFormat="false" ht="15" hidden="false" customHeight="true" outlineLevel="0" collapsed="false">
      <c r="A33" s="376" t="s">
        <v>1877</v>
      </c>
      <c r="B33" s="376" t="s">
        <v>1941</v>
      </c>
      <c r="C33" s="376" t="s">
        <v>1942</v>
      </c>
      <c r="D33" s="376" t="s">
        <v>1943</v>
      </c>
      <c r="E33" s="378" t="s">
        <v>1944</v>
      </c>
      <c r="F33" s="378"/>
      <c r="G33" s="378"/>
      <c r="H33" s="378"/>
    </row>
    <row r="34" customFormat="false" ht="23.25" hidden="false" customHeight="true" outlineLevel="0" collapsed="false">
      <c r="A34" s="376" t="s">
        <v>1877</v>
      </c>
      <c r="B34" s="376" t="s">
        <v>1945</v>
      </c>
      <c r="C34" s="376" t="s">
        <v>1946</v>
      </c>
      <c r="D34" s="376" t="s">
        <v>597</v>
      </c>
      <c r="E34" s="378" t="s">
        <v>1947</v>
      </c>
      <c r="F34" s="378"/>
      <c r="G34" s="378"/>
      <c r="H34" s="378"/>
    </row>
    <row r="35" customFormat="false" ht="15" hidden="false" customHeight="true" outlineLevel="0" collapsed="false">
      <c r="A35" s="376" t="s">
        <v>1877</v>
      </c>
      <c r="B35" s="376" t="s">
        <v>1948</v>
      </c>
      <c r="C35" s="376" t="s">
        <v>1949</v>
      </c>
      <c r="D35" s="376" t="s">
        <v>1950</v>
      </c>
      <c r="E35" s="378" t="s">
        <v>1951</v>
      </c>
      <c r="F35" s="378"/>
      <c r="G35" s="378"/>
      <c r="H35" s="378"/>
    </row>
    <row r="36" customFormat="false" ht="15" hidden="false" customHeight="true" outlineLevel="0" collapsed="false">
      <c r="A36" s="376" t="s">
        <v>1877</v>
      </c>
      <c r="B36" s="376" t="s">
        <v>1952</v>
      </c>
      <c r="C36" s="376" t="s">
        <v>1953</v>
      </c>
      <c r="D36" s="376" t="s">
        <v>1954</v>
      </c>
      <c r="E36" s="378" t="s">
        <v>1955</v>
      </c>
      <c r="F36" s="378"/>
      <c r="G36" s="378"/>
      <c r="H36" s="378"/>
    </row>
    <row r="37" customFormat="false" ht="15" hidden="false" customHeight="true" outlineLevel="0" collapsed="false">
      <c r="A37" s="376" t="s">
        <v>1877</v>
      </c>
      <c r="B37" s="376" t="s">
        <v>1956</v>
      </c>
      <c r="C37" s="376" t="s">
        <v>1957</v>
      </c>
      <c r="D37" s="376" t="s">
        <v>1958</v>
      </c>
      <c r="E37" s="378" t="s">
        <v>1959</v>
      </c>
      <c r="F37" s="378"/>
      <c r="G37" s="378"/>
      <c r="H37" s="378"/>
    </row>
    <row r="38" customFormat="false" ht="23.25" hidden="false" customHeight="true" outlineLevel="0" collapsed="false">
      <c r="A38" s="376" t="s">
        <v>1868</v>
      </c>
      <c r="B38" s="376" t="s">
        <v>1960</v>
      </c>
      <c r="C38" s="376" t="s">
        <v>1961</v>
      </c>
      <c r="D38" s="376" t="s">
        <v>56</v>
      </c>
      <c r="E38" s="378" t="s">
        <v>1962</v>
      </c>
      <c r="F38" s="378"/>
      <c r="G38" s="378"/>
      <c r="H38" s="378"/>
    </row>
    <row r="39" customFormat="false" ht="34.5" hidden="false" customHeight="true" outlineLevel="0" collapsed="false">
      <c r="A39" s="376" t="s">
        <v>1868</v>
      </c>
      <c r="B39" s="376" t="s">
        <v>1963</v>
      </c>
      <c r="C39" s="376" t="s">
        <v>1964</v>
      </c>
      <c r="D39" s="376" t="s">
        <v>44</v>
      </c>
      <c r="E39" s="378" t="s">
        <v>1965</v>
      </c>
      <c r="F39" s="378"/>
      <c r="G39" s="378"/>
      <c r="H39" s="378"/>
    </row>
    <row r="40" customFormat="false" ht="15" hidden="false" customHeight="true" outlineLevel="0" collapsed="false">
      <c r="A40" s="376" t="s">
        <v>1877</v>
      </c>
      <c r="B40" s="376" t="s">
        <v>1966</v>
      </c>
      <c r="C40" s="376" t="s">
        <v>40</v>
      </c>
      <c r="D40" s="376" t="s">
        <v>1967</v>
      </c>
      <c r="E40" s="378" t="s">
        <v>1968</v>
      </c>
      <c r="F40" s="378"/>
      <c r="G40" s="378"/>
      <c r="H40" s="378"/>
    </row>
    <row r="41" customFormat="false" ht="15" hidden="false" customHeight="true" outlineLevel="0" collapsed="false">
      <c r="A41" s="376"/>
      <c r="B41" s="376"/>
      <c r="C41" s="376"/>
      <c r="D41" s="376"/>
      <c r="E41" s="376"/>
      <c r="F41" s="376"/>
      <c r="G41" s="376"/>
      <c r="H41" s="376"/>
    </row>
    <row r="42" customFormat="false" ht="15" hidden="false" customHeight="true" outlineLevel="0" collapsed="false">
      <c r="A42" s="386" t="s">
        <v>1969</v>
      </c>
      <c r="B42" s="386"/>
      <c r="C42" s="386"/>
      <c r="D42" s="386"/>
      <c r="E42" s="386"/>
      <c r="F42" s="386"/>
      <c r="G42" s="386"/>
      <c r="H42" s="386"/>
    </row>
    <row r="43" customFormat="false" ht="15" hidden="false" customHeight="true" outlineLevel="0" collapsed="false">
      <c r="A43" s="387" t="s">
        <v>1970</v>
      </c>
      <c r="B43" s="387" t="s">
        <v>557</v>
      </c>
      <c r="C43" s="387" t="s">
        <v>1971</v>
      </c>
      <c r="D43" s="387" t="s">
        <v>1972</v>
      </c>
      <c r="E43" s="387" t="s">
        <v>1973</v>
      </c>
      <c r="F43" s="387"/>
      <c r="G43" s="387"/>
      <c r="H43" s="387"/>
    </row>
    <row r="44" customFormat="false" ht="15" hidden="false" customHeight="true" outlineLevel="0" collapsed="false">
      <c r="A44" s="376" t="s">
        <v>1974</v>
      </c>
      <c r="B44" s="376" t="n">
        <v>4000</v>
      </c>
      <c r="C44" s="376" t="n">
        <v>8000</v>
      </c>
      <c r="D44" s="378" t="s">
        <v>1975</v>
      </c>
      <c r="E44" s="378"/>
      <c r="F44" s="378"/>
      <c r="G44" s="378"/>
      <c r="H44" s="380" t="s">
        <v>1865</v>
      </c>
    </row>
    <row r="45" customFormat="false" ht="15" hidden="false" customHeight="true" outlineLevel="0" collapsed="false">
      <c r="A45" s="376" t="s">
        <v>1976</v>
      </c>
      <c r="B45" s="376" t="n">
        <v>1000000000000</v>
      </c>
      <c r="C45" s="376" t="n">
        <v>2000000000000</v>
      </c>
      <c r="D45" s="378" t="s">
        <v>1977</v>
      </c>
      <c r="E45" s="378"/>
      <c r="F45" s="378"/>
      <c r="G45" s="378"/>
      <c r="H45" s="380" t="s">
        <v>1865</v>
      </c>
    </row>
    <row r="46" customFormat="false" ht="15" hidden="false" customHeight="true" outlineLevel="0" collapsed="false">
      <c r="A46" s="376" t="s">
        <v>1978</v>
      </c>
      <c r="B46" s="376" t="s">
        <v>91</v>
      </c>
      <c r="C46" s="376" t="s">
        <v>90</v>
      </c>
      <c r="D46" s="378" t="s">
        <v>1979</v>
      </c>
      <c r="E46" s="378"/>
      <c r="F46" s="378"/>
      <c r="G46" s="378"/>
      <c r="H46" s="380" t="s">
        <v>1865</v>
      </c>
    </row>
    <row r="47" customFormat="false" ht="15" hidden="false" customHeight="true" outlineLevel="0" collapsed="false">
      <c r="A47" s="376" t="s">
        <v>1980</v>
      </c>
      <c r="B47" s="376" t="n">
        <v>0.5</v>
      </c>
      <c r="C47" s="376" t="n">
        <v>0.8</v>
      </c>
      <c r="D47" s="378" t="s">
        <v>1981</v>
      </c>
      <c r="E47" s="378"/>
      <c r="F47" s="378"/>
      <c r="G47" s="378"/>
      <c r="H47" s="380" t="s">
        <v>1865</v>
      </c>
    </row>
    <row r="48" customFormat="false" ht="15" hidden="false" customHeight="true" outlineLevel="0" collapsed="false">
      <c r="A48" s="376" t="s">
        <v>1982</v>
      </c>
      <c r="B48" s="376" t="n">
        <v>64</v>
      </c>
      <c r="C48" s="376" t="n">
        <v>32</v>
      </c>
      <c r="D48" s="378" t="s">
        <v>1983</v>
      </c>
      <c r="E48" s="378"/>
      <c r="F48" s="378"/>
      <c r="G48" s="378"/>
      <c r="H48" s="380" t="s">
        <v>1865</v>
      </c>
    </row>
    <row r="49" customFormat="false" ht="23.25" hidden="false" customHeight="true" outlineLevel="0" collapsed="false">
      <c r="A49" s="376" t="s">
        <v>1984</v>
      </c>
      <c r="B49" s="376" t="n">
        <v>0.1</v>
      </c>
      <c r="C49" s="376" t="n">
        <v>5</v>
      </c>
      <c r="D49" s="378" t="s">
        <v>1985</v>
      </c>
      <c r="E49" s="378"/>
      <c r="F49" s="378"/>
      <c r="G49" s="378"/>
      <c r="H49" s="380" t="s">
        <v>1865</v>
      </c>
    </row>
    <row r="50" customFormat="false" ht="15" hidden="false" customHeight="true" outlineLevel="0" collapsed="false">
      <c r="A50" s="376" t="s">
        <v>1986</v>
      </c>
      <c r="B50" s="376" t="s">
        <v>7</v>
      </c>
      <c r="C50" s="376" t="s">
        <v>8</v>
      </c>
      <c r="D50" s="378" t="s">
        <v>1987</v>
      </c>
      <c r="E50" s="378"/>
      <c r="F50" s="378"/>
      <c r="G50" s="378"/>
      <c r="H50" s="381" t="s">
        <v>1988</v>
      </c>
    </row>
    <row r="51" customFormat="false" ht="15" hidden="false" customHeight="true" outlineLevel="0" collapsed="false">
      <c r="A51" s="376"/>
      <c r="B51" s="376"/>
      <c r="C51" s="376"/>
      <c r="D51" s="376"/>
      <c r="E51" s="376"/>
      <c r="F51" s="376"/>
      <c r="G51" s="376"/>
      <c r="H51" s="376"/>
    </row>
    <row r="52" customFormat="false" ht="15" hidden="false" customHeight="true" outlineLevel="0" collapsed="false">
      <c r="A52" s="386" t="s">
        <v>1989</v>
      </c>
      <c r="B52" s="386"/>
      <c r="C52" s="386"/>
      <c r="D52" s="386"/>
      <c r="E52" s="386"/>
      <c r="F52" s="386"/>
      <c r="G52" s="386"/>
      <c r="H52" s="386"/>
    </row>
    <row r="53" customFormat="false" ht="15" hidden="false" customHeight="true" outlineLevel="0" collapsed="false">
      <c r="A53" s="388" t="s">
        <v>1990</v>
      </c>
      <c r="B53" s="378" t="s">
        <v>1991</v>
      </c>
      <c r="C53" s="378"/>
      <c r="D53" s="378"/>
      <c r="E53" s="378"/>
      <c r="F53" s="378"/>
      <c r="G53" s="378"/>
      <c r="H53" s="378"/>
    </row>
    <row r="54" customFormat="false" ht="15" hidden="false" customHeight="true" outlineLevel="0" collapsed="false">
      <c r="A54" s="388" t="s">
        <v>1992</v>
      </c>
      <c r="B54" s="378" t="s">
        <v>1993</v>
      </c>
      <c r="C54" s="378"/>
      <c r="D54" s="378"/>
      <c r="E54" s="378"/>
      <c r="F54" s="378"/>
      <c r="G54" s="378"/>
      <c r="H54" s="378"/>
    </row>
    <row r="55" customFormat="false" ht="23.25" hidden="false" customHeight="true" outlineLevel="0" collapsed="false">
      <c r="A55" s="388" t="s">
        <v>1994</v>
      </c>
      <c r="B55" s="378" t="s">
        <v>1995</v>
      </c>
      <c r="C55" s="378"/>
      <c r="D55" s="378"/>
      <c r="E55" s="378"/>
      <c r="F55" s="378"/>
      <c r="G55" s="378"/>
      <c r="H55" s="378"/>
    </row>
    <row r="56" customFormat="false" ht="23.25" hidden="false" customHeight="true" outlineLevel="0" collapsed="false">
      <c r="A56" s="388" t="s">
        <v>1996</v>
      </c>
      <c r="B56" s="378" t="s">
        <v>1997</v>
      </c>
      <c r="C56" s="378"/>
      <c r="D56" s="378"/>
      <c r="E56" s="378"/>
      <c r="F56" s="378"/>
      <c r="G56" s="378"/>
      <c r="H56" s="378"/>
    </row>
    <row r="58" customFormat="false" ht="15" hidden="false" customHeight="true" outlineLevel="0" collapsed="false">
      <c r="A58" s="1" t="s">
        <v>1998</v>
      </c>
    </row>
    <row r="59" customFormat="false" ht="12.75" hidden="false" customHeight="true" outlineLevel="0" collapsed="false">
      <c r="A59" s="1" t="s">
        <v>1891</v>
      </c>
      <c r="B59" s="1" t="s">
        <v>1892</v>
      </c>
      <c r="C59" s="1" t="s">
        <v>1893</v>
      </c>
      <c r="D59" s="1" t="s">
        <v>1894</v>
      </c>
      <c r="E59" s="1" t="s">
        <v>1895</v>
      </c>
    </row>
    <row r="60" customFormat="false" ht="15" hidden="false" customHeight="true" outlineLevel="0" collapsed="false">
      <c r="A60" s="1" t="s">
        <v>1868</v>
      </c>
      <c r="B60" s="1" t="s">
        <v>1999</v>
      </c>
      <c r="C60" s="1" t="s">
        <v>2000</v>
      </c>
      <c r="D60" s="1" t="s">
        <v>2001</v>
      </c>
      <c r="E60" s="1" t="s">
        <v>2002</v>
      </c>
    </row>
    <row r="61" customFormat="false" ht="15" hidden="false" customHeight="true" outlineLevel="0" collapsed="false">
      <c r="A61" s="1" t="s">
        <v>1877</v>
      </c>
      <c r="B61" s="1" t="s">
        <v>2003</v>
      </c>
      <c r="C61" s="1" t="s">
        <v>2004</v>
      </c>
      <c r="D61" s="1" t="s">
        <v>2005</v>
      </c>
      <c r="E61" s="1" t="s">
        <v>2006</v>
      </c>
    </row>
    <row r="62" customFormat="false" ht="15" hidden="false" customHeight="true" outlineLevel="0" collapsed="false">
      <c r="A62" s="1" t="s">
        <v>1873</v>
      </c>
      <c r="B62" s="1" t="s">
        <v>2007</v>
      </c>
      <c r="C62" s="1" t="s">
        <v>2008</v>
      </c>
      <c r="D62" s="1" t="s">
        <v>2009</v>
      </c>
      <c r="E62" s="1" t="s">
        <v>2010</v>
      </c>
    </row>
    <row r="63" customFormat="false" ht="15" hidden="false" customHeight="true" outlineLevel="0" collapsed="false">
      <c r="A63" s="1" t="s">
        <v>1886</v>
      </c>
      <c r="B63" s="1" t="s">
        <v>2011</v>
      </c>
      <c r="C63" s="1" t="s">
        <v>2012</v>
      </c>
      <c r="D63" s="1" t="s">
        <v>2013</v>
      </c>
      <c r="E63" s="1" t="s">
        <v>2014</v>
      </c>
    </row>
    <row r="64" customFormat="false" ht="15" hidden="false" customHeight="true" outlineLevel="0" collapsed="false">
      <c r="A64" s="1" t="s">
        <v>1886</v>
      </c>
      <c r="B64" s="1" t="s">
        <v>2015</v>
      </c>
      <c r="C64" s="1" t="s">
        <v>2016</v>
      </c>
      <c r="D64" s="1" t="s">
        <v>2017</v>
      </c>
      <c r="E64" s="1" t="s">
        <v>2018</v>
      </c>
    </row>
    <row r="65" customFormat="false" ht="15" hidden="false" customHeight="true" outlineLevel="0" collapsed="false">
      <c r="A65" s="1" t="s">
        <v>1886</v>
      </c>
      <c r="B65" s="1" t="s">
        <v>2019</v>
      </c>
      <c r="C65" s="1" t="s">
        <v>2020</v>
      </c>
      <c r="D65" s="1" t="s">
        <v>2021</v>
      </c>
      <c r="E65" s="1" t="s">
        <v>2022</v>
      </c>
    </row>
    <row r="66" customFormat="false" ht="15" hidden="false" customHeight="true" outlineLevel="0" collapsed="false">
      <c r="A66" s="1" t="s">
        <v>1886</v>
      </c>
      <c r="B66" s="1" t="s">
        <v>2023</v>
      </c>
      <c r="C66" s="1" t="s">
        <v>2024</v>
      </c>
      <c r="D66" s="1" t="s">
        <v>2025</v>
      </c>
      <c r="E66" s="1" t="s">
        <v>2026</v>
      </c>
    </row>
    <row r="67" customFormat="false" ht="15" hidden="false" customHeight="true" outlineLevel="0" collapsed="false">
      <c r="A67" s="1" t="s">
        <v>1880</v>
      </c>
      <c r="B67" s="1" t="s">
        <v>2027</v>
      </c>
      <c r="C67" s="1" t="s">
        <v>2028</v>
      </c>
      <c r="D67" s="1" t="s">
        <v>2029</v>
      </c>
      <c r="E67" s="1" t="s">
        <v>2030</v>
      </c>
    </row>
    <row r="68" customFormat="false" ht="15" hidden="false" customHeight="true" outlineLevel="0" collapsed="false">
      <c r="A68" s="1" t="s">
        <v>1877</v>
      </c>
      <c r="B68" s="1" t="s">
        <v>2031</v>
      </c>
      <c r="C68" s="1" t="s">
        <v>2032</v>
      </c>
      <c r="D68" s="1" t="s">
        <v>2033</v>
      </c>
      <c r="E68" s="389" t="s">
        <v>2034</v>
      </c>
    </row>
    <row r="69" customFormat="false" ht="15" hidden="false" customHeight="true" outlineLevel="0" collapsed="false">
      <c r="A69" s="1" t="s">
        <v>1877</v>
      </c>
      <c r="B69" s="1" t="s">
        <v>2035</v>
      </c>
      <c r="C69" s="1" t="s">
        <v>2036</v>
      </c>
      <c r="D69" s="1" t="s">
        <v>2037</v>
      </c>
      <c r="E69" s="389" t="s">
        <v>2038</v>
      </c>
    </row>
    <row r="70" customFormat="false" ht="15" hidden="false" customHeight="true" outlineLevel="0" collapsed="false">
      <c r="A70" s="1" t="s">
        <v>1873</v>
      </c>
      <c r="B70" s="1" t="s">
        <v>2039</v>
      </c>
      <c r="C70" s="1" t="s">
        <v>2040</v>
      </c>
      <c r="D70" s="1" t="s">
        <v>2041</v>
      </c>
      <c r="E70" s="1" t="s">
        <v>2042</v>
      </c>
    </row>
    <row r="71" customFormat="false" ht="15" hidden="false" customHeight="true" outlineLevel="0" collapsed="false">
      <c r="A71" s="1" t="s">
        <v>2043</v>
      </c>
      <c r="B71" s="389" t="s">
        <v>2044</v>
      </c>
      <c r="C71" s="389" t="s">
        <v>2045</v>
      </c>
      <c r="D71" s="389" t="s">
        <v>2046</v>
      </c>
      <c r="E71" s="389" t="s">
        <v>2047</v>
      </c>
    </row>
    <row r="72" customFormat="false" ht="12.75" hidden="false" customHeight="true" outlineLevel="0" collapsed="false">
      <c r="A72" s="389" t="s">
        <v>2048</v>
      </c>
    </row>
    <row r="73" customFormat="false" ht="15" hidden="false" customHeight="true" outlineLevel="0" collapsed="false">
      <c r="C73" s="1" t="s">
        <v>2049</v>
      </c>
      <c r="D73" s="1" t="s">
        <v>2050</v>
      </c>
      <c r="E73" s="1" t="s">
        <v>2051</v>
      </c>
    </row>
    <row r="74" customFormat="false" ht="15" hidden="false" customHeight="true" outlineLevel="0" collapsed="false">
      <c r="C74" s="1" t="s">
        <v>2052</v>
      </c>
      <c r="D74" s="1" t="s">
        <v>2053</v>
      </c>
      <c r="E74" s="389" t="s">
        <v>2054</v>
      </c>
    </row>
    <row r="75" customFormat="false" ht="15" hidden="false" customHeight="true" outlineLevel="0" collapsed="false">
      <c r="C75" s="1" t="s">
        <v>2055</v>
      </c>
      <c r="D75" s="1" t="s">
        <v>2056</v>
      </c>
      <c r="E75" s="1" t="s">
        <v>2057</v>
      </c>
    </row>
    <row r="76" customFormat="false" ht="15" hidden="false" customHeight="true" outlineLevel="0" collapsed="false">
      <c r="C76" s="1" t="s">
        <v>2058</v>
      </c>
      <c r="D76" s="1" t="s">
        <v>2059</v>
      </c>
      <c r="E76" s="1" t="s">
        <v>2060</v>
      </c>
    </row>
    <row r="77" customFormat="false" ht="15" hidden="false" customHeight="true" outlineLevel="0" collapsed="false">
      <c r="A77" s="389" t="s">
        <v>2061</v>
      </c>
    </row>
    <row r="78" customFormat="false" ht="15" hidden="false" customHeight="true" outlineLevel="0" collapsed="false">
      <c r="A78" s="1" t="s">
        <v>1886</v>
      </c>
      <c r="B78" s="1" t="s">
        <v>2062</v>
      </c>
      <c r="E78" s="389" t="s">
        <v>2063</v>
      </c>
    </row>
    <row r="79" customFormat="false" ht="15" hidden="false" customHeight="true" outlineLevel="0" collapsed="false">
      <c r="A79" s="1" t="s">
        <v>1886</v>
      </c>
      <c r="B79" s="1" t="s">
        <v>2064</v>
      </c>
      <c r="E79" s="389" t="s">
        <v>2065</v>
      </c>
    </row>
    <row r="80" customFormat="false" ht="15" hidden="false" customHeight="true" outlineLevel="0" collapsed="false">
      <c r="A80" s="1" t="s">
        <v>1886</v>
      </c>
      <c r="B80" s="1" t="s">
        <v>2066</v>
      </c>
      <c r="E80" s="389" t="s">
        <v>2067</v>
      </c>
    </row>
    <row r="81" customFormat="false" ht="15" hidden="false" customHeight="true" outlineLevel="0" collapsed="false">
      <c r="A81" s="1" t="s">
        <v>1886</v>
      </c>
      <c r="B81" s="1" t="s">
        <v>2068</v>
      </c>
      <c r="E81" s="1" t="s">
        <v>2069</v>
      </c>
    </row>
    <row r="82" customFormat="false" ht="15" hidden="false" customHeight="true" outlineLevel="0" collapsed="false">
      <c r="A82" s="1" t="s">
        <v>2070</v>
      </c>
      <c r="B82" s="389" t="s">
        <v>2071</v>
      </c>
      <c r="E82" s="389" t="s">
        <v>2072</v>
      </c>
    </row>
    <row r="84" customFormat="false" ht="24" hidden="false" customHeight="true" outlineLevel="0" collapsed="false">
      <c r="A84" s="390" t="s">
        <v>2073</v>
      </c>
    </row>
    <row r="85" customFormat="false" ht="12.75" hidden="false" customHeight="true" outlineLevel="0" collapsed="false">
      <c r="A85" s="390" t="s">
        <v>1891</v>
      </c>
      <c r="B85" s="390" t="s">
        <v>1892</v>
      </c>
      <c r="C85" s="390" t="s">
        <v>2074</v>
      </c>
      <c r="D85" s="390" t="s">
        <v>2075</v>
      </c>
      <c r="E85" s="390" t="s">
        <v>1895</v>
      </c>
    </row>
    <row r="86" customFormat="false" ht="26.25" hidden="false" customHeight="true" outlineLevel="0" collapsed="false">
      <c r="A86" s="20" t="s">
        <v>1886</v>
      </c>
      <c r="B86" s="20" t="s">
        <v>2076</v>
      </c>
      <c r="C86" s="20" t="s">
        <v>2077</v>
      </c>
      <c r="D86" s="20" t="s">
        <v>2078</v>
      </c>
      <c r="E86" s="370" t="s">
        <v>2079</v>
      </c>
    </row>
    <row r="87" customFormat="false" ht="24" hidden="false" customHeight="true" outlineLevel="0" collapsed="false">
      <c r="A87" s="20" t="s">
        <v>1886</v>
      </c>
      <c r="B87" s="20" t="s">
        <v>2080</v>
      </c>
      <c r="C87" s="20" t="s">
        <v>2081</v>
      </c>
      <c r="D87" s="391" t="s">
        <v>2082</v>
      </c>
      <c r="E87" s="370" t="s">
        <v>2083</v>
      </c>
    </row>
    <row r="88" customFormat="false" ht="26.25" hidden="false" customHeight="true" outlineLevel="0" collapsed="false">
      <c r="A88" s="20" t="s">
        <v>1886</v>
      </c>
      <c r="B88" s="20" t="s">
        <v>2084</v>
      </c>
      <c r="C88" s="20" t="s">
        <v>2085</v>
      </c>
      <c r="D88" s="392" t="s">
        <v>2086</v>
      </c>
      <c r="E88" s="370" t="s">
        <v>2087</v>
      </c>
    </row>
    <row r="89" customFormat="false" ht="21.75" hidden="false" customHeight="true" outlineLevel="0" collapsed="false">
      <c r="A89" s="20" t="s">
        <v>1886</v>
      </c>
      <c r="B89" s="20" t="s">
        <v>2088</v>
      </c>
      <c r="C89" s="20" t="s">
        <v>2089</v>
      </c>
      <c r="D89" s="20" t="s">
        <v>2090</v>
      </c>
      <c r="E89" s="20" t="s">
        <v>2091</v>
      </c>
    </row>
    <row r="90" customFormat="false" ht="13.5" hidden="false" customHeight="true" outlineLevel="0" collapsed="false">
      <c r="A90" s="20" t="s">
        <v>1886</v>
      </c>
      <c r="B90" s="20" t="s">
        <v>2092</v>
      </c>
      <c r="C90" s="370" t="s">
        <v>2093</v>
      </c>
      <c r="D90" s="20" t="s">
        <v>2094</v>
      </c>
      <c r="E90" s="20" t="s">
        <v>2095</v>
      </c>
    </row>
    <row r="91" customFormat="false" ht="21.75" hidden="false" customHeight="true" outlineLevel="0" collapsed="false">
      <c r="A91" s="20" t="s">
        <v>1886</v>
      </c>
      <c r="B91" s="20" t="s">
        <v>2096</v>
      </c>
      <c r="C91" s="20" t="s">
        <v>2097</v>
      </c>
      <c r="D91" s="370" t="s">
        <v>2098</v>
      </c>
      <c r="E91" s="370" t="s">
        <v>2099</v>
      </c>
    </row>
    <row r="92" customFormat="false" ht="26.25" hidden="false" customHeight="true" outlineLevel="0" collapsed="false">
      <c r="A92" s="20" t="s">
        <v>2100</v>
      </c>
      <c r="B92" s="370" t="s">
        <v>2101</v>
      </c>
      <c r="C92" s="20" t="s">
        <v>2097</v>
      </c>
      <c r="D92" s="370" t="s">
        <v>2102</v>
      </c>
      <c r="E92" s="370" t="s">
        <v>2103</v>
      </c>
    </row>
    <row r="93" customFormat="false" ht="39" hidden="false" customHeight="true" outlineLevel="0" collapsed="false">
      <c r="A93" s="370" t="s">
        <v>2104</v>
      </c>
      <c r="B93" s="20" t="s">
        <v>2105</v>
      </c>
      <c r="C93" s="20"/>
      <c r="D93" s="20"/>
      <c r="E93" s="20" t="s">
        <v>2106</v>
      </c>
    </row>
    <row r="94" customFormat="false" ht="39" hidden="false" customHeight="true" outlineLevel="0" collapsed="false">
      <c r="A94" s="370" t="s">
        <v>2104</v>
      </c>
      <c r="B94" s="20" t="s">
        <v>2107</v>
      </c>
      <c r="C94" s="20"/>
      <c r="D94" s="20"/>
      <c r="E94" s="370" t="s">
        <v>2108</v>
      </c>
    </row>
    <row r="97" customFormat="false" ht="26.85" hidden="false" customHeight="false" outlineLevel="0" collapsed="false">
      <c r="A97" s="393" t="s">
        <v>2109</v>
      </c>
    </row>
    <row r="98" customFormat="false" ht="12.75" hidden="false" customHeight="false" outlineLevel="0" collapsed="false">
      <c r="A98" s="393" t="s">
        <v>1891</v>
      </c>
      <c r="B98" s="393" t="s">
        <v>1892</v>
      </c>
      <c r="C98" s="393" t="s">
        <v>2074</v>
      </c>
      <c r="D98" s="393" t="s">
        <v>2075</v>
      </c>
      <c r="E98" s="393" t="s">
        <v>1895</v>
      </c>
    </row>
    <row r="99" customFormat="false" ht="26.85" hidden="false" customHeight="false" outlineLevel="0" collapsed="false">
      <c r="A99" s="372" t="s">
        <v>1868</v>
      </c>
      <c r="B99" s="372" t="s">
        <v>2110</v>
      </c>
      <c r="C99" s="372" t="s">
        <v>2097</v>
      </c>
      <c r="D99" s="374" t="s">
        <v>2111</v>
      </c>
      <c r="E99" s="374" t="s">
        <v>2112</v>
      </c>
    </row>
    <row r="100" customFormat="false" ht="39.55" hidden="false" customHeight="false" outlineLevel="0" collapsed="false">
      <c r="A100" s="372" t="s">
        <v>1868</v>
      </c>
      <c r="B100" s="372" t="s">
        <v>2113</v>
      </c>
      <c r="C100" s="374" t="s">
        <v>2114</v>
      </c>
      <c r="D100" s="374" t="s">
        <v>2115</v>
      </c>
      <c r="E100" s="372" t="s">
        <v>2116</v>
      </c>
    </row>
    <row r="101" customFormat="false" ht="26.85" hidden="false" customHeight="false" outlineLevel="0" collapsed="false">
      <c r="A101" s="372" t="s">
        <v>1868</v>
      </c>
      <c r="B101" s="372" t="s">
        <v>2117</v>
      </c>
      <c r="C101" s="372" t="s">
        <v>2118</v>
      </c>
      <c r="D101" s="372" t="s">
        <v>2119</v>
      </c>
      <c r="E101" s="372" t="s">
        <v>2120</v>
      </c>
    </row>
    <row r="102" customFormat="false" ht="24.6" hidden="false" customHeight="false" outlineLevel="0" collapsed="false">
      <c r="A102" s="372" t="s">
        <v>1868</v>
      </c>
      <c r="B102" s="372" t="s">
        <v>2121</v>
      </c>
      <c r="C102" s="374" t="s">
        <v>2122</v>
      </c>
      <c r="D102" s="374" t="s">
        <v>2123</v>
      </c>
      <c r="E102" s="372" t="s">
        <v>2124</v>
      </c>
    </row>
    <row r="103" customFormat="false" ht="26.85" hidden="false" customHeight="false" outlineLevel="0" collapsed="false">
      <c r="A103" s="372" t="s">
        <v>1868</v>
      </c>
      <c r="B103" s="372" t="s">
        <v>2125</v>
      </c>
      <c r="C103" s="372" t="s">
        <v>2126</v>
      </c>
      <c r="D103" s="372" t="s">
        <v>2127</v>
      </c>
      <c r="E103" s="374" t="s">
        <v>2128</v>
      </c>
    </row>
    <row r="104" customFormat="false" ht="14.15" hidden="false" customHeight="false" outlineLevel="0" collapsed="false">
      <c r="A104" s="372" t="s">
        <v>1868</v>
      </c>
      <c r="B104" s="372" t="s">
        <v>2129</v>
      </c>
      <c r="C104" s="372" t="s">
        <v>2130</v>
      </c>
      <c r="D104" s="374" t="s">
        <v>2131</v>
      </c>
      <c r="E104" s="374" t="s">
        <v>2132</v>
      </c>
    </row>
    <row r="105" customFormat="false" ht="14.15" hidden="false" customHeight="false" outlineLevel="0" collapsed="false">
      <c r="A105" s="372" t="s">
        <v>1877</v>
      </c>
      <c r="B105" s="372" t="s">
        <v>2133</v>
      </c>
      <c r="C105" s="372" t="s">
        <v>2134</v>
      </c>
      <c r="D105" s="372" t="s">
        <v>2135</v>
      </c>
      <c r="E105" s="374" t="s">
        <v>2136</v>
      </c>
    </row>
    <row r="106" customFormat="false" ht="26.85" hidden="false" customHeight="false" outlineLevel="0" collapsed="false">
      <c r="A106" s="372" t="s">
        <v>1877</v>
      </c>
      <c r="B106" s="372" t="s">
        <v>2137</v>
      </c>
      <c r="C106" s="372" t="s">
        <v>2138</v>
      </c>
      <c r="D106" s="372" t="s">
        <v>2139</v>
      </c>
      <c r="E106" s="374" t="s">
        <v>2140</v>
      </c>
    </row>
    <row r="107" customFormat="false" ht="32.8" hidden="false" customHeight="false" outlineLevel="0" collapsed="false">
      <c r="A107" s="372" t="s">
        <v>1877</v>
      </c>
      <c r="B107" s="372" t="s">
        <v>2141</v>
      </c>
      <c r="C107" s="374" t="s">
        <v>2142</v>
      </c>
      <c r="D107" s="374" t="s">
        <v>2143</v>
      </c>
      <c r="E107" s="374" t="s">
        <v>2144</v>
      </c>
    </row>
    <row r="108" customFormat="false" ht="26.85" hidden="false" customHeight="false" outlineLevel="0" collapsed="false">
      <c r="A108" s="372" t="s">
        <v>1877</v>
      </c>
      <c r="B108" s="372" t="s">
        <v>2145</v>
      </c>
      <c r="C108" s="374" t="s">
        <v>2146</v>
      </c>
      <c r="D108" s="374" t="s">
        <v>2147</v>
      </c>
      <c r="E108" s="372" t="s">
        <v>2148</v>
      </c>
    </row>
    <row r="109" customFormat="false" ht="14.15" hidden="false" customHeight="false" outlineLevel="0" collapsed="false">
      <c r="A109" s="372" t="s">
        <v>1873</v>
      </c>
      <c r="B109" s="372" t="s">
        <v>2149</v>
      </c>
      <c r="C109" s="372" t="s">
        <v>2150</v>
      </c>
      <c r="D109" s="372" t="s">
        <v>2151</v>
      </c>
      <c r="E109" s="372" t="s">
        <v>2152</v>
      </c>
    </row>
    <row r="110" customFormat="false" ht="26.85" hidden="false" customHeight="false" outlineLevel="0" collapsed="false">
      <c r="A110" s="374" t="s">
        <v>2104</v>
      </c>
      <c r="B110" s="372" t="s">
        <v>2153</v>
      </c>
      <c r="C110" s="372"/>
      <c r="D110" s="372"/>
      <c r="E110" s="374" t="s">
        <v>2154</v>
      </c>
    </row>
    <row r="111" customFormat="false" ht="26.85" hidden="false" customHeight="false" outlineLevel="0" collapsed="false">
      <c r="A111" s="374" t="s">
        <v>2104</v>
      </c>
      <c r="B111" s="372" t="s">
        <v>1883</v>
      </c>
      <c r="C111" s="372"/>
      <c r="D111" s="372"/>
      <c r="E111" s="374" t="s">
        <v>2155</v>
      </c>
    </row>
    <row r="112" customFormat="false" ht="39.55" hidden="false" customHeight="false" outlineLevel="0" collapsed="false">
      <c r="A112" s="374" t="s">
        <v>2104</v>
      </c>
      <c r="B112" s="372" t="s">
        <v>2156</v>
      </c>
      <c r="C112" s="372"/>
      <c r="D112" s="372"/>
      <c r="E112" s="374" t="s">
        <v>2157</v>
      </c>
    </row>
  </sheetData>
  <autoFilter ref="A9:H16"/>
  <mergeCells count="36">
    <mergeCell ref="A1:H1"/>
    <mergeCell ref="B7:H7"/>
    <mergeCell ref="A19:H19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E40:H40"/>
    <mergeCell ref="A42:H42"/>
    <mergeCell ref="D44:G44"/>
    <mergeCell ref="D45:G45"/>
    <mergeCell ref="D46:G46"/>
    <mergeCell ref="D47:G47"/>
    <mergeCell ref="D48:G48"/>
    <mergeCell ref="D49:G49"/>
    <mergeCell ref="D50:G50"/>
    <mergeCell ref="A52:H52"/>
    <mergeCell ref="B53:H53"/>
    <mergeCell ref="B54:H54"/>
    <mergeCell ref="B55:H55"/>
    <mergeCell ref="B56:H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2026-07-15T01:25:38Z</dcterms:created>
  <dc:creator>張銀成(Andy Chang)</dc:creator>
  <dc:description/>
  <dc:language>en-US</dc:language>
  <cp:lastModifiedBy>Yin-Chen Chang</cp:lastModifiedBy>
  <dcterms:modified xsi:type="dcterms:W3CDTF">2026-09-21T23:53:38Z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