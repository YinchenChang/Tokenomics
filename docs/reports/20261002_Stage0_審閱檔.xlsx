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Gate0_決策" sheetId="2" state="visible" r:id="rId4"/>
    <sheet name="SRC_候選" sheetId="3" state="visible" r:id="rId5"/>
    <sheet name="Sources_拆解" sheetId="4" state="visible" r:id="rId6"/>
    <sheet name="盤點複核" sheetId="5" state="visible" r:id="rId7"/>
    <sheet name="格對照" sheetId="6" state="visible" r:id="rId8"/>
    <sheet name="發現" sheetId="7" state="visible" r:id="rId9"/>
  </sheets>
  <definedNames>
    <definedName function="false" hidden="true" localSheetId="1" name="_xlnm._FilterDatabase" vbProcedure="false">Gate0_決策!$A$1:$G$11</definedName>
    <definedName function="false" hidden="true" localSheetId="3" name="_xlnm._FilterDatabase" vbProcedure="false">Sources_拆解!$A$1:$L$66</definedName>
    <definedName function="false" hidden="true" localSheetId="2" name="_xlnm._FilterDatabase" vbProcedure="false">SRC_候選!$A$1:$S$243</definedName>
    <definedName function="false" hidden="true" localSheetId="5" name="_xlnm._FilterDatabase" vbProcedure="false">格對照!$A$1:$J$242</definedName>
    <definedName function="false" hidden="true" localSheetId="6" name="_xlnm._FilterDatabase" vbProcedure="false">發現!$A$1:$E$13</definedName>
    <definedName function="false" hidden="true" localSheetId="4" name="_xlnm._FilterDatabase" vbProcedure="false">盤點複核!$A$1:$T$325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<sst xmlns="http://schemas.openxmlformats.org/spreadsheetml/2006/main" count="9628" uniqueCount="2936">
  <si>
    <r>
      <rPr>
        <b val="true"/>
        <sz val="14"/>
        <rFont val="Arial"/>
        <family val="0"/>
        <charset val="1"/>
      </rPr>
      <t xml:space="preserve">Tokenomics Stage 0 </t>
    </r>
    <r>
      <rPr>
        <b val="true"/>
        <sz val="14"/>
        <rFont val="Noto Sans CJK SC"/>
        <family val="2"/>
        <charset val="1"/>
      </rPr>
      <t xml:space="preserve">審閱檔（</t>
    </r>
    <r>
      <rPr>
        <b val="true"/>
        <sz val="14"/>
        <rFont val="Arial"/>
        <family val="0"/>
        <charset val="1"/>
      </rPr>
      <t xml:space="preserve">chat </t>
    </r>
    <r>
      <rPr>
        <b val="true"/>
        <sz val="14"/>
        <rFont val="Noto Sans CJK SC"/>
        <family val="2"/>
        <charset val="1"/>
      </rPr>
      <t xml:space="preserve">端）</t>
    </r>
  </si>
  <si>
    <t xml:space="preserve">日期</t>
  </si>
  <si>
    <t xml:space="preserve">2026-10-02</t>
  </si>
  <si>
    <t xml:space="preserve">基準</t>
  </si>
  <si>
    <r>
      <rPr>
        <sz val="10"/>
        <rFont val="Arial"/>
        <family val="0"/>
        <charset val="1"/>
      </rPr>
      <t xml:space="preserve">20261002_Tokenomics_v5.10.xlsx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master</t>
    </r>
    <r>
      <rPr>
        <sz val="10"/>
        <rFont val="Noto Sans CJK SC"/>
        <family val="2"/>
        <charset val="1"/>
      </rPr>
      <t xml:space="preserve">；唯讀，未修改）</t>
    </r>
  </si>
  <si>
    <t xml:space="preserve">用途</t>
  </si>
  <si>
    <r>
      <rPr>
        <sz val="10"/>
        <rFont val="Arial"/>
        <family val="0"/>
        <charset val="1"/>
      </rPr>
      <t xml:space="preserve">Stage 0 </t>
    </r>
    <r>
      <rPr>
        <sz val="10"/>
        <rFont val="Noto Sans CJK SC"/>
        <family val="2"/>
        <charset val="1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  <charset val="1"/>
      </rPr>
      <t xml:space="preserve">步：拆解 </t>
    </r>
    <r>
      <rPr>
        <sz val="10"/>
        <rFont val="Arial"/>
        <family val="0"/>
        <charset val="1"/>
      </rPr>
      <t xml:space="preserve">Sources 61 </t>
    </r>
    <r>
      <rPr>
        <sz val="10"/>
        <rFont val="Noto Sans CJK SC"/>
        <family val="2"/>
        <charset val="1"/>
      </rPr>
      <t xml:space="preserve">筆為候選 </t>
    </r>
    <r>
      <rPr>
        <sz val="10"/>
        <rFont val="Arial"/>
        <family val="0"/>
        <charset val="1"/>
      </rPr>
      <t xml:space="preserve">SRC </t>
    </r>
    <r>
      <rPr>
        <sz val="10"/>
        <rFont val="Noto Sans CJK SC"/>
        <family val="2"/>
        <charset val="1"/>
      </rPr>
      <t xml:space="preserve">數值紀錄、判定等級與立場；複核藍字 </t>
    </r>
    <r>
      <rPr>
        <sz val="10"/>
        <rFont val="Arial"/>
        <family val="0"/>
        <charset val="1"/>
      </rPr>
      <t xml:space="preserve">324 </t>
    </r>
    <r>
      <rPr>
        <sz val="10"/>
        <rFont val="Noto Sans CJK SC"/>
        <family val="2"/>
        <charset val="1"/>
      </rPr>
      <t xml:space="preserve">列分類，判定「待分類」。供 </t>
    </r>
    <r>
      <rPr>
        <sz val="10"/>
        <rFont val="Arial"/>
        <family val="0"/>
        <charset val="1"/>
      </rPr>
      <t xml:space="preserve">Gate 0 </t>
    </r>
    <r>
      <rPr>
        <sz val="10"/>
        <rFont val="Noto Sans CJK SC"/>
        <family val="2"/>
        <charset val="1"/>
      </rPr>
      <t xml:space="preserve">核准。</t>
    </r>
  </si>
  <si>
    <r>
      <rPr>
        <b val="true"/>
        <sz val="10"/>
        <rFont val="Noto Sans CJK SC"/>
        <family val="2"/>
        <charset val="1"/>
      </rPr>
      <t xml:space="preserve">與 </t>
    </r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  <charset val="1"/>
      </rPr>
      <t xml:space="preserve">第 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  <charset val="1"/>
      </rPr>
      <t xml:space="preserve">輪的關係</t>
    </r>
  </si>
  <si>
    <r>
      <rPr>
        <sz val="10"/>
        <rFont val="Arial"/>
        <family val="0"/>
        <charset val="1"/>
      </rPr>
      <t xml:space="preserve">INV_ID </t>
    </r>
    <r>
      <rPr>
        <sz val="10"/>
        <rFont val="Noto Sans CJK SC"/>
        <family val="2"/>
        <charset val="1"/>
      </rPr>
      <t xml:space="preserve">編號規則與 </t>
    </r>
    <r>
      <rPr>
        <sz val="10"/>
        <rFont val="Arial"/>
        <family val="0"/>
        <charset val="1"/>
      </rPr>
      <t xml:space="preserve">CC </t>
    </r>
    <r>
      <rPr>
        <sz val="10"/>
        <rFont val="Noto Sans CJK SC"/>
        <family val="2"/>
        <charset val="1"/>
      </rPr>
      <t xml:space="preserve">指令相同（工作表順序＋列號），</t>
    </r>
    <r>
      <rPr>
        <sz val="10"/>
        <rFont val="Arial"/>
        <family val="0"/>
        <charset val="1"/>
      </rPr>
      <t xml:space="preserve">CC </t>
    </r>
    <r>
      <rPr>
        <sz val="10"/>
        <rFont val="Noto Sans CJK SC"/>
        <family val="2"/>
        <charset val="1"/>
      </rPr>
      <t xml:space="preserve">盤點檔回來後可逐列合併；</t>
    </r>
    <r>
      <rPr>
        <sz val="10"/>
        <rFont val="Arial"/>
        <family val="0"/>
        <charset val="1"/>
      </rPr>
      <t xml:space="preserve">CC </t>
    </r>
    <r>
      <rPr>
        <sz val="10"/>
        <rFont val="Noto Sans CJK SC"/>
        <family val="2"/>
        <charset val="1"/>
      </rPr>
      <t xml:space="preserve">提供的敏感度排序屬另一份資料，本檔未含。</t>
    </r>
  </si>
  <si>
    <r>
      <rPr>
        <b val="true"/>
        <sz val="10"/>
        <rFont val="Noto Sans CJK SC"/>
        <family val="2"/>
        <charset val="1"/>
      </rPr>
      <t xml:space="preserve">請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  <charset val="1"/>
      </rPr>
      <t xml:space="preserve">看的地方</t>
    </r>
  </si>
  <si>
    <r>
      <rPr>
        <sz val="10"/>
        <rFont val="Noto Sans CJK SC"/>
        <family val="2"/>
        <charset val="1"/>
      </rPr>
      <t xml:space="preserve">「</t>
    </r>
    <r>
      <rPr>
        <sz val="10"/>
        <rFont val="Arial"/>
        <family val="0"/>
        <charset val="1"/>
      </rPr>
      <t xml:space="preserve">Gate0_</t>
    </r>
    <r>
      <rPr>
        <sz val="10"/>
        <rFont val="Noto Sans CJK SC"/>
        <family val="2"/>
        <charset val="1"/>
      </rPr>
      <t xml:space="preserve">決策」黃底欄：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  <charset val="1"/>
      </rPr>
      <t xml:space="preserve">項標「待 </t>
    </r>
    <r>
      <rPr>
        <sz val="10"/>
        <rFont val="Arial"/>
        <family val="0"/>
        <charset val="1"/>
      </rPr>
      <t xml:space="preserve">Andy</t>
    </r>
    <r>
      <rPr>
        <sz val="10"/>
        <rFont val="Noto Sans CJK SC"/>
        <family val="2"/>
        <charset val="1"/>
      </rPr>
      <t xml:space="preserve">」（</t>
    </r>
    <r>
      <rPr>
        <sz val="10"/>
        <rFont val="Arial"/>
        <family val="0"/>
        <charset val="1"/>
      </rPr>
      <t xml:space="preserve">G0-2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  <charset val="1"/>
      </rPr>
      <t xml:space="preserve">）。其餘頁為依據，可抽看。</t>
    </r>
  </si>
  <si>
    <t xml:space="preserve">閱讀順序</t>
  </si>
  <si>
    <r>
      <rPr>
        <sz val="10"/>
        <rFont val="Arial"/>
        <family val="0"/>
        <charset val="1"/>
      </rPr>
      <t xml:space="preserve">Gate0_</t>
    </r>
    <r>
      <rPr>
        <sz val="10"/>
        <rFont val="Noto Sans CJK SC"/>
        <family val="2"/>
        <charset val="1"/>
      </rPr>
      <t xml:space="preserve">決策 → 發現 → 盤點複核（篩選「</t>
    </r>
    <r>
      <rPr>
        <sz val="10"/>
        <rFont val="Arial"/>
        <family val="0"/>
        <charset val="1"/>
      </rPr>
      <t xml:space="preserve">Gate 0 </t>
    </r>
    <r>
      <rPr>
        <sz val="10"/>
        <rFont val="Noto Sans CJK SC"/>
        <family val="2"/>
        <charset val="1"/>
      </rPr>
      <t xml:space="preserve">爭議＝是」）→ </t>
    </r>
    <r>
      <rPr>
        <sz val="10"/>
        <rFont val="Arial"/>
        <family val="0"/>
        <charset val="1"/>
      </rPr>
      <t xml:space="preserve">SRC_</t>
    </r>
    <r>
      <rPr>
        <sz val="10"/>
        <rFont val="Noto Sans CJK SC"/>
        <family val="2"/>
        <charset val="1"/>
      </rPr>
      <t xml:space="preserve">候選 → </t>
    </r>
    <r>
      <rPr>
        <sz val="10"/>
        <rFont val="Arial"/>
        <family val="0"/>
        <charset val="1"/>
      </rPr>
      <t xml:space="preserve">Sources_</t>
    </r>
    <r>
      <rPr>
        <sz val="10"/>
        <rFont val="Noto Sans CJK SC"/>
        <family val="2"/>
        <charset val="1"/>
      </rPr>
      <t xml:space="preserve">拆解 → 格對照</t>
    </r>
  </si>
  <si>
    <t xml:space="preserve">涵蓋範圍（限制）</t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</si>
  <si>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Decision</t>
    </r>
    <r>
      <rPr>
        <sz val="10"/>
        <rFont val="Noto Sans CJK SC"/>
        <family val="2"/>
        <charset val="1"/>
      </rPr>
      <t xml:space="preserve">、情境選擇共約 </t>
    </r>
    <r>
      <rPr>
        <sz val="10"/>
        <rFont val="Arial"/>
        <family val="0"/>
        <charset val="1"/>
      </rPr>
      <t xml:space="preserve">180 </t>
    </r>
    <r>
      <rPr>
        <sz val="10"/>
        <rFont val="Noto Sans CJK SC"/>
        <family val="2"/>
        <charset val="1"/>
      </rPr>
      <t xml:space="preserve">列只做規則檢查，未逐列判讀；原始、待分類、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  <charset val="1"/>
      </rPr>
      <t xml:space="preserve">、多標記與相關列（共 </t>
    </r>
    <r>
      <rPr>
        <sz val="10"/>
        <rFont val="Arial"/>
        <family val="0"/>
        <charset val="1"/>
      </rPr>
      <t xml:space="preserve">126 </t>
    </r>
    <r>
      <rPr>
        <sz val="10"/>
        <rFont val="Noto Sans CJK SC"/>
        <family val="2"/>
        <charset val="1"/>
      </rPr>
      <t xml:space="preserve">列）逐列判讀。</t>
    </r>
    <r>
      <rPr>
        <sz val="10"/>
        <rFont val="Arial"/>
        <family val="0"/>
        <charset val="1"/>
      </rPr>
      <t xml:space="preserve">SRC </t>
    </r>
    <r>
      <rPr>
        <sz val="10"/>
        <rFont val="Noto Sans CJK SC"/>
        <family val="2"/>
        <charset val="1"/>
      </rPr>
      <t xml:space="preserve">候選紀錄的數值取自 </t>
    </r>
    <r>
      <rPr>
        <sz val="10"/>
        <rFont val="Arial"/>
        <family val="0"/>
        <charset val="1"/>
      </rPr>
      <t xml:space="preserve">Sources </t>
    </r>
    <r>
      <rPr>
        <sz val="10"/>
        <rFont val="Noto Sans CJK SC"/>
        <family val="2"/>
        <charset val="1"/>
      </rPr>
      <t xml:space="preserve">文字與模型格，未重新查核原文。</t>
    </r>
  </si>
  <si>
    <t xml:space="preserve">統計（公式，連動各頁）</t>
  </si>
  <si>
    <r>
      <rPr>
        <sz val="10"/>
        <rFont val="Arial"/>
        <family val="0"/>
        <charset val="1"/>
      </rPr>
      <t xml:space="preserve">SRC </t>
    </r>
    <r>
      <rPr>
        <sz val="10"/>
        <rFont val="Noto Sans CJK SC"/>
        <family val="2"/>
        <charset val="1"/>
      </rPr>
      <t xml:space="preserve">候選紀錄數</t>
    </r>
  </si>
  <si>
    <r>
      <rPr>
        <sz val="10"/>
        <rFont val="Noto Sans CJK SC"/>
        <family val="2"/>
        <charset val="1"/>
      </rPr>
      <t xml:space="preserve">　其中 </t>
    </r>
    <r>
      <rPr>
        <sz val="10"/>
        <rFont val="Arial"/>
        <family val="0"/>
        <charset val="1"/>
      </rPr>
      <t xml:space="preserve">Active</t>
    </r>
  </si>
  <si>
    <r>
      <rPr>
        <sz val="10"/>
        <rFont val="Noto Sans CJK SC"/>
        <family val="2"/>
        <charset val="1"/>
      </rPr>
      <t xml:space="preserve">　其中 </t>
    </r>
    <r>
      <rPr>
        <sz val="10"/>
        <rFont val="Arial"/>
        <family val="0"/>
        <charset val="1"/>
      </rPr>
      <t xml:space="preserve">Alt</t>
    </r>
  </si>
  <si>
    <r>
      <rPr>
        <sz val="10"/>
        <rFont val="Noto Sans CJK SC"/>
        <family val="2"/>
        <charset val="1"/>
      </rPr>
      <t xml:space="preserve">　其中 </t>
    </r>
    <r>
      <rPr>
        <sz val="10"/>
        <rFont val="Arial"/>
        <family val="0"/>
        <charset val="1"/>
      </rPr>
      <t xml:space="preserve">Superseded</t>
    </r>
  </si>
  <si>
    <r>
      <rPr>
        <sz val="10"/>
        <rFont val="Noto Sans CJK SC"/>
        <family val="2"/>
        <charset val="1"/>
      </rPr>
      <t xml:space="preserve">來源等級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</si>
  <si>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  <charset val="1"/>
      </rPr>
      <t xml:space="preserve">來源等級 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</si>
  <si>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  <charset val="1"/>
      </rPr>
      <t xml:space="preserve">來源等級 </t>
    </r>
    <r>
      <rPr>
        <sz val="10"/>
        <rFont val="Arial"/>
        <family val="0"/>
        <charset val="1"/>
      </rPr>
      <t xml:space="preserve">3</t>
    </r>
  </si>
  <si>
    <t xml:space="preserve">立場：利害關係方</t>
  </si>
  <si>
    <t xml:space="preserve">立場：中立</t>
  </si>
  <si>
    <t xml:space="preserve">模型使用中的紀錄（含對照）</t>
  </si>
  <si>
    <t xml:space="preserve">直接引用且數值一致的紀錄</t>
  </si>
  <si>
    <r>
      <rPr>
        <sz val="10"/>
        <rFont val="Noto Sans CJK SC"/>
        <family val="2"/>
        <charset val="1"/>
      </rPr>
      <t xml:space="preserve">直接引用但數值不一致的紀錄（應為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  <charset val="1"/>
      </rPr>
      <t xml:space="preserve">）</t>
    </r>
  </si>
  <si>
    <t xml:space="preserve">藍字列總數</t>
  </si>
  <si>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  <charset val="1"/>
      </rPr>
      <t xml:space="preserve">分類與 </t>
    </r>
    <r>
      <rPr>
        <sz val="10"/>
        <rFont val="Arial"/>
        <family val="0"/>
        <charset val="1"/>
      </rPr>
      <t xml:space="preserve">CC </t>
    </r>
    <r>
      <rPr>
        <sz val="10"/>
        <rFont val="Noto Sans CJK SC"/>
        <family val="2"/>
        <charset val="1"/>
      </rPr>
      <t xml:space="preserve">規則不同的列</t>
    </r>
  </si>
  <si>
    <r>
      <rPr>
        <sz val="10"/>
        <rFont val="Arial"/>
        <family val="0"/>
        <charset val="1"/>
      </rPr>
      <t xml:space="preserve">Gate 0 </t>
    </r>
    <r>
      <rPr>
        <sz val="10"/>
        <rFont val="Noto Sans CJK SC"/>
        <family val="2"/>
        <charset val="1"/>
      </rPr>
      <t xml:space="preserve">爭議列</t>
    </r>
  </si>
  <si>
    <r>
      <rPr>
        <sz val="10"/>
        <rFont val="Noto Sans CJK SC"/>
        <family val="2"/>
        <charset val="1"/>
      </rPr>
      <t xml:space="preserve">可直接連結 </t>
    </r>
    <r>
      <rPr>
        <sz val="10"/>
        <rFont val="Arial"/>
        <family val="0"/>
        <charset val="1"/>
      </rPr>
      <t xml:space="preserve">SRC </t>
    </r>
    <r>
      <rPr>
        <sz val="10"/>
        <rFont val="Noto Sans CJK SC"/>
        <family val="2"/>
        <charset val="1"/>
      </rPr>
      <t xml:space="preserve">的藍字格（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改連結、數值不變）</t>
    </r>
  </si>
  <si>
    <r>
      <rPr>
        <sz val="10"/>
        <rFont val="Noto Sans CJK SC"/>
        <family val="2"/>
        <charset val="1"/>
      </rPr>
      <t xml:space="preserve">與 </t>
    </r>
    <r>
      <rPr>
        <sz val="10"/>
        <rFont val="Arial"/>
        <family val="0"/>
        <charset val="1"/>
      </rPr>
      <t xml:space="preserve">SRC </t>
    </r>
    <r>
      <rPr>
        <sz val="10"/>
        <rFont val="Noto Sans CJK SC"/>
        <family val="2"/>
        <charset val="1"/>
      </rPr>
      <t xml:space="preserve">相關但值不相等的藍字格（換算／取整／選取）</t>
    </r>
  </si>
  <si>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  <charset val="1"/>
      </rPr>
      <t xml:space="preserve">複核分類（列數）</t>
    </r>
  </si>
  <si>
    <r>
      <rPr>
        <sz val="10"/>
        <rFont val="Noto Sans CJK SC"/>
        <family val="2"/>
        <charset val="1"/>
      </rPr>
      <t xml:space="preserve">原始數據→</t>
    </r>
    <r>
      <rPr>
        <sz val="10"/>
        <rFont val="Arial"/>
        <family val="0"/>
        <charset val="1"/>
      </rPr>
      <t xml:space="preserve">SRC</t>
    </r>
  </si>
  <si>
    <t xml:space="preserve">混合（逐格）</t>
  </si>
  <si>
    <r>
      <rPr>
        <sz val="10"/>
        <rFont val="Arial"/>
        <family val="0"/>
        <charset val="1"/>
      </rPr>
      <t xml:space="preserve">Derived→</t>
    </r>
    <r>
      <rPr>
        <sz val="10"/>
        <rFont val="Noto Sans CJK SC"/>
        <family val="2"/>
        <charset val="1"/>
      </rPr>
      <t xml:space="preserve">改公式</t>
    </r>
  </si>
  <si>
    <t xml:space="preserve">Analogy</t>
  </si>
  <si>
    <t xml:space="preserve">Assumed</t>
  </si>
  <si>
    <t xml:space="preserve">Decision</t>
  </si>
  <si>
    <t xml:space="preserve">情境選擇</t>
  </si>
  <si>
    <t xml:space="preserve">情境值</t>
  </si>
  <si>
    <r>
      <rPr>
        <sz val="10"/>
        <rFont val="Arial"/>
        <family val="0"/>
        <charset val="1"/>
      </rPr>
      <t xml:space="preserve">Tech_Registry </t>
    </r>
    <r>
      <rPr>
        <sz val="10"/>
        <rFont val="Noto Sans CJK SC"/>
        <family val="2"/>
        <charset val="1"/>
      </rPr>
      <t xml:space="preserve">登錄</t>
    </r>
  </si>
  <si>
    <r>
      <rPr>
        <sz val="10"/>
        <rFont val="Arial"/>
        <family val="0"/>
        <charset val="1"/>
      </rPr>
      <t xml:space="preserve">Checks→L1 </t>
    </r>
    <r>
      <rPr>
        <sz val="10"/>
        <rFont val="Noto Sans CJK SC"/>
        <family val="2"/>
        <charset val="1"/>
      </rPr>
      <t xml:space="preserve">對照</t>
    </r>
  </si>
  <si>
    <r>
      <rPr>
        <sz val="10"/>
        <rFont val="Arial"/>
        <family val="0"/>
        <charset val="1"/>
      </rPr>
      <t xml:space="preserve">Evidence</t>
    </r>
    <r>
      <rPr>
        <sz val="10"/>
        <rFont val="Noto Sans CJK SC"/>
        <family val="2"/>
        <charset val="1"/>
      </rPr>
      <t xml:space="preserve">（不遷移）</t>
    </r>
  </si>
  <si>
    <t xml:space="preserve">合計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</si>
  <si>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  <charset val="1"/>
      </rPr>
      <t xml:space="preserve">分頁（紀錄數）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</si>
  <si>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</si>
  <si>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</si>
  <si>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</si>
  <si>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</si>
  <si>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</si>
  <si>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</si>
  <si>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SRC_Demand</t>
  </si>
  <si>
    <t xml:space="preserve">SRC_Harness</t>
  </si>
  <si>
    <t xml:space="preserve">標色</t>
  </si>
  <si>
    <r>
      <rPr>
        <sz val="10"/>
        <rFont val="Noto Sans CJK SC"/>
        <family val="2"/>
        <charset val="1"/>
      </rPr>
      <t xml:space="preserve">黃底＝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  <charset val="1"/>
      </rPr>
      <t xml:space="preserve">填寫；綠底＝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  <charset val="1"/>
      </rPr>
      <t xml:space="preserve">改判（與 </t>
    </r>
    <r>
      <rPr>
        <sz val="10"/>
        <rFont val="Arial"/>
        <family val="0"/>
        <charset val="1"/>
      </rPr>
      <t xml:space="preserve">CC </t>
    </r>
    <r>
      <rPr>
        <sz val="10"/>
        <rFont val="Noto Sans CJK SC"/>
        <family val="2"/>
        <charset val="1"/>
      </rPr>
      <t xml:space="preserve">規則不同）；橘底＝</t>
    </r>
    <r>
      <rPr>
        <sz val="10"/>
        <rFont val="Arial"/>
        <family val="0"/>
        <charset val="1"/>
      </rPr>
      <t xml:space="preserve">Gate 0 </t>
    </r>
    <r>
      <rPr>
        <sz val="10"/>
        <rFont val="Noto Sans CJK SC"/>
        <family val="2"/>
        <charset val="1"/>
      </rPr>
      <t xml:space="preserve">爭議</t>
    </r>
  </si>
  <si>
    <t xml:space="preserve">編號</t>
  </si>
  <si>
    <t xml:space="preserve">議題</t>
  </si>
  <si>
    <t xml:space="preserve">建議</t>
  </si>
  <si>
    <t xml:space="preserve">理由與影響</t>
  </si>
  <si>
    <t xml:space="preserve">性質</t>
  </si>
  <si>
    <t xml:space="preserve">狀態</t>
  </si>
  <si>
    <r>
      <rPr>
        <b val="true"/>
        <sz val="10"/>
        <color rgb="FFFFFFFF"/>
        <rFont val="Arial"/>
        <family val="0"/>
        <charset val="1"/>
      </rPr>
      <t xml:space="preserve">Andy </t>
    </r>
    <r>
      <rPr>
        <b val="true"/>
        <sz val="10"/>
        <color rgb="FFFFFFFF"/>
        <rFont val="Noto Sans CJK SC"/>
        <family val="2"/>
        <charset val="1"/>
      </rPr>
      <t xml:space="preserve">決定</t>
    </r>
  </si>
  <si>
    <t xml:space="preserve">G0-1</t>
  </si>
  <si>
    <t xml:space="preserve">遷移粒度</t>
  </si>
  <si>
    <t xml:space="preserve">逐格遷移（不是逐列）</t>
  </si>
  <si>
    <r>
      <rPr>
        <sz val="10"/>
        <rFont val="Arial"/>
        <family val="0"/>
        <charset val="1"/>
      </rPr>
      <t xml:space="preserve">F01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F02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71 </t>
    </r>
    <r>
      <rPr>
        <sz val="10"/>
        <rFont val="Noto Sans CJK SC"/>
        <family val="2"/>
        <charset val="1"/>
      </rPr>
      <t xml:space="preserve">列原始或混合列中，大量列內各格來源不同（見說明頁統計）。</t>
    </r>
  </si>
  <si>
    <r>
      <rPr>
        <sz val="10"/>
        <rFont val="Noto Sans CJK SC"/>
        <family val="2"/>
        <charset val="1"/>
      </rPr>
      <t xml:space="preserve">工程類：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  <charset val="1"/>
      </rPr>
      <t xml:space="preserve">直接定案</t>
    </r>
  </si>
  <si>
    <t xml:space="preserve">已定</t>
  </si>
  <si>
    <t xml:space="preserve">G0-2</t>
  </si>
  <si>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數值不變與「值不等於來源」的格</t>
    </r>
  </si>
  <si>
    <r>
      <rPr>
        <sz val="10"/>
        <rFont val="Noto Sans CJK SC"/>
        <family val="2"/>
        <charset val="1"/>
      </rPr>
      <t xml:space="preserve">模型格值等於 </t>
    </r>
    <r>
      <rPr>
        <sz val="10"/>
        <rFont val="Arial"/>
        <family val="0"/>
        <charset val="1"/>
      </rPr>
      <t xml:space="preserve">SRC </t>
    </r>
    <r>
      <rPr>
        <sz val="10"/>
        <rFont val="Noto Sans CJK SC"/>
        <family val="2"/>
        <charset val="1"/>
      </rPr>
      <t xml:space="preserve">值者改連結；取整、區間中點、選取值、改公式會變值者，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保留藍字並補標記（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Decision</t>
    </r>
    <r>
      <rPr>
        <sz val="10"/>
        <rFont val="Noto Sans CJK SC"/>
        <family val="2"/>
        <charset val="1"/>
      </rPr>
      <t xml:space="preserve">）與 </t>
    </r>
    <r>
      <rPr>
        <sz val="10"/>
        <rFont val="Arial"/>
        <family val="0"/>
        <charset val="1"/>
      </rPr>
      <t xml:space="preserve">SRC_ID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Stage 2 </t>
    </r>
    <r>
      <rPr>
        <sz val="10"/>
        <rFont val="Noto Sans CJK SC"/>
        <family val="2"/>
        <charset val="1"/>
      </rPr>
      <t xml:space="preserve">再逐筆決定是否改連結（改值即升次版）</t>
    </r>
  </si>
  <si>
    <r>
      <rPr>
        <sz val="10"/>
        <rFont val="Arial"/>
        <family val="0"/>
        <charset val="1"/>
      </rPr>
      <t xml:space="preserve">Gate 1 </t>
    </r>
    <r>
      <rPr>
        <sz val="10"/>
        <rFont val="Noto Sans CJK SC"/>
        <family val="2"/>
        <charset val="1"/>
      </rPr>
      <t xml:space="preserve">要求逐格一致；強行連結會讓 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價格高值 </t>
    </r>
    <r>
      <rPr>
        <sz val="10"/>
        <rFont val="Arial"/>
        <family val="0"/>
        <charset val="1"/>
      </rPr>
      <t xml:space="preserve">9.1→9.09</t>
    </r>
    <r>
      <rPr>
        <sz val="10"/>
        <rFont val="Noto Sans CJK SC"/>
        <family val="2"/>
        <charset val="1"/>
      </rPr>
      <t xml:space="preserve">、服務占比 </t>
    </r>
    <r>
      <rPr>
        <sz val="10"/>
        <rFont val="Arial"/>
        <family val="0"/>
        <charset val="1"/>
      </rPr>
      <t xml:space="preserve">0.41→0.4118 </t>
    </r>
    <r>
      <rPr>
        <sz val="10"/>
        <rFont val="Noto Sans CJK SC"/>
        <family val="2"/>
        <charset val="1"/>
      </rPr>
      <t xml:space="preserve">等變動，混入遷移版本後無法區分「遷移」與「改值」。</t>
    </r>
  </si>
  <si>
    <r>
      <rPr>
        <sz val="10"/>
        <rFont val="Noto Sans CJK SC"/>
        <family val="2"/>
        <charset val="1"/>
      </rPr>
      <t xml:space="preserve">判斷類：請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  <charset val="1"/>
      </rPr>
      <t xml:space="preserve">核准</t>
    </r>
  </si>
  <si>
    <r>
      <rPr>
        <sz val="10"/>
        <rFont val="Noto Sans CJK SC"/>
        <family val="2"/>
        <charset val="1"/>
      </rPr>
      <t xml:space="preserve">待 </t>
    </r>
    <r>
      <rPr>
        <sz val="10"/>
        <rFont val="Arial"/>
        <family val="0"/>
        <charset val="1"/>
      </rPr>
      <t xml:space="preserve">Andy</t>
    </r>
  </si>
  <si>
    <t xml:space="preserve">G0-3</t>
  </si>
  <si>
    <r>
      <rPr>
        <sz val="10"/>
        <rFont val="Arial"/>
        <family val="0"/>
        <charset val="1"/>
      </rPr>
      <t xml:space="preserve">J3 Sol SLO 65 </t>
    </r>
    <r>
      <rPr>
        <sz val="10"/>
        <rFont val="Noto Sans CJK SC"/>
        <family val="2"/>
        <charset val="1"/>
      </rPr>
      <t xml:space="preserve">對來源 </t>
    </r>
    <r>
      <rPr>
        <sz val="10"/>
        <rFont val="Arial"/>
        <family val="0"/>
        <charset val="1"/>
      </rPr>
      <t xml:space="preserve">68</t>
    </r>
  </si>
  <si>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維持 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Decision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Stage 2 </t>
    </r>
    <r>
      <rPr>
        <sz val="10"/>
        <rFont val="Noto Sans CJK SC"/>
        <family val="2"/>
        <charset val="1"/>
      </rPr>
      <t xml:space="preserve">重讀 </t>
    </r>
    <r>
      <rPr>
        <sz val="10"/>
        <rFont val="Arial"/>
        <family val="0"/>
        <charset val="1"/>
      </rPr>
      <t xml:space="preserve">Artificial Analysis </t>
    </r>
    <r>
      <rPr>
        <sz val="10"/>
        <rFont val="Noto Sans CJK SC"/>
        <family val="2"/>
        <charset val="1"/>
      </rPr>
      <t xml:space="preserve">頁後由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  <charset val="1"/>
      </rPr>
      <t xml:space="preserve">決定是否改 </t>
    </r>
    <r>
      <rPr>
        <sz val="10"/>
        <rFont val="Arial"/>
        <family val="0"/>
        <charset val="1"/>
      </rPr>
      <t xml:space="preserve">68</t>
    </r>
  </si>
  <si>
    <r>
      <rPr>
        <sz val="10"/>
        <rFont val="Noto Sans CJK SC"/>
        <family val="2"/>
        <charset val="1"/>
      </rPr>
      <t xml:space="preserve">差異 </t>
    </r>
    <r>
      <rPr>
        <sz val="10"/>
        <rFont val="Arial"/>
        <family val="0"/>
        <charset val="1"/>
      </rPr>
      <t xml:space="preserve">4.6%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  <charset val="1"/>
      </rPr>
      <t xml:space="preserve">是 </t>
    </r>
    <r>
      <rPr>
        <sz val="10"/>
        <rFont val="Arial"/>
        <family val="0"/>
        <charset val="1"/>
      </rPr>
      <t xml:space="preserve">Block 2 </t>
    </r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產出的主要驅動之一，改值會連動下游。</t>
    </r>
  </si>
  <si>
    <t xml:space="preserve">判斷類</t>
  </si>
  <si>
    <t xml:space="preserve">G0-4</t>
  </si>
  <si>
    <t xml:space="preserve">能力指數版本</t>
  </si>
  <si>
    <r>
      <rPr>
        <sz val="10"/>
        <rFont val="Noto Sans CJK SC"/>
        <family val="2"/>
        <charset val="1"/>
      </rPr>
      <t xml:space="preserve">建議統一用 </t>
    </r>
    <r>
      <rPr>
        <sz val="10"/>
        <rFont val="Arial"/>
        <family val="0"/>
        <charset val="1"/>
      </rPr>
      <t xml:space="preserve">v4.3.2</t>
    </r>
    <r>
      <rPr>
        <sz val="10"/>
        <rFont val="Noto Sans CJK SC"/>
        <family val="2"/>
        <charset val="1"/>
      </rPr>
      <t xml:space="preserve">（較新）；</t>
    </r>
    <r>
      <rPr>
        <sz val="10"/>
        <rFont val="Arial"/>
        <family val="0"/>
        <charset val="1"/>
      </rPr>
      <t xml:space="preserve">Stage 2 </t>
    </r>
    <r>
      <rPr>
        <sz val="10"/>
        <rFont val="Noto Sans CJK SC"/>
        <family val="2"/>
        <charset val="1"/>
      </rPr>
      <t xml:space="preserve">重抓 </t>
    </r>
    <r>
      <rPr>
        <sz val="10"/>
        <rFont val="Arial"/>
        <family val="0"/>
        <charset val="1"/>
      </rPr>
      <t xml:space="preserve">v4.3 </t>
    </r>
    <r>
      <rPr>
        <sz val="10"/>
        <rFont val="Noto Sans CJK SC"/>
        <family val="2"/>
        <charset val="1"/>
      </rPr>
      <t xml:space="preserve">的七個值。統一前，</t>
    </r>
    <r>
      <rPr>
        <sz val="10"/>
        <rFont val="Arial"/>
        <family val="0"/>
        <charset val="1"/>
      </rPr>
      <t xml:space="preserve">K2 </t>
    </r>
    <r>
      <rPr>
        <sz val="10"/>
        <rFont val="Noto Sans CJK SC"/>
        <family val="2"/>
        <charset val="1"/>
      </rPr>
      <t xml:space="preserve">前緣判定附註「版本混用」</t>
    </r>
  </si>
  <si>
    <r>
      <rPr>
        <sz val="10"/>
        <rFont val="Arial"/>
        <family val="0"/>
        <charset val="1"/>
      </rPr>
      <t xml:space="preserve">F08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G4 </t>
    </r>
    <r>
      <rPr>
        <sz val="10"/>
        <rFont val="Noto Sans CJK SC"/>
        <family val="2"/>
        <charset val="1"/>
      </rPr>
      <t xml:space="preserve">只比同口徑。</t>
    </r>
  </si>
  <si>
    <t xml:space="preserve">G0-5</t>
  </si>
  <si>
    <r>
      <rPr>
        <sz val="10"/>
        <rFont val="Noto Sans CJK SC"/>
        <family val="2"/>
        <charset val="1"/>
      </rPr>
      <t xml:space="preserve">公式內嵌原始數據納入 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範圍</t>
    </r>
  </si>
  <si>
    <r>
      <rPr>
        <sz val="10"/>
        <rFont val="Noto Sans CJK SC"/>
        <family val="2"/>
        <charset val="1"/>
      </rPr>
      <t xml:space="preserve">納入；</t>
    </r>
    <r>
      <rPr>
        <sz val="10"/>
        <rFont val="Arial"/>
        <family val="0"/>
        <charset val="1"/>
      </rPr>
      <t xml:space="preserve">CC </t>
    </r>
    <r>
      <rPr>
        <sz val="10"/>
        <rFont val="Noto Sans CJK SC"/>
        <family val="2"/>
        <charset val="1"/>
      </rPr>
      <t xml:space="preserve">第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  <charset val="1"/>
      </rPr>
      <t xml:space="preserve">輪加一項「公式內數值常數掃描」（排除單位換算常數），清單由 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  <charset val="1"/>
      </rPr>
      <t xml:space="preserve">端判定</t>
    </r>
  </si>
  <si>
    <r>
      <rPr>
        <sz val="10"/>
        <rFont val="Arial"/>
        <family val="0"/>
        <charset val="1"/>
      </rPr>
      <t xml:space="preserve">F03</t>
    </r>
    <r>
      <rPr>
        <sz val="10"/>
        <rFont val="Noto Sans CJK SC"/>
        <family val="2"/>
        <charset val="1"/>
      </rPr>
      <t xml:space="preserve">；不納入則 </t>
    </r>
    <r>
      <rPr>
        <sz val="10"/>
        <rFont val="Arial"/>
        <family val="0"/>
        <charset val="1"/>
      </rPr>
      <t xml:space="preserve">Gate 1</t>
    </r>
    <r>
      <rPr>
        <sz val="10"/>
        <rFont val="Noto Sans CJK SC"/>
        <family val="2"/>
        <charset val="1"/>
      </rPr>
      <t xml:space="preserve">「寫死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  <charset val="1"/>
      </rPr>
      <t xml:space="preserve">格」只對藍字成立。</t>
    </r>
  </si>
  <si>
    <t xml:space="preserve">G0-6</t>
  </si>
  <si>
    <r>
      <rPr>
        <sz val="10"/>
        <rFont val="Arial"/>
        <family val="0"/>
        <charset val="1"/>
      </rPr>
      <t xml:space="preserve">Tech_Registry </t>
    </r>
    <r>
      <rPr>
        <sz val="10"/>
        <rFont val="Noto Sans CJK SC"/>
        <family val="2"/>
        <charset val="1"/>
      </rPr>
      <t xml:space="preserve">採用數</t>
    </r>
  </si>
  <si>
    <r>
      <rPr>
        <sz val="10"/>
        <rFont val="Arial"/>
        <family val="0"/>
        <charset val="1"/>
      </rPr>
      <t xml:space="preserve">T10 </t>
    </r>
    <r>
      <rPr>
        <sz val="10"/>
        <rFont val="Noto Sans CJK SC"/>
        <family val="2"/>
        <charset val="1"/>
      </rPr>
      <t xml:space="preserve">的公開採用實驗室數改由 </t>
    </r>
    <r>
      <rPr>
        <sz val="10"/>
        <rFont val="Arial"/>
        <family val="0"/>
        <charset val="1"/>
      </rPr>
      <t xml:space="preserve">SRC_Model </t>
    </r>
    <r>
      <rPr>
        <sz val="10"/>
        <rFont val="Noto Sans CJK SC"/>
        <family val="2"/>
        <charset val="1"/>
      </rPr>
      <t xml:space="preserve">採用紀錄計數（已建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  <charset val="1"/>
      </rPr>
      <t xml:space="preserve">筆）；</t>
    </r>
    <r>
      <rPr>
        <sz val="10"/>
        <rFont val="Arial"/>
        <family val="0"/>
        <charset val="1"/>
      </rPr>
      <t xml:space="preserve">T01–T05 </t>
    </r>
    <r>
      <rPr>
        <sz val="10"/>
        <rFont val="Noto Sans CJK SC"/>
        <family val="2"/>
        <charset val="1"/>
      </rPr>
      <t xml:space="preserve">等待 </t>
    </r>
    <r>
      <rPr>
        <sz val="10"/>
        <rFont val="Arial"/>
        <family val="0"/>
        <charset val="1"/>
      </rPr>
      <t xml:space="preserve">Stage 2 </t>
    </r>
    <r>
      <rPr>
        <sz val="10"/>
        <rFont val="Noto Sans CJK SC"/>
        <family val="2"/>
        <charset val="1"/>
      </rPr>
      <t xml:space="preserve">補採用紀錄後再改</t>
    </r>
  </si>
  <si>
    <r>
      <rPr>
        <sz val="10"/>
        <rFont val="Arial"/>
        <family val="0"/>
        <charset val="1"/>
      </rPr>
      <t xml:space="preserve">J14 </t>
    </r>
    <r>
      <rPr>
        <sz val="10"/>
        <rFont val="Noto Sans CJK SC"/>
        <family val="2"/>
        <charset val="1"/>
      </rPr>
      <t xml:space="preserve">的主流判定依「至少兩家公開採用」，計數改為公式後，新增一筆採用紀錄即可自動更新判定。</t>
    </r>
  </si>
  <si>
    <r>
      <rPr>
        <sz val="10"/>
        <rFont val="Noto Sans CJK SC"/>
        <family val="2"/>
        <charset val="1"/>
      </rPr>
      <t xml:space="preserve">判斷類（改變 </t>
    </r>
    <r>
      <rPr>
        <sz val="10"/>
        <rFont val="Arial"/>
        <family val="0"/>
        <charset val="1"/>
      </rPr>
      <t xml:space="preserve">J14 </t>
    </r>
    <r>
      <rPr>
        <sz val="10"/>
        <rFont val="Noto Sans CJK SC"/>
        <family val="2"/>
        <charset val="1"/>
      </rPr>
      <t xml:space="preserve">的維護方式）</t>
    </r>
  </si>
  <si>
    <t xml:space="preserve">G0-7</t>
  </si>
  <si>
    <t xml:space="preserve">來源等級對應規則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</si>
  <si>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＝一手且已讀原文；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＝二手且已讀，或一手文件轉載；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＝模型內建知識、只見搜尋摘錄、或查核狀態為「待查核」</t>
    </r>
  </si>
  <si>
    <r>
      <rPr>
        <sz val="10"/>
        <rFont val="Noto Sans CJK SC"/>
        <family val="2"/>
        <charset val="1"/>
      </rPr>
      <t xml:space="preserve">「待查核」無法確認讀過全文，從嚴歸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。結果見說明頁：多數 </t>
    </r>
    <r>
      <rPr>
        <sz val="10"/>
        <rFont val="Arial"/>
        <family val="0"/>
        <charset val="1"/>
      </rPr>
      <t xml:space="preserve">Block 1 </t>
    </r>
    <r>
      <rPr>
        <sz val="10"/>
        <rFont val="Noto Sans CJK SC"/>
        <family val="2"/>
        <charset val="1"/>
      </rPr>
      <t xml:space="preserve">硬體數據為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級，</t>
    </r>
    <r>
      <rPr>
        <sz val="10"/>
        <rFont val="Arial"/>
        <family val="0"/>
        <charset val="1"/>
      </rPr>
      <t xml:space="preserve">Stage 2 </t>
    </r>
    <r>
      <rPr>
        <sz val="10"/>
        <rFont val="Noto Sans CJK SC"/>
        <family val="2"/>
        <charset val="1"/>
      </rPr>
      <t xml:space="preserve">查核量會比交接文件估計的多。</t>
    </r>
  </si>
  <si>
    <r>
      <rPr>
        <sz val="10"/>
        <rFont val="Noto Sans CJK SC"/>
        <family val="2"/>
        <charset val="1"/>
      </rPr>
      <t xml:space="preserve">判斷類（</t>
    </r>
    <r>
      <rPr>
        <sz val="10"/>
        <rFont val="Arial"/>
        <family val="0"/>
        <charset val="1"/>
      </rPr>
      <t xml:space="preserve">G3 </t>
    </r>
    <r>
      <rPr>
        <sz val="10"/>
        <rFont val="Noto Sans CJK SC"/>
        <family val="2"/>
        <charset val="1"/>
      </rPr>
      <t xml:space="preserve">的細則）</t>
    </r>
  </si>
  <si>
    <t xml:space="preserve">G0-8</t>
  </si>
  <si>
    <r>
      <rPr>
        <sz val="10"/>
        <rFont val="Noto Sans CJK SC"/>
        <family val="2"/>
        <charset val="1"/>
      </rPr>
      <t xml:space="preserve">同指標的多家分析師估計（</t>
    </r>
    <r>
      <rPr>
        <sz val="10"/>
        <rFont val="Arial"/>
        <family val="0"/>
        <charset val="1"/>
      </rPr>
      <t xml:space="preserve">S9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MS 7.8 </t>
    </r>
    <r>
      <rPr>
        <sz val="10"/>
        <rFont val="Noto Sans CJK SC"/>
        <family val="2"/>
        <charset val="1"/>
      </rPr>
      <t xml:space="preserve">對 </t>
    </r>
    <r>
      <rPr>
        <sz val="10"/>
        <rFont val="Arial"/>
        <family val="0"/>
        <charset val="1"/>
      </rPr>
      <t xml:space="preserve">Bernstein 9.09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</si>
  <si>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不套用 </t>
    </r>
    <r>
      <rPr>
        <sz val="10"/>
        <rFont val="Arial"/>
        <family val="0"/>
        <charset val="1"/>
      </rPr>
      <t xml:space="preserve">G4</t>
    </r>
    <r>
      <rPr>
        <sz val="10"/>
        <rFont val="Noto Sans CJK SC"/>
        <family val="2"/>
        <charset val="1"/>
      </rPr>
      <t xml:space="preserve">「日期較新者勝」：不同分析師的獨立估計屬並列（</t>
    </r>
    <r>
      <rPr>
        <sz val="10"/>
        <rFont val="Arial"/>
        <family val="0"/>
        <charset val="1"/>
      </rPr>
      <t xml:space="preserve">Alt</t>
    </r>
    <r>
      <rPr>
        <sz val="10"/>
        <rFont val="Noto Sans CJK SC"/>
        <family val="2"/>
        <charset val="1"/>
      </rPr>
      <t xml:space="preserve">），基準值由 </t>
    </r>
    <r>
      <rPr>
        <sz val="10"/>
        <rFont val="Arial"/>
        <family val="0"/>
        <charset val="1"/>
      </rPr>
      <t xml:space="preserve">Decision </t>
    </r>
    <r>
      <rPr>
        <sz val="10"/>
        <rFont val="Noto Sans CJK SC"/>
        <family val="2"/>
        <charset val="1"/>
      </rPr>
      <t xml:space="preserve">選取並記決策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  <charset val="1"/>
      </rPr>
      <t xml:space="preserve">；低／高沿用各家估計</t>
    </r>
  </si>
  <si>
    <r>
      <rPr>
        <sz val="10"/>
        <rFont val="Arial"/>
        <family val="0"/>
        <charset val="1"/>
      </rPr>
      <t xml:space="preserve">G4 </t>
    </r>
    <r>
      <rPr>
        <sz val="10"/>
        <rFont val="Noto Sans CJK SC"/>
        <family val="2"/>
        <charset val="1"/>
      </rPr>
      <t xml:space="preserve">的比較規則是為「同一事實的多個報導」設計；照字面套用，</t>
    </r>
    <r>
      <rPr>
        <sz val="10"/>
        <rFont val="Arial"/>
        <family val="0"/>
        <charset val="1"/>
      </rPr>
      <t xml:space="preserve">Bernstein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2026-06</t>
    </r>
    <r>
      <rPr>
        <sz val="10"/>
        <rFont val="Noto Sans CJK SC"/>
        <family val="2"/>
        <charset val="1"/>
      </rPr>
      <t xml:space="preserve">）會取代 </t>
    </r>
    <r>
      <rPr>
        <sz val="10"/>
        <rFont val="Arial"/>
        <family val="0"/>
        <charset val="1"/>
      </rPr>
      <t xml:space="preserve">MS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2026-05</t>
    </r>
    <r>
      <rPr>
        <sz val="10"/>
        <rFont val="Noto Sans CJK SC"/>
        <family val="2"/>
        <charset val="1"/>
      </rPr>
      <t xml:space="preserve">），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機架價格基準上升 </t>
    </r>
    <r>
      <rPr>
        <sz val="10"/>
        <rFont val="Arial"/>
        <family val="0"/>
        <charset val="1"/>
      </rPr>
      <t xml:space="preserve">16.5%</t>
    </r>
    <r>
      <rPr>
        <sz val="10"/>
        <rFont val="Noto Sans CJK SC"/>
        <family val="2"/>
        <charset val="1"/>
      </rPr>
      <t xml:space="preserve">，每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資本支出連動上升。</t>
    </r>
  </si>
  <si>
    <r>
      <rPr>
        <sz val="10"/>
        <rFont val="Noto Sans CJK SC"/>
        <family val="2"/>
        <charset val="1"/>
      </rPr>
      <t xml:space="preserve">判斷類（</t>
    </r>
    <r>
      <rPr>
        <sz val="10"/>
        <rFont val="Arial"/>
        <family val="0"/>
        <charset val="1"/>
      </rPr>
      <t xml:space="preserve">G4 </t>
    </r>
    <r>
      <rPr>
        <sz val="10"/>
        <rFont val="Noto Sans CJK SC"/>
        <family val="2"/>
        <charset val="1"/>
      </rPr>
      <t xml:space="preserve">的例外）</t>
    </r>
  </si>
  <si>
    <t xml:space="preserve">G0-9</t>
  </si>
  <si>
    <r>
      <rPr>
        <sz val="10"/>
        <rFont val="Noto Sans CJK SC"/>
        <family val="2"/>
        <charset val="1"/>
      </rPr>
      <t xml:space="preserve">不遷入 </t>
    </r>
    <r>
      <rPr>
        <sz val="10"/>
        <rFont val="Arial"/>
        <family val="0"/>
        <charset val="1"/>
      </rPr>
      <t xml:space="preserve">Source </t>
    </r>
    <r>
      <rPr>
        <sz val="10"/>
        <rFont val="Noto Sans CJK SC"/>
        <family val="2"/>
        <charset val="1"/>
      </rPr>
      <t xml:space="preserve">的 </t>
    </r>
    <r>
      <rPr>
        <sz val="10"/>
        <rFont val="Arial"/>
        <family val="0"/>
        <charset val="1"/>
      </rPr>
      <t xml:space="preserve">Sources </t>
    </r>
    <r>
      <rPr>
        <sz val="10"/>
        <rFont val="Noto Sans CJK SC"/>
        <family val="2"/>
        <charset val="1"/>
      </rPr>
      <t xml:space="preserve">條目</t>
    </r>
  </si>
  <si>
    <r>
      <rPr>
        <sz val="10"/>
        <rFont val="Arial"/>
        <family val="0"/>
        <charset val="1"/>
      </rPr>
      <t xml:space="preserve">S14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PUE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v4 </t>
    </r>
    <r>
      <rPr>
        <sz val="10"/>
        <rFont val="Noto Sans CJK SC"/>
        <family val="2"/>
        <charset val="1"/>
      </rPr>
      <t xml:space="preserve">假設）、</t>
    </r>
    <r>
      <rPr>
        <sz val="10"/>
        <rFont val="Arial"/>
        <family val="0"/>
        <charset val="1"/>
      </rPr>
      <t xml:space="preserve">S34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AMD </t>
    </r>
    <r>
      <rPr>
        <sz val="10"/>
        <rFont val="Noto Sans CJK SC"/>
        <family val="2"/>
        <charset val="1"/>
      </rPr>
      <t xml:space="preserve">定性提醒）、</t>
    </r>
    <r>
      <rPr>
        <sz val="10"/>
        <rFont val="Arial"/>
        <family val="0"/>
        <charset val="1"/>
      </rPr>
      <t xml:space="preserve">S43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verl </t>
    </r>
    <r>
      <rPr>
        <sz val="10"/>
        <rFont val="Noto Sans CJK SC"/>
        <family val="2"/>
        <charset val="1"/>
      </rPr>
      <t xml:space="preserve">定性設定）不遷入；</t>
    </r>
    <r>
      <rPr>
        <sz val="10"/>
        <rFont val="Arial"/>
        <family val="0"/>
        <charset val="1"/>
      </rPr>
      <t xml:space="preserve">S14 </t>
    </r>
    <r>
      <rPr>
        <sz val="10"/>
        <rFont val="Noto Sans CJK SC"/>
        <family val="2"/>
        <charset val="1"/>
      </rPr>
      <t xml:space="preserve">對應的 </t>
    </r>
    <r>
      <rPr>
        <sz val="10"/>
        <rFont val="Arial"/>
        <family val="0"/>
        <charset val="1"/>
      </rPr>
      <t xml:space="preserve">PUE </t>
    </r>
    <r>
      <rPr>
        <sz val="10"/>
        <rFont val="Noto Sans CJK SC"/>
        <family val="2"/>
        <charset val="1"/>
      </rPr>
      <t xml:space="preserve">維持 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2 </t>
    </r>
    <r>
      <rPr>
        <sz val="10"/>
        <rFont val="Noto Sans CJK SC"/>
        <family val="2"/>
        <charset val="1"/>
      </rPr>
      <t xml:space="preserve">另找來源</t>
    </r>
  </si>
  <si>
    <r>
      <rPr>
        <sz val="10"/>
        <rFont val="Arial"/>
        <family val="0"/>
        <charset val="1"/>
      </rPr>
      <t xml:space="preserve">G1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Source </t>
    </r>
    <r>
      <rPr>
        <sz val="10"/>
        <rFont val="Noto Sans CJK SC"/>
        <family val="2"/>
        <charset val="1"/>
      </rPr>
      <t xml:space="preserve">只存已取得的原始訊息。</t>
    </r>
  </si>
  <si>
    <r>
      <rPr>
        <sz val="10"/>
        <rFont val="Noto Sans CJK SC"/>
        <family val="2"/>
        <charset val="1"/>
      </rPr>
      <t xml:space="preserve">依 </t>
    </r>
    <r>
      <rPr>
        <sz val="10"/>
        <rFont val="Arial"/>
        <family val="0"/>
        <charset val="1"/>
      </rPr>
      <t xml:space="preserve">G1 </t>
    </r>
    <r>
      <rPr>
        <sz val="10"/>
        <rFont val="Noto Sans CJK SC"/>
        <family val="2"/>
        <charset val="1"/>
      </rPr>
      <t xml:space="preserve">直接定案</t>
    </r>
  </si>
  <si>
    <t xml:space="preserve">G0-10</t>
  </si>
  <si>
    <t xml:space="preserve">未登錄來源</t>
  </si>
  <si>
    <r>
      <rPr>
        <sz val="10"/>
        <rFont val="Noto Sans CJK SC"/>
        <family val="2"/>
        <charset val="1"/>
      </rPr>
      <t xml:space="preserve">以 </t>
    </r>
    <r>
      <rPr>
        <sz val="10"/>
        <rFont val="Arial"/>
        <family val="0"/>
        <charset val="1"/>
      </rPr>
      <t xml:space="preserve">U-NV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U-PR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U-DS </t>
    </r>
    <r>
      <rPr>
        <sz val="10"/>
        <rFont val="Noto Sans CJK SC"/>
        <family val="2"/>
        <charset val="1"/>
      </rPr>
      <t xml:space="preserve">新增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級候選紀錄（</t>
    </r>
    <r>
      <rPr>
        <sz val="10"/>
        <rFont val="Arial"/>
        <family val="0"/>
        <charset val="1"/>
      </rPr>
      <t xml:space="preserve">F06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</si>
  <si>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G2</t>
    </r>
    <r>
      <rPr>
        <sz val="10"/>
        <rFont val="Noto Sans CJK SC"/>
        <family val="2"/>
        <charset val="1"/>
      </rPr>
      <t xml:space="preserve">：所有用到的數據都要有 </t>
    </r>
    <r>
      <rPr>
        <sz val="10"/>
        <rFont val="Arial"/>
        <family val="0"/>
        <charset val="1"/>
      </rPr>
      <t xml:space="preserve">Source</t>
    </r>
    <r>
      <rPr>
        <sz val="10"/>
        <rFont val="Noto Sans CJK SC"/>
        <family val="2"/>
        <charset val="1"/>
      </rPr>
      <t xml:space="preserve">；不新增則 </t>
    </r>
    <r>
      <rPr>
        <sz val="10"/>
        <rFont val="Arial"/>
        <family val="0"/>
        <charset val="1"/>
      </rPr>
      <t xml:space="preserve">Gate 1</t>
    </r>
    <r>
      <rPr>
        <sz val="10"/>
        <rFont val="Noto Sans CJK SC"/>
        <family val="2"/>
        <charset val="1"/>
      </rPr>
      <t xml:space="preserve">「每筆 </t>
    </r>
    <r>
      <rPr>
        <sz val="10"/>
        <rFont val="Arial"/>
        <family val="0"/>
        <charset val="1"/>
      </rPr>
      <t xml:space="preserve">Active SRC </t>
    </r>
    <r>
      <rPr>
        <sz val="10"/>
        <rFont val="Noto Sans CJK SC"/>
        <family val="2"/>
        <charset val="1"/>
      </rPr>
      <t xml:space="preserve">有 </t>
    </r>
    <r>
      <rPr>
        <sz val="10"/>
        <rFont val="Arial"/>
        <family val="0"/>
        <charset val="1"/>
      </rPr>
      <t xml:space="preserve">Evidence ID</t>
    </r>
    <r>
      <rPr>
        <sz val="10"/>
        <rFont val="Noto Sans CJK SC"/>
        <family val="2"/>
        <charset val="1"/>
      </rPr>
      <t xml:space="preserve">」以外，這些格會變成無來源的原始數據。</t>
    </r>
  </si>
  <si>
    <r>
      <rPr>
        <sz val="10"/>
        <rFont val="Noto Sans CJK SC"/>
        <family val="2"/>
        <charset val="1"/>
      </rPr>
      <t xml:space="preserve">依 </t>
    </r>
    <r>
      <rPr>
        <sz val="10"/>
        <rFont val="Arial"/>
        <family val="0"/>
        <charset val="1"/>
      </rPr>
      <t xml:space="preserve">G2 </t>
    </r>
    <r>
      <rPr>
        <sz val="10"/>
        <rFont val="Noto Sans CJK SC"/>
        <family val="2"/>
        <charset val="1"/>
      </rPr>
      <t xml:space="preserve">直接定案</t>
    </r>
  </si>
  <si>
    <r>
      <rPr>
        <b val="true"/>
        <sz val="10"/>
        <color rgb="FFFFFFFF"/>
        <rFont val="Arial"/>
        <family val="0"/>
        <charset val="1"/>
      </rPr>
      <t xml:space="preserve">SRC_ID</t>
    </r>
    <r>
      <rPr>
        <b val="true"/>
        <sz val="10"/>
        <color rgb="FFFFFFFF"/>
        <rFont val="Noto Sans CJK SC"/>
        <family val="2"/>
        <charset val="1"/>
      </rPr>
      <t xml:space="preserve">（候選）</t>
    </r>
  </si>
  <si>
    <t xml:space="preserve">分頁</t>
  </si>
  <si>
    <r>
      <rPr>
        <b val="true"/>
        <sz val="10"/>
        <color rgb="FFFFFFFF"/>
        <rFont val="Noto Sans CJK SC"/>
        <family val="2"/>
        <charset val="1"/>
      </rPr>
      <t xml:space="preserve">原 </t>
    </r>
    <r>
      <rPr>
        <b val="true"/>
        <sz val="10"/>
        <color rgb="FFFFFFFF"/>
        <rFont val="Arial"/>
        <family val="0"/>
        <charset val="1"/>
      </rPr>
      <t xml:space="preserve">S </t>
    </r>
    <r>
      <rPr>
        <b val="true"/>
        <sz val="10"/>
        <color rgb="FFFFFFFF"/>
        <rFont val="Noto Sans CJK SC"/>
        <family val="2"/>
        <charset val="1"/>
      </rPr>
      <t xml:space="preserve">編號</t>
    </r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</si>
  <si>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</si>
  <si>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</si>
  <si>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</si>
  <si>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</si>
  <si>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</si>
  <si>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</si>
  <si>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</si>
  <si>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來源等級</t>
  </si>
  <si>
    <t xml:space="preserve">立場</t>
  </si>
  <si>
    <t xml:space="preserve">立場說明（哪一方、誘因）</t>
  </si>
  <si>
    <t xml:space="preserve">一手／二手</t>
  </si>
  <si>
    <t xml:space="preserve">模型使用位置（格｜關係）</t>
  </si>
  <si>
    <t xml:space="preserve">與模型格一致性</t>
  </si>
  <si>
    <t xml:space="preserve">備註</t>
  </si>
  <si>
    <t xml:space="preserve">SRC_HW_001</t>
  </si>
  <si>
    <t xml:space="preserve">S1</t>
  </si>
  <si>
    <r>
      <rPr>
        <sz val="10"/>
        <rFont val="Arial"/>
        <family val="0"/>
        <charset val="1"/>
      </rPr>
      <t xml:space="preserve">DGX H100 </t>
    </r>
    <r>
      <rPr>
        <sz val="10"/>
        <rFont val="Noto Sans CJK SC"/>
        <family val="2"/>
        <charset val="1"/>
      </rPr>
      <t xml:space="preserve">最大系統功率</t>
    </r>
  </si>
  <si>
    <r>
      <rPr>
        <sz val="10"/>
        <rFont val="Arial"/>
        <family val="0"/>
        <charset val="1"/>
      </rPr>
      <t xml:space="preserve">kW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</si>
  <si>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</si>
  <si>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rFont val="Arial"/>
        <family val="0"/>
        <charset val="1"/>
      </rPr>
      <t xml:space="preserve">Hopper H100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DGX</t>
    </r>
    <r>
      <rPr>
        <sz val="10"/>
        <rFont val="Noto Sans CJK SC"/>
        <family val="2"/>
        <charset val="1"/>
      </rPr>
      <t xml:space="preserve">）</t>
    </r>
  </si>
  <si>
    <t xml:space="preserve">2023</t>
  </si>
  <si>
    <t xml:space="preserve">利害關係方</t>
  </si>
  <si>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  <charset val="1"/>
      </rPr>
      <t xml:space="preserve">：產品規格</t>
    </r>
  </si>
  <si>
    <t xml:space="preserve">一手（未讀）</t>
  </si>
  <si>
    <t xml:space="preserve">Active</t>
  </si>
  <si>
    <r>
      <rPr>
        <sz val="10"/>
        <rFont val="Arial"/>
        <family val="0"/>
        <charset val="1"/>
      </rPr>
      <t xml:space="preserve">Spec_Rack!C9</t>
    </r>
    <r>
      <rPr>
        <sz val="10"/>
        <rFont val="Noto Sans CJK SC"/>
        <family val="2"/>
        <charset val="1"/>
      </rPr>
      <t xml:space="preserve">｜取整</t>
    </r>
  </si>
  <si>
    <t xml:space="preserve">—</t>
  </si>
  <si>
    <r>
      <rPr>
        <sz val="10"/>
        <rFont val="Arial"/>
        <family val="0"/>
        <charset val="1"/>
      </rPr>
      <t xml:space="preserve">×4 </t>
    </r>
    <r>
      <rPr>
        <sz val="10"/>
        <rFont val="Noto Sans CJK SC"/>
        <family val="2"/>
        <charset val="1"/>
      </rPr>
      <t xml:space="preserve">台＝</t>
    </r>
    <r>
      <rPr>
        <sz val="10"/>
        <rFont val="Arial"/>
        <family val="0"/>
        <charset val="1"/>
      </rPr>
      <t xml:space="preserve">40.8 kW</t>
    </r>
    <r>
      <rPr>
        <sz val="10"/>
        <rFont val="Noto Sans CJK SC"/>
        <family val="2"/>
        <charset val="1"/>
      </rPr>
      <t xml:space="preserve">，模型取 </t>
    </r>
    <r>
      <rPr>
        <sz val="10"/>
        <rFont val="Arial"/>
        <family val="0"/>
        <charset val="1"/>
      </rPr>
      <t xml:space="preserve">41</t>
    </r>
  </si>
  <si>
    <t xml:space="preserve">SRC_HW_002</t>
  </si>
  <si>
    <t xml:space="preserve">S2</t>
  </si>
  <si>
    <r>
      <rPr>
        <sz val="10"/>
        <rFont val="Arial"/>
        <family val="0"/>
        <charset val="1"/>
      </rPr>
      <t xml:space="preserve">HGX H100 </t>
    </r>
    <r>
      <rPr>
        <sz val="10"/>
        <rFont val="Noto Sans CJK SC"/>
        <family val="2"/>
        <charset val="1"/>
      </rPr>
      <t xml:space="preserve">單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價格</t>
    </r>
  </si>
  <si>
    <t xml:space="preserve">$/GPU</t>
  </si>
  <si>
    <t xml:space="preserve">取得價</t>
  </si>
  <si>
    <t xml:space="preserve">Hopper H100</t>
  </si>
  <si>
    <t xml:space="preserve">2026</t>
  </si>
  <si>
    <r>
      <rPr>
        <sz val="10"/>
        <rFont val="Arial"/>
        <family val="0"/>
        <charset val="1"/>
      </rPr>
      <t xml:space="preserve">clusterbid</t>
    </r>
    <r>
      <rPr>
        <sz val="10"/>
        <rFont val="Noto Sans CJK SC"/>
        <family val="2"/>
        <charset val="1"/>
      </rPr>
      <t xml:space="preserve">：硬體交易平台，報價有成交誘因；低品質</t>
    </r>
  </si>
  <si>
    <t xml:space="preserve">二手</t>
  </si>
  <si>
    <t xml:space="preserve">未使用</t>
  </si>
  <si>
    <t xml:space="preserve">SRC_HW_003</t>
  </si>
  <si>
    <r>
      <rPr>
        <sz val="10"/>
        <rFont val="Arial"/>
        <family val="0"/>
        <charset val="1"/>
      </rPr>
      <t xml:space="preserve">HGX H100 8 GPU </t>
    </r>
    <r>
      <rPr>
        <sz val="10"/>
        <rFont val="Noto Sans CJK SC"/>
        <family val="2"/>
        <charset val="1"/>
      </rPr>
      <t xml:space="preserve">伺服器價格</t>
    </r>
  </si>
  <si>
    <r>
      <rPr>
        <sz val="10"/>
        <rFont val="Arial"/>
        <family val="0"/>
        <charset val="1"/>
      </rPr>
      <t xml:space="preserve">$/</t>
    </r>
    <r>
      <rPr>
        <sz val="10"/>
        <rFont val="Noto Sans CJK SC"/>
        <family val="2"/>
        <charset val="1"/>
      </rPr>
      <t xml:space="preserve">台</t>
    </r>
  </si>
  <si>
    <t xml:space="preserve">取得價區間</t>
  </si>
  <si>
    <r>
      <rPr>
        <sz val="10"/>
        <rFont val="Arial"/>
        <family val="0"/>
        <charset val="1"/>
      </rPr>
      <t xml:space="preserve">Spec_Rack!C11</t>
    </r>
    <r>
      <rPr>
        <sz val="10"/>
        <rFont val="Noto Sans CJK SC"/>
        <family val="2"/>
        <charset val="1"/>
      </rPr>
      <t xml:space="preserve">｜取整；</t>
    </r>
    <r>
      <rPr>
        <sz val="10"/>
        <rFont val="Arial"/>
        <family val="0"/>
        <charset val="1"/>
      </rPr>
      <t xml:space="preserve">Spec_Rack!C13</t>
    </r>
    <r>
      <rPr>
        <sz val="10"/>
        <rFont val="Noto Sans CJK SC"/>
        <family val="2"/>
        <charset val="1"/>
      </rPr>
      <t xml:space="preserve">｜取整</t>
    </r>
  </si>
  <si>
    <r>
      <rPr>
        <sz val="10"/>
        <rFont val="Arial"/>
        <family val="0"/>
        <charset val="1"/>
      </rPr>
      <t xml:space="preserve">×4 </t>
    </r>
    <r>
      <rPr>
        <sz val="10"/>
        <rFont val="Noto Sans CJK SC"/>
        <family val="2"/>
        <charset val="1"/>
      </rPr>
      <t xml:space="preserve">台＝</t>
    </r>
    <r>
      <rPr>
        <sz val="10"/>
        <rFont val="Arial"/>
        <family val="0"/>
        <charset val="1"/>
      </rPr>
      <t xml:space="preserve">0.88–1.28 $M</t>
    </r>
    <r>
      <rPr>
        <sz val="10"/>
        <rFont val="Noto Sans CJK SC"/>
        <family val="2"/>
        <charset val="1"/>
      </rPr>
      <t xml:space="preserve">；模型 </t>
    </r>
    <r>
      <rPr>
        <sz val="10"/>
        <rFont val="Arial"/>
        <family val="0"/>
        <charset val="1"/>
      </rPr>
      <t xml:space="preserve">0.9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1.1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1.3</t>
    </r>
  </si>
  <si>
    <t xml:space="preserve">SRC_HW_004</t>
  </si>
  <si>
    <t xml:space="preserve">S3</t>
  </si>
  <si>
    <r>
      <rPr>
        <sz val="10"/>
        <rFont val="Arial"/>
        <family val="0"/>
        <charset val="1"/>
      </rPr>
      <t xml:space="preserve">GB200 NVL72 </t>
    </r>
    <r>
      <rPr>
        <sz val="10"/>
        <rFont val="Noto Sans CJK SC"/>
        <family val="2"/>
        <charset val="1"/>
      </rPr>
      <t xml:space="preserve">機架功率</t>
    </r>
  </si>
  <si>
    <r>
      <rPr>
        <sz val="10"/>
        <rFont val="Arial"/>
        <family val="0"/>
        <charset val="1"/>
      </rPr>
      <t xml:space="preserve">kW/</t>
    </r>
    <r>
      <rPr>
        <sz val="10"/>
        <rFont val="Noto Sans CJK SC"/>
        <family val="2"/>
        <charset val="1"/>
      </rPr>
      <t xml:space="preserve">架</t>
    </r>
  </si>
  <si>
    <t xml:space="preserve">未明（設計或最大）</t>
  </si>
  <si>
    <t xml:space="preserve">GB200 NVL72</t>
  </si>
  <si>
    <t xml:space="preserve">2026-06</t>
  </si>
  <si>
    <r>
      <rPr>
        <sz val="10"/>
        <rFont val="Arial"/>
        <family val="0"/>
        <charset val="1"/>
      </rPr>
      <t xml:space="preserve">moduledge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hashrateindex</t>
    </r>
    <r>
      <rPr>
        <sz val="10"/>
        <rFont val="Noto Sans CJK SC"/>
        <family val="2"/>
        <charset val="1"/>
      </rPr>
      <t xml:space="preserve">：零組件／挖礦業者</t>
    </r>
  </si>
  <si>
    <r>
      <rPr>
        <sz val="10"/>
        <rFont val="Arial"/>
        <family val="0"/>
        <charset val="1"/>
      </rPr>
      <t xml:space="preserve">Spec_Rack!D8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Spec_Rack!D9</t>
    </r>
    <r>
      <rPr>
        <sz val="10"/>
        <rFont val="Noto Sans CJK SC"/>
        <family val="2"/>
        <charset val="1"/>
      </rPr>
      <t xml:space="preserve">｜選取</t>
    </r>
  </si>
  <si>
    <t xml:space="preserve">一致</t>
  </si>
  <si>
    <r>
      <rPr>
        <sz val="10"/>
        <rFont val="Noto Sans CJK SC"/>
        <family val="2"/>
        <charset val="1"/>
      </rPr>
      <t xml:space="preserve">模型高值 </t>
    </r>
    <r>
      <rPr>
        <sz val="10"/>
        <rFont val="Arial"/>
        <family val="0"/>
        <charset val="1"/>
      </rPr>
      <t xml:space="preserve">140 </t>
    </r>
    <r>
      <rPr>
        <sz val="10"/>
        <rFont val="Noto Sans CJK SC"/>
        <family val="2"/>
        <charset val="1"/>
      </rPr>
      <t xml:space="preserve">無對應來源（</t>
    </r>
    <r>
      <rPr>
        <sz val="10"/>
        <rFont val="Arial"/>
        <family val="0"/>
        <charset val="1"/>
      </rPr>
      <t xml:space="preserve">v4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139</t>
    </r>
    <r>
      <rPr>
        <sz val="10"/>
        <rFont val="Noto Sans CJK SC"/>
        <family val="2"/>
        <charset val="1"/>
      </rPr>
      <t xml:space="preserve">）</t>
    </r>
  </si>
  <si>
    <t xml:space="preserve">SRC_HW_005</t>
  </si>
  <si>
    <r>
      <rPr>
        <sz val="10"/>
        <rFont val="Arial"/>
        <family val="0"/>
        <charset val="1"/>
      </rPr>
      <t xml:space="preserve">GB300 NVL72 </t>
    </r>
    <r>
      <rPr>
        <sz val="10"/>
        <rFont val="Noto Sans CJK SC"/>
        <family val="2"/>
        <charset val="1"/>
      </rPr>
      <t xml:space="preserve">機架功率</t>
    </r>
  </si>
  <si>
    <t xml:space="preserve">未明</t>
  </si>
  <si>
    <t xml:space="preserve">GB300 NVL72</t>
  </si>
  <si>
    <r>
      <rPr>
        <sz val="10"/>
        <rFont val="Arial"/>
        <family val="0"/>
        <charset val="1"/>
      </rPr>
      <t xml:space="preserve">Spec_Rack!E8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Spec_Rack!E10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Spec_Rack!E9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</si>
  <si>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模型基準 </t>
    </r>
    <r>
      <rPr>
        <sz val="10"/>
        <rFont val="Arial"/>
        <family val="0"/>
        <charset val="1"/>
      </rPr>
      <t xml:space="preserve">137</t>
    </r>
    <r>
      <rPr>
        <sz val="10"/>
        <rFont val="Noto Sans CJK SC"/>
        <family val="2"/>
        <charset val="1"/>
      </rPr>
      <t xml:space="preserve">＝區間中點</t>
    </r>
  </si>
  <si>
    <t xml:space="preserve">SRC_HW_006</t>
  </si>
  <si>
    <t xml:space="preserve">S4</t>
  </si>
  <si>
    <r>
      <rPr>
        <sz val="10"/>
        <rFont val="Arial"/>
        <family val="0"/>
        <charset val="1"/>
      </rPr>
      <t xml:space="preserve">GB200 NVL72 </t>
    </r>
    <r>
      <rPr>
        <sz val="10"/>
        <rFont val="Noto Sans CJK SC"/>
        <family val="2"/>
        <charset val="1"/>
      </rPr>
      <t xml:space="preserve">機架價格</t>
    </r>
  </si>
  <si>
    <r>
      <rPr>
        <sz val="10"/>
        <rFont val="Arial"/>
        <family val="0"/>
        <charset val="1"/>
      </rPr>
      <t xml:space="preserve">$M/</t>
    </r>
    <r>
      <rPr>
        <sz val="10"/>
        <rFont val="Noto Sans CJK SC"/>
        <family val="2"/>
        <charset val="1"/>
      </rPr>
      <t xml:space="preserve">架</t>
    </r>
  </si>
  <si>
    <t xml:space="preserve">媒體報價</t>
  </si>
  <si>
    <t xml:space="preserve">2026-03</t>
  </si>
  <si>
    <r>
      <rPr>
        <sz val="10"/>
        <rFont val="Noto Sans CJK SC"/>
        <family val="2"/>
        <charset val="1"/>
      </rPr>
      <t xml:space="preserve">供應鏈消息經媒體轉述（</t>
    </r>
    <r>
      <rPr>
        <sz val="10"/>
        <rFont val="Arial"/>
        <family val="0"/>
        <charset val="1"/>
      </rPr>
      <t xml:space="preserve">Tom's Hardware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</si>
  <si>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Spec_Rack!D11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Spec_Rack!D13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Spec_Rack!D12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</si>
  <si>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模型基準 </t>
    </r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  <charset val="1"/>
      </rPr>
      <t xml:space="preserve">＝中點（另載 </t>
    </r>
    <r>
      <rPr>
        <sz val="10"/>
        <rFont val="Arial"/>
        <family val="0"/>
        <charset val="1"/>
      </rPr>
      <t xml:space="preserve">Barron's </t>
    </r>
    <r>
      <rPr>
        <sz val="10"/>
        <rFont val="Noto Sans CJK SC"/>
        <family val="2"/>
        <charset val="1"/>
      </rPr>
      <t xml:space="preserve">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）</t>
    </r>
  </si>
  <si>
    <t xml:space="preserve">SRC_HW_007</t>
  </si>
  <si>
    <r>
      <rPr>
        <sz val="10"/>
        <rFont val="Arial"/>
        <family val="0"/>
        <charset val="1"/>
      </rPr>
      <t xml:space="preserve">GB300 NVL72 </t>
    </r>
    <r>
      <rPr>
        <sz val="10"/>
        <rFont val="Noto Sans CJK SC"/>
        <family val="2"/>
        <charset val="1"/>
      </rPr>
      <t xml:space="preserve">機架價格</t>
    </r>
  </si>
  <si>
    <r>
      <rPr>
        <sz val="10"/>
        <rFont val="Arial"/>
        <family val="0"/>
        <charset val="1"/>
      </rPr>
      <t xml:space="preserve">Spec_Rack!E13</t>
    </r>
    <r>
      <rPr>
        <sz val="10"/>
        <rFont val="Noto Sans CJK SC"/>
        <family val="2"/>
        <charset val="1"/>
      </rPr>
      <t xml:space="preserve">｜直接</t>
    </r>
  </si>
  <si>
    <t xml:space="preserve">SRC_HW_008</t>
  </si>
  <si>
    <r>
      <rPr>
        <sz val="10"/>
        <rFont val="Arial"/>
        <family val="0"/>
        <charset val="1"/>
      </rPr>
      <t xml:space="preserve">VR200 NVL72 </t>
    </r>
    <r>
      <rPr>
        <sz val="10"/>
        <rFont val="Noto Sans CJK SC"/>
        <family val="2"/>
        <charset val="1"/>
      </rPr>
      <t xml:space="preserve">機架價格（含約 </t>
    </r>
    <r>
      <rPr>
        <sz val="10"/>
        <rFont val="Arial"/>
        <family val="0"/>
        <charset val="1"/>
      </rPr>
      <t xml:space="preserve">$1M NAND</t>
    </r>
    <r>
      <rPr>
        <sz val="10"/>
        <rFont val="Noto Sans CJK SC"/>
        <family val="2"/>
        <charset val="1"/>
      </rPr>
      <t xml:space="preserve">）</t>
    </r>
  </si>
  <si>
    <t xml:space="preserve">VR200 NVL72</t>
  </si>
  <si>
    <t xml:space="preserve">Alt</t>
  </si>
  <si>
    <r>
      <rPr>
        <sz val="10"/>
        <rFont val="Noto Sans CJK SC"/>
        <family val="2"/>
        <charset val="1"/>
      </rPr>
      <t xml:space="preserve">與 </t>
    </r>
    <r>
      <rPr>
        <sz val="10"/>
        <rFont val="Arial"/>
        <family val="0"/>
        <charset val="1"/>
      </rPr>
      <t xml:space="preserve">S9 </t>
    </r>
    <r>
      <rPr>
        <sz val="10"/>
        <rFont val="Noto Sans CJK SC"/>
        <family val="2"/>
        <charset val="1"/>
      </rPr>
      <t xml:space="preserve">同指標但含 </t>
    </r>
    <r>
      <rPr>
        <sz val="10"/>
        <rFont val="Arial"/>
        <family val="0"/>
        <charset val="1"/>
      </rPr>
      <t xml:space="preserve">NAND </t>
    </r>
    <r>
      <rPr>
        <sz val="10"/>
        <rFont val="Noto Sans CJK SC"/>
        <family val="2"/>
        <charset val="1"/>
      </rPr>
      <t xml:space="preserve">口徑不同 → </t>
    </r>
    <r>
      <rPr>
        <sz val="10"/>
        <rFont val="Arial"/>
        <family val="0"/>
        <charset val="1"/>
      </rPr>
      <t xml:space="preserve">Alt</t>
    </r>
  </si>
  <si>
    <t xml:space="preserve">SRC_HW_009</t>
  </si>
  <si>
    <t xml:space="preserve">S5</t>
  </si>
  <si>
    <r>
      <rPr>
        <sz val="10"/>
        <rFont val="Arial"/>
        <family val="0"/>
        <charset val="1"/>
      </rPr>
      <t xml:space="preserve">Supermicro GB300 NVL72 </t>
    </r>
    <r>
      <rPr>
        <sz val="10"/>
        <rFont val="Noto Sans CJK SC"/>
        <family val="2"/>
        <charset val="1"/>
      </rPr>
      <t xml:space="preserve">機架功率</t>
    </r>
  </si>
  <si>
    <t xml:space="preserve">廠商規格</t>
  </si>
  <si>
    <t xml:space="preserve">2026-08</t>
  </si>
  <si>
    <r>
      <rPr>
        <sz val="10"/>
        <rFont val="Arial"/>
        <family val="0"/>
        <charset val="1"/>
      </rPr>
      <t xml:space="preserve">Supermicro</t>
    </r>
    <r>
      <rPr>
        <sz val="10"/>
        <rFont val="Noto Sans CJK SC"/>
        <family val="2"/>
        <charset val="1"/>
      </rPr>
      <t xml:space="preserve">：系統廠產品規格</t>
    </r>
  </si>
  <si>
    <r>
      <rPr>
        <sz val="10"/>
        <rFont val="Arial"/>
        <family val="0"/>
        <charset val="1"/>
      </rPr>
      <t xml:space="preserve">Spec_Rack!E8</t>
    </r>
    <r>
      <rPr>
        <sz val="10"/>
        <rFont val="Noto Sans CJK SC"/>
        <family val="2"/>
        <charset val="1"/>
      </rPr>
      <t xml:space="preserve">｜直接</t>
    </r>
  </si>
  <si>
    <t xml:space="preserve">SRC_HW_010</t>
  </si>
  <si>
    <t xml:space="preserve">S6</t>
  </si>
  <si>
    <r>
      <rPr>
        <sz val="10"/>
        <rFont val="Arial"/>
        <family val="0"/>
        <charset val="1"/>
      </rPr>
      <t xml:space="preserve">GB300 NVL72 </t>
    </r>
    <r>
      <rPr>
        <sz val="10"/>
        <rFont val="Noto Sans CJK SC"/>
        <family val="2"/>
        <charset val="1"/>
      </rPr>
      <t xml:space="preserve">採購單價</t>
    </r>
  </si>
  <si>
    <t xml:space="preserve">採購單</t>
  </si>
  <si>
    <r>
      <rPr>
        <sz val="10"/>
        <rFont val="Noto Sans CJK SC"/>
        <family val="2"/>
        <charset val="1"/>
      </rPr>
      <t xml:space="preserve">未具名交易方（</t>
    </r>
    <r>
      <rPr>
        <sz val="10"/>
        <rFont val="Arial"/>
        <family val="0"/>
        <charset val="1"/>
      </rPr>
      <t xml:space="preserve">Data Gravity </t>
    </r>
    <r>
      <rPr>
        <sz val="10"/>
        <rFont val="Noto Sans CJK SC"/>
        <family val="2"/>
        <charset val="1"/>
      </rPr>
      <t xml:space="preserve">經 </t>
    </r>
    <r>
      <rPr>
        <sz val="10"/>
        <rFont val="Arial"/>
        <family val="0"/>
        <charset val="1"/>
      </rPr>
      <t xml:space="preserve">wing.vc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</si>
  <si>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Spec_Rack!E12</t>
    </r>
    <r>
      <rPr>
        <sz val="10"/>
        <rFont val="Noto Sans CJK SC"/>
        <family val="2"/>
        <charset val="1"/>
      </rPr>
      <t xml:space="preserve">｜直接</t>
    </r>
  </si>
  <si>
    <t xml:space="preserve">SRC_HW_011</t>
  </si>
  <si>
    <t xml:space="preserve">S7</t>
  </si>
  <si>
    <r>
      <rPr>
        <sz val="10"/>
        <rFont val="Arial"/>
        <family val="0"/>
        <charset val="1"/>
      </rPr>
      <t xml:space="preserve">VR200 NVL72 </t>
    </r>
    <r>
      <rPr>
        <sz val="10"/>
        <rFont val="Noto Sans CJK SC"/>
        <family val="2"/>
        <charset val="1"/>
      </rPr>
      <t xml:space="preserve">機架功率 </t>
    </r>
    <r>
      <rPr>
        <sz val="10"/>
        <rFont val="Arial"/>
        <family val="0"/>
        <charset val="1"/>
      </rPr>
      <t xml:space="preserve">Max-Q</t>
    </r>
  </si>
  <si>
    <r>
      <rPr>
        <sz val="10"/>
        <rFont val="Noto Sans CJK SC"/>
        <family val="2"/>
        <charset val="1"/>
      </rPr>
      <t xml:space="preserve">運轉模式 </t>
    </r>
    <r>
      <rPr>
        <sz val="10"/>
        <rFont val="Arial"/>
        <family val="0"/>
        <charset val="1"/>
      </rPr>
      <t xml:space="preserve">Max-Q</t>
    </r>
  </si>
  <si>
    <r>
      <rPr>
        <sz val="10"/>
        <rFont val="Noto Sans CJK SC"/>
        <family val="2"/>
        <charset val="1"/>
      </rPr>
      <t xml:space="preserve">郭明錤（供應鏈分析師）；</t>
    </r>
    <r>
      <rPr>
        <sz val="10"/>
        <rFont val="Arial"/>
        <family val="0"/>
        <charset val="1"/>
      </rPr>
      <t xml:space="preserve">spheron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thundercompute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雲業者</t>
    </r>
  </si>
  <si>
    <r>
      <rPr>
        <sz val="10"/>
        <rFont val="Arial"/>
        <family val="0"/>
        <charset val="1"/>
      </rPr>
      <t xml:space="preserve">Spec_Rack!F8</t>
    </r>
    <r>
      <rPr>
        <sz val="10"/>
        <rFont val="Noto Sans CJK SC"/>
        <family val="2"/>
        <charset val="1"/>
      </rPr>
      <t xml:space="preserve">｜直接</t>
    </r>
  </si>
  <si>
    <t xml:space="preserve">D3</t>
  </si>
  <si>
    <t xml:space="preserve">SRC_HW_012</t>
  </si>
  <si>
    <r>
      <rPr>
        <sz val="10"/>
        <rFont val="Arial"/>
        <family val="0"/>
        <charset val="1"/>
      </rPr>
      <t xml:space="preserve">VR200 NVL72 </t>
    </r>
    <r>
      <rPr>
        <sz val="10"/>
        <rFont val="Noto Sans CJK SC"/>
        <family val="2"/>
        <charset val="1"/>
      </rPr>
      <t xml:space="preserve">機架功率 </t>
    </r>
    <r>
      <rPr>
        <sz val="10"/>
        <rFont val="Arial"/>
        <family val="0"/>
        <charset val="1"/>
      </rPr>
      <t xml:space="preserve">Max-P</t>
    </r>
  </si>
  <si>
    <r>
      <rPr>
        <sz val="10"/>
        <rFont val="Noto Sans CJK SC"/>
        <family val="2"/>
        <charset val="1"/>
      </rPr>
      <t xml:space="preserve">運轉模式 </t>
    </r>
    <r>
      <rPr>
        <sz val="10"/>
        <rFont val="Arial"/>
        <family val="0"/>
        <charset val="1"/>
      </rPr>
      <t xml:space="preserve">Max-P</t>
    </r>
  </si>
  <si>
    <r>
      <rPr>
        <sz val="10"/>
        <rFont val="Arial"/>
        <family val="0"/>
        <charset val="1"/>
      </rPr>
      <t xml:space="preserve">Spec_Rack!F10</t>
    </r>
    <r>
      <rPr>
        <sz val="10"/>
        <rFont val="Noto Sans CJK SC"/>
        <family val="2"/>
        <charset val="1"/>
      </rPr>
      <t xml:space="preserve">｜直接</t>
    </r>
  </si>
  <si>
    <t xml:space="preserve">SRC_HW_013</t>
  </si>
  <si>
    <r>
      <rPr>
        <sz val="10"/>
        <rFont val="Arial"/>
        <family val="0"/>
        <charset val="1"/>
      </rPr>
      <t xml:space="preserve">Rubin Ultra NVL576 </t>
    </r>
    <r>
      <rPr>
        <sz val="10"/>
        <rFont val="Noto Sans CJK SC"/>
        <family val="2"/>
        <charset val="1"/>
      </rPr>
      <t xml:space="preserve">機架功率</t>
    </r>
  </si>
  <si>
    <t xml:space="preserve">約值</t>
  </si>
  <si>
    <t xml:space="preserve">Rubin Ultra NVL576</t>
  </si>
  <si>
    <r>
      <rPr>
        <sz val="10"/>
        <rFont val="Arial"/>
        <family val="0"/>
        <charset val="1"/>
      </rPr>
      <t xml:space="preserve">Spec_Rack!G9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</si>
  <si>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模型低／高 </t>
    </r>
    <r>
      <rPr>
        <sz val="10"/>
        <rFont val="Arial"/>
        <family val="0"/>
        <charset val="1"/>
      </rPr>
      <t xml:space="preserve">550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650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Assumed ±50</t>
    </r>
  </si>
  <si>
    <t xml:space="preserve">SRC_HW_014</t>
  </si>
  <si>
    <t xml:space="preserve">S8</t>
  </si>
  <si>
    <r>
      <rPr>
        <sz val="10"/>
        <rFont val="Arial"/>
        <family val="0"/>
        <charset val="1"/>
      </rPr>
      <t xml:space="preserve">Supermicro VR NVL72 </t>
    </r>
    <r>
      <rPr>
        <sz val="10"/>
        <rFont val="Noto Sans CJK SC"/>
        <family val="2"/>
        <charset val="1"/>
      </rPr>
      <t xml:space="preserve">散熱設計點</t>
    </r>
  </si>
  <si>
    <r>
      <rPr>
        <sz val="10"/>
        <rFont val="Arial"/>
        <family val="0"/>
        <charset val="1"/>
      </rPr>
      <t xml:space="preserve">DLC-2 </t>
    </r>
    <r>
      <rPr>
        <sz val="10"/>
        <rFont val="Noto Sans CJK SC"/>
        <family val="2"/>
        <charset val="1"/>
      </rPr>
      <t xml:space="preserve">設計點</t>
    </r>
  </si>
  <si>
    <t xml:space="preserve">2026-09</t>
  </si>
  <si>
    <r>
      <rPr>
        <sz val="10"/>
        <rFont val="Arial"/>
        <family val="0"/>
        <charset val="1"/>
      </rPr>
      <t xml:space="preserve">Supermicro</t>
    </r>
    <r>
      <rPr>
        <sz val="10"/>
        <rFont val="Noto Sans CJK SC"/>
        <family val="2"/>
        <charset val="1"/>
      </rPr>
      <t xml:space="preserve">：系統廠（論壇轉述）</t>
    </r>
  </si>
  <si>
    <r>
      <rPr>
        <sz val="10"/>
        <rFont val="Arial"/>
        <family val="0"/>
        <charset val="1"/>
      </rPr>
      <t xml:space="preserve">Spec_Rack!F9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</si>
  <si>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Arial"/>
        <family val="0"/>
        <charset val="1"/>
      </rPr>
      <t xml:space="preserve">D3 </t>
    </r>
    <r>
      <rPr>
        <sz val="10"/>
        <rFont val="Noto Sans CJK SC"/>
        <family val="2"/>
        <charset val="1"/>
      </rPr>
      <t xml:space="preserve">基準</t>
    </r>
  </si>
  <si>
    <t xml:space="preserve">SRC_HW_015</t>
  </si>
  <si>
    <t xml:space="preserve">S9</t>
  </si>
  <si>
    <r>
      <rPr>
        <sz val="10"/>
        <rFont val="Arial"/>
        <family val="0"/>
        <charset val="1"/>
      </rPr>
      <t xml:space="preserve">VR200 NVL72 </t>
    </r>
    <r>
      <rPr>
        <sz val="10"/>
        <rFont val="Noto Sans CJK SC"/>
        <family val="2"/>
        <charset val="1"/>
      </rPr>
      <t xml:space="preserve">機架成本（</t>
    </r>
    <r>
      <rPr>
        <sz val="10"/>
        <rFont val="Arial"/>
        <family val="0"/>
        <charset val="1"/>
      </rPr>
      <t xml:space="preserve">Morgan Stanley</t>
    </r>
    <r>
      <rPr>
        <sz val="10"/>
        <rFont val="Noto Sans CJK SC"/>
        <family val="2"/>
        <charset val="1"/>
      </rPr>
      <t xml:space="preserve">）</t>
    </r>
  </si>
  <si>
    <t xml:space="preserve">分析師估計</t>
  </si>
  <si>
    <t xml:space="preserve">2026-05</t>
  </si>
  <si>
    <t xml:space="preserve">中立</t>
  </si>
  <si>
    <r>
      <rPr>
        <sz val="10"/>
        <rFont val="Arial"/>
        <family val="0"/>
        <charset val="1"/>
      </rPr>
      <t xml:space="preserve">Morgan Stanley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Bernstein </t>
    </r>
    <r>
      <rPr>
        <sz val="10"/>
        <rFont val="Noto Sans CJK SC"/>
        <family val="2"/>
        <charset val="1"/>
      </rPr>
      <t xml:space="preserve">賣方研究（推估方法未公開）；現行標記為 </t>
    </r>
    <r>
      <rPr>
        <sz val="10"/>
        <rFont val="Arial"/>
        <family val="0"/>
        <charset val="1"/>
      </rPr>
      <t xml:space="preserve">IP</t>
    </r>
  </si>
  <si>
    <r>
      <rPr>
        <sz val="10"/>
        <rFont val="Arial"/>
        <family val="0"/>
        <charset val="1"/>
      </rPr>
      <t xml:space="preserve">Spec_Rack!F12</t>
    </r>
    <r>
      <rPr>
        <sz val="10"/>
        <rFont val="Noto Sans CJK SC"/>
        <family val="2"/>
        <charset val="1"/>
      </rPr>
      <t xml:space="preserve">｜直接</t>
    </r>
  </si>
  <si>
    <t xml:space="preserve">SRC_HW_016</t>
  </si>
  <si>
    <r>
      <rPr>
        <sz val="10"/>
        <rFont val="Arial"/>
        <family val="0"/>
        <charset val="1"/>
      </rPr>
      <t xml:space="preserve">VR200 NVL72 </t>
    </r>
    <r>
      <rPr>
        <sz val="10"/>
        <rFont val="Noto Sans CJK SC"/>
        <family val="2"/>
        <charset val="1"/>
      </rPr>
      <t xml:space="preserve">機架成本，自購記憶體（</t>
    </r>
    <r>
      <rPr>
        <sz val="10"/>
        <rFont val="Arial"/>
        <family val="0"/>
        <charset val="1"/>
      </rPr>
      <t xml:space="preserve">Morgan Stanley</t>
    </r>
    <r>
      <rPr>
        <sz val="10"/>
        <rFont val="Noto Sans CJK SC"/>
        <family val="2"/>
        <charset val="1"/>
      </rPr>
      <t xml:space="preserve">）</t>
    </r>
  </si>
  <si>
    <t xml:space="preserve">分析師估計，不含記憶體加價</t>
  </si>
  <si>
    <r>
      <rPr>
        <sz val="10"/>
        <rFont val="Arial"/>
        <family val="0"/>
        <charset val="1"/>
      </rPr>
      <t xml:space="preserve">Spec_Rack!F11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</si>
  <si>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口徑不同（自購記憶體）→ </t>
    </r>
    <r>
      <rPr>
        <sz val="10"/>
        <rFont val="Arial"/>
        <family val="0"/>
        <charset val="1"/>
      </rPr>
      <t xml:space="preserve">Alt</t>
    </r>
  </si>
  <si>
    <t xml:space="preserve">SRC_HW_017</t>
  </si>
  <si>
    <r>
      <rPr>
        <sz val="10"/>
        <rFont val="Arial"/>
        <family val="0"/>
        <charset val="1"/>
      </rPr>
      <t xml:space="preserve">VR200 NVL72 </t>
    </r>
    <r>
      <rPr>
        <sz val="10"/>
        <rFont val="Noto Sans CJK SC"/>
        <family val="2"/>
        <charset val="1"/>
      </rPr>
      <t xml:space="preserve">機架成本（</t>
    </r>
    <r>
      <rPr>
        <sz val="10"/>
        <rFont val="Arial"/>
        <family val="0"/>
        <charset val="1"/>
      </rPr>
      <t xml:space="preserve">Bernstein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</si>
  <si>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Spec_Rack!F13</t>
    </r>
    <r>
      <rPr>
        <sz val="10"/>
        <rFont val="Noto Sans CJK SC"/>
        <family val="2"/>
        <charset val="1"/>
      </rPr>
      <t xml:space="preserve">｜取整</t>
    </r>
  </si>
  <si>
    <r>
      <rPr>
        <sz val="10"/>
        <rFont val="Noto Sans CJK SC"/>
        <family val="2"/>
        <charset val="1"/>
      </rPr>
      <t xml:space="preserve">模型取 </t>
    </r>
    <r>
      <rPr>
        <sz val="10"/>
        <rFont val="Arial"/>
        <family val="0"/>
        <charset val="1"/>
      </rPr>
      <t xml:space="preserve">9.1</t>
    </r>
    <r>
      <rPr>
        <sz val="10"/>
        <rFont val="Noto Sans CJK SC"/>
        <family val="2"/>
        <charset val="1"/>
      </rPr>
      <t xml:space="preserve">；與 </t>
    </r>
    <r>
      <rPr>
        <sz val="10"/>
        <rFont val="Arial"/>
        <family val="0"/>
        <charset val="1"/>
      </rPr>
      <t xml:space="preserve">MS </t>
    </r>
    <r>
      <rPr>
        <sz val="10"/>
        <rFont val="Noto Sans CJK SC"/>
        <family val="2"/>
        <charset val="1"/>
      </rPr>
      <t xml:space="preserve">同口徑，依 </t>
    </r>
    <r>
      <rPr>
        <sz val="10"/>
        <rFont val="Arial"/>
        <family val="0"/>
        <charset val="1"/>
      </rPr>
      <t xml:space="preserve">G4 </t>
    </r>
    <r>
      <rPr>
        <sz val="10"/>
        <rFont val="Noto Sans CJK SC"/>
        <family val="2"/>
        <charset val="1"/>
      </rPr>
      <t xml:space="preserve">日期較新者勝 → 需 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  <charset val="1"/>
      </rPr>
      <t xml:space="preserve">判定（見 </t>
    </r>
    <r>
      <rPr>
        <sz val="10"/>
        <rFont val="Arial"/>
        <family val="0"/>
        <charset val="1"/>
      </rPr>
      <t xml:space="preserve">Gate 0</t>
    </r>
    <r>
      <rPr>
        <sz val="10"/>
        <rFont val="Noto Sans CJK SC"/>
        <family val="2"/>
        <charset val="1"/>
      </rPr>
      <t xml:space="preserve">）</t>
    </r>
  </si>
  <si>
    <t xml:space="preserve">SRC_HW_018</t>
  </si>
  <si>
    <t xml:space="preserve">S11</t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</si>
  <si>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報價中與網路設備相關金額</t>
    </r>
  </si>
  <si>
    <r>
      <rPr>
        <sz val="10"/>
        <rFont val="Arial"/>
        <family val="0"/>
        <charset val="1"/>
      </rPr>
      <t xml:space="preserve">originalpricing.com</t>
    </r>
    <r>
      <rPr>
        <sz val="10"/>
        <rFont val="Noto Sans CJK SC"/>
        <family val="2"/>
        <charset val="1"/>
      </rPr>
      <t xml:space="preserve">：未知立場；未解（可能與 </t>
    </r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  <charset val="1"/>
      </rPr>
      <t xml:space="preserve">重複計算）</t>
    </r>
  </si>
  <si>
    <r>
      <rPr>
        <sz val="10"/>
        <rFont val="Noto Sans CJK SC"/>
        <family val="2"/>
        <charset val="1"/>
      </rPr>
      <t xml:space="preserve">可能與 </t>
    </r>
    <r>
      <rPr>
        <sz val="10"/>
        <rFont val="Arial"/>
        <family val="0"/>
        <charset val="1"/>
      </rPr>
      <t xml:space="preserve">S4 NAND </t>
    </r>
    <r>
      <rPr>
        <sz val="10"/>
        <rFont val="Noto Sans CJK SC"/>
        <family val="2"/>
        <charset val="1"/>
      </rPr>
      <t xml:space="preserve">重複；未解</t>
    </r>
  </si>
  <si>
    <t xml:space="preserve">SRC_HW_019</t>
  </si>
  <si>
    <t xml:space="preserve">S28</t>
  </si>
  <si>
    <r>
      <rPr>
        <sz val="10"/>
        <rFont val="Arial"/>
        <family val="0"/>
        <charset val="1"/>
      </rPr>
      <t xml:space="preserve">H100 BF16 dense </t>
    </r>
    <r>
      <rPr>
        <sz val="10"/>
        <rFont val="Noto Sans CJK SC"/>
        <family val="2"/>
        <charset val="1"/>
      </rPr>
      <t xml:space="preserve">峰值</t>
    </r>
  </si>
  <si>
    <t xml:space="preserve">PF/GPU</t>
  </si>
  <si>
    <t xml:space="preserve">dense</t>
  </si>
  <si>
    <t xml:space="preserve">2025–26</t>
  </si>
  <si>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規格；模型內建知識</t>
    </r>
  </si>
  <si>
    <r>
      <rPr>
        <sz val="10"/>
        <rFont val="Arial"/>
        <family val="0"/>
        <charset val="1"/>
      </rPr>
      <t xml:space="preserve">Spec_Rack!C39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</si>
  <si>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Arial"/>
        <family val="0"/>
        <charset val="1"/>
      </rPr>
      <t xml:space="preserve">S28 </t>
    </r>
    <r>
      <rPr>
        <sz val="10"/>
        <rFont val="Noto Sans CJK SC"/>
        <family val="2"/>
        <charset val="1"/>
      </rPr>
      <t xml:space="preserve">原記為「</t>
    </r>
    <r>
      <rPr>
        <sz val="10"/>
        <rFont val="Arial"/>
        <family val="0"/>
        <charset val="1"/>
      </rPr>
      <t xml:space="preserve">FP8 989 TF</t>
    </r>
    <r>
      <rPr>
        <sz val="10"/>
        <rFont val="Noto Sans CJK SC"/>
        <family val="2"/>
        <charset val="1"/>
      </rPr>
      <t xml:space="preserve">」，實為 </t>
    </r>
    <r>
      <rPr>
        <sz val="10"/>
        <rFont val="Arial"/>
        <family val="0"/>
        <charset val="1"/>
      </rPr>
      <t xml:space="preserve">BF16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E001</t>
    </r>
    <r>
      <rPr>
        <sz val="10"/>
        <rFont val="Noto Sans CJK SC"/>
        <family val="2"/>
        <charset val="1"/>
      </rPr>
      <t xml:space="preserve">）</t>
    </r>
  </si>
  <si>
    <t xml:space="preserve">SRC_HW_020</t>
  </si>
  <si>
    <r>
      <rPr>
        <sz val="10"/>
        <rFont val="Arial"/>
        <family val="0"/>
        <charset val="1"/>
      </rPr>
      <t xml:space="preserve">H100 HBM </t>
    </r>
    <r>
      <rPr>
        <sz val="10"/>
        <rFont val="Noto Sans CJK SC"/>
        <family val="2"/>
        <charset val="1"/>
      </rPr>
      <t xml:space="preserve">容量</t>
    </r>
  </si>
  <si>
    <t xml:space="preserve">GB/GPU</t>
  </si>
  <si>
    <r>
      <rPr>
        <sz val="10"/>
        <rFont val="Arial"/>
        <family val="0"/>
        <charset val="1"/>
      </rPr>
      <t xml:space="preserve">Spec_Rack!C25</t>
    </r>
    <r>
      <rPr>
        <sz val="10"/>
        <rFont val="Noto Sans CJK SC"/>
        <family val="2"/>
        <charset val="1"/>
      </rPr>
      <t xml:space="preserve">｜直接</t>
    </r>
  </si>
  <si>
    <t xml:space="preserve">SRC_HW_021</t>
  </si>
  <si>
    <r>
      <rPr>
        <sz val="10"/>
        <rFont val="Arial"/>
        <family val="0"/>
        <charset val="1"/>
      </rPr>
      <t xml:space="preserve">H100 HBM </t>
    </r>
    <r>
      <rPr>
        <sz val="10"/>
        <rFont val="Noto Sans CJK SC"/>
        <family val="2"/>
        <charset val="1"/>
      </rPr>
      <t xml:space="preserve">頻寬</t>
    </r>
  </si>
  <si>
    <t xml:space="preserve">TB/s/GPU</t>
  </si>
  <si>
    <r>
      <rPr>
        <sz val="10"/>
        <rFont val="Arial"/>
        <family val="0"/>
        <charset val="1"/>
      </rPr>
      <t xml:space="preserve">Spec_Rack!C26</t>
    </r>
    <r>
      <rPr>
        <sz val="10"/>
        <rFont val="Noto Sans CJK SC"/>
        <family val="2"/>
        <charset val="1"/>
      </rPr>
      <t xml:space="preserve">｜直接</t>
    </r>
  </si>
  <si>
    <t xml:space="preserve">SRC_HW_022</t>
  </si>
  <si>
    <r>
      <rPr>
        <sz val="10"/>
        <rFont val="Arial"/>
        <family val="0"/>
        <charset val="1"/>
      </rPr>
      <t xml:space="preserve">GB200 FP4 dense </t>
    </r>
    <r>
      <rPr>
        <sz val="10"/>
        <rFont val="Noto Sans CJK SC"/>
        <family val="2"/>
        <charset val="1"/>
      </rPr>
      <t xml:space="preserve">峰值</t>
    </r>
  </si>
  <si>
    <r>
      <rPr>
        <sz val="10"/>
        <rFont val="Arial"/>
        <family val="0"/>
        <charset val="1"/>
      </rPr>
      <t xml:space="preserve">Spec_Rack!D23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Spec_Rack!D24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</si>
  <si>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另載 </t>
    </r>
    <r>
      <rPr>
        <sz val="10"/>
        <rFont val="Arial"/>
        <family val="0"/>
        <charset val="1"/>
      </rPr>
      <t xml:space="preserve">HGX B200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9</t>
    </r>
  </si>
  <si>
    <t xml:space="preserve">SRC_HW_023</t>
  </si>
  <si>
    <r>
      <rPr>
        <sz val="10"/>
        <rFont val="Arial"/>
        <family val="0"/>
        <charset val="1"/>
      </rPr>
      <t xml:space="preserve">GB200 HBM </t>
    </r>
    <r>
      <rPr>
        <sz val="10"/>
        <rFont val="Noto Sans CJK SC"/>
        <family val="2"/>
        <charset val="1"/>
      </rPr>
      <t xml:space="preserve">頻寬</t>
    </r>
  </si>
  <si>
    <r>
      <rPr>
        <sz val="10"/>
        <rFont val="Arial"/>
        <family val="0"/>
        <charset val="1"/>
      </rPr>
      <t xml:space="preserve">Spec_Rack!D26</t>
    </r>
    <r>
      <rPr>
        <sz val="10"/>
        <rFont val="Noto Sans CJK SC"/>
        <family val="2"/>
        <charset val="1"/>
      </rPr>
      <t xml:space="preserve">｜直接</t>
    </r>
  </si>
  <si>
    <t xml:space="preserve">SRC_HW_024</t>
  </si>
  <si>
    <r>
      <rPr>
        <sz val="10"/>
        <rFont val="Arial"/>
        <family val="0"/>
        <charset val="1"/>
      </rPr>
      <t xml:space="preserve">GB200 HBM </t>
    </r>
    <r>
      <rPr>
        <sz val="10"/>
        <rFont val="Noto Sans CJK SC"/>
        <family val="2"/>
        <charset val="1"/>
      </rPr>
      <t xml:space="preserve">容量（每 </t>
    </r>
    <r>
      <rPr>
        <sz val="10"/>
        <rFont val="Arial"/>
        <family val="0"/>
        <charset val="1"/>
      </rPr>
      <t xml:space="preserve">GPU</t>
    </r>
    <r>
      <rPr>
        <sz val="10"/>
        <rFont val="Noto Sans CJK SC"/>
        <family val="2"/>
        <charset val="1"/>
      </rPr>
      <t xml:space="preserve">，模型內建知識）</t>
    </r>
  </si>
  <si>
    <r>
      <rPr>
        <sz val="10"/>
        <rFont val="Noto Sans CJK SC"/>
        <family val="2"/>
        <charset val="1"/>
      </rPr>
      <t xml:space="preserve">模型 </t>
    </r>
    <r>
      <rPr>
        <sz val="10"/>
        <rFont val="Arial"/>
        <family val="0"/>
        <charset val="1"/>
      </rPr>
      <t xml:space="preserve">186 </t>
    </r>
    <r>
      <rPr>
        <sz val="10"/>
        <rFont val="Noto Sans CJK SC"/>
        <family val="2"/>
        <charset val="1"/>
      </rPr>
      <t xml:space="preserve">由 </t>
    </r>
    <r>
      <rPr>
        <sz val="10"/>
        <rFont val="Arial"/>
        <family val="0"/>
        <charset val="1"/>
      </rPr>
      <t xml:space="preserve">13.4 TB ÷ 72 </t>
    </r>
    <r>
      <rPr>
        <sz val="10"/>
        <rFont val="Noto Sans CJK SC"/>
        <family val="2"/>
        <charset val="1"/>
      </rPr>
      <t xml:space="preserve">換算（見 </t>
    </r>
    <r>
      <rPr>
        <sz val="10"/>
        <rFont val="Arial"/>
        <family val="0"/>
        <charset val="1"/>
      </rPr>
      <t xml:space="preserve">U-NV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InferenceX </t>
    </r>
    <r>
      <rPr>
        <sz val="10"/>
        <rFont val="Noto Sans CJK SC"/>
        <family val="2"/>
        <charset val="1"/>
      </rPr>
      <t xml:space="preserve">以 </t>
    </r>
    <r>
      <rPr>
        <sz val="10"/>
        <rFont val="Arial"/>
        <family val="0"/>
        <charset val="1"/>
      </rPr>
      <t xml:space="preserve">192 </t>
    </r>
    <r>
      <rPr>
        <sz val="10"/>
        <rFont val="Noto Sans CJK SC"/>
        <family val="2"/>
        <charset val="1"/>
      </rPr>
      <t xml:space="preserve">計 → 口徑不同</t>
    </r>
  </si>
  <si>
    <t xml:space="preserve">SRC_HW_025</t>
  </si>
  <si>
    <r>
      <rPr>
        <sz val="10"/>
        <rFont val="Arial"/>
        <family val="0"/>
        <charset val="1"/>
      </rPr>
      <t xml:space="preserve">B300 FP4 dense </t>
    </r>
    <r>
      <rPr>
        <sz val="10"/>
        <rFont val="Noto Sans CJK SC"/>
        <family val="2"/>
        <charset val="1"/>
      </rPr>
      <t xml:space="preserve">峰值</t>
    </r>
  </si>
  <si>
    <r>
      <rPr>
        <sz val="10"/>
        <rFont val="Arial"/>
        <family val="0"/>
        <charset val="1"/>
      </rPr>
      <t xml:space="preserve">Spec_Rack!E23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Spec_Rack!E24</t>
    </r>
    <r>
      <rPr>
        <sz val="10"/>
        <rFont val="Noto Sans CJK SC"/>
        <family val="2"/>
        <charset val="1"/>
      </rPr>
      <t xml:space="preserve">｜直接</t>
    </r>
  </si>
  <si>
    <t xml:space="preserve">SRC_HW_026</t>
  </si>
  <si>
    <r>
      <rPr>
        <sz val="10"/>
        <rFont val="Arial"/>
        <family val="0"/>
        <charset val="1"/>
      </rPr>
      <t xml:space="preserve">B300 HBM </t>
    </r>
    <r>
      <rPr>
        <sz val="10"/>
        <rFont val="Noto Sans CJK SC"/>
        <family val="2"/>
        <charset val="1"/>
      </rPr>
      <t xml:space="preserve">容量</t>
    </r>
  </si>
  <si>
    <r>
      <rPr>
        <sz val="10"/>
        <rFont val="Arial"/>
        <family val="0"/>
        <charset val="1"/>
      </rPr>
      <t xml:space="preserve">Spec_Rack!E25</t>
    </r>
    <r>
      <rPr>
        <sz val="10"/>
        <rFont val="Noto Sans CJK SC"/>
        <family val="2"/>
        <charset val="1"/>
      </rPr>
      <t xml:space="preserve">｜直接</t>
    </r>
  </si>
  <si>
    <t xml:space="preserve">SRC_HW_027</t>
  </si>
  <si>
    <r>
      <rPr>
        <sz val="10"/>
        <rFont val="Arial"/>
        <family val="0"/>
        <charset val="1"/>
      </rPr>
      <t xml:space="preserve">Rubin NVFP4 </t>
    </r>
    <r>
      <rPr>
        <sz val="10"/>
        <rFont val="Noto Sans CJK SC"/>
        <family val="2"/>
        <charset val="1"/>
      </rPr>
      <t xml:space="preserve">推論峰值</t>
    </r>
  </si>
  <si>
    <t xml:space="preserve">含自適應壓縮</t>
  </si>
  <si>
    <r>
      <rPr>
        <sz val="10"/>
        <rFont val="Arial"/>
        <family val="0"/>
        <charset val="1"/>
      </rPr>
      <t xml:space="preserve">Spec_Rack!F24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</si>
  <si>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Arial"/>
        <family val="0"/>
        <charset val="1"/>
      </rPr>
      <t xml:space="preserve">J2</t>
    </r>
    <r>
      <rPr>
        <sz val="10"/>
        <rFont val="Noto Sans CJK SC"/>
        <family val="2"/>
        <charset val="1"/>
      </rPr>
      <t xml:space="preserve">：只作高情境；與 </t>
    </r>
    <r>
      <rPr>
        <sz val="10"/>
        <rFont val="Arial"/>
        <family val="0"/>
        <charset val="1"/>
      </rPr>
      <t xml:space="preserve">S36 </t>
    </r>
    <r>
      <rPr>
        <sz val="10"/>
        <rFont val="Noto Sans CJK SC"/>
        <family val="2"/>
        <charset val="1"/>
      </rPr>
      <t xml:space="preserve">換算值一致</t>
    </r>
  </si>
  <si>
    <t xml:space="preserve">SRC_HW_028</t>
  </si>
  <si>
    <r>
      <rPr>
        <sz val="10"/>
        <rFont val="Arial"/>
        <family val="0"/>
        <charset val="1"/>
      </rPr>
      <t xml:space="preserve">Rubin NVFP4 </t>
    </r>
    <r>
      <rPr>
        <sz val="10"/>
        <rFont val="Noto Sans CJK SC"/>
        <family val="2"/>
        <charset val="1"/>
      </rPr>
      <t xml:space="preserve">訓練峰值</t>
    </r>
  </si>
  <si>
    <r>
      <rPr>
        <sz val="10"/>
        <rFont val="Arial"/>
        <family val="0"/>
        <charset val="1"/>
      </rPr>
      <t xml:space="preserve">Spec_Rack!F23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</si>
  <si>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與 </t>
    </r>
    <r>
      <rPr>
        <sz val="10"/>
        <rFont val="Arial"/>
        <family val="0"/>
        <charset val="1"/>
      </rPr>
      <t xml:space="preserve">S36 </t>
    </r>
    <r>
      <rPr>
        <sz val="10"/>
        <rFont val="Noto Sans CJK SC"/>
        <family val="2"/>
        <charset val="1"/>
      </rPr>
      <t xml:space="preserve">換算值一致</t>
    </r>
  </si>
  <si>
    <t xml:space="preserve">SRC_HW_029</t>
  </si>
  <si>
    <r>
      <rPr>
        <sz val="10"/>
        <rFont val="Arial"/>
        <family val="0"/>
        <charset val="1"/>
      </rPr>
      <t xml:space="preserve">Rubin HBM </t>
    </r>
    <r>
      <rPr>
        <sz val="10"/>
        <rFont val="Noto Sans CJK SC"/>
        <family val="2"/>
        <charset val="1"/>
      </rPr>
      <t xml:space="preserve">容量</t>
    </r>
  </si>
  <si>
    <r>
      <rPr>
        <sz val="10"/>
        <rFont val="Arial"/>
        <family val="0"/>
        <charset val="1"/>
      </rPr>
      <t xml:space="preserve">Spec_Rack!F25</t>
    </r>
    <r>
      <rPr>
        <sz val="10"/>
        <rFont val="Noto Sans CJK SC"/>
        <family val="2"/>
        <charset val="1"/>
      </rPr>
      <t xml:space="preserve">｜直接</t>
    </r>
  </si>
  <si>
    <t xml:space="preserve">SRC_HW_030</t>
  </si>
  <si>
    <r>
      <rPr>
        <sz val="10"/>
        <rFont val="Arial"/>
        <family val="0"/>
        <charset val="1"/>
      </rPr>
      <t xml:space="preserve">Rubin HBM </t>
    </r>
    <r>
      <rPr>
        <sz val="10"/>
        <rFont val="Noto Sans CJK SC"/>
        <family val="2"/>
        <charset val="1"/>
      </rPr>
      <t xml:space="preserve">頻寬</t>
    </r>
  </si>
  <si>
    <r>
      <rPr>
        <sz val="10"/>
        <rFont val="Arial"/>
        <family val="0"/>
        <charset val="1"/>
      </rPr>
      <t xml:space="preserve">NVIDIA 2026 </t>
    </r>
    <r>
      <rPr>
        <sz val="10"/>
        <rFont val="Noto Sans CJK SC"/>
        <family val="2"/>
        <charset val="1"/>
      </rPr>
      <t xml:space="preserve">上修</t>
    </r>
  </si>
  <si>
    <r>
      <rPr>
        <sz val="10"/>
        <rFont val="Arial"/>
        <family val="0"/>
        <charset val="1"/>
      </rPr>
      <t xml:space="preserve">Spec_Rack!F26</t>
    </r>
    <r>
      <rPr>
        <sz val="10"/>
        <rFont val="Noto Sans CJK SC"/>
        <family val="2"/>
        <charset val="1"/>
      </rPr>
      <t xml:space="preserve">｜直接</t>
    </r>
  </si>
  <si>
    <t xml:space="preserve">SRC_HW_031</t>
  </si>
  <si>
    <r>
      <rPr>
        <sz val="10"/>
        <rFont val="Arial"/>
        <family val="0"/>
        <charset val="1"/>
      </rPr>
      <t xml:space="preserve">Rubin Ultra NVL576 FP4 </t>
    </r>
    <r>
      <rPr>
        <sz val="10"/>
        <rFont val="Noto Sans CJK SC"/>
        <family val="2"/>
        <charset val="1"/>
      </rPr>
      <t xml:space="preserve">峰值（全架）</t>
    </r>
  </si>
  <si>
    <r>
      <rPr>
        <sz val="10"/>
        <rFont val="Arial"/>
        <family val="0"/>
        <charset val="1"/>
      </rPr>
      <t xml:space="preserve">PF/</t>
    </r>
    <r>
      <rPr>
        <sz val="10"/>
        <rFont val="Noto Sans CJK SC"/>
        <family val="2"/>
        <charset val="1"/>
      </rPr>
      <t xml:space="preserve">架</t>
    </r>
  </si>
  <si>
    <r>
      <rPr>
        <sz val="10"/>
        <rFont val="Arial"/>
        <family val="0"/>
        <charset val="1"/>
      </rPr>
      <t xml:space="preserve">144 </t>
    </r>
    <r>
      <rPr>
        <sz val="10"/>
        <rFont val="Noto Sans CJK SC"/>
        <family val="2"/>
        <charset val="1"/>
      </rPr>
      <t xml:space="preserve">封裝</t>
    </r>
  </si>
  <si>
    <r>
      <rPr>
        <sz val="10"/>
        <rFont val="Arial"/>
        <family val="0"/>
        <charset val="1"/>
      </rPr>
      <t xml:space="preserve">Spec_Rack!G24</t>
    </r>
    <r>
      <rPr>
        <sz val="10"/>
        <rFont val="Noto Sans CJK SC"/>
        <family val="2"/>
        <charset val="1"/>
      </rPr>
      <t xml:space="preserve">｜取整</t>
    </r>
  </si>
  <si>
    <r>
      <rPr>
        <sz val="10"/>
        <rFont val="Arial"/>
        <family val="0"/>
        <charset val="1"/>
      </rPr>
      <t xml:space="preserve">÷144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104.2</t>
    </r>
    <r>
      <rPr>
        <sz val="10"/>
        <rFont val="Noto Sans CJK SC"/>
        <family val="2"/>
        <charset val="1"/>
      </rPr>
      <t xml:space="preserve">，模型取 </t>
    </r>
    <r>
      <rPr>
        <sz val="10"/>
        <rFont val="Arial"/>
        <family val="0"/>
        <charset val="1"/>
      </rPr>
      <t xml:space="preserve">104</t>
    </r>
  </si>
  <si>
    <t xml:space="preserve">SRC_HW_032</t>
  </si>
  <si>
    <t xml:space="preserve">S29</t>
  </si>
  <si>
    <r>
      <rPr>
        <sz val="10"/>
        <rFont val="Arial"/>
        <family val="0"/>
        <charset val="1"/>
      </rPr>
      <t xml:space="preserve">HBM3 </t>
    </r>
    <r>
      <rPr>
        <sz val="10"/>
        <rFont val="Noto Sans CJK SC"/>
        <family val="2"/>
        <charset val="1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</si>
  <si>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</si>
  <si>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</si>
  <si>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</si>
  <si>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文獻常見值；模型內建知識</t>
  </si>
  <si>
    <r>
      <rPr>
        <sz val="10"/>
        <rFont val="Arial"/>
        <family val="0"/>
        <charset val="1"/>
      </rPr>
      <t xml:space="preserve">Spec_Rack!C34</t>
    </r>
    <r>
      <rPr>
        <sz val="10"/>
        <rFont val="Noto Sans CJK SC"/>
        <family val="2"/>
        <charset val="1"/>
      </rPr>
      <t xml:space="preserve">｜取整</t>
    </r>
  </si>
  <si>
    <r>
      <rPr>
        <sz val="10"/>
        <rFont val="Arial"/>
        <family val="0"/>
        <charset val="1"/>
      </rPr>
      <t xml:space="preserve">×8 bit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31.2 pJ/byte</t>
    </r>
    <r>
      <rPr>
        <sz val="10"/>
        <rFont val="Noto Sans CJK SC"/>
        <family val="2"/>
        <charset val="1"/>
      </rPr>
      <t xml:space="preserve">，模型 </t>
    </r>
    <r>
      <rPr>
        <sz val="10"/>
        <rFont val="Arial"/>
        <family val="0"/>
        <charset val="1"/>
      </rPr>
      <t xml:space="preserve">31</t>
    </r>
  </si>
  <si>
    <t xml:space="preserve">SRC_HW_033</t>
  </si>
  <si>
    <r>
      <rPr>
        <sz val="10"/>
        <rFont val="Arial"/>
        <family val="0"/>
        <charset val="1"/>
      </rPr>
      <t xml:space="preserve">HBM3e </t>
    </r>
    <r>
      <rPr>
        <sz val="10"/>
        <rFont val="Noto Sans CJK SC"/>
        <family val="2"/>
        <charset val="1"/>
      </rPr>
      <t xml:space="preserve">存取能量</t>
    </r>
  </si>
  <si>
    <t xml:space="preserve">HBM3e</t>
  </si>
  <si>
    <r>
      <rPr>
        <sz val="10"/>
        <rFont val="Arial"/>
        <family val="0"/>
        <charset val="1"/>
      </rPr>
      <t xml:space="preserve">Spec_Rack!D34</t>
    </r>
    <r>
      <rPr>
        <sz val="10"/>
        <rFont val="Noto Sans CJK SC"/>
        <family val="2"/>
        <charset val="1"/>
      </rPr>
      <t xml:space="preserve">｜換算；</t>
    </r>
    <r>
      <rPr>
        <sz val="10"/>
        <rFont val="Arial"/>
        <family val="0"/>
        <charset val="1"/>
      </rPr>
      <t xml:space="preserve">Spec_Rack!E34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</si>
  <si>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×8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  <charset val="1"/>
      </rPr>
      <t xml:space="preserve">，模型 </t>
    </r>
    <r>
      <rPr>
        <sz val="10"/>
        <rFont val="Arial"/>
        <family val="0"/>
        <charset val="1"/>
      </rPr>
      <t xml:space="preserve">25</t>
    </r>
  </si>
  <si>
    <t xml:space="preserve">SRC_HW_034</t>
  </si>
  <si>
    <r>
      <rPr>
        <sz val="10"/>
        <rFont val="Arial"/>
        <family val="0"/>
        <charset val="1"/>
      </rPr>
      <t xml:space="preserve">HBM4 </t>
    </r>
    <r>
      <rPr>
        <sz val="10"/>
        <rFont val="Noto Sans CJK SC"/>
        <family val="2"/>
        <charset val="1"/>
      </rPr>
      <t xml:space="preserve">存取能量</t>
    </r>
  </si>
  <si>
    <t xml:space="preserve">HBM4</t>
  </si>
  <si>
    <r>
      <rPr>
        <sz val="10"/>
        <rFont val="Arial"/>
        <family val="0"/>
        <charset val="1"/>
      </rPr>
      <t xml:space="preserve">Spec_Rack!F34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</si>
  <si>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×8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20</t>
    </r>
  </si>
  <si>
    <t xml:space="preserve">SRC_HW_035</t>
  </si>
  <si>
    <r>
      <rPr>
        <sz val="10"/>
        <rFont val="Arial"/>
        <family val="0"/>
        <charset val="1"/>
      </rPr>
      <t xml:space="preserve">SerDes </t>
    </r>
    <r>
      <rPr>
        <sz val="10"/>
        <rFont val="Noto Sans CJK SC"/>
        <family val="2"/>
        <charset val="1"/>
      </rPr>
      <t xml:space="preserve">能量</t>
    </r>
  </si>
  <si>
    <t xml:space="preserve">SRC_HW_036</t>
  </si>
  <si>
    <t xml:space="preserve">S36</t>
  </si>
  <si>
    <r>
      <rPr>
        <sz val="10"/>
        <rFont val="Arial"/>
        <family val="0"/>
        <charset val="1"/>
      </rPr>
      <t xml:space="preserve">Vera Rubin NVL72 NVFP4 </t>
    </r>
    <r>
      <rPr>
        <sz val="10"/>
        <rFont val="Noto Sans CJK SC"/>
        <family val="2"/>
        <charset val="1"/>
      </rPr>
      <t xml:space="preserve">推論峰值（全架）</t>
    </r>
  </si>
  <si>
    <t xml:space="preserve">72 GPU</t>
  </si>
  <si>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規格表（</t>
    </r>
    <r>
      <rPr>
        <sz val="10"/>
        <rFont val="Arial"/>
        <family val="0"/>
        <charset val="1"/>
      </rPr>
      <t xml:space="preserve">Gigabyte </t>
    </r>
    <r>
      <rPr>
        <sz val="10"/>
        <rFont val="Noto Sans CJK SC"/>
        <family val="2"/>
        <charset val="1"/>
      </rPr>
      <t xml:space="preserve">轉載 </t>
    </r>
    <r>
      <rPr>
        <sz val="10"/>
        <rFont val="Arial"/>
        <family val="0"/>
        <charset val="1"/>
      </rPr>
      <t xml:space="preserve">PDF</t>
    </r>
    <r>
      <rPr>
        <sz val="10"/>
        <rFont val="Noto Sans CJK SC"/>
        <family val="2"/>
        <charset val="1"/>
      </rPr>
      <t xml:space="preserve">）；若確認為原文件影本可升 </t>
    </r>
    <r>
      <rPr>
        <sz val="1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</si>
  <si>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</si>
  <si>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rFont val="Arial"/>
        <family val="0"/>
        <charset val="1"/>
      </rPr>
      <t xml:space="preserve">Spec_Rack!F24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</si>
  <si>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÷72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50</t>
    </r>
  </si>
  <si>
    <t xml:space="preserve">SRC_HW_037</t>
  </si>
  <si>
    <r>
      <rPr>
        <sz val="10"/>
        <rFont val="Arial"/>
        <family val="0"/>
        <charset val="1"/>
      </rPr>
      <t xml:space="preserve">Vera Rubin NVL72 NVFP4 </t>
    </r>
    <r>
      <rPr>
        <sz val="10"/>
        <rFont val="Noto Sans CJK SC"/>
        <family val="2"/>
        <charset val="1"/>
      </rPr>
      <t xml:space="preserve">訓練峰值（全架）</t>
    </r>
  </si>
  <si>
    <r>
      <rPr>
        <sz val="10"/>
        <rFont val="Arial"/>
        <family val="0"/>
        <charset val="1"/>
      </rPr>
      <t xml:space="preserve">Spec_Rack!F41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</si>
  <si>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÷72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35</t>
    </r>
  </si>
  <si>
    <t xml:space="preserve">SRC_HW_038</t>
  </si>
  <si>
    <r>
      <rPr>
        <sz val="10"/>
        <rFont val="Arial"/>
        <family val="0"/>
        <charset val="1"/>
      </rPr>
      <t xml:space="preserve">Vera Rubin NVL72 FP8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FP6 </t>
    </r>
    <r>
      <rPr>
        <sz val="10"/>
        <rFont val="Noto Sans CJK SC"/>
        <family val="2"/>
        <charset val="1"/>
      </rPr>
      <t xml:space="preserve">訓練峰值（全架）</t>
    </r>
  </si>
  <si>
    <r>
      <rPr>
        <sz val="10"/>
        <rFont val="Arial"/>
        <family val="0"/>
        <charset val="1"/>
      </rPr>
      <t xml:space="preserve">Spec_Rack!F40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</si>
  <si>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÷72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17.5</t>
    </r>
  </si>
  <si>
    <t xml:space="preserve">SRC_HW_039</t>
  </si>
  <si>
    <r>
      <rPr>
        <sz val="10"/>
        <rFont val="Arial"/>
        <family val="0"/>
        <charset val="1"/>
      </rPr>
      <t xml:space="preserve">Vera Rubin NVL72 BF16 </t>
    </r>
    <r>
      <rPr>
        <sz val="10"/>
        <rFont val="Noto Sans CJK SC"/>
        <family val="2"/>
        <charset val="1"/>
      </rPr>
      <t xml:space="preserve">峰值（全架）</t>
    </r>
  </si>
  <si>
    <r>
      <rPr>
        <sz val="10"/>
        <rFont val="Arial"/>
        <family val="0"/>
        <charset val="1"/>
      </rPr>
      <t xml:space="preserve">Spec_Rack!F39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</si>
  <si>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÷72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4</t>
    </r>
  </si>
  <si>
    <t xml:space="preserve">SRC_HW_040</t>
  </si>
  <si>
    <t xml:space="preserve">E001</t>
  </si>
  <si>
    <r>
      <rPr>
        <sz val="10"/>
        <rFont val="Arial"/>
        <family val="0"/>
        <charset val="1"/>
      </rPr>
      <t xml:space="preserve">H100 FP8 dense </t>
    </r>
    <r>
      <rPr>
        <sz val="10"/>
        <rFont val="Noto Sans CJK SC"/>
        <family val="2"/>
        <charset val="1"/>
      </rPr>
      <t xml:space="preserve">峰值</t>
    </r>
  </si>
  <si>
    <t xml:space="preserve">2026-09-30</t>
  </si>
  <si>
    <r>
      <rPr>
        <sz val="10"/>
        <rFont val="Arial"/>
        <family val="0"/>
        <charset val="1"/>
      </rPr>
      <t xml:space="preserve">NVIDIA H100 </t>
    </r>
    <r>
      <rPr>
        <sz val="10"/>
        <rFont val="Noto Sans CJK SC"/>
        <family val="2"/>
        <charset val="1"/>
      </rPr>
      <t xml:space="preserve">規格（</t>
    </r>
    <r>
      <rPr>
        <sz val="10"/>
        <rFont val="Arial"/>
        <family val="0"/>
        <charset val="1"/>
      </rPr>
      <t xml:space="preserve">DB_Evidence E001</t>
    </r>
    <r>
      <rPr>
        <sz val="10"/>
        <rFont val="Noto Sans CJK SC"/>
        <family val="2"/>
        <charset val="1"/>
      </rPr>
      <t xml:space="preserve">，模型內建知識經 </t>
    </r>
    <r>
      <rPr>
        <sz val="10"/>
        <rFont val="Arial"/>
        <family val="0"/>
        <charset val="1"/>
      </rPr>
      <t xml:space="preserve">S36 </t>
    </r>
    <r>
      <rPr>
        <sz val="10"/>
        <rFont val="Noto Sans CJK SC"/>
        <family val="2"/>
        <charset val="1"/>
      </rPr>
      <t xml:space="preserve">交叉）</t>
    </r>
  </si>
  <si>
    <r>
      <rPr>
        <sz val="10"/>
        <rFont val="Arial"/>
        <family val="0"/>
        <charset val="1"/>
      </rPr>
      <t xml:space="preserve">Spec_Rack!C23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Spec_Rack!C40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</si>
  <si>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取代 </t>
    </r>
    <r>
      <rPr>
        <sz val="10"/>
        <rFont val="Arial"/>
        <family val="0"/>
        <charset val="1"/>
      </rPr>
      <t xml:space="preserve">S28 </t>
    </r>
    <r>
      <rPr>
        <sz val="10"/>
        <rFont val="Noto Sans CJK SC"/>
        <family val="2"/>
        <charset val="1"/>
      </rPr>
      <t xml:space="preserve">的錯誤標示</t>
    </r>
  </si>
  <si>
    <t xml:space="preserve">SRC_HW_041</t>
  </si>
  <si>
    <t xml:space="preserve">U-NV</t>
  </si>
  <si>
    <r>
      <rPr>
        <sz val="10"/>
        <rFont val="Arial"/>
        <family val="0"/>
        <charset val="1"/>
      </rPr>
      <t xml:space="preserve">GB200 NVL72 HBM </t>
    </r>
    <r>
      <rPr>
        <sz val="10"/>
        <rFont val="Noto Sans CJK SC"/>
        <family val="2"/>
        <charset val="1"/>
      </rPr>
      <t xml:space="preserve">總容量（全架）</t>
    </r>
  </si>
  <si>
    <r>
      <rPr>
        <sz val="10"/>
        <rFont val="Arial"/>
        <family val="0"/>
        <charset val="1"/>
      </rPr>
      <t xml:space="preserve">TB/</t>
    </r>
    <r>
      <rPr>
        <sz val="10"/>
        <rFont val="Noto Sans CJK SC"/>
        <family val="2"/>
        <charset val="1"/>
      </rPr>
      <t xml:space="preserve">架</t>
    </r>
  </si>
  <si>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規格（模型頁說明文字；未登錄 </t>
    </r>
    <r>
      <rPr>
        <sz val="10"/>
        <rFont val="Arial"/>
        <family val="0"/>
        <charset val="1"/>
      </rPr>
      <t xml:space="preserve">Sources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</si>
  <si>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Spec_Rack!D25</t>
    </r>
    <r>
      <rPr>
        <sz val="10"/>
        <rFont val="Noto Sans CJK SC"/>
        <family val="2"/>
        <charset val="1"/>
      </rPr>
      <t xml:space="preserve">｜取整</t>
    </r>
  </si>
  <si>
    <r>
      <rPr>
        <sz val="10"/>
        <rFont val="Arial"/>
        <family val="0"/>
        <charset val="1"/>
      </rPr>
      <t xml:space="preserve">÷72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186.1</t>
    </r>
  </si>
  <si>
    <t xml:space="preserve">SRC_HW_042</t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</si>
  <si>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GB300 BF16 dense </t>
    </r>
    <r>
      <rPr>
        <sz val="10"/>
        <rFont val="Noto Sans CJK SC"/>
        <family val="2"/>
        <charset val="1"/>
      </rPr>
      <t xml:space="preserve">峰值</t>
    </r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</si>
  <si>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GB300</t>
    </r>
  </si>
  <si>
    <r>
      <rPr>
        <sz val="10"/>
        <rFont val="Arial"/>
        <family val="0"/>
        <charset val="1"/>
      </rPr>
      <t xml:space="preserve">Spec_Rack!D39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Spec_Rack!E39</t>
    </r>
    <r>
      <rPr>
        <sz val="10"/>
        <rFont val="Noto Sans CJK SC"/>
        <family val="2"/>
        <charset val="1"/>
      </rPr>
      <t xml:space="preserve">｜直接</t>
    </r>
  </si>
  <si>
    <t xml:space="preserve">SRC_HW_043</t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</si>
  <si>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GB300 FP8 dense </t>
    </r>
    <r>
      <rPr>
        <sz val="10"/>
        <rFont val="Noto Sans CJK SC"/>
        <family val="2"/>
        <charset val="1"/>
      </rPr>
      <t xml:space="preserve">峰值</t>
    </r>
  </si>
  <si>
    <r>
      <rPr>
        <sz val="10"/>
        <rFont val="Arial"/>
        <family val="0"/>
        <charset val="1"/>
      </rPr>
      <t xml:space="preserve">dense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B300 </t>
    </r>
    <r>
      <rPr>
        <sz val="10"/>
        <rFont val="Noto Sans CJK SC"/>
        <family val="2"/>
        <charset val="1"/>
      </rPr>
      <t xml:space="preserve">未提升 </t>
    </r>
    <r>
      <rPr>
        <sz val="10"/>
        <rFont val="Arial"/>
        <family val="0"/>
        <charset val="1"/>
      </rPr>
      <t xml:space="preserve">FP8</t>
    </r>
  </si>
  <si>
    <r>
      <rPr>
        <sz val="10"/>
        <rFont val="Arial"/>
        <family val="0"/>
        <charset val="1"/>
      </rPr>
      <t xml:space="preserve">Spec_Rack!D40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Spec_Rack!E40</t>
    </r>
    <r>
      <rPr>
        <sz val="10"/>
        <rFont val="Noto Sans CJK SC"/>
        <family val="2"/>
        <charset val="1"/>
      </rPr>
      <t xml:space="preserve">｜直接</t>
    </r>
  </si>
  <si>
    <t xml:space="preserve">SRC_HW_044</t>
  </si>
  <si>
    <r>
      <rPr>
        <sz val="10"/>
        <rFont val="Arial"/>
        <family val="0"/>
        <charset val="1"/>
      </rPr>
      <t xml:space="preserve">Rubin Ultra NVL576 HBM </t>
    </r>
    <r>
      <rPr>
        <sz val="10"/>
        <rFont val="Noto Sans CJK SC"/>
        <family val="2"/>
        <charset val="1"/>
      </rPr>
      <t xml:space="preserve">總頻寬</t>
    </r>
  </si>
  <si>
    <r>
      <rPr>
        <sz val="10"/>
        <rFont val="Arial"/>
        <family val="0"/>
        <charset val="1"/>
      </rPr>
      <t xml:space="preserve">TB/s/</t>
    </r>
    <r>
      <rPr>
        <sz val="10"/>
        <rFont val="Noto Sans CJK SC"/>
        <family val="2"/>
        <charset val="1"/>
      </rPr>
      <t xml:space="preserve">架</t>
    </r>
  </si>
  <si>
    <r>
      <rPr>
        <sz val="10"/>
        <rFont val="Arial"/>
        <family val="0"/>
        <charset val="1"/>
      </rPr>
      <t xml:space="preserve">Spec_Rack!G26</t>
    </r>
    <r>
      <rPr>
        <sz val="10"/>
        <rFont val="Noto Sans CJK SC"/>
        <family val="2"/>
        <charset val="1"/>
      </rPr>
      <t xml:space="preserve">｜取整</t>
    </r>
  </si>
  <si>
    <r>
      <rPr>
        <sz val="10"/>
        <rFont val="Arial"/>
        <family val="0"/>
        <charset val="1"/>
      </rPr>
      <t xml:space="preserve">÷144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31.9</t>
    </r>
    <r>
      <rPr>
        <sz val="10"/>
        <rFont val="Noto Sans CJK SC"/>
        <family val="2"/>
        <charset val="1"/>
      </rPr>
      <t xml:space="preserve">，模型 </t>
    </r>
    <r>
      <rPr>
        <sz val="10"/>
        <rFont val="Arial"/>
        <family val="0"/>
        <charset val="1"/>
      </rPr>
      <t xml:space="preserve">32</t>
    </r>
  </si>
  <si>
    <t xml:space="preserve">SRC_HW_045</t>
  </si>
  <si>
    <r>
      <rPr>
        <sz val="10"/>
        <rFont val="Arial"/>
        <family val="0"/>
        <charset val="1"/>
      </rPr>
      <t xml:space="preserve">Rubin Ultra NVL576 FP8 </t>
    </r>
    <r>
      <rPr>
        <sz val="10"/>
        <rFont val="Noto Sans CJK SC"/>
        <family val="2"/>
        <charset val="1"/>
      </rPr>
      <t xml:space="preserve">峰值（全架）</t>
    </r>
  </si>
  <si>
    <r>
      <rPr>
        <sz val="10"/>
        <rFont val="Arial"/>
        <family val="0"/>
        <charset val="1"/>
      </rPr>
      <t xml:space="preserve">Spec_Rack!G40</t>
    </r>
    <r>
      <rPr>
        <sz val="10"/>
        <rFont val="Noto Sans CJK SC"/>
        <family val="2"/>
        <charset val="1"/>
      </rPr>
      <t xml:space="preserve">｜取整</t>
    </r>
  </si>
  <si>
    <r>
      <rPr>
        <sz val="10"/>
        <rFont val="Arial"/>
        <family val="0"/>
        <charset val="1"/>
      </rPr>
      <t xml:space="preserve">÷144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34.7</t>
    </r>
    <r>
      <rPr>
        <sz val="10"/>
        <rFont val="Noto Sans CJK SC"/>
        <family val="2"/>
        <charset val="1"/>
      </rPr>
      <t xml:space="preserve">；說明文字標「模型內建知識，待查」</t>
    </r>
  </si>
  <si>
    <t xml:space="preserve">SRC_HW_046</t>
  </si>
  <si>
    <r>
      <rPr>
        <sz val="10"/>
        <rFont val="Arial"/>
        <family val="0"/>
        <charset val="1"/>
      </rPr>
      <t xml:space="preserve">Rubin GPU </t>
    </r>
    <r>
      <rPr>
        <sz val="10"/>
        <rFont val="Noto Sans CJK SC"/>
        <family val="2"/>
        <charset val="1"/>
      </rPr>
      <t xml:space="preserve">功率</t>
    </r>
  </si>
  <si>
    <r>
      <rPr>
        <sz val="10"/>
        <rFont val="Arial"/>
        <family val="0"/>
        <charset val="1"/>
      </rPr>
      <t xml:space="preserve">kW/</t>
    </r>
    <r>
      <rPr>
        <sz val="10"/>
        <rFont val="Noto Sans CJK SC"/>
        <family val="2"/>
        <charset val="1"/>
      </rPr>
      <t xml:space="preserve">封裝</t>
    </r>
  </si>
  <si>
    <t xml:space="preserve">VR200</t>
  </si>
  <si>
    <r>
      <rPr>
        <sz val="10"/>
        <rFont val="Arial"/>
        <family val="0"/>
        <charset val="1"/>
      </rPr>
      <t xml:space="preserve">Spec_Rack!F33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</si>
  <si>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模型 </t>
    </r>
    <r>
      <rPr>
        <sz val="10"/>
        <rFont val="Arial"/>
        <family val="0"/>
        <charset val="1"/>
      </rPr>
      <t xml:space="preserve">1800 W</t>
    </r>
  </si>
  <si>
    <t xml:space="preserve">SRC_HW_047</t>
  </si>
  <si>
    <r>
      <rPr>
        <sz val="10"/>
        <rFont val="Arial"/>
        <family val="0"/>
        <charset val="1"/>
      </rPr>
      <t xml:space="preserve">NVLink </t>
    </r>
    <r>
      <rPr>
        <sz val="10"/>
        <rFont val="Noto Sans CJK SC"/>
        <family val="2"/>
        <charset val="1"/>
      </rPr>
      <t xml:space="preserve">域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數</t>
    </r>
  </si>
  <si>
    <t xml:space="preserve">GPU</t>
  </si>
  <si>
    <r>
      <rPr>
        <sz val="10"/>
        <rFont val="Arial"/>
        <family val="0"/>
        <charset val="1"/>
      </rPr>
      <t xml:space="preserve">NVL72 </t>
    </r>
    <r>
      <rPr>
        <sz val="10"/>
        <rFont val="Noto Sans CJK SC"/>
        <family val="2"/>
        <charset val="1"/>
      </rPr>
      <t xml:space="preserve">產品定義</t>
    </r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</si>
  <si>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</si>
  <si>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Spec_Rack!D28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Spec_Rack!E28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Spec_Rack!F28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Spec_Rack!D6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Spec_Rack!E6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Spec_Rack!F6</t>
    </r>
    <r>
      <rPr>
        <sz val="10"/>
        <rFont val="Noto Sans CJK SC"/>
        <family val="2"/>
        <charset val="1"/>
      </rPr>
      <t xml:space="preserve">｜直接</t>
    </r>
  </si>
  <si>
    <t xml:space="preserve">產品命名即規格</t>
  </si>
  <si>
    <t xml:space="preserve">SRC_HW_048</t>
  </si>
  <si>
    <r>
      <rPr>
        <sz val="10"/>
        <rFont val="Arial"/>
        <family val="0"/>
        <charset val="1"/>
      </rPr>
      <t xml:space="preserve">NVLink 5 </t>
    </r>
    <r>
      <rPr>
        <sz val="10"/>
        <rFont val="Noto Sans CJK SC"/>
        <family val="2"/>
        <charset val="1"/>
      </rPr>
      <t xml:space="preserve">頻寬</t>
    </r>
  </si>
  <si>
    <t xml:space="preserve">單向</t>
  </si>
  <si>
    <r>
      <rPr>
        <sz val="10"/>
        <rFont val="Arial"/>
        <family val="0"/>
        <charset val="1"/>
      </rPr>
      <t xml:space="preserve">Spec_Rack!D27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Spec_Rack!E27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</si>
  <si>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說明文字引 </t>
    </r>
    <r>
      <rPr>
        <sz val="10"/>
        <rFont val="Arial"/>
        <family val="0"/>
        <charset val="1"/>
      </rPr>
      <t xml:space="preserve">S20 </t>
    </r>
    <r>
      <rPr>
        <sz val="10"/>
        <rFont val="Noto Sans CJK SC"/>
        <family val="2"/>
        <charset val="1"/>
      </rPr>
      <t xml:space="preserve">規格表</t>
    </r>
  </si>
  <si>
    <t xml:space="preserve">SRC_HW_049</t>
  </si>
  <si>
    <r>
      <rPr>
        <sz val="10"/>
        <rFont val="Arial"/>
        <family val="0"/>
        <charset val="1"/>
      </rPr>
      <t xml:space="preserve">NVLink 6 </t>
    </r>
    <r>
      <rPr>
        <sz val="10"/>
        <rFont val="Noto Sans CJK SC"/>
        <family val="2"/>
        <charset val="1"/>
      </rPr>
      <t xml:space="preserve">頻寬</t>
    </r>
  </si>
  <si>
    <r>
      <rPr>
        <sz val="10"/>
        <rFont val="Arial"/>
        <family val="0"/>
        <charset val="1"/>
      </rPr>
      <t xml:space="preserve">Spec_Rack!F27</t>
    </r>
    <r>
      <rPr>
        <sz val="10"/>
        <rFont val="Noto Sans CJK SC"/>
        <family val="2"/>
        <charset val="1"/>
      </rPr>
      <t xml:space="preserve">｜直接</t>
    </r>
  </si>
  <si>
    <t xml:space="preserve">SRC_HW_050</t>
  </si>
  <si>
    <r>
      <rPr>
        <sz val="10"/>
        <rFont val="Arial"/>
        <family val="0"/>
        <charset val="1"/>
      </rPr>
      <t xml:space="preserve">NVFP4 </t>
    </r>
    <r>
      <rPr>
        <sz val="10"/>
        <rFont val="Noto Sans CJK SC"/>
        <family val="2"/>
        <charset val="1"/>
      </rPr>
      <t xml:space="preserve">有效儲存（</t>
    </r>
    <r>
      <rPr>
        <sz val="10"/>
        <rFont val="Arial"/>
        <family val="0"/>
        <charset val="1"/>
      </rPr>
      <t xml:space="preserve">4 bit</t>
    </r>
    <r>
      <rPr>
        <sz val="10"/>
        <rFont val="Noto Sans CJK SC"/>
        <family val="2"/>
        <charset val="1"/>
      </rPr>
      <t xml:space="preserve">＋每 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  <charset val="1"/>
      </rPr>
      <t xml:space="preserve">值 </t>
    </r>
    <r>
      <rPr>
        <sz val="10"/>
        <rFont val="Arial"/>
        <family val="0"/>
        <charset val="1"/>
      </rPr>
      <t xml:space="preserve">8 bit scale</t>
    </r>
    <r>
      <rPr>
        <sz val="10"/>
        <rFont val="Noto Sans CJK SC"/>
        <family val="2"/>
        <charset val="1"/>
      </rPr>
      <t xml:space="preserve">）</t>
    </r>
  </si>
  <si>
    <t xml:space="preserve">bytes/param</t>
  </si>
  <si>
    <t xml:space="preserve">格式定義</t>
  </si>
  <si>
    <t xml:space="preserve">NVFP4</t>
  </si>
  <si>
    <r>
      <rPr>
        <sz val="10"/>
        <rFont val="Arial"/>
        <family val="0"/>
        <charset val="1"/>
      </rPr>
      <t xml:space="preserve">Spec_Rack!D30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Spec_Rack!E30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Spec_Rack!F30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Spec_Rack!G30</t>
    </r>
    <r>
      <rPr>
        <sz val="10"/>
        <rFont val="Noto Sans CJK SC"/>
        <family val="2"/>
        <charset val="1"/>
      </rPr>
      <t xml:space="preserve">｜直接</t>
    </r>
  </si>
  <si>
    <t xml:space="preserve">SRC_HW_051</t>
  </si>
  <si>
    <t xml:space="preserve">U-PR</t>
  </si>
  <si>
    <r>
      <rPr>
        <sz val="10"/>
        <rFont val="Arial"/>
        <family val="0"/>
        <charset val="1"/>
      </rPr>
      <t xml:space="preserve">GB200 NVL72 </t>
    </r>
    <r>
      <rPr>
        <sz val="10"/>
        <rFont val="Noto Sans CJK SC"/>
        <family val="2"/>
        <charset val="1"/>
      </rPr>
      <t xml:space="preserve">機架價格（</t>
    </r>
    <r>
      <rPr>
        <sz val="10"/>
        <rFont val="Arial"/>
        <family val="0"/>
        <charset val="1"/>
      </rPr>
      <t xml:space="preserve">Barron's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</si>
  <si>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Spec_Rack </t>
    </r>
    <r>
      <rPr>
        <sz val="10"/>
        <rFont val="Noto Sans CJK SC"/>
        <family val="2"/>
        <charset val="1"/>
      </rPr>
      <t xml:space="preserve">價格來源列所載（</t>
    </r>
    <r>
      <rPr>
        <sz val="10"/>
        <rFont val="Arial"/>
        <family val="0"/>
        <charset val="1"/>
      </rPr>
      <t xml:space="preserve">Barron's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Morgan Stanley</t>
    </r>
    <r>
      <rPr>
        <sz val="10"/>
        <rFont val="Noto Sans CJK SC"/>
        <family val="2"/>
        <charset val="1"/>
      </rPr>
      <t xml:space="preserve">）；未登錄 </t>
    </r>
    <r>
      <rPr>
        <sz val="10"/>
        <rFont val="Arial"/>
        <family val="0"/>
        <charset val="1"/>
      </rPr>
      <t xml:space="preserve">Sources</t>
    </r>
  </si>
  <si>
    <r>
      <rPr>
        <sz val="10"/>
        <rFont val="Noto Sans CJK SC"/>
        <family val="2"/>
        <charset val="1"/>
      </rPr>
      <t xml:space="preserve">未登錄 </t>
    </r>
    <r>
      <rPr>
        <sz val="10"/>
        <rFont val="Arial"/>
        <family val="0"/>
        <charset val="1"/>
      </rPr>
      <t xml:space="preserve">Sources</t>
    </r>
    <r>
      <rPr>
        <sz val="10"/>
        <rFont val="Noto Sans CJK SC"/>
        <family val="2"/>
        <charset val="1"/>
      </rPr>
      <t xml:space="preserve">；與模型基準 </t>
    </r>
    <r>
      <rPr>
        <sz val="10"/>
        <rFont val="Arial"/>
        <family val="0"/>
        <charset val="1"/>
      </rPr>
      <t xml:space="preserve">3.1 </t>
    </r>
    <r>
      <rPr>
        <sz val="10"/>
        <rFont val="Noto Sans CJK SC"/>
        <family val="2"/>
        <charset val="1"/>
      </rPr>
      <t xml:space="preserve">相近</t>
    </r>
  </si>
  <si>
    <t xml:space="preserve">SRC_HW_052</t>
  </si>
  <si>
    <r>
      <rPr>
        <sz val="10"/>
        <rFont val="Arial"/>
        <family val="0"/>
        <charset val="1"/>
      </rPr>
      <t xml:space="preserve">GB300 NVL72 </t>
    </r>
    <r>
      <rPr>
        <sz val="10"/>
        <rFont val="Noto Sans CJK SC"/>
        <family val="2"/>
        <charset val="1"/>
      </rPr>
      <t xml:space="preserve">機架價格（</t>
    </r>
    <r>
      <rPr>
        <sz val="10"/>
        <rFont val="Arial"/>
        <family val="0"/>
        <charset val="1"/>
      </rPr>
      <t xml:space="preserve">Morgan Stanley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</si>
  <si>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Spec_Rack!E11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</si>
  <si>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未登錄 </t>
    </r>
    <r>
      <rPr>
        <sz val="10"/>
        <rFont val="Arial"/>
        <family val="0"/>
        <charset val="1"/>
      </rPr>
      <t xml:space="preserve">Sources</t>
    </r>
  </si>
  <si>
    <t xml:space="preserve">SRC_DC_001</t>
  </si>
  <si>
    <t xml:space="preserve">S10</t>
  </si>
  <si>
    <r>
      <rPr>
        <sz val="10"/>
        <rFont val="Arial"/>
        <family val="0"/>
        <charset val="1"/>
      </rPr>
      <t xml:space="preserve">1,024 GPU </t>
    </r>
    <r>
      <rPr>
        <sz val="10"/>
        <rFont val="Noto Sans CJK SC"/>
        <family val="2"/>
        <charset val="1"/>
      </rPr>
      <t xml:space="preserve">叢集網路 </t>
    </r>
    <r>
      <rPr>
        <sz val="10"/>
        <rFont val="Arial"/>
        <family val="0"/>
        <charset val="1"/>
      </rPr>
      <t xml:space="preserve">÷ GPU BOM</t>
    </r>
  </si>
  <si>
    <t xml:space="preserve">%</t>
  </si>
  <si>
    <t xml:space="preserve">千卡叢集</t>
  </si>
  <si>
    <r>
      <rPr>
        <sz val="10"/>
        <rFont val="Arial"/>
        <family val="0"/>
        <charset val="1"/>
      </rPr>
      <t xml:space="preserve">hedgehog.cloud</t>
    </r>
    <r>
      <rPr>
        <sz val="10"/>
        <rFont val="Noto Sans CJK SC"/>
        <family val="2"/>
        <charset val="1"/>
      </rPr>
      <t xml:space="preserve">：網路業者；</t>
    </r>
    <r>
      <rPr>
        <sz val="10"/>
        <rFont val="Arial"/>
        <family val="0"/>
        <charset val="1"/>
      </rPr>
      <t xml:space="preserve">J.P. Morgan AM </t>
    </r>
    <r>
      <rPr>
        <sz val="10"/>
        <rFont val="Noto Sans CJK SC"/>
        <family val="2"/>
        <charset val="1"/>
      </rPr>
      <t xml:space="preserve">為中立方</t>
    </r>
  </si>
  <si>
    <r>
      <rPr>
        <sz val="10"/>
        <rFont val="Arial"/>
        <family val="0"/>
        <charset val="1"/>
      </rPr>
      <t xml:space="preserve">Inputs!E13</t>
    </r>
    <r>
      <rPr>
        <sz val="10"/>
        <rFont val="Noto Sans CJK SC"/>
        <family val="2"/>
        <charset val="1"/>
      </rPr>
      <t xml:space="preserve">｜選取</t>
    </r>
  </si>
  <si>
    <r>
      <rPr>
        <sz val="10"/>
        <rFont val="Noto Sans CJK SC"/>
        <family val="2"/>
        <charset val="1"/>
      </rPr>
      <t xml:space="preserve">模型 </t>
    </r>
    <r>
      <rPr>
        <sz val="10"/>
        <rFont val="Arial"/>
        <family val="0"/>
        <charset val="1"/>
      </rPr>
      <t xml:space="preserve">5–15%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級外推（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）</t>
    </r>
  </si>
  <si>
    <t xml:space="preserve">SRC_DC_002</t>
  </si>
  <si>
    <r>
      <rPr>
        <sz val="10"/>
        <rFont val="Noto Sans CJK SC"/>
        <family val="2"/>
        <charset val="1"/>
      </rPr>
      <t xml:space="preserve">網路占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  <charset val="1"/>
      </rPr>
      <t xml:space="preserve">支出（</t>
    </r>
    <r>
      <rPr>
        <sz val="10"/>
        <rFont val="Arial"/>
        <family val="0"/>
        <charset val="1"/>
      </rPr>
      <t xml:space="preserve">J.P. Morgan AM </t>
    </r>
    <r>
      <rPr>
        <sz val="10"/>
        <rFont val="Noto Sans CJK SC"/>
        <family val="2"/>
        <charset val="1"/>
      </rPr>
      <t xml:space="preserve">假設）</t>
    </r>
  </si>
  <si>
    <r>
      <rPr>
        <sz val="10"/>
        <rFont val="Noto Sans CJK SC"/>
        <family val="2"/>
        <charset val="1"/>
      </rPr>
      <t xml:space="preserve">總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  <charset val="1"/>
      </rPr>
      <t xml:space="preserve">支出</t>
    </r>
  </si>
  <si>
    <r>
      <rPr>
        <sz val="10"/>
        <rFont val="Arial"/>
        <family val="0"/>
        <charset val="1"/>
      </rPr>
      <t xml:space="preserve">Inputs!F13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</si>
  <si>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Arial"/>
        <family val="0"/>
        <charset val="1"/>
      </rPr>
      <t xml:space="preserve">JPM </t>
    </r>
    <r>
      <rPr>
        <sz val="10"/>
        <rFont val="Noto Sans CJK SC"/>
        <family val="2"/>
        <charset val="1"/>
      </rPr>
      <t xml:space="preserve">為假設值，非實測</t>
    </r>
  </si>
  <si>
    <t xml:space="preserve">SRC_DC_003</t>
  </si>
  <si>
    <t xml:space="preserve">S12</t>
  </si>
  <si>
    <r>
      <rPr>
        <sz val="10"/>
        <rFont val="Noto Sans CJK SC"/>
        <family val="2"/>
        <charset val="1"/>
      </rPr>
      <t xml:space="preserve">全球平均資料中心建造成本（</t>
    </r>
    <r>
      <rPr>
        <sz val="10"/>
        <rFont val="Arial"/>
        <family val="0"/>
        <charset val="1"/>
      </rPr>
      <t xml:space="preserve">JLL 2026</t>
    </r>
    <r>
      <rPr>
        <sz val="10"/>
        <rFont val="Noto Sans CJK SC"/>
        <family val="2"/>
        <charset val="1"/>
      </rPr>
      <t xml:space="preserve">）</t>
    </r>
  </si>
  <si>
    <t xml:space="preserve">$M/MW</t>
  </si>
  <si>
    <t xml:space="preserve">建物與核心</t>
  </si>
  <si>
    <t xml:space="preserve">全球</t>
  </si>
  <si>
    <r>
      <rPr>
        <sz val="10"/>
        <rFont val="Arial"/>
        <family val="0"/>
        <charset val="1"/>
      </rPr>
      <t xml:space="preserve">JLL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Turner &amp; Townsend</t>
    </r>
    <r>
      <rPr>
        <sz val="10"/>
        <rFont val="Noto Sans CJK SC"/>
        <family val="2"/>
        <charset val="1"/>
      </rPr>
      <t xml:space="preserve">：不動產與工程顧問（產業研究）</t>
    </r>
  </si>
  <si>
    <r>
      <rPr>
        <sz val="10"/>
        <rFont val="Arial"/>
        <family val="0"/>
        <charset val="1"/>
      </rPr>
      <t xml:space="preserve">Checks!C6</t>
    </r>
    <r>
      <rPr>
        <sz val="10"/>
        <rFont val="Noto Sans CJK SC"/>
        <family val="2"/>
        <charset val="1"/>
      </rPr>
      <t xml:space="preserve">｜對照</t>
    </r>
  </si>
  <si>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  <charset val="1"/>
      </rPr>
      <t xml:space="preserve">口徑（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  <charset val="1"/>
      </rPr>
      <t xml:space="preserve">／設施）待查</t>
    </r>
  </si>
  <si>
    <t xml:space="preserve">SRC_DC_004</t>
  </si>
  <si>
    <r>
      <rPr>
        <sz val="10"/>
        <rFont val="Noto Sans CJK SC"/>
        <family val="2"/>
        <charset val="1"/>
      </rPr>
      <t xml:space="preserve">液冷溢價（</t>
    </r>
    <r>
      <rPr>
        <sz val="10"/>
        <rFont val="Arial"/>
        <family val="0"/>
        <charset val="1"/>
      </rPr>
      <t xml:space="preserve">Turner &amp; Townsend</t>
    </r>
    <r>
      <rPr>
        <sz val="10"/>
        <rFont val="Noto Sans CJK SC"/>
        <family val="2"/>
        <charset val="1"/>
      </rPr>
      <t xml:space="preserve">）</t>
    </r>
  </si>
  <si>
    <t xml:space="preserve">建造成本加成</t>
  </si>
  <si>
    <t xml:space="preserve">液冷設施</t>
  </si>
  <si>
    <t xml:space="preserve">SRC_DC_005</t>
  </si>
  <si>
    <t xml:space="preserve">S13</t>
  </si>
  <si>
    <r>
      <rPr>
        <sz val="10"/>
        <rFont val="Noto Sans CJK SC"/>
        <family val="2"/>
        <charset val="1"/>
      </rPr>
      <t xml:space="preserve">美國工業電價 </t>
    </r>
    <r>
      <rPr>
        <sz val="10"/>
        <rFont val="Arial"/>
        <family val="0"/>
        <charset val="1"/>
      </rPr>
      <t xml:space="preserve">2026-03</t>
    </r>
  </si>
  <si>
    <t xml:space="preserve">$/kWh</t>
  </si>
  <si>
    <t xml:space="preserve">月均</t>
  </si>
  <si>
    <t xml:space="preserve">美國</t>
  </si>
  <si>
    <r>
      <rPr>
        <sz val="10"/>
        <rFont val="Arial"/>
        <family val="0"/>
        <charset val="1"/>
      </rPr>
      <t xml:space="preserve">EIA</t>
    </r>
    <r>
      <rPr>
        <sz val="10"/>
        <rFont val="Noto Sans CJK SC"/>
        <family val="2"/>
        <charset val="1"/>
      </rPr>
      <t xml:space="preserve">：政府統計</t>
    </r>
  </si>
  <si>
    <t xml:space="preserve">二手（轉載）</t>
  </si>
  <si>
    <t xml:space="preserve">SRC_DC_006</t>
  </si>
  <si>
    <r>
      <rPr>
        <sz val="10"/>
        <rFont val="Noto Sans CJK SC"/>
        <family val="2"/>
        <charset val="1"/>
      </rPr>
      <t xml:space="preserve">美國工業電價 </t>
    </r>
    <r>
      <rPr>
        <sz val="10"/>
        <rFont val="Arial"/>
        <family val="0"/>
        <charset val="1"/>
      </rPr>
      <t xml:space="preserve">2026-05</t>
    </r>
  </si>
  <si>
    <r>
      <rPr>
        <sz val="10"/>
        <rFont val="Arial"/>
        <family val="0"/>
        <charset val="1"/>
      </rPr>
      <t xml:space="preserve">Inputs!E11</t>
    </r>
    <r>
      <rPr>
        <sz val="10"/>
        <rFont val="Noto Sans CJK SC"/>
        <family val="2"/>
        <charset val="1"/>
      </rPr>
      <t xml:space="preserve">｜選取</t>
    </r>
  </si>
  <si>
    <r>
      <rPr>
        <sz val="10"/>
        <rFont val="Noto Sans CJK SC"/>
        <family val="2"/>
        <charset val="1"/>
      </rPr>
      <t xml:space="preserve">模型基準 </t>
    </r>
    <r>
      <rPr>
        <sz val="10"/>
        <rFont val="Arial"/>
        <family val="0"/>
        <charset val="1"/>
      </rPr>
      <t xml:space="preserve">0.08 </t>
    </r>
    <r>
      <rPr>
        <sz val="10"/>
        <rFont val="Noto Sans CJK SC"/>
        <family val="2"/>
        <charset val="1"/>
      </rPr>
      <t xml:space="preserve">低於最新值 → </t>
    </r>
    <r>
      <rPr>
        <sz val="10"/>
        <rFont val="Arial"/>
        <family val="0"/>
        <charset val="1"/>
      </rPr>
      <t xml:space="preserve">Analogy</t>
    </r>
  </si>
  <si>
    <t xml:space="preserve">SRC_DC_007</t>
  </si>
  <si>
    <t xml:space="preserve">S15</t>
  </si>
  <si>
    <r>
      <rPr>
        <sz val="10"/>
        <rFont val="Arial"/>
        <family val="0"/>
        <charset val="1"/>
      </rPr>
      <t xml:space="preserve">CoreWeave GPU </t>
    </r>
    <r>
      <rPr>
        <sz val="10"/>
        <rFont val="Noto Sans CJK SC"/>
        <family val="2"/>
        <charset val="1"/>
      </rPr>
      <t xml:space="preserve">折舊年限</t>
    </r>
  </si>
  <si>
    <t xml:space="preserve">年</t>
  </si>
  <si>
    <t xml:space="preserve">會計政策</t>
  </si>
  <si>
    <t xml:space="preserve">CoreWeave</t>
  </si>
  <si>
    <t xml:space="preserve">公司自定會計政策：延長年限可提高帳面獲利</t>
  </si>
  <si>
    <r>
      <rPr>
        <sz val="10"/>
        <rFont val="Arial"/>
        <family val="0"/>
        <charset val="1"/>
      </rPr>
      <t xml:space="preserve">Inputs!E23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</si>
  <si>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Arial"/>
        <family val="0"/>
        <charset val="1"/>
      </rPr>
      <t xml:space="preserve">D4</t>
    </r>
    <r>
      <rPr>
        <sz val="10"/>
        <rFont val="Noto Sans CJK SC"/>
        <family val="2"/>
        <charset val="1"/>
      </rPr>
      <t xml:space="preserve">：須與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  <charset val="1"/>
      </rPr>
      <t xml:space="preserve">一致</t>
    </r>
  </si>
  <si>
    <t xml:space="preserve">SRC_DC_008</t>
  </si>
  <si>
    <r>
      <rPr>
        <sz val="10"/>
        <rFont val="Arial"/>
        <family val="0"/>
        <charset val="1"/>
      </rPr>
      <t xml:space="preserve">Nebius GPU </t>
    </r>
    <r>
      <rPr>
        <sz val="10"/>
        <rFont val="Noto Sans CJK SC"/>
        <family val="2"/>
        <charset val="1"/>
      </rPr>
      <t xml:space="preserve">折舊年限</t>
    </r>
  </si>
  <si>
    <t xml:space="preserve">Nebius</t>
  </si>
  <si>
    <r>
      <rPr>
        <sz val="10"/>
        <rFont val="Arial"/>
        <family val="0"/>
        <charset val="1"/>
      </rPr>
      <t xml:space="preserve">Inputs!F23</t>
    </r>
    <r>
      <rPr>
        <sz val="10"/>
        <rFont val="Noto Sans CJK SC"/>
        <family val="2"/>
        <charset val="1"/>
      </rPr>
      <t xml:space="preserve">｜直接</t>
    </r>
  </si>
  <si>
    <t xml:space="preserve">SRC_DC_009</t>
  </si>
  <si>
    <r>
      <rPr>
        <sz val="10"/>
        <rFont val="Arial"/>
        <family val="0"/>
        <charset val="1"/>
      </rPr>
      <t xml:space="preserve">Lambda GPU </t>
    </r>
    <r>
      <rPr>
        <sz val="10"/>
        <rFont val="Noto Sans CJK SC"/>
        <family val="2"/>
        <charset val="1"/>
      </rPr>
      <t xml:space="preserve">折舊年限</t>
    </r>
  </si>
  <si>
    <t xml:space="preserve">Lambda</t>
  </si>
  <si>
    <t xml:space="preserve">SRC_DC_010</t>
  </si>
  <si>
    <t xml:space="preserve">S16</t>
  </si>
  <si>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建置成本（黃仁勳）</t>
    </r>
  </si>
  <si>
    <t xml:space="preserve">$B/GW</t>
  </si>
  <si>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口徑未明</t>
    </r>
  </si>
  <si>
    <t xml:space="preserve">2025-08</t>
  </si>
  <si>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執行長：有放大市場規模的誘因；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口徑未明</t>
    </r>
  </si>
  <si>
    <r>
      <rPr>
        <sz val="10"/>
        <rFont val="Arial"/>
        <family val="0"/>
        <charset val="1"/>
      </rPr>
      <t xml:space="preserve">Checks!C4</t>
    </r>
    <r>
      <rPr>
        <sz val="10"/>
        <rFont val="Noto Sans CJK SC"/>
        <family val="2"/>
        <charset val="1"/>
      </rPr>
      <t xml:space="preserve">｜對照</t>
    </r>
  </si>
  <si>
    <t xml:space="preserve">SRC_DC_011</t>
  </si>
  <si>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中 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晶片與系統</t>
    </r>
  </si>
  <si>
    <r>
      <rPr>
        <sz val="10"/>
        <rFont val="Arial"/>
        <family val="0"/>
        <charset val="1"/>
      </rPr>
      <t xml:space="preserve">Checks!C5</t>
    </r>
    <r>
      <rPr>
        <sz val="10"/>
        <rFont val="Noto Sans CJK SC"/>
        <family val="2"/>
        <charset val="1"/>
      </rPr>
      <t xml:space="preserve">｜對照</t>
    </r>
  </si>
  <si>
    <t xml:space="preserve">SRC_DC_012</t>
  </si>
  <si>
    <t xml:space="preserve">S17</t>
  </si>
  <si>
    <r>
      <rPr>
        <sz val="10"/>
        <rFont val="Arial"/>
        <family val="0"/>
        <charset val="1"/>
      </rPr>
      <t xml:space="preserve">GB200 NVL72 </t>
    </r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小時 </t>
    </r>
    <r>
      <rPr>
        <sz val="10"/>
        <rFont val="Arial"/>
        <family val="0"/>
        <charset val="1"/>
      </rPr>
      <t xml:space="preserve">TCO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SemiAnalysis</t>
    </r>
    <r>
      <rPr>
        <sz val="10"/>
        <rFont val="Noto Sans CJK SC"/>
        <family val="2"/>
        <charset val="1"/>
      </rPr>
      <t xml:space="preserve">）</t>
    </r>
  </si>
  <si>
    <t xml:space="preserve">$/GPU-hr</t>
  </si>
  <si>
    <t xml:space="preserve">假設未公開</t>
  </si>
  <si>
    <r>
      <rPr>
        <sz val="10"/>
        <rFont val="Arial"/>
        <family val="0"/>
        <charset val="1"/>
      </rPr>
      <t xml:space="preserve">SemiAnalysis</t>
    </r>
    <r>
      <rPr>
        <sz val="10"/>
        <rFont val="Noto Sans CJK SC"/>
        <family val="2"/>
        <charset val="1"/>
      </rPr>
      <t xml:space="preserve">：販售 </t>
    </r>
    <r>
      <rPr>
        <sz val="10"/>
        <rFont val="Arial"/>
        <family val="0"/>
        <charset val="1"/>
      </rPr>
      <t xml:space="preserve">TCO </t>
    </r>
    <r>
      <rPr>
        <sz val="10"/>
        <rFont val="Noto Sans CJK SC"/>
        <family val="2"/>
        <charset val="1"/>
      </rPr>
      <t xml:space="preserve">模型、平台受晶片商贊助；須第二來源</t>
    </r>
  </si>
  <si>
    <r>
      <rPr>
        <sz val="10"/>
        <rFont val="Noto Sans CJK SC"/>
        <family val="2"/>
        <charset val="1"/>
      </rPr>
      <t xml:space="preserve">一手（</t>
    </r>
    <r>
      <rPr>
        <sz val="10"/>
        <rFont val="Arial"/>
        <family val="0"/>
        <charset val="1"/>
      </rPr>
      <t xml:space="preserve">SA </t>
    </r>
    <r>
      <rPr>
        <sz val="10"/>
        <rFont val="Noto Sans CJK SC"/>
        <family val="2"/>
        <charset val="1"/>
      </rPr>
      <t xml:space="preserve">自家部落格）</t>
    </r>
  </si>
  <si>
    <r>
      <rPr>
        <sz val="10"/>
        <rFont val="Arial"/>
        <family val="0"/>
        <charset val="1"/>
      </rPr>
      <t xml:space="preserve">Checks!C7</t>
    </r>
    <r>
      <rPr>
        <sz val="10"/>
        <rFont val="Noto Sans CJK SC"/>
        <family val="2"/>
        <charset val="1"/>
      </rPr>
      <t xml:space="preserve">｜對照</t>
    </r>
  </si>
  <si>
    <t xml:space="preserve">須第二來源</t>
  </si>
  <si>
    <t xml:space="preserve">SRC_DC_013</t>
  </si>
  <si>
    <r>
      <rPr>
        <sz val="10"/>
        <rFont val="Arial"/>
        <family val="0"/>
        <charset val="1"/>
      </rPr>
      <t xml:space="preserve">GB300 NVL72 </t>
    </r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小時 </t>
    </r>
    <r>
      <rPr>
        <sz val="10"/>
        <rFont val="Arial"/>
        <family val="0"/>
        <charset val="1"/>
      </rPr>
      <t xml:space="preserve">TCO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SemiAnalysis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</si>
  <si>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Checks!C8</t>
    </r>
    <r>
      <rPr>
        <sz val="10"/>
        <rFont val="Noto Sans CJK SC"/>
        <family val="2"/>
        <charset val="1"/>
      </rPr>
      <t xml:space="preserve">｜對照</t>
    </r>
  </si>
  <si>
    <t xml:space="preserve">SRC_MOD_001</t>
  </si>
  <si>
    <t xml:space="preserve">S27</t>
  </si>
  <si>
    <r>
      <rPr>
        <sz val="10"/>
        <rFont val="Arial"/>
        <family val="0"/>
        <charset val="1"/>
      </rPr>
      <t xml:space="preserve">DeepSeek V4-Pro </t>
    </r>
    <r>
      <rPr>
        <sz val="10"/>
        <rFont val="Noto Sans CJK SC"/>
        <family val="2"/>
        <charset val="1"/>
      </rPr>
      <t xml:space="preserve">總參數</t>
    </r>
  </si>
  <si>
    <t xml:space="preserve">B</t>
  </si>
  <si>
    <r>
      <rPr>
        <sz val="10"/>
        <rFont val="Arial"/>
        <family val="0"/>
        <charset val="1"/>
      </rPr>
      <t xml:space="preserve">DeepSeek V4-Pro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  <charset val="1"/>
      </rPr>
      <t xml:space="preserve">代表）</t>
    </r>
  </si>
  <si>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  <charset val="1"/>
      </rPr>
      <t xml:space="preserve">自揭；出處為 </t>
    </r>
    <r>
      <rPr>
        <sz val="10"/>
        <rFont val="Arial"/>
        <family val="0"/>
        <charset val="1"/>
      </rPr>
      <t xml:space="preserve">v4 </t>
    </r>
    <r>
      <rPr>
        <sz val="10"/>
        <rFont val="Noto Sans CJK SC"/>
        <family val="2"/>
        <charset val="1"/>
      </rPr>
      <t xml:space="preserve">活頁簿與彙整站，非 </t>
    </r>
    <r>
      <rPr>
        <sz val="10"/>
        <rFont val="Arial"/>
        <family val="0"/>
        <charset val="1"/>
      </rPr>
      <t xml:space="preserve">config.json</t>
    </r>
  </si>
  <si>
    <r>
      <rPr>
        <sz val="10"/>
        <rFont val="Arial"/>
        <family val="0"/>
        <charset val="1"/>
      </rPr>
      <t xml:space="preserve">Arch!D6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</si>
  <si>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待以 </t>
    </r>
    <r>
      <rPr>
        <sz val="10"/>
        <rFont val="Arial"/>
        <family val="0"/>
        <charset val="1"/>
      </rPr>
      <t xml:space="preserve">config.json </t>
    </r>
    <r>
      <rPr>
        <sz val="10"/>
        <rFont val="Noto Sans CJK SC"/>
        <family val="2"/>
        <charset val="1"/>
      </rPr>
      <t xml:space="preserve">核對</t>
    </r>
  </si>
  <si>
    <t xml:space="preserve">SRC_MOD_002</t>
  </si>
  <si>
    <r>
      <rPr>
        <sz val="10"/>
        <rFont val="Arial"/>
        <family val="0"/>
        <charset val="1"/>
      </rPr>
      <t xml:space="preserve">DeepSeek V4-Pro </t>
    </r>
    <r>
      <rPr>
        <sz val="10"/>
        <rFont val="Noto Sans CJK SC"/>
        <family val="2"/>
        <charset val="1"/>
      </rPr>
      <t xml:space="preserve">啟用參數</t>
    </r>
  </si>
  <si>
    <r>
      <rPr>
        <sz val="10"/>
        <rFont val="Arial"/>
        <family val="0"/>
        <charset val="1"/>
      </rPr>
      <t xml:space="preserve">Arch!D7</t>
    </r>
    <r>
      <rPr>
        <sz val="10"/>
        <rFont val="Noto Sans CJK SC"/>
        <family val="2"/>
        <charset val="1"/>
      </rPr>
      <t xml:space="preserve">｜直接</t>
    </r>
  </si>
  <si>
    <t xml:space="preserve">SRC_MOD_003</t>
  </si>
  <si>
    <r>
      <rPr>
        <sz val="10"/>
        <rFont val="Arial"/>
        <family val="0"/>
        <charset val="1"/>
      </rPr>
      <t xml:space="preserve">DeepSeek V4-Pro </t>
    </r>
    <r>
      <rPr>
        <sz val="10"/>
        <rFont val="Noto Sans CJK SC"/>
        <family val="2"/>
        <charset val="1"/>
      </rPr>
      <t xml:space="preserve">層數</t>
    </r>
  </si>
  <si>
    <t xml:space="preserve">層</t>
  </si>
  <si>
    <r>
      <rPr>
        <sz val="10"/>
        <rFont val="Arial"/>
        <family val="0"/>
        <charset val="1"/>
      </rPr>
      <t xml:space="preserve">Arch!D8</t>
    </r>
    <r>
      <rPr>
        <sz val="10"/>
        <rFont val="Noto Sans CJK SC"/>
        <family val="2"/>
        <charset val="1"/>
      </rPr>
      <t xml:space="preserve">｜直接</t>
    </r>
  </si>
  <si>
    <t xml:space="preserve">SRC_MOD_004</t>
  </si>
  <si>
    <t xml:space="preserve">DeepSeek V4-Pro d_model</t>
  </si>
  <si>
    <t xml:space="preserve">維</t>
  </si>
  <si>
    <r>
      <rPr>
        <sz val="10"/>
        <rFont val="Arial"/>
        <family val="0"/>
        <charset val="1"/>
      </rPr>
      <t xml:space="preserve">Arch!D9</t>
    </r>
    <r>
      <rPr>
        <sz val="10"/>
        <rFont val="Noto Sans CJK SC"/>
        <family val="2"/>
        <charset val="1"/>
      </rPr>
      <t xml:space="preserve">｜直接</t>
    </r>
  </si>
  <si>
    <t xml:space="preserve">SRC_MOD_005</t>
  </si>
  <si>
    <r>
      <rPr>
        <sz val="10"/>
        <rFont val="Arial"/>
        <family val="0"/>
        <charset val="1"/>
      </rPr>
      <t xml:space="preserve">DeepSeek V4-Flash </t>
    </r>
    <r>
      <rPr>
        <sz val="10"/>
        <rFont val="Noto Sans CJK SC"/>
        <family val="2"/>
        <charset val="1"/>
      </rPr>
      <t xml:space="preserve">總參數</t>
    </r>
  </si>
  <si>
    <r>
      <rPr>
        <sz val="10"/>
        <rFont val="Arial"/>
        <family val="0"/>
        <charset val="1"/>
      </rPr>
      <t xml:space="preserve">DeepSeek V4-Flash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  <charset val="1"/>
      </rPr>
      <t xml:space="preserve">代表）</t>
    </r>
  </si>
  <si>
    <r>
      <rPr>
        <sz val="10"/>
        <rFont val="Arial"/>
        <family val="0"/>
        <charset val="1"/>
      </rPr>
      <t xml:space="preserve">Arch!C6</t>
    </r>
    <r>
      <rPr>
        <sz val="10"/>
        <rFont val="Noto Sans CJK SC"/>
        <family val="2"/>
        <charset val="1"/>
      </rPr>
      <t xml:space="preserve">｜直接</t>
    </r>
  </si>
  <si>
    <t xml:space="preserve">SRC_MOD_006</t>
  </si>
  <si>
    <r>
      <rPr>
        <sz val="10"/>
        <rFont val="Arial"/>
        <family val="0"/>
        <charset val="1"/>
      </rPr>
      <t xml:space="preserve">DeepSeek V4-Flash </t>
    </r>
    <r>
      <rPr>
        <sz val="10"/>
        <rFont val="Noto Sans CJK SC"/>
        <family val="2"/>
        <charset val="1"/>
      </rPr>
      <t xml:space="preserve">啟用參數</t>
    </r>
  </si>
  <si>
    <r>
      <rPr>
        <sz val="10"/>
        <rFont val="Arial"/>
        <family val="0"/>
        <charset val="1"/>
      </rPr>
      <t xml:space="preserve">Arch!C7</t>
    </r>
    <r>
      <rPr>
        <sz val="10"/>
        <rFont val="Noto Sans CJK SC"/>
        <family val="2"/>
        <charset val="1"/>
      </rPr>
      <t xml:space="preserve">｜直接</t>
    </r>
  </si>
  <si>
    <t xml:space="preserve">SRC_MOD_007</t>
  </si>
  <si>
    <t xml:space="preserve">U-DS</t>
  </si>
  <si>
    <r>
      <rPr>
        <sz val="10"/>
        <rFont val="Arial"/>
        <family val="0"/>
        <charset val="1"/>
      </rPr>
      <t xml:space="preserve">DeepSeek V4-Flash </t>
    </r>
    <r>
      <rPr>
        <sz val="10"/>
        <rFont val="Noto Sans CJK SC"/>
        <family val="2"/>
        <charset val="1"/>
      </rPr>
      <t xml:space="preserve">層數</t>
    </r>
  </si>
  <si>
    <t xml:space="preserve">DeepSeek V4-Flash</t>
  </si>
  <si>
    <r>
      <rPr>
        <sz val="10"/>
        <rFont val="Arial"/>
        <family val="0"/>
        <charset val="1"/>
      </rPr>
      <t xml:space="preserve">DeepSeek 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V4 </t>
    </r>
    <r>
      <rPr>
        <sz val="10"/>
        <rFont val="Noto Sans CJK SC"/>
        <family val="2"/>
        <charset val="1"/>
      </rPr>
      <t xml:space="preserve">模型卡或 </t>
    </r>
    <r>
      <rPr>
        <sz val="10"/>
        <rFont val="Arial"/>
        <family val="0"/>
        <charset val="1"/>
      </rPr>
      <t xml:space="preserve">config.json</t>
    </r>
    <r>
      <rPr>
        <sz val="10"/>
        <rFont val="Noto Sans CJK SC"/>
        <family val="2"/>
        <charset val="1"/>
      </rPr>
      <t xml:space="preserve">（模型頁標 </t>
    </r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  <charset val="1"/>
      </rPr>
      <t xml:space="preserve">，未登錄 </t>
    </r>
    <r>
      <rPr>
        <sz val="10"/>
        <rFont val="Arial"/>
        <family val="0"/>
        <charset val="1"/>
      </rPr>
      <t xml:space="preserve">Sources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</si>
  <si>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Arch!C8</t>
    </r>
    <r>
      <rPr>
        <sz val="10"/>
        <rFont val="Noto Sans CJK SC"/>
        <family val="2"/>
        <charset val="1"/>
      </rPr>
      <t xml:space="preserve">｜直接</t>
    </r>
  </si>
  <si>
    <t xml:space="preserve">SRC_MOD_008</t>
  </si>
  <si>
    <t xml:space="preserve">DeepSeek V4-Pro query heads</t>
  </si>
  <si>
    <t xml:space="preserve">個</t>
  </si>
  <si>
    <t xml:space="preserve">DeepSeek V4-Pro</t>
  </si>
  <si>
    <r>
      <rPr>
        <sz val="10"/>
        <rFont val="Arial"/>
        <family val="0"/>
        <charset val="1"/>
      </rPr>
      <t xml:space="preserve">Arch!D10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</si>
  <si>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Arial"/>
        <family val="0"/>
        <charset val="1"/>
      </rPr>
      <t xml:space="preserve">Flash </t>
    </r>
    <r>
      <rPr>
        <sz val="10"/>
        <rFont val="Noto Sans CJK SC"/>
        <family val="2"/>
        <charset val="1"/>
      </rPr>
      <t xml:space="preserve">取一半 → </t>
    </r>
    <r>
      <rPr>
        <sz val="10"/>
        <rFont val="Arial"/>
        <family val="0"/>
        <charset val="1"/>
      </rPr>
      <t xml:space="preserve">Analogy</t>
    </r>
  </si>
  <si>
    <t xml:space="preserve">SRC_MOD_009</t>
  </si>
  <si>
    <r>
      <rPr>
        <sz val="10"/>
        <rFont val="Arial"/>
        <family val="0"/>
        <charset val="1"/>
      </rPr>
      <t xml:space="preserve">DeepSeek V4 KV head </t>
    </r>
    <r>
      <rPr>
        <sz val="10"/>
        <rFont val="Noto Sans CJK SC"/>
        <family val="2"/>
        <charset val="1"/>
      </rPr>
      <t xml:space="preserve">維度</t>
    </r>
  </si>
  <si>
    <r>
      <rPr>
        <sz val="10"/>
        <rFont val="Noto Sans CJK SC"/>
        <family val="2"/>
        <charset val="1"/>
      </rPr>
      <t xml:space="preserve">單一 </t>
    </r>
    <r>
      <rPr>
        <sz val="10"/>
        <rFont val="Arial"/>
        <family val="0"/>
        <charset val="1"/>
      </rPr>
      <t xml:space="preserve">KV head</t>
    </r>
  </si>
  <si>
    <t xml:space="preserve">DeepSeek V4</t>
  </si>
  <si>
    <r>
      <rPr>
        <sz val="10"/>
        <rFont val="Arial"/>
        <family val="0"/>
        <charset val="1"/>
      </rPr>
      <t xml:space="preserve">Arch!C11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Arch!D11</t>
    </r>
    <r>
      <rPr>
        <sz val="10"/>
        <rFont val="Noto Sans CJK SC"/>
        <family val="2"/>
        <charset val="1"/>
      </rPr>
      <t xml:space="preserve">｜直接</t>
    </r>
  </si>
  <si>
    <t xml:space="preserve">SRC_MOD_010</t>
  </si>
  <si>
    <t xml:space="preserve">DeepSeek V4-Flash routed experts</t>
  </si>
  <si>
    <r>
      <rPr>
        <sz val="10"/>
        <rFont val="Arial"/>
        <family val="0"/>
        <charset val="1"/>
      </rPr>
      <t xml:space="preserve">Arch!C12</t>
    </r>
    <r>
      <rPr>
        <sz val="10"/>
        <rFont val="Noto Sans CJK SC"/>
        <family val="2"/>
        <charset val="1"/>
      </rPr>
      <t xml:space="preserve">｜直接</t>
    </r>
  </si>
  <si>
    <t xml:space="preserve">SRC_MOD_011</t>
  </si>
  <si>
    <t xml:space="preserve">DeepSeek V4-Pro routed experts</t>
  </si>
  <si>
    <r>
      <rPr>
        <sz val="10"/>
        <rFont val="Arial"/>
        <family val="0"/>
        <charset val="1"/>
      </rPr>
      <t xml:space="preserve">Arch!D12</t>
    </r>
    <r>
      <rPr>
        <sz val="10"/>
        <rFont val="Noto Sans CJK SC"/>
        <family val="2"/>
        <charset val="1"/>
      </rPr>
      <t xml:space="preserve">｜直接</t>
    </r>
  </si>
  <si>
    <t xml:space="preserve">SRC_MOD_012</t>
  </si>
  <si>
    <r>
      <rPr>
        <sz val="10"/>
        <rFont val="Arial"/>
        <family val="0"/>
        <charset val="1"/>
      </rPr>
      <t xml:space="preserve">DeepSeek V4 </t>
    </r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  <charset val="1"/>
      </rPr>
      <t xml:space="preserve">啟用 </t>
    </r>
    <r>
      <rPr>
        <sz val="10"/>
        <rFont val="Arial"/>
        <family val="0"/>
        <charset val="1"/>
      </rPr>
      <t xml:space="preserve">routed experts</t>
    </r>
  </si>
  <si>
    <r>
      <rPr>
        <sz val="10"/>
        <rFont val="Arial"/>
        <family val="0"/>
        <charset val="1"/>
      </rPr>
      <t xml:space="preserve">Arch!C13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Arch!D13</t>
    </r>
    <r>
      <rPr>
        <sz val="10"/>
        <rFont val="Noto Sans CJK SC"/>
        <family val="2"/>
        <charset val="1"/>
      </rPr>
      <t xml:space="preserve">｜直接</t>
    </r>
  </si>
  <si>
    <t xml:space="preserve">SRC_MOD_013</t>
  </si>
  <si>
    <t xml:space="preserve">DeepSeek V4 shared experts</t>
  </si>
  <si>
    <r>
      <rPr>
        <sz val="10"/>
        <rFont val="Arial"/>
        <family val="0"/>
        <charset val="1"/>
      </rPr>
      <t xml:space="preserve">Arch!C14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Arch!D14</t>
    </r>
    <r>
      <rPr>
        <sz val="10"/>
        <rFont val="Noto Sans CJK SC"/>
        <family val="2"/>
        <charset val="1"/>
      </rPr>
      <t xml:space="preserve">｜直接</t>
    </r>
  </si>
  <si>
    <t xml:space="preserve">SRC_MOD_014</t>
  </si>
  <si>
    <t xml:space="preserve">DeepSeek V4 vocab</t>
  </si>
  <si>
    <t xml:space="preserve">token</t>
  </si>
  <si>
    <r>
      <rPr>
        <sz val="10"/>
        <rFont val="Arial"/>
        <family val="0"/>
        <charset val="1"/>
      </rPr>
      <t xml:space="preserve">Arch!C15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Arch!D15</t>
    </r>
    <r>
      <rPr>
        <sz val="10"/>
        <rFont val="Noto Sans CJK SC"/>
        <family val="2"/>
        <charset val="1"/>
      </rPr>
      <t xml:space="preserve">｜直接</t>
    </r>
  </si>
  <si>
    <t xml:space="preserve">SRC_MOD_015</t>
  </si>
  <si>
    <r>
      <rPr>
        <sz val="10"/>
        <rFont val="Arial"/>
        <family val="0"/>
        <charset val="1"/>
      </rPr>
      <t xml:space="preserve">DeepSeek V4 </t>
    </r>
    <r>
      <rPr>
        <sz val="10"/>
        <rFont val="Noto Sans CJK SC"/>
        <family val="2"/>
        <charset val="1"/>
      </rPr>
      <t xml:space="preserve">全注意力層比例（</t>
    </r>
    <r>
      <rPr>
        <sz val="10"/>
        <rFont val="Arial"/>
        <family val="0"/>
        <charset val="1"/>
      </rPr>
      <t xml:space="preserve">CSA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HCA </t>
    </r>
    <r>
      <rPr>
        <sz val="10"/>
        <rFont val="Noto Sans CJK SC"/>
        <family val="2"/>
        <charset val="1"/>
      </rPr>
      <t xml:space="preserve">約各半）</t>
    </r>
  </si>
  <si>
    <r>
      <rPr>
        <sz val="10"/>
        <rFont val="Arial"/>
        <family val="0"/>
        <charset val="1"/>
      </rPr>
      <t xml:space="preserve">Arch!C16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Arch!D16</t>
    </r>
    <r>
      <rPr>
        <sz val="10"/>
        <rFont val="Noto Sans CJK SC"/>
        <family val="2"/>
        <charset val="1"/>
      </rPr>
      <t xml:space="preserve">｜直接</t>
    </r>
  </si>
  <si>
    <t xml:space="preserve">SRC_MOD_016</t>
  </si>
  <si>
    <r>
      <rPr>
        <sz val="10"/>
        <rFont val="Arial"/>
        <family val="0"/>
        <charset val="1"/>
      </rPr>
      <t xml:space="preserve">DeepSeek V4 HCA </t>
    </r>
    <r>
      <rPr>
        <sz val="10"/>
        <rFont val="Noto Sans CJK SC"/>
        <family val="2"/>
        <charset val="1"/>
      </rPr>
      <t xml:space="preserve">壓縮比</t>
    </r>
  </si>
  <si>
    <t xml:space="preserve">x</t>
  </si>
  <si>
    <r>
      <rPr>
        <sz val="10"/>
        <rFont val="Arial"/>
        <family val="0"/>
        <charset val="1"/>
      </rPr>
      <t xml:space="preserve">Arch!C18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Arch!D18</t>
    </r>
    <r>
      <rPr>
        <sz val="10"/>
        <rFont val="Noto Sans CJK SC"/>
        <family val="2"/>
        <charset val="1"/>
      </rPr>
      <t xml:space="preserve">｜直接</t>
    </r>
  </si>
  <si>
    <t xml:space="preserve">SRC_MOD_017</t>
  </si>
  <si>
    <r>
      <rPr>
        <sz val="10"/>
        <rFont val="Arial"/>
        <family val="0"/>
        <charset val="1"/>
      </rPr>
      <t xml:space="preserve">DeepSeek V4 </t>
    </r>
    <r>
      <rPr>
        <sz val="10"/>
        <rFont val="Noto Sans CJK SC"/>
        <family val="2"/>
        <charset val="1"/>
      </rPr>
      <t xml:space="preserve">滑動窗</t>
    </r>
  </si>
  <si>
    <t xml:space="preserve">tok</t>
  </si>
  <si>
    <r>
      <rPr>
        <sz val="10"/>
        <rFont val="Arial"/>
        <family val="0"/>
        <charset val="1"/>
      </rPr>
      <t xml:space="preserve">Arch!C19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Arch!D19</t>
    </r>
    <r>
      <rPr>
        <sz val="10"/>
        <rFont val="Noto Sans CJK SC"/>
        <family val="2"/>
        <charset val="1"/>
      </rPr>
      <t xml:space="preserve">｜直接</t>
    </r>
  </si>
  <si>
    <t xml:space="preserve">SRC_MOD_018</t>
  </si>
  <si>
    <r>
      <rPr>
        <sz val="10"/>
        <rFont val="Arial"/>
        <family val="0"/>
        <charset val="1"/>
      </rPr>
      <t xml:space="preserve">DeepSeek V4 CSA top-k </t>
    </r>
    <r>
      <rPr>
        <sz val="10"/>
        <rFont val="Noto Sans CJK SC"/>
        <family val="2"/>
        <charset val="1"/>
      </rPr>
      <t xml:space="preserve">壓縮塊數</t>
    </r>
  </si>
  <si>
    <t xml:space="preserve">塊</t>
  </si>
  <si>
    <r>
      <rPr>
        <sz val="10"/>
        <rFont val="Arial"/>
        <family val="0"/>
        <charset val="1"/>
      </rPr>
      <t xml:space="preserve">Arch!C17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</si>
  <si>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1,024 × 4</t>
    </r>
    <r>
      <rPr>
        <sz val="10"/>
        <rFont val="Noto Sans CJK SC"/>
        <family val="2"/>
        <charset val="1"/>
      </rPr>
      <t xml:space="preserve">＋</t>
    </r>
    <r>
      <rPr>
        <sz val="10"/>
        <rFont val="Arial"/>
        <family val="0"/>
        <charset val="1"/>
      </rPr>
      <t xml:space="preserve">128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4,224</t>
    </r>
  </si>
  <si>
    <t xml:space="preserve">SRC_MOD_019</t>
  </si>
  <si>
    <r>
      <rPr>
        <sz val="10"/>
        <rFont val="Arial"/>
        <family val="0"/>
        <charset val="1"/>
      </rPr>
      <t xml:space="preserve">DeepSeek V4 CSA </t>
    </r>
    <r>
      <rPr>
        <sz val="10"/>
        <rFont val="Noto Sans CJK SC"/>
        <family val="2"/>
        <charset val="1"/>
      </rPr>
      <t xml:space="preserve">壓縮塊長度</t>
    </r>
  </si>
  <si>
    <r>
      <rPr>
        <sz val="10"/>
        <rFont val="Arial"/>
        <family val="0"/>
        <charset val="1"/>
      </rPr>
      <t xml:space="preserve">tok/</t>
    </r>
    <r>
      <rPr>
        <sz val="10"/>
        <rFont val="Noto Sans CJK SC"/>
        <family val="2"/>
        <charset val="1"/>
      </rPr>
      <t xml:space="preserve">塊</t>
    </r>
  </si>
  <si>
    <t xml:space="preserve">SRC_MOD_020</t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</si>
  <si>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  <charset val="1"/>
      </rPr>
      <t xml:space="preserve">總參數</t>
    </r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</si>
  <si>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</t>
    </r>
  </si>
  <si>
    <r>
      <rPr>
        <sz val="10"/>
        <rFont val="Arial"/>
        <family val="0"/>
        <charset val="1"/>
      </rPr>
      <t xml:space="preserve">Calib!C100</t>
    </r>
    <r>
      <rPr>
        <sz val="10"/>
        <rFont val="Noto Sans CJK SC"/>
        <family val="2"/>
        <charset val="1"/>
      </rPr>
      <t xml:space="preserve">｜直接</t>
    </r>
  </si>
  <si>
    <t xml:space="preserve">SRC_MOD_021</t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</si>
  <si>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  <charset val="1"/>
      </rPr>
      <t xml:space="preserve">啟用參數</t>
    </r>
  </si>
  <si>
    <r>
      <rPr>
        <sz val="10"/>
        <rFont val="Arial"/>
        <family val="0"/>
        <charset val="1"/>
      </rPr>
      <t xml:space="preserve">Calib!C101</t>
    </r>
    <r>
      <rPr>
        <sz val="10"/>
        <rFont val="Noto Sans CJK SC"/>
        <family val="2"/>
        <charset val="1"/>
      </rPr>
      <t xml:space="preserve">｜直接</t>
    </r>
  </si>
  <si>
    <t xml:space="preserve">SRC_MOD_022</t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</si>
  <si>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  <charset val="1"/>
      </rPr>
      <t xml:space="preserve">層數</t>
    </r>
  </si>
  <si>
    <r>
      <rPr>
        <sz val="10"/>
        <rFont val="Arial"/>
        <family val="0"/>
        <charset val="1"/>
      </rPr>
      <t xml:space="preserve">Calib!C102</t>
    </r>
    <r>
      <rPr>
        <sz val="10"/>
        <rFont val="Noto Sans CJK SC"/>
        <family val="2"/>
        <charset val="1"/>
      </rPr>
      <t xml:space="preserve">｜直接</t>
    </r>
  </si>
  <si>
    <t xml:space="preserve">SRC_MOD_023</t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</si>
  <si>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d_model</t>
    </r>
  </si>
  <si>
    <r>
      <rPr>
        <sz val="10"/>
        <rFont val="Arial"/>
        <family val="0"/>
        <charset val="1"/>
      </rPr>
      <t xml:space="preserve">Calib!C103</t>
    </r>
    <r>
      <rPr>
        <sz val="10"/>
        <rFont val="Noto Sans CJK SC"/>
        <family val="2"/>
        <charset val="1"/>
      </rPr>
      <t xml:space="preserve">｜直接</t>
    </r>
  </si>
  <si>
    <t xml:space="preserve">SRC_MOD_024</t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</si>
  <si>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routed experts</t>
    </r>
  </si>
  <si>
    <r>
      <rPr>
        <sz val="10"/>
        <rFont val="Arial"/>
        <family val="0"/>
        <charset val="1"/>
      </rPr>
      <t xml:space="preserve">Calib!C104</t>
    </r>
    <r>
      <rPr>
        <sz val="10"/>
        <rFont val="Noto Sans CJK SC"/>
        <family val="2"/>
        <charset val="1"/>
      </rPr>
      <t xml:space="preserve">｜直接</t>
    </r>
  </si>
  <si>
    <t xml:space="preserve">SRC_MOD_025</t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</si>
  <si>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  <charset val="1"/>
      </rPr>
      <t xml:space="preserve">啟用 </t>
    </r>
    <r>
      <rPr>
        <sz val="10"/>
        <rFont val="Arial"/>
        <family val="0"/>
        <charset val="1"/>
      </rPr>
      <t xml:space="preserve">experts</t>
    </r>
  </si>
  <si>
    <r>
      <rPr>
        <sz val="10"/>
        <rFont val="Arial"/>
        <family val="0"/>
        <charset val="1"/>
      </rPr>
      <t xml:space="preserve">Calib!C105</t>
    </r>
    <r>
      <rPr>
        <sz val="10"/>
        <rFont val="Noto Sans CJK SC"/>
        <family val="2"/>
        <charset val="1"/>
      </rPr>
      <t xml:space="preserve">｜直接</t>
    </r>
  </si>
  <si>
    <t xml:space="preserve">SRC_MOD_026</t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</si>
  <si>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shared experts</t>
    </r>
  </si>
  <si>
    <r>
      <rPr>
        <sz val="10"/>
        <rFont val="Arial"/>
        <family val="0"/>
        <charset val="1"/>
      </rPr>
      <t xml:space="preserve">Calib!C106</t>
    </r>
    <r>
      <rPr>
        <sz val="10"/>
        <rFont val="Noto Sans CJK SC"/>
        <family val="2"/>
        <charset val="1"/>
      </rPr>
      <t xml:space="preserve">｜直接</t>
    </r>
  </si>
  <si>
    <t xml:space="preserve">SRC_MOD_027</t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</si>
  <si>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vocab</t>
    </r>
  </si>
  <si>
    <r>
      <rPr>
        <sz val="10"/>
        <rFont val="Arial"/>
        <family val="0"/>
        <charset val="1"/>
      </rPr>
      <t xml:space="preserve">Calib!C107</t>
    </r>
    <r>
      <rPr>
        <sz val="10"/>
        <rFont val="Noto Sans CJK SC"/>
        <family val="2"/>
        <charset val="1"/>
      </rPr>
      <t xml:space="preserve">｜直接</t>
    </r>
  </si>
  <si>
    <t xml:space="preserve">SRC_MOD_028</t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</si>
  <si>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MLA KV </t>
    </r>
    <r>
      <rPr>
        <sz val="10"/>
        <rFont val="Noto Sans CJK SC"/>
        <family val="2"/>
        <charset val="1"/>
      </rPr>
      <t xml:space="preserve">維度（每層）</t>
    </r>
  </si>
  <si>
    <r>
      <rPr>
        <sz val="10"/>
        <rFont val="Arial"/>
        <family val="0"/>
        <charset val="1"/>
      </rPr>
      <t xml:space="preserve">FP8 </t>
    </r>
    <r>
      <rPr>
        <sz val="10"/>
        <rFont val="Noto Sans CJK SC"/>
        <family val="2"/>
        <charset val="1"/>
      </rPr>
      <t xml:space="preserve">時 </t>
    </r>
    <r>
      <rPr>
        <sz val="10"/>
        <rFont val="Arial"/>
        <family val="0"/>
        <charset val="1"/>
      </rPr>
      <t xml:space="preserve">bytes</t>
    </r>
    <r>
      <rPr>
        <sz val="10"/>
        <rFont val="Noto Sans CJK SC"/>
        <family val="2"/>
        <charset val="1"/>
      </rPr>
      <t xml:space="preserve">＝維</t>
    </r>
  </si>
  <si>
    <r>
      <rPr>
        <sz val="10"/>
        <rFont val="Arial"/>
        <family val="0"/>
        <charset val="1"/>
      </rPr>
      <t xml:space="preserve">Calib!C108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</si>
  <si>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576 × 61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35,136</t>
    </r>
  </si>
  <si>
    <t xml:space="preserve">SRC_MOD_029</t>
  </si>
  <si>
    <t xml:space="preserve">S35</t>
  </si>
  <si>
    <r>
      <rPr>
        <sz val="10"/>
        <rFont val="Arial"/>
        <family val="0"/>
        <charset val="1"/>
      </rPr>
      <t xml:space="preserve">DeepSeek V4-Flash </t>
    </r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token</t>
    </r>
  </si>
  <si>
    <t xml:space="preserve">T</t>
  </si>
  <si>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  <charset val="1"/>
      </rPr>
      <t xml:space="preserve">技術報告</t>
    </r>
  </si>
  <si>
    <t xml:space="preserve">一手</t>
  </si>
  <si>
    <r>
      <rPr>
        <sz val="10"/>
        <rFont val="Arial"/>
        <family val="0"/>
        <charset val="1"/>
      </rPr>
      <t xml:space="preserve">Train_In!C25</t>
    </r>
    <r>
      <rPr>
        <sz val="10"/>
        <rFont val="Noto Sans CJK SC"/>
        <family val="2"/>
        <charset val="1"/>
      </rPr>
      <t xml:space="preserve">｜直接</t>
    </r>
  </si>
  <si>
    <t xml:space="preserve">SRC_MOD_030</t>
  </si>
  <si>
    <r>
      <rPr>
        <sz val="10"/>
        <rFont val="Arial"/>
        <family val="0"/>
        <charset val="1"/>
      </rPr>
      <t xml:space="preserve">DeepSeek V4-Pro </t>
    </r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</si>
  <si>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Train_In!D25</t>
    </r>
    <r>
      <rPr>
        <sz val="10"/>
        <rFont val="Noto Sans CJK SC"/>
        <family val="2"/>
        <charset val="1"/>
      </rPr>
      <t xml:space="preserve">｜直接</t>
    </r>
  </si>
  <si>
    <t xml:space="preserve">SRC_MOD_031</t>
  </si>
  <si>
    <r>
      <rPr>
        <sz val="10"/>
        <rFont val="Arial"/>
        <family val="0"/>
        <charset val="1"/>
      </rPr>
      <t xml:space="preserve">DeepSeek V4 dense </t>
    </r>
    <r>
      <rPr>
        <sz val="10"/>
        <rFont val="Noto Sans CJK SC"/>
        <family val="2"/>
        <charset val="1"/>
      </rPr>
      <t xml:space="preserve">注意力預訓練序列長（起點）</t>
    </r>
  </si>
  <si>
    <r>
      <rPr>
        <sz val="10"/>
        <rFont val="Arial"/>
        <family val="0"/>
        <charset val="1"/>
      </rPr>
      <t xml:space="preserve">4K → 16K </t>
    </r>
    <r>
      <rPr>
        <sz val="10"/>
        <rFont val="Noto Sans CJK SC"/>
        <family val="2"/>
        <charset val="1"/>
      </rPr>
      <t xml:space="preserve">漸增</t>
    </r>
  </si>
  <si>
    <r>
      <rPr>
        <sz val="10"/>
        <rFont val="Arial"/>
        <family val="0"/>
        <charset val="1"/>
      </rPr>
      <t xml:space="preserve">Train_In!C26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Train_In!D26</t>
    </r>
    <r>
      <rPr>
        <sz val="10"/>
        <rFont val="Noto Sans CJK SC"/>
        <family val="2"/>
        <charset val="1"/>
      </rPr>
      <t xml:space="preserve">｜直接</t>
    </r>
  </si>
  <si>
    <t xml:space="preserve">SRC_MOD_032</t>
  </si>
  <si>
    <r>
      <rPr>
        <sz val="10"/>
        <rFont val="Arial"/>
        <family val="0"/>
        <charset val="1"/>
      </rPr>
      <t xml:space="preserve">DeepSeek V4 dense </t>
    </r>
    <r>
      <rPr>
        <sz val="10"/>
        <rFont val="Noto Sans CJK SC"/>
        <family val="2"/>
        <charset val="1"/>
      </rPr>
      <t xml:space="preserve">注意力預訓練序列長（終點）</t>
    </r>
  </si>
  <si>
    <t xml:space="preserve">切換稀疏前</t>
  </si>
  <si>
    <t xml:space="preserve">SRC_MOD_033</t>
  </si>
  <si>
    <t xml:space="preserve">S39</t>
  </si>
  <si>
    <r>
      <rPr>
        <sz val="10"/>
        <rFont val="Arial"/>
        <family val="0"/>
        <charset val="1"/>
      </rPr>
      <t xml:space="preserve">Grok-3 </t>
    </r>
    <r>
      <rPr>
        <sz val="10"/>
        <rFont val="Noto Sans CJK SC"/>
        <family val="2"/>
        <charset val="1"/>
      </rPr>
      <t xml:space="preserve">預訓練算力（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  <charset val="1"/>
      </rPr>
      <t xml:space="preserve">估計）</t>
    </r>
  </si>
  <si>
    <t xml:space="preserve">FLOP</t>
  </si>
  <si>
    <r>
      <rPr>
        <sz val="10"/>
        <rFont val="Noto Sans CJK SC"/>
        <family val="2"/>
        <charset val="1"/>
      </rPr>
      <t xml:space="preserve">誤差 </t>
    </r>
    <r>
      <rPr>
        <sz val="10"/>
        <rFont val="Arial"/>
        <family val="0"/>
        <charset val="1"/>
      </rPr>
      <t xml:space="preserve">2–5 </t>
    </r>
    <r>
      <rPr>
        <sz val="10"/>
        <rFont val="Noto Sans CJK SC"/>
        <family val="2"/>
        <charset val="1"/>
      </rPr>
      <t xml:space="preserve">倍</t>
    </r>
  </si>
  <si>
    <t xml:space="preserve">Grok-3</t>
  </si>
  <si>
    <t xml:space="preserve">2025-06</t>
  </si>
  <si>
    <r>
      <rPr>
        <sz val="10"/>
        <rFont val="Arial"/>
        <family val="0"/>
        <charset val="1"/>
      </rPr>
      <t xml:space="preserve">Epoch</t>
    </r>
    <r>
      <rPr>
        <sz val="10"/>
        <rFont val="Noto Sans CJK SC"/>
        <family val="2"/>
        <charset val="1"/>
      </rPr>
      <t xml:space="preserve">：獨立研究；估計誤差 </t>
    </r>
    <r>
      <rPr>
        <sz val="10"/>
        <rFont val="Arial"/>
        <family val="0"/>
        <charset val="1"/>
      </rPr>
      <t xml:space="preserve">2–5 </t>
    </r>
    <r>
      <rPr>
        <sz val="10"/>
        <rFont val="Noto Sans CJK SC"/>
        <family val="2"/>
        <charset val="1"/>
      </rPr>
      <t xml:space="preserve">倍</t>
    </r>
  </si>
  <si>
    <r>
      <rPr>
        <sz val="10"/>
        <rFont val="Noto Sans CJK SC"/>
        <family val="2"/>
        <charset val="1"/>
      </rPr>
      <t xml:space="preserve">一手（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  <charset val="1"/>
      </rPr>
      <t xml:space="preserve">推估）</t>
    </r>
  </si>
  <si>
    <r>
      <rPr>
        <sz val="10"/>
        <rFont val="Arial"/>
        <family val="0"/>
        <charset val="1"/>
      </rPr>
      <t xml:space="preserve">Train_In!C46</t>
    </r>
    <r>
      <rPr>
        <sz val="10"/>
        <rFont val="Noto Sans CJK SC"/>
        <family val="2"/>
        <charset val="1"/>
      </rPr>
      <t xml:space="preserve">｜選取；</t>
    </r>
    <r>
      <rPr>
        <sz val="10"/>
        <rFont val="Arial"/>
        <family val="0"/>
        <charset val="1"/>
      </rPr>
      <t xml:space="preserve">Train_In!C47</t>
    </r>
    <r>
      <rPr>
        <sz val="10"/>
        <rFont val="Noto Sans CJK SC"/>
        <family val="2"/>
        <charset val="1"/>
      </rPr>
      <t xml:space="preserve">｜選取；</t>
    </r>
    <r>
      <rPr>
        <sz val="10"/>
        <rFont val="Arial"/>
        <family val="0"/>
        <charset val="1"/>
      </rPr>
      <t xml:space="preserve">Train_In!C48</t>
    </r>
    <r>
      <rPr>
        <sz val="10"/>
        <rFont val="Noto Sans CJK SC"/>
        <family val="2"/>
        <charset val="1"/>
      </rPr>
      <t xml:space="preserve">｜選取</t>
    </r>
  </si>
  <si>
    <r>
      <rPr>
        <sz val="10"/>
        <rFont val="Noto Sans CJK SC"/>
        <family val="2"/>
        <charset val="1"/>
      </rPr>
      <t xml:space="preserve">錨點 </t>
    </r>
    <r>
      <rPr>
        <sz val="10"/>
        <rFont val="Arial"/>
        <family val="0"/>
        <charset val="1"/>
      </rPr>
      <t xml:space="preserve">2e26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5e26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2e27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Analogy</t>
    </r>
  </si>
  <si>
    <t xml:space="preserve">SRC_MOD_034</t>
  </si>
  <si>
    <t xml:space="preserve">S40</t>
  </si>
  <si>
    <r>
      <rPr>
        <sz val="10"/>
        <rFont val="Arial"/>
        <family val="0"/>
        <charset val="1"/>
      </rPr>
      <t xml:space="preserve">DeepSeek R1 RL GPU </t>
    </r>
    <r>
      <rPr>
        <sz val="10"/>
        <rFont val="Noto Sans CJK SC"/>
        <family val="2"/>
        <charset val="1"/>
      </rPr>
      <t xml:space="preserve">小時</t>
    </r>
  </si>
  <si>
    <t xml:space="preserve">M H800 GPU-hr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</si>
  <si>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小時</t>
    </r>
  </si>
  <si>
    <t xml:space="preserve">DeepSeek R1</t>
  </si>
  <si>
    <t xml:space="preserve">2025</t>
  </si>
  <si>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  <charset val="1"/>
      </rPr>
      <t xml:space="preserve">揭露，經 </t>
    </r>
    <r>
      <rPr>
        <sz val="10"/>
        <rFont val="Arial"/>
        <family val="0"/>
        <charset val="1"/>
      </rPr>
      <t xml:space="preserve">Lambert </t>
    </r>
    <r>
      <rPr>
        <sz val="10"/>
        <rFont val="Noto Sans CJK SC"/>
        <family val="2"/>
        <charset val="1"/>
      </rPr>
      <t xml:space="preserve">轉述</t>
    </r>
  </si>
  <si>
    <r>
      <rPr>
        <sz val="10"/>
        <rFont val="Arial"/>
        <family val="0"/>
        <charset val="1"/>
      </rPr>
      <t xml:space="preserve">Train_In!C44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</si>
  <si>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÷2.664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0.0552</t>
    </r>
    <r>
      <rPr>
        <sz val="10"/>
        <rFont val="Noto Sans CJK SC"/>
        <family val="2"/>
        <charset val="1"/>
      </rPr>
      <t xml:space="preserve">，模型取 </t>
    </r>
    <r>
      <rPr>
        <sz val="10"/>
        <rFont val="Arial"/>
        <family val="0"/>
        <charset val="1"/>
      </rPr>
      <t xml:space="preserve">0.055</t>
    </r>
  </si>
  <si>
    <t xml:space="preserve">SRC_MOD_035</t>
  </si>
  <si>
    <t xml:space="preserve">S41</t>
  </si>
  <si>
    <r>
      <rPr>
        <sz val="10"/>
        <rFont val="Arial"/>
        <family val="0"/>
        <charset val="1"/>
      </rPr>
      <t xml:space="preserve">Nemotron Ultra RL GPU </t>
    </r>
    <r>
      <rPr>
        <sz val="10"/>
        <rFont val="Noto Sans CJK SC"/>
        <family val="2"/>
        <charset val="1"/>
      </rPr>
      <t xml:space="preserve">小時</t>
    </r>
  </si>
  <si>
    <t xml:space="preserve">M H100 GPU-hr</t>
  </si>
  <si>
    <r>
      <rPr>
        <sz val="10"/>
        <rFont val="Noto Sans CJK SC"/>
        <family val="2"/>
        <charset val="1"/>
      </rPr>
      <t xml:space="preserve">不到預訓練 </t>
    </r>
    <r>
      <rPr>
        <sz val="10"/>
        <rFont val="Arial"/>
        <family val="0"/>
        <charset val="1"/>
      </rPr>
      <t xml:space="preserve">1%</t>
    </r>
  </si>
  <si>
    <t xml:space="preserve">Nemotron Ultra</t>
  </si>
  <si>
    <t xml:space="preserve">2025-05</t>
  </si>
  <si>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揭露，經 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  <charset val="1"/>
      </rPr>
      <t xml:space="preserve">轉述</t>
    </r>
  </si>
  <si>
    <t xml:space="preserve">SRC_MOD_036</t>
  </si>
  <si>
    <t xml:space="preserve">S42</t>
  </si>
  <si>
    <r>
      <rPr>
        <sz val="10"/>
        <rFont val="Arial"/>
        <family val="0"/>
        <charset val="1"/>
      </rPr>
      <t xml:space="preserve">Grok 4 RL </t>
    </r>
    <r>
      <rPr>
        <sz val="10"/>
        <rFont val="Noto Sans CJK SC"/>
        <family val="2"/>
        <charset val="1"/>
      </rPr>
      <t xml:space="preserve">算力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  <charset val="1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</si>
  <si>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</si>
  <si>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</si>
  <si>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</si>
  <si>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r>
      <rPr>
        <sz val="10"/>
        <rFont val="Arial"/>
        <family val="0"/>
        <charset val="1"/>
      </rPr>
      <t xml:space="preserve">xAI</t>
    </r>
    <r>
      <rPr>
        <sz val="10"/>
        <rFont val="Noto Sans CJK SC"/>
        <family val="2"/>
        <charset val="1"/>
      </rPr>
      <t xml:space="preserve">：產品發表，有宣傳誘因；口徑不明</t>
    </r>
  </si>
  <si>
    <r>
      <rPr>
        <sz val="10"/>
        <rFont val="Arial"/>
        <family val="0"/>
        <charset val="1"/>
      </rPr>
      <t xml:space="preserve">Train_In!C45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</si>
  <si>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「預訓練規模」量化為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  <charset val="1"/>
      </rPr>
      <t xml:space="preserve">屬解讀 → 建議模型格標 </t>
    </r>
    <r>
      <rPr>
        <sz val="10"/>
        <rFont val="Arial"/>
        <family val="0"/>
        <charset val="1"/>
      </rPr>
      <t xml:space="preserve">Analogy</t>
    </r>
  </si>
  <si>
    <t xml:space="preserve">SRC_MOD_037</t>
  </si>
  <si>
    <r>
      <rPr>
        <sz val="10"/>
        <rFont val="Arial"/>
        <family val="0"/>
        <charset val="1"/>
      </rPr>
      <t xml:space="preserve">Grok 4 RL </t>
    </r>
    <r>
      <rPr>
        <sz val="10"/>
        <rFont val="Noto Sans CJK SC"/>
        <family val="2"/>
        <charset val="1"/>
      </rPr>
      <t xml:space="preserve">叢集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數</t>
    </r>
  </si>
  <si>
    <t xml:space="preserve">SRC_MOD_038</t>
  </si>
  <si>
    <r>
      <rPr>
        <sz val="10"/>
        <rFont val="Arial"/>
        <family val="0"/>
        <charset val="1"/>
      </rPr>
      <t xml:space="preserve">Grok 4 RL </t>
    </r>
    <r>
      <rPr>
        <sz val="10"/>
        <rFont val="Noto Sans CJK SC"/>
        <family val="2"/>
        <charset val="1"/>
      </rPr>
      <t xml:space="preserve">算力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  <charset val="1"/>
      </rPr>
      <t xml:space="preserve">前一代</t>
    </r>
  </si>
  <si>
    <r>
      <rPr>
        <sz val="10"/>
        <rFont val="Noto Sans CJK SC"/>
        <family val="2"/>
        <charset val="1"/>
      </rPr>
      <t xml:space="preserve">下限（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  <charset val="1"/>
      </rPr>
      <t xml:space="preserve">倍以上）</t>
    </r>
  </si>
  <si>
    <t xml:space="preserve">SRC_MOD_039</t>
  </si>
  <si>
    <t xml:space="preserve">S44</t>
  </si>
  <si>
    <r>
      <rPr>
        <sz val="10"/>
        <rFont val="Arial"/>
        <family val="0"/>
        <charset val="1"/>
      </rPr>
      <t xml:space="preserve">DeepSeek-V3 </t>
    </r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</si>
  <si>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</si>
  <si>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</si>
  <si>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  <charset val="1"/>
      </rPr>
      <t xml:space="preserve">技術報告；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小時為模型內建知識</t>
    </r>
  </si>
  <si>
    <r>
      <rPr>
        <sz val="10"/>
        <rFont val="Arial"/>
        <family val="0"/>
        <charset val="1"/>
      </rPr>
      <t xml:space="preserve">Train_In!C41</t>
    </r>
    <r>
      <rPr>
        <sz val="10"/>
        <rFont val="Noto Sans CJK SC"/>
        <family val="2"/>
        <charset val="1"/>
      </rPr>
      <t xml:space="preserve">｜直接</t>
    </r>
  </si>
  <si>
    <t xml:space="preserve">SRC_MOD_040</t>
  </si>
  <si>
    <r>
      <rPr>
        <sz val="10"/>
        <rFont val="Arial"/>
        <family val="0"/>
        <charset val="1"/>
      </rPr>
      <t xml:space="preserve">DeepSeek-V3 </t>
    </r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H800 GPU </t>
    </r>
    <r>
      <rPr>
        <sz val="10"/>
        <rFont val="Noto Sans CJK SC"/>
        <family val="2"/>
        <charset val="1"/>
      </rPr>
      <t xml:space="preserve">小時</t>
    </r>
  </si>
  <si>
    <t xml:space="preserve">M GPU-hr</t>
  </si>
  <si>
    <t xml:space="preserve">預訓練</t>
  </si>
  <si>
    <r>
      <rPr>
        <sz val="10"/>
        <rFont val="Arial"/>
        <family val="0"/>
        <charset val="1"/>
      </rPr>
      <t xml:space="preserve">Train_In!C42</t>
    </r>
    <r>
      <rPr>
        <sz val="10"/>
        <rFont val="Noto Sans CJK SC"/>
        <family val="2"/>
        <charset val="1"/>
      </rPr>
      <t xml:space="preserve">｜直接</t>
    </r>
  </si>
  <si>
    <t xml:space="preserve">SRC_MOD_041</t>
  </si>
  <si>
    <r>
      <rPr>
        <sz val="10"/>
        <rFont val="Arial"/>
        <family val="0"/>
        <charset val="1"/>
      </rPr>
      <t xml:space="preserve">DeepSeek-V3 </t>
    </r>
    <r>
      <rPr>
        <sz val="10"/>
        <rFont val="Noto Sans CJK SC"/>
        <family val="2"/>
        <charset val="1"/>
      </rPr>
      <t xml:space="preserve">全部 </t>
    </r>
    <r>
      <rPr>
        <sz val="10"/>
        <rFont val="Arial"/>
        <family val="0"/>
        <charset val="1"/>
      </rPr>
      <t xml:space="preserve">H800 GPU </t>
    </r>
    <r>
      <rPr>
        <sz val="10"/>
        <rFont val="Noto Sans CJK SC"/>
        <family val="2"/>
        <charset val="1"/>
      </rPr>
      <t xml:space="preserve">小時</t>
    </r>
  </si>
  <si>
    <r>
      <rPr>
        <sz val="10"/>
        <rFont val="Noto Sans CJK SC"/>
        <family val="2"/>
        <charset val="1"/>
      </rPr>
      <t xml:space="preserve">含長上下文 </t>
    </r>
    <r>
      <rPr>
        <sz val="10"/>
        <rFont val="Arial"/>
        <family val="0"/>
        <charset val="1"/>
      </rPr>
      <t xml:space="preserve">0.119M</t>
    </r>
    <r>
      <rPr>
        <sz val="10"/>
        <rFont val="Noto Sans CJK SC"/>
        <family val="2"/>
        <charset val="1"/>
      </rPr>
      <t xml:space="preserve">、後訓練 </t>
    </r>
    <r>
      <rPr>
        <sz val="10"/>
        <rFont val="Arial"/>
        <family val="0"/>
        <charset val="1"/>
      </rPr>
      <t xml:space="preserve">0.005M</t>
    </r>
  </si>
  <si>
    <t xml:space="preserve">SRC_MOD_042</t>
  </si>
  <si>
    <r>
      <rPr>
        <sz val="10"/>
        <rFont val="Arial"/>
        <family val="0"/>
        <charset val="1"/>
      </rPr>
      <t xml:space="preserve">DeepSeek-V3 </t>
    </r>
    <r>
      <rPr>
        <sz val="10"/>
        <rFont val="Noto Sans CJK SC"/>
        <family val="2"/>
        <charset val="1"/>
      </rPr>
      <t xml:space="preserve">預訓練序列長</t>
    </r>
  </si>
  <si>
    <r>
      <rPr>
        <sz val="10"/>
        <rFont val="Arial"/>
        <family val="0"/>
        <charset val="1"/>
      </rPr>
      <t xml:space="preserve">Train_In!C43</t>
    </r>
    <r>
      <rPr>
        <sz val="10"/>
        <rFont val="Noto Sans CJK SC"/>
        <family val="2"/>
        <charset val="1"/>
      </rPr>
      <t xml:space="preserve">｜直接</t>
    </r>
  </si>
  <si>
    <t xml:space="preserve">SRC_MOD_043</t>
  </si>
  <si>
    <t xml:space="preserve">S45</t>
  </si>
  <si>
    <r>
      <rPr>
        <sz val="10"/>
        <rFont val="Noto Sans CJK SC"/>
        <family val="2"/>
        <charset val="1"/>
      </rPr>
      <t xml:space="preserve">非同步 </t>
    </r>
    <r>
      <rPr>
        <sz val="10"/>
        <rFont val="Arial"/>
        <family val="0"/>
        <charset val="1"/>
      </rPr>
      <t xml:space="preserve">RL </t>
    </r>
    <r>
      <rPr>
        <sz val="10"/>
        <rFont val="Noto Sans CJK SC"/>
        <family val="2"/>
        <charset val="1"/>
      </rPr>
      <t xml:space="preserve">公開採用：</t>
    </r>
    <r>
      <rPr>
        <sz val="10"/>
        <rFont val="Arial"/>
        <family val="0"/>
        <charset val="1"/>
      </rPr>
      <t xml:space="preserve">DeepSeek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V4.1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</si>
  <si>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＝採用</t>
    </r>
  </si>
  <si>
    <t xml:space="preserve">旗艦模型揭露</t>
  </si>
  <si>
    <t xml:space="preserve">DeepSeek</t>
  </si>
  <si>
    <r>
      <rPr>
        <sz val="10"/>
        <rFont val="Arial"/>
        <family val="0"/>
        <charset val="1"/>
      </rPr>
      <t xml:space="preserve">Tech_Registry!J14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</si>
  <si>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T10 </t>
    </r>
    <r>
      <rPr>
        <sz val="10"/>
        <rFont val="Noto Sans CJK SC"/>
        <family val="2"/>
        <charset val="1"/>
      </rPr>
      <t xml:space="preserve">採用數＝</t>
    </r>
    <r>
      <rPr>
        <sz val="10"/>
        <rFont val="Arial"/>
        <family val="0"/>
        <charset val="1"/>
      </rPr>
      <t xml:space="preserve">S45–S48 </t>
    </r>
    <r>
      <rPr>
        <sz val="10"/>
        <rFont val="Noto Sans CJK SC"/>
        <family val="2"/>
        <charset val="1"/>
      </rPr>
      <t xml:space="preserve">計數</t>
    </r>
  </si>
  <si>
    <t xml:space="preserve">SRC_MOD_044</t>
  </si>
  <si>
    <t xml:space="preserve">S46</t>
  </si>
  <si>
    <r>
      <rPr>
        <sz val="10"/>
        <rFont val="Noto Sans CJK SC"/>
        <family val="2"/>
        <charset val="1"/>
      </rPr>
      <t xml:space="preserve">非同步 </t>
    </r>
    <r>
      <rPr>
        <sz val="10"/>
        <rFont val="Arial"/>
        <family val="0"/>
        <charset val="1"/>
      </rPr>
      <t xml:space="preserve">RL </t>
    </r>
    <r>
      <rPr>
        <sz val="10"/>
        <rFont val="Noto Sans CJK SC"/>
        <family val="2"/>
        <charset val="1"/>
      </rPr>
      <t xml:space="preserve">公開採用：</t>
    </r>
    <r>
      <rPr>
        <sz val="10"/>
        <rFont val="Arial"/>
        <family val="0"/>
        <charset val="1"/>
      </rPr>
      <t xml:space="preserve">Zhipu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GLM-5</t>
    </r>
    <r>
      <rPr>
        <sz val="10"/>
        <rFont val="Noto Sans CJK SC"/>
        <family val="2"/>
        <charset val="1"/>
      </rPr>
      <t xml:space="preserve">）</t>
    </r>
  </si>
  <si>
    <t xml:space="preserve">Zhipu</t>
  </si>
  <si>
    <t xml:space="preserve">2026-02</t>
  </si>
  <si>
    <r>
      <rPr>
        <sz val="10"/>
        <rFont val="Arial"/>
        <family val="0"/>
        <charset val="1"/>
      </rPr>
      <t xml:space="preserve">Zhipu </t>
    </r>
    <r>
      <rPr>
        <sz val="10"/>
        <rFont val="Noto Sans CJK SC"/>
        <family val="2"/>
        <charset val="1"/>
      </rPr>
      <t xml:space="preserve">技術報告</t>
    </r>
  </si>
  <si>
    <t xml:space="preserve">SRC_MOD_045</t>
  </si>
  <si>
    <t xml:space="preserve">S47</t>
  </si>
  <si>
    <r>
      <rPr>
        <sz val="10"/>
        <rFont val="Noto Sans CJK SC"/>
        <family val="2"/>
        <charset val="1"/>
      </rPr>
      <t xml:space="preserve">非同步 </t>
    </r>
    <r>
      <rPr>
        <sz val="10"/>
        <rFont val="Arial"/>
        <family val="0"/>
        <charset val="1"/>
      </rPr>
      <t xml:space="preserve">RL </t>
    </r>
    <r>
      <rPr>
        <sz val="10"/>
        <rFont val="Noto Sans CJK SC"/>
        <family val="2"/>
        <charset val="1"/>
      </rPr>
      <t xml:space="preserve">公開採用：</t>
    </r>
    <r>
      <rPr>
        <sz val="10"/>
        <rFont val="Arial"/>
        <family val="0"/>
        <charset val="1"/>
      </rPr>
      <t xml:space="preserve">Moonshot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Kimi-Researcher</t>
    </r>
    <r>
      <rPr>
        <sz val="10"/>
        <rFont val="Noto Sans CJK SC"/>
        <family val="2"/>
        <charset val="1"/>
      </rPr>
      <t xml:space="preserve">）</t>
    </r>
  </si>
  <si>
    <t xml:space="preserve">Moonshot</t>
  </si>
  <si>
    <r>
      <rPr>
        <sz val="10"/>
        <rFont val="Arial"/>
        <family val="0"/>
        <charset val="1"/>
      </rPr>
      <t xml:space="preserve">Moonshot </t>
    </r>
    <r>
      <rPr>
        <sz val="10"/>
        <rFont val="Noto Sans CJK SC"/>
        <family val="2"/>
        <charset val="1"/>
      </rPr>
      <t xml:space="preserve">技術部落格（經 </t>
    </r>
    <r>
      <rPr>
        <sz val="10"/>
        <rFont val="Arial"/>
        <family val="0"/>
        <charset val="1"/>
      </rPr>
      <t xml:space="preserve">Medium </t>
    </r>
    <r>
      <rPr>
        <sz val="10"/>
        <rFont val="Noto Sans CJK SC"/>
        <family val="2"/>
        <charset val="1"/>
      </rPr>
      <t xml:space="preserve">轉述）</t>
    </r>
  </si>
  <si>
    <t xml:space="preserve">SRC_MOD_046</t>
  </si>
  <si>
    <r>
      <rPr>
        <sz val="10"/>
        <rFont val="Arial"/>
        <family val="0"/>
        <charset val="1"/>
      </rPr>
      <t xml:space="preserve">Kimi </t>
    </r>
    <r>
      <rPr>
        <sz val="10"/>
        <rFont val="Noto Sans CJK SC"/>
        <family val="2"/>
        <charset val="1"/>
      </rPr>
      <t xml:space="preserve">完全非同步 </t>
    </r>
    <r>
      <rPr>
        <sz val="10"/>
        <rFont val="Arial"/>
        <family val="0"/>
        <charset val="1"/>
      </rPr>
      <t xml:space="preserve">rollout </t>
    </r>
    <r>
      <rPr>
        <sz val="10"/>
        <rFont val="Noto Sans CJK SC"/>
        <family val="2"/>
        <charset val="1"/>
      </rPr>
      <t xml:space="preserve">加速</t>
    </r>
  </si>
  <si>
    <r>
      <rPr>
        <sz val="10"/>
        <rFont val="Noto Sans CJK SC"/>
        <family val="2"/>
        <charset val="1"/>
      </rPr>
      <t xml:space="preserve">下限（至少 </t>
    </r>
    <r>
      <rPr>
        <sz val="10"/>
        <rFont val="Arial"/>
        <family val="0"/>
        <charset val="1"/>
      </rPr>
      <t xml:space="preserve">1.5 </t>
    </r>
    <r>
      <rPr>
        <sz val="10"/>
        <rFont val="Noto Sans CJK SC"/>
        <family val="2"/>
        <charset val="1"/>
      </rPr>
      <t xml:space="preserve">倍）</t>
    </r>
  </si>
  <si>
    <t xml:space="preserve">SRC_MOD_047</t>
  </si>
  <si>
    <t xml:space="preserve">S48</t>
  </si>
  <si>
    <r>
      <rPr>
        <sz val="10"/>
        <rFont val="Noto Sans CJK SC"/>
        <family val="2"/>
        <charset val="1"/>
      </rPr>
      <t xml:space="preserve">非同步 </t>
    </r>
    <r>
      <rPr>
        <sz val="10"/>
        <rFont val="Arial"/>
        <family val="0"/>
        <charset val="1"/>
      </rPr>
      <t xml:space="preserve">RL </t>
    </r>
    <r>
      <rPr>
        <sz val="10"/>
        <rFont val="Noto Sans CJK SC"/>
        <family val="2"/>
        <charset val="1"/>
      </rPr>
      <t xml:space="preserve">公開採用：</t>
    </r>
    <r>
      <rPr>
        <sz val="10"/>
        <rFont val="Arial"/>
        <family val="0"/>
        <charset val="1"/>
      </rPr>
      <t xml:space="preserve">Meta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Llama 3 </t>
    </r>
    <r>
      <rPr>
        <sz val="10"/>
        <rFont val="Noto Sans CJK SC"/>
        <family val="2"/>
        <charset val="1"/>
      </rPr>
      <t xml:space="preserve">後訓練）</t>
    </r>
  </si>
  <si>
    <t xml:space="preserve">Meta</t>
  </si>
  <si>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  <charset val="1"/>
      </rPr>
      <t xml:space="preserve">論文；比較基準線較弱</t>
    </r>
  </si>
  <si>
    <t xml:space="preserve">SRC_MOD_048</t>
  </si>
  <si>
    <r>
      <rPr>
        <sz val="10"/>
        <rFont val="Arial"/>
        <family val="0"/>
        <charset val="1"/>
      </rPr>
      <t xml:space="preserve">LlamaRL </t>
    </r>
    <r>
      <rPr>
        <sz val="10"/>
        <rFont val="Noto Sans CJK SC"/>
        <family val="2"/>
        <charset val="1"/>
      </rPr>
      <t xml:space="preserve">相對 </t>
    </r>
    <r>
      <rPr>
        <sz val="10"/>
        <rFont val="Arial"/>
        <family val="0"/>
        <charset val="1"/>
      </rPr>
      <t xml:space="preserve">DeepSpeed-Chat </t>
    </r>
    <r>
      <rPr>
        <sz val="10"/>
        <rFont val="Noto Sans CJK SC"/>
        <family val="2"/>
        <charset val="1"/>
      </rPr>
      <t xml:space="preserve">類加速（</t>
    </r>
    <r>
      <rPr>
        <sz val="10"/>
        <rFont val="Arial"/>
        <family val="0"/>
        <charset val="1"/>
      </rPr>
      <t xml:space="preserve">405B</t>
    </r>
    <r>
      <rPr>
        <sz val="10"/>
        <rFont val="Noto Sans CJK SC"/>
        <family val="2"/>
        <charset val="1"/>
      </rPr>
      <t xml:space="preserve">）</t>
    </r>
  </si>
  <si>
    <t xml:space="preserve">上限；基準線較弱</t>
  </si>
  <si>
    <t xml:space="preserve">SRC_PERF_001</t>
  </si>
  <si>
    <t xml:space="preserve">S20</t>
  </si>
  <si>
    <r>
      <rPr>
        <sz val="10"/>
        <rFont val="Arial"/>
        <family val="0"/>
        <charset val="1"/>
      </rPr>
      <t xml:space="preserve">InferenceX GB300 V4-Pro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vLLM </t>
    </r>
    <r>
      <rPr>
        <sz val="10"/>
        <rFont val="Noto Sans CJK SC"/>
        <family val="2"/>
        <charset val="1"/>
      </rPr>
      <t xml:space="preserve">無 </t>
    </r>
    <r>
      <rPr>
        <sz val="10"/>
        <rFont val="Arial"/>
        <family val="0"/>
        <charset val="1"/>
      </rPr>
      <t xml:space="preserve">MTP</t>
    </r>
    <r>
      <rPr>
        <sz val="10"/>
        <rFont val="Noto Sans CJK SC"/>
        <family val="2"/>
        <charset val="1"/>
      </rPr>
      <t xml:space="preserve">）</t>
    </r>
    <r>
      <rPr>
        <sz val="10"/>
        <rFont val="Arial"/>
        <family val="0"/>
        <charset val="1"/>
      </rPr>
      <t xml:space="preserve">@27 tok/s/user</t>
    </r>
  </si>
  <si>
    <r>
      <rPr>
        <sz val="10"/>
        <rFont val="Arial"/>
        <family val="0"/>
        <charset val="1"/>
      </rPr>
      <t xml:space="preserve">tok/s/GPU</t>
    </r>
    <r>
      <rPr>
        <sz val="10"/>
        <rFont val="Noto Sans CJK SC"/>
        <family val="2"/>
        <charset val="1"/>
      </rPr>
      <t xml:space="preserve">（總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</si>
  <si>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ISL 8192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OSL 1024</t>
    </r>
  </si>
  <si>
    <t xml:space="preserve">2026-05-22</t>
  </si>
  <si>
    <r>
      <rPr>
        <sz val="10"/>
        <rFont val="Arial"/>
        <family val="0"/>
        <charset val="1"/>
      </rPr>
      <t xml:space="preserve">SemiAnalysis InferenceX</t>
    </r>
    <r>
      <rPr>
        <sz val="10"/>
        <rFont val="Noto Sans CJK SC"/>
        <family val="2"/>
        <charset val="1"/>
      </rPr>
      <t xml:space="preserve">；須第二來源</t>
    </r>
  </si>
  <si>
    <r>
      <rPr>
        <sz val="10"/>
        <rFont val="Arial"/>
        <family val="0"/>
        <charset val="1"/>
      </rPr>
      <t xml:space="preserve">Calib!F17</t>
    </r>
    <r>
      <rPr>
        <sz val="10"/>
        <rFont val="Noto Sans CJK SC"/>
        <family val="2"/>
        <charset val="1"/>
      </rPr>
      <t xml:space="preserve">｜直接</t>
    </r>
  </si>
  <si>
    <t xml:space="preserve">舊軟體</t>
  </si>
  <si>
    <t xml:space="preserve">SRC_PERF_002</t>
  </si>
  <si>
    <r>
      <rPr>
        <sz val="10"/>
        <rFont val="Arial"/>
        <family val="0"/>
        <charset val="1"/>
      </rPr>
      <t xml:space="preserve">InferenceX GB200 V4-Pro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vLLM </t>
    </r>
    <r>
      <rPr>
        <sz val="10"/>
        <rFont val="Noto Sans CJK SC"/>
        <family val="2"/>
        <charset val="1"/>
      </rPr>
      <t xml:space="preserve">無 </t>
    </r>
    <r>
      <rPr>
        <sz val="10"/>
        <rFont val="Arial"/>
        <family val="0"/>
        <charset val="1"/>
      </rPr>
      <t xml:space="preserve">MTP</t>
    </r>
    <r>
      <rPr>
        <sz val="10"/>
        <rFont val="Noto Sans CJK SC"/>
        <family val="2"/>
        <charset val="1"/>
      </rPr>
      <t xml:space="preserve">）</t>
    </r>
    <r>
      <rPr>
        <sz val="10"/>
        <rFont val="Arial"/>
        <family val="0"/>
        <charset val="1"/>
      </rPr>
      <t xml:space="preserve">@27 tok/s/user</t>
    </r>
  </si>
  <si>
    <r>
      <rPr>
        <sz val="10"/>
        <rFont val="Arial"/>
        <family val="0"/>
        <charset val="1"/>
      </rPr>
      <t xml:space="preserve">Calib!G17</t>
    </r>
    <r>
      <rPr>
        <sz val="10"/>
        <rFont val="Noto Sans CJK SC"/>
        <family val="2"/>
        <charset val="1"/>
      </rPr>
      <t xml:space="preserve">｜直接</t>
    </r>
  </si>
  <si>
    <t xml:space="preserve">舊軟體；記憶體限制配方</t>
  </si>
  <si>
    <t xml:space="preserve">SRC_PERF_003</t>
  </si>
  <si>
    <r>
      <rPr>
        <sz val="10"/>
        <rFont val="Arial"/>
        <family val="0"/>
        <charset val="1"/>
      </rPr>
      <t xml:space="preserve">InferenceX GB300 V4-Pro </t>
    </r>
    <r>
      <rPr>
        <sz val="10"/>
        <rFont val="Noto Sans CJK SC"/>
        <family val="2"/>
        <charset val="1"/>
      </rPr>
      <t xml:space="preserve">峰值吞吐（</t>
    </r>
    <r>
      <rPr>
        <sz val="10"/>
        <rFont val="Arial"/>
        <family val="0"/>
        <charset val="1"/>
      </rPr>
      <t xml:space="preserve">@13.1 tok/s/user</t>
    </r>
    <r>
      <rPr>
        <sz val="10"/>
        <rFont val="Noto Sans CJK SC"/>
        <family val="2"/>
        <charset val="1"/>
      </rPr>
      <t xml:space="preserve">）</t>
    </r>
  </si>
  <si>
    <t xml:space="preserve">tok/s/GPU</t>
  </si>
  <si>
    <t xml:space="preserve">SRC_PERF_004</t>
  </si>
  <si>
    <t xml:space="preserve">S21</t>
  </si>
  <si>
    <r>
      <rPr>
        <sz val="10"/>
        <rFont val="Arial"/>
        <family val="0"/>
        <charset val="1"/>
      </rPr>
      <t xml:space="preserve">SGLang</t>
    </r>
    <r>
      <rPr>
        <sz val="10"/>
        <rFont val="Noto Sans CJK SC"/>
        <family val="2"/>
        <charset val="1"/>
      </rPr>
      <t xml:space="preserve">＋</t>
    </r>
    <r>
      <rPr>
        <sz val="10"/>
        <rFont val="Arial"/>
        <family val="0"/>
        <charset val="1"/>
      </rPr>
      <t xml:space="preserve">MTP V4 on GB300 @</t>
    </r>
    <r>
      <rPr>
        <sz val="10"/>
        <rFont val="Noto Sans CJK SC"/>
        <family val="2"/>
        <charset val="1"/>
      </rPr>
      <t xml:space="preserve">約 </t>
    </r>
    <r>
      <rPr>
        <sz val="10"/>
        <rFont val="Arial"/>
        <family val="0"/>
        <charset val="1"/>
      </rPr>
      <t xml:space="preserve">50 tok/s/user</t>
    </r>
  </si>
  <si>
    <t xml:space="preserve">2026-06-23</t>
  </si>
  <si>
    <r>
      <rPr>
        <sz val="10"/>
        <rFont val="Arial"/>
        <family val="0"/>
        <charset val="1"/>
      </rPr>
      <t xml:space="preserve">SGLang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作者</t>
    </r>
  </si>
  <si>
    <r>
      <rPr>
        <sz val="10"/>
        <rFont val="Arial"/>
        <family val="0"/>
        <charset val="1"/>
      </rPr>
      <t xml:space="preserve">Calib!E17</t>
    </r>
    <r>
      <rPr>
        <sz val="10"/>
        <rFont val="Noto Sans CJK SC"/>
        <family val="2"/>
        <charset val="1"/>
      </rPr>
      <t xml:space="preserve">｜直接</t>
    </r>
  </si>
  <si>
    <t xml:space="preserve">SRC_PERF_005</t>
  </si>
  <si>
    <r>
      <rPr>
        <sz val="10"/>
        <rFont val="Arial"/>
        <family val="0"/>
        <charset val="1"/>
      </rPr>
      <t xml:space="preserve">MTP </t>
    </r>
    <r>
      <rPr>
        <sz val="10"/>
        <rFont val="Noto Sans CJK SC"/>
        <family val="2"/>
        <charset val="1"/>
      </rPr>
      <t xml:space="preserve">草稿接受率（修正後）</t>
    </r>
  </si>
  <si>
    <r>
      <rPr>
        <sz val="10"/>
        <rFont val="Arial"/>
        <family val="0"/>
        <charset val="1"/>
      </rPr>
      <t xml:space="preserve">SGLang </t>
    </r>
    <r>
      <rPr>
        <sz val="10"/>
        <rFont val="Noto Sans CJK SC"/>
        <family val="2"/>
        <charset val="1"/>
      </rPr>
      <t xml:space="preserve">修正後</t>
    </r>
  </si>
  <si>
    <r>
      <rPr>
        <sz val="10"/>
        <rFont val="Arial"/>
        <family val="0"/>
        <charset val="1"/>
      </rPr>
      <t xml:space="preserve">Serving!C7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</si>
  <si>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修正前 </t>
    </r>
    <r>
      <rPr>
        <sz val="10"/>
        <rFont val="Arial"/>
        <family val="0"/>
        <charset val="1"/>
      </rPr>
      <t xml:space="preserve">0.57</t>
    </r>
  </si>
  <si>
    <t xml:space="preserve">SRC_PERF_006</t>
  </si>
  <si>
    <r>
      <rPr>
        <sz val="10"/>
        <rFont val="Arial"/>
        <family val="0"/>
        <charset val="1"/>
      </rPr>
      <t xml:space="preserve">MTP </t>
    </r>
    <r>
      <rPr>
        <sz val="10"/>
        <rFont val="Noto Sans CJK SC"/>
        <family val="2"/>
        <charset val="1"/>
      </rPr>
      <t xml:space="preserve">草稿接受率（修正前）</t>
    </r>
  </si>
  <si>
    <r>
      <rPr>
        <sz val="10"/>
        <rFont val="Arial"/>
        <family val="0"/>
        <charset val="1"/>
      </rPr>
      <t xml:space="preserve">SGLang </t>
    </r>
    <r>
      <rPr>
        <sz val="10"/>
        <rFont val="Noto Sans CJK SC"/>
        <family val="2"/>
        <charset val="1"/>
      </rPr>
      <t xml:space="preserve">修正前</t>
    </r>
  </si>
  <si>
    <t xml:space="preserve">Superseded</t>
  </si>
  <si>
    <t xml:space="preserve">由同來源修正後值取代</t>
  </si>
  <si>
    <t xml:space="preserve">SRC_PERF_007</t>
  </si>
  <si>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  <charset val="1"/>
      </rPr>
      <t xml:space="preserve">公開配方 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  <charset val="1"/>
      </rPr>
      <t xml:space="preserve">實例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數</t>
    </r>
  </si>
  <si>
    <t xml:space="preserve">10p1d dep4</t>
  </si>
  <si>
    <r>
      <rPr>
        <sz val="10"/>
        <rFont val="Arial"/>
        <family val="0"/>
        <charset val="1"/>
      </rPr>
      <t xml:space="preserve">Spec_Rack!E32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</si>
  <si>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沿用 → </t>
    </r>
    <r>
      <rPr>
        <sz val="10"/>
        <rFont val="Arial"/>
        <family val="0"/>
        <charset val="1"/>
      </rPr>
      <t xml:space="preserve">Analogy</t>
    </r>
  </si>
  <si>
    <t xml:space="preserve">SRC_PERF_008</t>
  </si>
  <si>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  <charset val="1"/>
      </rPr>
      <t xml:space="preserve">公開配方 </t>
    </r>
    <r>
      <rPr>
        <sz val="10"/>
        <rFont val="Arial"/>
        <family val="0"/>
        <charset val="1"/>
      </rPr>
      <t xml:space="preserve">decode EP </t>
    </r>
    <r>
      <rPr>
        <sz val="10"/>
        <rFont val="Noto Sans CJK SC"/>
        <family val="2"/>
        <charset val="1"/>
      </rPr>
      <t xml:space="preserve">寬度</t>
    </r>
  </si>
  <si>
    <t xml:space="preserve">dep32</t>
  </si>
  <si>
    <r>
      <rPr>
        <sz val="10"/>
        <rFont val="Arial"/>
        <family val="0"/>
        <charset val="1"/>
      </rPr>
      <t xml:space="preserve">Spec_Rack!E29</t>
    </r>
    <r>
      <rPr>
        <sz val="10"/>
        <rFont val="Noto Sans CJK SC"/>
        <family val="2"/>
        <charset val="1"/>
      </rPr>
      <t xml:space="preserve">｜直接</t>
    </r>
  </si>
  <si>
    <t xml:space="preserve">SRC_PERF_009</t>
  </si>
  <si>
    <t xml:space="preserve">S22</t>
  </si>
  <si>
    <t xml:space="preserve">InferenceX GB300 V4-Pro @72 tok/s/user</t>
  </si>
  <si>
    <r>
      <rPr>
        <sz val="10"/>
        <rFont val="Arial"/>
        <family val="0"/>
        <charset val="1"/>
      </rPr>
      <t xml:space="preserve">ISL 8192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OSL 1024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MTP</t>
    </r>
  </si>
  <si>
    <r>
      <rPr>
        <sz val="10"/>
        <rFont val="Noto Sans CJK SC"/>
        <family val="2"/>
        <charset val="1"/>
      </rPr>
      <t xml:space="preserve">約 </t>
    </r>
    <r>
      <rPr>
        <sz val="10"/>
        <rFont val="Arial"/>
        <family val="0"/>
        <charset val="1"/>
      </rPr>
      <t xml:space="preserve">2026-07</t>
    </r>
  </si>
  <si>
    <r>
      <rPr>
        <sz val="10"/>
        <rFont val="Arial"/>
        <family val="0"/>
        <charset val="1"/>
      </rPr>
      <t xml:space="preserve">SemiAnalysis InferenceX</t>
    </r>
    <r>
      <rPr>
        <sz val="10"/>
        <rFont val="Noto Sans CJK SC"/>
        <family val="2"/>
        <charset val="1"/>
      </rPr>
      <t xml:space="preserve">；須第二來源（</t>
    </r>
    <r>
      <rPr>
        <sz val="10"/>
        <rFont val="Arial"/>
        <family val="0"/>
        <charset val="1"/>
      </rPr>
      <t xml:space="preserve">S31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S32</t>
    </r>
    <r>
      <rPr>
        <sz val="10"/>
        <rFont val="Noto Sans CJK SC"/>
        <family val="2"/>
        <charset val="1"/>
      </rPr>
      <t xml:space="preserve">）</t>
    </r>
  </si>
  <si>
    <t xml:space="preserve">一手（只見摘錄）</t>
  </si>
  <si>
    <r>
      <rPr>
        <sz val="10"/>
        <rFont val="Arial"/>
        <family val="0"/>
        <charset val="1"/>
      </rPr>
      <t xml:space="preserve">Calib!C17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</si>
  <si>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擬合點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Sources </t>
    </r>
    <r>
      <rPr>
        <sz val="10"/>
        <rFont val="Noto Sans CJK SC"/>
        <family val="2"/>
        <charset val="1"/>
      </rPr>
      <t xml:space="preserve">文字取整為 </t>
    </r>
    <r>
      <rPr>
        <sz val="10"/>
        <rFont val="Arial"/>
        <family val="0"/>
        <charset val="1"/>
      </rPr>
      <t xml:space="preserve">9,384</t>
    </r>
  </si>
  <si>
    <t xml:space="preserve">SRC_PERF_010</t>
  </si>
  <si>
    <t xml:space="preserve">InferenceX GB300 V4-Pro @130 tok/s/user</t>
  </si>
  <si>
    <r>
      <rPr>
        <sz val="10"/>
        <rFont val="Arial"/>
        <family val="0"/>
        <charset val="1"/>
      </rPr>
      <t xml:space="preserve">Calib!D17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</si>
  <si>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擬合點 </t>
    </r>
    <r>
      <rPr>
        <sz val="10"/>
        <rFont val="Arial"/>
        <family val="0"/>
        <charset val="1"/>
      </rPr>
      <t xml:space="preserve">2</t>
    </r>
  </si>
  <si>
    <t xml:space="preserve">SRC_PERF_011</t>
  </si>
  <si>
    <r>
      <rPr>
        <sz val="10"/>
        <rFont val="Arial"/>
        <family val="0"/>
        <charset val="1"/>
      </rPr>
      <t xml:space="preserve">InferenceX GB300 </t>
    </r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 token </t>
    </r>
    <r>
      <rPr>
        <sz val="10"/>
        <rFont val="Noto Sans CJK SC"/>
        <family val="2"/>
        <charset val="1"/>
      </rPr>
      <t xml:space="preserve">成本 </t>
    </r>
    <r>
      <rPr>
        <sz val="10"/>
        <rFont val="Arial"/>
        <family val="0"/>
        <charset val="1"/>
      </rPr>
      <t xml:space="preserve">@72 tok/s</t>
    </r>
  </si>
  <si>
    <r>
      <rPr>
        <sz val="10"/>
        <rFont val="Arial"/>
        <family val="0"/>
        <charset val="1"/>
      </rPr>
      <t xml:space="preserve">$/M</t>
    </r>
    <r>
      <rPr>
        <sz val="10"/>
        <rFont val="Noto Sans CJK SC"/>
        <family val="2"/>
        <charset val="1"/>
      </rPr>
      <t xml:space="preserve">（總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</si>
  <si>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SemiAnalysis TCO </t>
    </r>
    <r>
      <rPr>
        <sz val="10"/>
        <rFont val="Noto Sans CJK SC"/>
        <family val="2"/>
        <charset val="1"/>
      </rPr>
      <t xml:space="preserve">口徑</t>
    </r>
  </si>
  <si>
    <r>
      <rPr>
        <sz val="10"/>
        <rFont val="Arial"/>
        <family val="0"/>
        <charset val="1"/>
      </rPr>
      <t xml:space="preserve">Checks!C19</t>
    </r>
    <r>
      <rPr>
        <sz val="10"/>
        <rFont val="Noto Sans CJK SC"/>
        <family val="2"/>
        <charset val="1"/>
      </rPr>
      <t xml:space="preserve">｜對照</t>
    </r>
  </si>
  <si>
    <t xml:space="preserve">SRC_PERF_012</t>
  </si>
  <si>
    <r>
      <rPr>
        <sz val="10"/>
        <rFont val="Arial"/>
        <family val="0"/>
        <charset val="1"/>
      </rPr>
      <t xml:space="preserve">InferenceX GB300 </t>
    </r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 token </t>
    </r>
    <r>
      <rPr>
        <sz val="10"/>
        <rFont val="Noto Sans CJK SC"/>
        <family val="2"/>
        <charset val="1"/>
      </rPr>
      <t xml:space="preserve">成本 </t>
    </r>
    <r>
      <rPr>
        <sz val="1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</si>
  <si>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</si>
  <si>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rFont val="Arial"/>
        <family val="0"/>
        <charset val="1"/>
      </rPr>
      <t xml:space="preserve">InferenceX GB300 </t>
    </r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 token </t>
    </r>
    <r>
      <rPr>
        <sz val="10"/>
        <rFont val="Noto Sans CJK SC"/>
        <family val="2"/>
        <charset val="1"/>
      </rPr>
      <t xml:space="preserve">成本 </t>
    </r>
    <r>
      <rPr>
        <sz val="10"/>
        <rFont val="Arial"/>
        <family val="0"/>
        <charset val="1"/>
      </rPr>
      <t xml:space="preserve">@187 tok/s</t>
    </r>
  </si>
  <si>
    <t xml:space="preserve">SRC_PERF_014</t>
  </si>
  <si>
    <t xml:space="preserve">S23</t>
  </si>
  <si>
    <t xml:space="preserve">InferenceX GB200 V4-Pro-0813 @110 tok/s/user</t>
  </si>
  <si>
    <r>
      <rPr>
        <sz val="10"/>
        <rFont val="Noto Sans CJK SC"/>
        <family val="2"/>
        <charset val="1"/>
      </rPr>
      <t xml:space="preserve">頁面預設可能為 </t>
    </r>
    <r>
      <rPr>
        <sz val="10"/>
        <rFont val="Arial"/>
        <family val="0"/>
        <charset val="1"/>
      </rPr>
      <t xml:space="preserve">agentic traces</t>
    </r>
  </si>
  <si>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09</t>
    </r>
  </si>
  <si>
    <r>
      <rPr>
        <sz val="10"/>
        <rFont val="Arial"/>
        <family val="0"/>
        <charset val="1"/>
      </rPr>
      <t xml:space="preserve">SemiAnalysis InferenceX</t>
    </r>
    <r>
      <rPr>
        <sz val="10"/>
        <rFont val="Noto Sans CJK SC"/>
        <family val="2"/>
        <charset val="1"/>
      </rPr>
      <t xml:space="preserve">；工作負載口徑待查</t>
    </r>
  </si>
  <si>
    <r>
      <rPr>
        <sz val="10"/>
        <rFont val="Arial"/>
        <family val="0"/>
        <charset val="1"/>
      </rPr>
      <t xml:space="preserve">Calib!H17</t>
    </r>
    <r>
      <rPr>
        <sz val="10"/>
        <rFont val="Noto Sans CJK SC"/>
        <family val="2"/>
        <charset val="1"/>
      </rPr>
      <t xml:space="preserve">｜直接</t>
    </r>
  </si>
  <si>
    <t xml:space="preserve">口徑待查</t>
  </si>
  <si>
    <t xml:space="preserve">SRC_PERF_015</t>
  </si>
  <si>
    <t xml:space="preserve">InferenceX GB300 V4-Pro-0813 @110 tok/s/user</t>
  </si>
  <si>
    <t xml:space="preserve">同上</t>
  </si>
  <si>
    <r>
      <rPr>
        <sz val="10"/>
        <rFont val="Arial"/>
        <family val="0"/>
        <charset val="1"/>
      </rPr>
      <t xml:space="preserve">Calib!I17</t>
    </r>
    <r>
      <rPr>
        <sz val="10"/>
        <rFont val="Noto Sans CJK SC"/>
        <family val="2"/>
        <charset val="1"/>
      </rPr>
      <t xml:space="preserve">｜直接</t>
    </r>
  </si>
  <si>
    <t xml:space="preserve">SRC_PERF_016</t>
  </si>
  <si>
    <t xml:space="preserve">S24</t>
  </si>
  <si>
    <r>
      <rPr>
        <sz val="10"/>
        <rFont val="Arial"/>
        <family val="0"/>
        <charset val="1"/>
      </rPr>
      <t xml:space="preserve">InferenceX H200 V4-Pro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FP8</t>
    </r>
    <r>
      <rPr>
        <sz val="10"/>
        <rFont val="Noto Sans CJK SC"/>
        <family val="2"/>
        <charset val="1"/>
      </rPr>
      <t xml:space="preserve">）</t>
    </r>
    <r>
      <rPr>
        <sz val="10"/>
        <rFont val="Arial"/>
        <family val="0"/>
        <charset val="1"/>
      </rPr>
      <t xml:space="preserve">@75 tok/s/user</t>
    </r>
  </si>
  <si>
    <t xml:space="preserve">H200</t>
  </si>
  <si>
    <r>
      <rPr>
        <sz val="10"/>
        <rFont val="Arial"/>
        <family val="0"/>
        <charset val="1"/>
      </rPr>
      <t xml:space="preserve">SemiAnalysis InferenceX</t>
    </r>
    <r>
      <rPr>
        <sz val="10"/>
        <rFont val="Noto Sans CJK SC"/>
        <family val="2"/>
        <charset val="1"/>
      </rPr>
      <t xml:space="preserve">；口徑待查；模型未使用</t>
    </r>
  </si>
  <si>
    <t xml:space="preserve">模型未使用</t>
  </si>
  <si>
    <t xml:space="preserve">SRC_PERF_017</t>
  </si>
  <si>
    <r>
      <rPr>
        <sz val="10"/>
        <rFont val="Arial"/>
        <family val="0"/>
        <charset val="1"/>
      </rPr>
      <t xml:space="preserve">InferenceX H200 V4-Pro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FP8</t>
    </r>
    <r>
      <rPr>
        <sz val="10"/>
        <rFont val="Noto Sans CJK SC"/>
        <family val="2"/>
        <charset val="1"/>
      </rPr>
      <t xml:space="preserve">）</t>
    </r>
    <r>
      <rPr>
        <sz val="10"/>
        <rFont val="Arial"/>
        <family val="0"/>
        <charset val="1"/>
      </rPr>
      <t xml:space="preserve">@100 tok/s/user</t>
    </r>
  </si>
  <si>
    <t xml:space="preserve">SRC_PERF_018</t>
  </si>
  <si>
    <t xml:space="preserve">S26</t>
  </si>
  <si>
    <r>
      <rPr>
        <sz val="10"/>
        <rFont val="Noto Sans CJK SC"/>
        <family val="2"/>
        <charset val="1"/>
      </rPr>
      <t xml:space="preserve">輸出速度：</t>
    </r>
    <r>
      <rPr>
        <sz val="10"/>
        <rFont val="Arial"/>
        <family val="0"/>
        <charset val="1"/>
      </rPr>
      <t xml:space="preserve">GPT-5.6 Luna</t>
    </r>
  </si>
  <si>
    <t xml:space="preserve">tok/s/user</t>
  </si>
  <si>
    <t xml:space="preserve">供應商服務觀測</t>
  </si>
  <si>
    <t xml:space="preserve">GPT-5.6 Luna</t>
  </si>
  <si>
    <r>
      <rPr>
        <sz val="10"/>
        <rFont val="Arial"/>
        <family val="0"/>
        <charset val="1"/>
      </rPr>
      <t xml:space="preserve">Artificial Analysis</t>
    </r>
    <r>
      <rPr>
        <sz val="10"/>
        <rFont val="Noto Sans CJK SC"/>
        <family val="2"/>
        <charset val="1"/>
      </rPr>
      <t xml:space="preserve">：獨立評測（反映供應商自身服務設定）</t>
    </r>
  </si>
  <si>
    <r>
      <rPr>
        <sz val="10"/>
        <rFont val="Arial"/>
        <family val="0"/>
        <charset val="1"/>
      </rPr>
      <t xml:space="preserve">Serving!C21</t>
    </r>
    <r>
      <rPr>
        <sz val="10"/>
        <rFont val="Noto Sans CJK SC"/>
        <family val="2"/>
        <charset val="1"/>
      </rPr>
      <t xml:space="preserve">｜直接</t>
    </r>
  </si>
  <si>
    <t xml:space="preserve">J3</t>
  </si>
  <si>
    <t xml:space="preserve">SRC_PERF_019</t>
  </si>
  <si>
    <r>
      <rPr>
        <sz val="10"/>
        <rFont val="Noto Sans CJK SC"/>
        <family val="2"/>
        <charset val="1"/>
      </rPr>
      <t xml:space="preserve">輸出速度：</t>
    </r>
    <r>
      <rPr>
        <sz val="10"/>
        <rFont val="Arial"/>
        <family val="0"/>
        <charset val="1"/>
      </rPr>
      <t xml:space="preserve">GPT-5.6 Sol</t>
    </r>
  </si>
  <si>
    <t xml:space="preserve">GPT-5.6 Sol</t>
  </si>
  <si>
    <r>
      <rPr>
        <sz val="10"/>
        <rFont val="Arial"/>
        <family val="0"/>
        <charset val="1"/>
      </rPr>
      <t xml:space="preserve">Serving!D21</t>
    </r>
    <r>
      <rPr>
        <sz val="10"/>
        <rFont val="Noto Sans CJK SC"/>
        <family val="2"/>
        <charset val="1"/>
      </rPr>
      <t xml:space="preserve">｜選取</t>
    </r>
  </si>
  <si>
    <r>
      <rPr>
        <sz val="10"/>
        <rFont val="Arial"/>
        <family val="0"/>
        <charset val="1"/>
      </rPr>
      <t xml:space="preserve">J3 </t>
    </r>
    <r>
      <rPr>
        <sz val="10"/>
        <rFont val="Noto Sans CJK SC"/>
        <family val="2"/>
        <charset val="1"/>
      </rPr>
      <t xml:space="preserve">取 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  <charset val="1"/>
      </rPr>
      <t xml:space="preserve">（≠</t>
    </r>
    <r>
      <rPr>
        <sz val="10"/>
        <rFont val="Arial"/>
        <family val="0"/>
        <charset val="1"/>
      </rPr>
      <t xml:space="preserve">68</t>
    </r>
    <r>
      <rPr>
        <sz val="10"/>
        <rFont val="Noto Sans CJK SC"/>
        <family val="2"/>
        <charset val="1"/>
      </rPr>
      <t xml:space="preserve">）→ 需 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  <charset val="1"/>
      </rPr>
      <t xml:space="preserve">判定</t>
    </r>
  </si>
  <si>
    <t xml:space="preserve">SRC_PERF_020</t>
  </si>
  <si>
    <r>
      <rPr>
        <sz val="10"/>
        <rFont val="Noto Sans CJK SC"/>
        <family val="2"/>
        <charset val="1"/>
      </rPr>
      <t xml:space="preserve">輸出速度：</t>
    </r>
    <r>
      <rPr>
        <sz val="10"/>
        <rFont val="Arial"/>
        <family val="0"/>
        <charset val="1"/>
      </rPr>
      <t xml:space="preserve">GPT-6 Astra</t>
    </r>
  </si>
  <si>
    <t xml:space="preserve">GPT-6 Astra</t>
  </si>
  <si>
    <r>
      <rPr>
        <sz val="10"/>
        <rFont val="Arial"/>
        <family val="0"/>
        <charset val="1"/>
      </rPr>
      <t xml:space="preserve">Serving!E21</t>
    </r>
    <r>
      <rPr>
        <sz val="10"/>
        <rFont val="Noto Sans CJK SC"/>
        <family val="2"/>
        <charset val="1"/>
      </rPr>
      <t xml:space="preserve">｜選取</t>
    </r>
  </si>
  <si>
    <r>
      <rPr>
        <sz val="10"/>
        <rFont val="Arial"/>
        <family val="0"/>
        <charset val="1"/>
      </rPr>
      <t xml:space="preserve">J3 </t>
    </r>
    <r>
      <rPr>
        <sz val="10"/>
        <rFont val="Noto Sans CJK SC"/>
        <family val="2"/>
        <charset val="1"/>
      </rPr>
      <t xml:space="preserve">取 </t>
    </r>
    <r>
      <rPr>
        <sz val="10"/>
        <rFont val="Arial"/>
        <family val="0"/>
        <charset val="1"/>
      </rPr>
      <t xml:space="preserve">55</t>
    </r>
  </si>
  <si>
    <t xml:space="preserve">SRC_PERF_021</t>
  </si>
  <si>
    <r>
      <rPr>
        <sz val="10"/>
        <rFont val="Noto Sans CJK SC"/>
        <family val="2"/>
        <charset val="1"/>
      </rPr>
      <t xml:space="preserve">輸出速度：</t>
    </r>
    <r>
      <rPr>
        <sz val="10"/>
        <rFont val="Arial"/>
        <family val="0"/>
        <charset val="1"/>
      </rPr>
      <t xml:space="preserve">Claude Opus 5</t>
    </r>
  </si>
  <si>
    <t xml:space="preserve">Claude Opus 5</t>
  </si>
  <si>
    <t xml:space="preserve">SRC_PERF_022</t>
  </si>
  <si>
    <r>
      <rPr>
        <sz val="10"/>
        <rFont val="Noto Sans CJK SC"/>
        <family val="2"/>
        <charset val="1"/>
      </rPr>
      <t xml:space="preserve">輸出速度：</t>
    </r>
    <r>
      <rPr>
        <sz val="10"/>
        <rFont val="Arial"/>
        <family val="0"/>
        <charset val="1"/>
      </rPr>
      <t xml:space="preserve">Gemini 3.8 Flash</t>
    </r>
  </si>
  <si>
    <t xml:space="preserve">Gemini 3.8 Flash</t>
  </si>
  <si>
    <t xml:space="preserve">SRC_PERF_023</t>
  </si>
  <si>
    <t xml:space="preserve">S30</t>
  </si>
  <si>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  <charset val="1"/>
      </rPr>
      <t xml:space="preserve">線上每用戶 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  <charset val="1"/>
      </rPr>
      <t xml:space="preserve">速度（</t>
    </r>
    <r>
      <rPr>
        <sz val="10"/>
        <rFont val="Arial"/>
        <family val="0"/>
        <charset val="1"/>
      </rPr>
      <t xml:space="preserve">H800</t>
    </r>
    <r>
      <rPr>
        <sz val="10"/>
        <rFont val="Noto Sans CJK SC"/>
        <family val="2"/>
        <charset val="1"/>
      </rPr>
      <t xml:space="preserve">）</t>
    </r>
  </si>
  <si>
    <t xml:space="preserve">線上服務</t>
  </si>
  <si>
    <r>
      <rPr>
        <sz val="10"/>
        <rFont val="Arial"/>
        <family val="0"/>
        <charset val="1"/>
      </rPr>
      <t xml:space="preserve">DeepSeek 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H800</t>
    </r>
    <r>
      <rPr>
        <sz val="10"/>
        <rFont val="Noto Sans CJK SC"/>
        <family val="2"/>
        <charset val="1"/>
      </rPr>
      <t xml:space="preserve">）</t>
    </r>
  </si>
  <si>
    <t xml:space="preserve">2025-02</t>
  </si>
  <si>
    <r>
      <rPr>
        <sz val="10"/>
        <rFont val="Arial"/>
        <family val="0"/>
        <charset val="1"/>
      </rPr>
      <t xml:space="preserve">DeepSeek</t>
    </r>
    <r>
      <rPr>
        <sz val="10"/>
        <rFont val="Noto Sans CJK SC"/>
        <family val="2"/>
        <charset val="1"/>
      </rPr>
      <t xml:space="preserve">；模型內建知識；</t>
    </r>
    <r>
      <rPr>
        <sz val="10"/>
        <rFont val="Arial"/>
        <family val="0"/>
        <charset val="1"/>
      </rPr>
      <t xml:space="preserve">Sources </t>
    </r>
    <r>
      <rPr>
        <sz val="10"/>
        <rFont val="Noto Sans CJK SC"/>
        <family val="2"/>
        <charset val="1"/>
      </rPr>
      <t xml:space="preserve">未載數值</t>
    </r>
  </si>
  <si>
    <r>
      <rPr>
        <sz val="10"/>
        <rFont val="Noto Sans CJK SC"/>
        <family val="2"/>
        <charset val="1"/>
      </rPr>
      <t xml:space="preserve">約值；</t>
    </r>
    <r>
      <rPr>
        <sz val="10"/>
        <rFont val="Arial"/>
        <family val="0"/>
        <charset val="1"/>
      </rPr>
      <t xml:space="preserve">prefill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  <charset val="1"/>
      </rPr>
      <t xml:space="preserve">節點吞吐數值未載於 </t>
    </r>
    <r>
      <rPr>
        <sz val="10"/>
        <rFont val="Arial"/>
        <family val="0"/>
        <charset val="1"/>
      </rPr>
      <t xml:space="preserve">Sources</t>
    </r>
    <r>
      <rPr>
        <sz val="10"/>
        <rFont val="Noto Sans CJK SC"/>
        <family val="2"/>
        <charset val="1"/>
      </rPr>
      <t xml:space="preserve">，待取得原文</t>
    </r>
  </si>
  <si>
    <t xml:space="preserve">SRC_PERF_024</t>
  </si>
  <si>
    <t xml:space="preserve">S31</t>
  </si>
  <si>
    <r>
      <rPr>
        <sz val="10"/>
        <rFont val="Arial"/>
        <family val="0"/>
        <charset val="1"/>
      </rPr>
      <t xml:space="preserve">MLPerf v6.0 DeepSeek-R1 interactive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</si>
  <si>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tok/s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  <charset val="1"/>
      </rPr>
      <t xml:space="preserve">；輸出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  <charset val="1"/>
      </rPr>
      <t xml:space="preserve">）</t>
    </r>
  </si>
  <si>
    <t xml:space="preserve">interactive</t>
  </si>
  <si>
    <t xml:space="preserve">2026-04-01</t>
  </si>
  <si>
    <r>
      <rPr>
        <sz val="10"/>
        <rFont val="Arial"/>
        <family val="0"/>
        <charset val="1"/>
      </rPr>
      <t xml:space="preserve">MLCommons </t>
    </r>
    <r>
      <rPr>
        <sz val="10"/>
        <rFont val="Noto Sans CJK SC"/>
        <family val="2"/>
        <charset val="1"/>
      </rPr>
      <t xml:space="preserve">稽核為中立；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提交並挑選配置</t>
    </r>
  </si>
  <si>
    <r>
      <rPr>
        <sz val="10"/>
        <rFont val="Noto Sans CJK SC"/>
        <family val="2"/>
        <charset val="1"/>
      </rPr>
      <t xml:space="preserve">二手（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頁面）</t>
    </r>
  </si>
  <si>
    <r>
      <rPr>
        <sz val="10"/>
        <rFont val="Noto Sans CJK SC"/>
        <family val="2"/>
        <charset val="1"/>
      </rPr>
      <t xml:space="preserve">模型改用 </t>
    </r>
    <r>
      <rPr>
        <sz val="10"/>
        <rFont val="Arial"/>
        <family val="0"/>
        <charset val="1"/>
      </rPr>
      <t xml:space="preserve">v6.1 </t>
    </r>
    <r>
      <rPr>
        <sz val="10"/>
        <rFont val="Noto Sans CJK SC"/>
        <family val="2"/>
        <charset val="1"/>
      </rPr>
      <t xml:space="preserve">的 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  <charset val="1"/>
      </rPr>
      <t xml:space="preserve">值（</t>
    </r>
    <r>
      <rPr>
        <sz val="10"/>
        <rFont val="Arial"/>
        <family val="0"/>
        <charset val="1"/>
      </rPr>
      <t xml:space="preserve">S32</t>
    </r>
    <r>
      <rPr>
        <sz val="10"/>
        <rFont val="Noto Sans CJK SC"/>
        <family val="2"/>
        <charset val="1"/>
      </rPr>
      <t xml:space="preserve">）</t>
    </r>
  </si>
  <si>
    <t xml:space="preserve">SRC_PERF_025</t>
  </si>
  <si>
    <r>
      <rPr>
        <sz val="10"/>
        <rFont val="Arial"/>
        <family val="0"/>
        <charset val="1"/>
      </rPr>
      <t xml:space="preserve">MLPerf v6.0 DeepSeek-R1 interactive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</si>
  <si>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Calib!D120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</si>
  <si>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模型以公式 </t>
    </r>
    <r>
      <rPr>
        <sz val="10"/>
        <rFont val="Arial"/>
        <family val="0"/>
        <charset val="1"/>
      </rPr>
      <t xml:space="preserve">=240318/72 </t>
    </r>
    <r>
      <rPr>
        <sz val="10"/>
        <rFont val="Noto Sans CJK SC"/>
        <family val="2"/>
        <charset val="1"/>
      </rPr>
      <t xml:space="preserve">內嵌常數</t>
    </r>
  </si>
  <si>
    <t xml:space="preserve">SRC_PERF_026</t>
  </si>
  <si>
    <r>
      <rPr>
        <sz val="10"/>
        <rFont val="Arial"/>
        <family val="0"/>
        <charset val="1"/>
      </rPr>
      <t xml:space="preserve">MLPerf v6.0 DeepSeek-R1 server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GB300</t>
    </r>
  </si>
  <si>
    <r>
      <rPr>
        <sz val="10"/>
        <rFont val="Arial"/>
        <family val="0"/>
        <charset val="1"/>
      </rPr>
      <t xml:space="preserve">tok/s/GPU</t>
    </r>
    <r>
      <rPr>
        <sz val="10"/>
        <rFont val="Noto Sans CJK SC"/>
        <family val="2"/>
        <charset val="1"/>
      </rPr>
      <t xml:space="preserve">（輸出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  <charset val="1"/>
      </rPr>
      <t xml:space="preserve">）</t>
    </r>
  </si>
  <si>
    <t xml:space="preserve">server</t>
  </si>
  <si>
    <r>
      <rPr>
        <sz val="10"/>
        <rFont val="Arial"/>
        <family val="0"/>
        <charset val="1"/>
      </rPr>
      <t xml:space="preserve">Calib!F120</t>
    </r>
    <r>
      <rPr>
        <sz val="10"/>
        <rFont val="Noto Sans CJK SC"/>
        <family val="2"/>
        <charset val="1"/>
      </rPr>
      <t xml:space="preserve">｜直接</t>
    </r>
  </si>
  <si>
    <t xml:space="preserve">SRC_PERF_027</t>
  </si>
  <si>
    <t xml:space="preserve">S32</t>
  </si>
  <si>
    <r>
      <rPr>
        <sz val="10"/>
        <rFont val="Arial"/>
        <family val="0"/>
        <charset val="1"/>
      </rPr>
      <t xml:space="preserve">MLPerf v6.1 DeepSeek-R1 interactive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</si>
  <si>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interactive</t>
    </r>
    <r>
      <rPr>
        <sz val="10"/>
        <rFont val="Noto Sans CJK SC"/>
        <family val="2"/>
        <charset val="1"/>
      </rPr>
      <t xml:space="preserve">；預覽類</t>
    </r>
  </si>
  <si>
    <t xml:space="preserve">2026-09-16</t>
  </si>
  <si>
    <r>
      <rPr>
        <sz val="10"/>
        <rFont val="Arial"/>
        <family val="0"/>
        <charset val="1"/>
      </rPr>
      <t xml:space="preserve">MLCommons </t>
    </r>
    <r>
      <rPr>
        <sz val="10"/>
        <rFont val="Noto Sans CJK SC"/>
        <family val="2"/>
        <charset val="1"/>
      </rPr>
      <t xml:space="preserve">稽核；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對照表經 </t>
    </r>
    <r>
      <rPr>
        <sz val="10"/>
        <rFont val="Arial"/>
        <family val="0"/>
        <charset val="1"/>
      </rPr>
      <t xml:space="preserve">shattered.io </t>
    </r>
    <r>
      <rPr>
        <sz val="10"/>
        <rFont val="Noto Sans CJK SC"/>
        <family val="2"/>
        <charset val="1"/>
      </rPr>
      <t xml:space="preserve">轉述；</t>
    </r>
    <r>
      <rPr>
        <sz val="10"/>
        <rFont val="Arial"/>
        <family val="0"/>
        <charset val="1"/>
      </rPr>
      <t xml:space="preserve">VR </t>
    </r>
    <r>
      <rPr>
        <sz val="10"/>
        <rFont val="Noto Sans CJK SC"/>
        <family val="2"/>
        <charset val="1"/>
      </rPr>
      <t xml:space="preserve">為預覽類</t>
    </r>
  </si>
  <si>
    <r>
      <rPr>
        <sz val="10"/>
        <rFont val="Arial"/>
        <family val="0"/>
        <charset val="1"/>
      </rPr>
      <t xml:space="preserve">Calib!E120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</si>
  <si>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模型以公式 </t>
    </r>
    <r>
      <rPr>
        <sz val="10"/>
        <rFont val="Arial"/>
        <family val="0"/>
        <charset val="1"/>
      </rPr>
      <t xml:space="preserve">=652750/72 </t>
    </r>
    <r>
      <rPr>
        <sz val="10"/>
        <rFont val="Noto Sans CJK SC"/>
        <family val="2"/>
        <charset val="1"/>
      </rPr>
      <t xml:space="preserve">內嵌常數</t>
    </r>
  </si>
  <si>
    <t xml:space="preserve">SRC_PERF_028</t>
  </si>
  <si>
    <r>
      <rPr>
        <sz val="10"/>
        <rFont val="Arial"/>
        <family val="0"/>
        <charset val="1"/>
      </rPr>
      <t xml:space="preserve">MLPerf v6.1 DeepSeek-R1 interactive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</si>
  <si>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Calib!C120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</si>
  <si>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模型以公式 </t>
    </r>
    <r>
      <rPr>
        <sz val="10"/>
        <rFont val="Arial"/>
        <family val="0"/>
        <charset val="1"/>
      </rPr>
      <t xml:space="preserve">=253506/72 </t>
    </r>
    <r>
      <rPr>
        <sz val="10"/>
        <rFont val="Noto Sans CJK SC"/>
        <family val="2"/>
        <charset val="1"/>
      </rPr>
      <t xml:space="preserve">內嵌常數；與 </t>
    </r>
    <r>
      <rPr>
        <sz val="10"/>
        <rFont val="Arial"/>
        <family val="0"/>
        <charset val="1"/>
      </rPr>
      <t xml:space="preserve">S31 </t>
    </r>
    <r>
      <rPr>
        <sz val="10"/>
        <rFont val="Noto Sans CJK SC"/>
        <family val="2"/>
        <charset val="1"/>
      </rPr>
      <t xml:space="preserve">的 </t>
    </r>
    <r>
      <rPr>
        <sz val="10"/>
        <rFont val="Arial"/>
        <family val="0"/>
        <charset val="1"/>
      </rPr>
      <t xml:space="preserve">250,634 </t>
    </r>
    <r>
      <rPr>
        <sz val="10"/>
        <rFont val="Noto Sans CJK SC"/>
        <family val="2"/>
        <charset val="1"/>
      </rPr>
      <t xml:space="preserve">同指標不同輪次</t>
    </r>
  </si>
  <si>
    <t xml:space="preserve">SRC_PERF_029</t>
  </si>
  <si>
    <t xml:space="preserve">S33</t>
  </si>
  <si>
    <r>
      <rPr>
        <sz val="10"/>
        <rFont val="Arial"/>
        <family val="0"/>
        <charset val="1"/>
      </rPr>
      <t xml:space="preserve">MLCommons DeepSeek-R1 </t>
    </r>
    <r>
      <rPr>
        <sz val="10"/>
        <rFont val="Noto Sans CJK SC"/>
        <family val="2"/>
        <charset val="1"/>
      </rPr>
      <t xml:space="preserve">平均 </t>
    </r>
    <r>
      <rPr>
        <sz val="1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</si>
  <si>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</si>
  <si>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</si>
  <si>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</si>
  <si>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rFont val="Arial"/>
        <family val="0"/>
        <charset val="1"/>
      </rPr>
      <t xml:space="preserve">MLCommons</t>
    </r>
    <r>
      <rPr>
        <sz val="10"/>
        <rFont val="Noto Sans CJK SC"/>
        <family val="2"/>
        <charset val="1"/>
      </rPr>
      <t xml:space="preserve">：基準規則</t>
    </r>
  </si>
  <si>
    <r>
      <rPr>
        <sz val="10"/>
        <rFont val="Arial"/>
        <family val="0"/>
        <charset val="1"/>
      </rPr>
      <t xml:space="preserve">Calib!C110</t>
    </r>
    <r>
      <rPr>
        <sz val="10"/>
        <rFont val="Noto Sans CJK SC"/>
        <family val="2"/>
        <charset val="1"/>
      </rPr>
      <t xml:space="preserve">｜直接</t>
    </r>
  </si>
  <si>
    <t xml:space="preserve">SRC_PERF_030</t>
  </si>
  <si>
    <r>
      <rPr>
        <sz val="10"/>
        <rFont val="Arial"/>
        <family val="0"/>
        <charset val="1"/>
      </rPr>
      <t xml:space="preserve">MLCommons DeepSeek-R1 </t>
    </r>
    <r>
      <rPr>
        <sz val="10"/>
        <rFont val="Noto Sans CJK SC"/>
        <family val="2"/>
        <charset val="1"/>
      </rPr>
      <t xml:space="preserve">平均 </t>
    </r>
    <r>
      <rPr>
        <sz val="10"/>
        <rFont val="Arial"/>
        <family val="0"/>
        <charset val="1"/>
      </rPr>
      <t xml:space="preserve">OSL</t>
    </r>
  </si>
  <si>
    <r>
      <rPr>
        <sz val="10"/>
        <rFont val="Arial"/>
        <family val="0"/>
        <charset val="1"/>
      </rPr>
      <t xml:space="preserve">Calib!C111</t>
    </r>
    <r>
      <rPr>
        <sz val="10"/>
        <rFont val="Noto Sans CJK SC"/>
        <family val="2"/>
        <charset val="1"/>
      </rPr>
      <t xml:space="preserve">｜直接</t>
    </r>
  </si>
  <si>
    <t xml:space="preserve">SRC_PERF_031</t>
  </si>
  <si>
    <r>
      <rPr>
        <sz val="10"/>
        <rFont val="Arial"/>
        <family val="0"/>
        <charset val="1"/>
      </rPr>
      <t xml:space="preserve">MLCommons interactive TPOT </t>
    </r>
    <r>
      <rPr>
        <sz val="10"/>
        <rFont val="Noto Sans CJK SC"/>
        <family val="2"/>
        <charset val="1"/>
      </rPr>
      <t xml:space="preserve">上限（</t>
    </r>
    <r>
      <rPr>
        <sz val="10"/>
        <rFont val="Arial"/>
        <family val="0"/>
        <charset val="1"/>
      </rPr>
      <t xml:space="preserve">p99</t>
    </r>
    <r>
      <rPr>
        <sz val="10"/>
        <rFont val="Noto Sans CJK SC"/>
        <family val="2"/>
        <charset val="1"/>
      </rPr>
      <t xml:space="preserve">）</t>
    </r>
  </si>
  <si>
    <t xml:space="preserve">ms</t>
  </si>
  <si>
    <r>
      <rPr>
        <sz val="10"/>
        <rFont val="Arial"/>
        <family val="0"/>
        <charset val="1"/>
      </rPr>
      <t xml:space="preserve">Calib!C118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</si>
  <si>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模型以公式 </t>
    </r>
    <r>
      <rPr>
        <sz val="10"/>
        <rFont val="Arial"/>
        <family val="0"/>
        <charset val="1"/>
      </rPr>
      <t xml:space="preserve">=1000/15 </t>
    </r>
    <r>
      <rPr>
        <sz val="10"/>
        <rFont val="Noto Sans CJK SC"/>
        <family val="2"/>
        <charset val="1"/>
      </rPr>
      <t xml:space="preserve">內嵌常數</t>
    </r>
  </si>
  <si>
    <t xml:space="preserve">SRC_PERF_032</t>
  </si>
  <si>
    <r>
      <rPr>
        <sz val="10"/>
        <rFont val="Arial"/>
        <family val="0"/>
        <charset val="1"/>
      </rPr>
      <t xml:space="preserve">MLCommons server TPOT </t>
    </r>
    <r>
      <rPr>
        <sz val="10"/>
        <rFont val="Noto Sans CJK SC"/>
        <family val="2"/>
        <charset val="1"/>
      </rPr>
      <t xml:space="preserve">上限（</t>
    </r>
    <r>
      <rPr>
        <sz val="10"/>
        <rFont val="Arial"/>
        <family val="0"/>
        <charset val="1"/>
      </rPr>
      <t xml:space="preserve">p99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</si>
  <si>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Calib!F118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</si>
  <si>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模型以公式 </t>
    </r>
    <r>
      <rPr>
        <sz val="10"/>
        <rFont val="Arial"/>
        <family val="0"/>
        <charset val="1"/>
      </rPr>
      <t xml:space="preserve">=1000/80 </t>
    </r>
    <r>
      <rPr>
        <sz val="10"/>
        <rFont val="Noto Sans CJK SC"/>
        <family val="2"/>
        <charset val="1"/>
      </rPr>
      <t xml:space="preserve">內嵌常數</t>
    </r>
  </si>
  <si>
    <t xml:space="preserve">SRC_PERF_033</t>
  </si>
  <si>
    <r>
      <rPr>
        <sz val="10"/>
        <rFont val="Arial"/>
        <family val="0"/>
        <charset val="1"/>
      </rPr>
      <t xml:space="preserve">MLCommons interactive TTFT </t>
    </r>
    <r>
      <rPr>
        <sz val="10"/>
        <rFont val="Noto Sans CJK SC"/>
        <family val="2"/>
        <charset val="1"/>
      </rPr>
      <t xml:space="preserve">上限（</t>
    </r>
    <r>
      <rPr>
        <sz val="10"/>
        <rFont val="Arial"/>
        <family val="0"/>
        <charset val="1"/>
      </rPr>
      <t xml:space="preserve">p99</t>
    </r>
    <r>
      <rPr>
        <sz val="10"/>
        <rFont val="Noto Sans CJK SC"/>
        <family val="2"/>
        <charset val="1"/>
      </rPr>
      <t xml:space="preserve">）</t>
    </r>
  </si>
  <si>
    <t xml:space="preserve">s</t>
  </si>
  <si>
    <t xml:space="preserve">SRC_PERF_034</t>
  </si>
  <si>
    <r>
      <rPr>
        <sz val="10"/>
        <rFont val="Arial"/>
        <family val="0"/>
        <charset val="1"/>
      </rPr>
      <t xml:space="preserve">MLCommons server TTFT </t>
    </r>
    <r>
      <rPr>
        <sz val="10"/>
        <rFont val="Noto Sans CJK SC"/>
        <family val="2"/>
        <charset val="1"/>
      </rPr>
      <t xml:space="preserve">上限（</t>
    </r>
    <r>
      <rPr>
        <sz val="10"/>
        <rFont val="Arial"/>
        <family val="0"/>
        <charset val="1"/>
      </rPr>
      <t xml:space="preserve">p99</t>
    </r>
    <r>
      <rPr>
        <sz val="10"/>
        <rFont val="Noto Sans CJK SC"/>
        <family val="2"/>
        <charset val="1"/>
      </rPr>
      <t xml:space="preserve">）</t>
    </r>
  </si>
  <si>
    <t xml:space="preserve">SRC_PERF_035</t>
  </si>
  <si>
    <r>
      <rPr>
        <sz val="10"/>
        <rFont val="Arial"/>
        <family val="0"/>
        <charset val="1"/>
      </rPr>
      <t xml:space="preserve">MLCommons interactive </t>
    </r>
    <r>
      <rPr>
        <sz val="10"/>
        <rFont val="Noto Sans CJK SC"/>
        <family val="2"/>
        <charset val="1"/>
      </rPr>
      <t xml:space="preserve">允許 </t>
    </r>
    <r>
      <rPr>
        <sz val="10"/>
        <rFont val="Arial"/>
        <family val="0"/>
        <charset val="1"/>
      </rPr>
      <t xml:space="preserve">MTP </t>
    </r>
    <r>
      <rPr>
        <sz val="10"/>
        <rFont val="Noto Sans CJK SC"/>
        <family val="2"/>
        <charset val="1"/>
      </rPr>
      <t xml:space="preserve">步數</t>
    </r>
  </si>
  <si>
    <t xml:space="preserve">步</t>
  </si>
  <si>
    <r>
      <rPr>
        <sz val="10"/>
        <rFont val="Arial"/>
        <family val="0"/>
        <charset val="1"/>
      </rPr>
      <t xml:space="preserve">interactive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server </t>
    </r>
    <r>
      <rPr>
        <sz val="10"/>
        <rFont val="Noto Sans CJK SC"/>
        <family val="2"/>
        <charset val="1"/>
      </rPr>
      <t xml:space="preserve">未列</t>
    </r>
  </si>
  <si>
    <r>
      <rPr>
        <sz val="10"/>
        <rFont val="Arial"/>
        <family val="0"/>
        <charset val="1"/>
      </rPr>
      <t xml:space="preserve">Calib!C119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</si>
  <si>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模型以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  <charset val="1"/>
      </rPr>
      <t xml:space="preserve">旗標表示</t>
    </r>
  </si>
  <si>
    <t xml:space="preserve">SRC_PERF_036</t>
  </si>
  <si>
    <t xml:space="preserve">S37</t>
  </si>
  <si>
    <r>
      <rPr>
        <sz val="10"/>
        <rFont val="Arial"/>
        <family val="0"/>
        <charset val="1"/>
      </rPr>
      <t xml:space="preserve">Llama 3 405B </t>
    </r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BF16 MFU</t>
    </r>
  </si>
  <si>
    <r>
      <rPr>
        <sz val="10"/>
        <rFont val="Arial"/>
        <family val="0"/>
        <charset val="1"/>
      </rPr>
      <t xml:space="preserve">BF16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</si>
  <si>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</si>
  <si>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</si>
  <si>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  <charset val="1"/>
      </rPr>
      <t xml:space="preserve">技術報告；模型內建知識</t>
    </r>
  </si>
  <si>
    <t xml:space="preserve">SRC_PERF_037</t>
  </si>
  <si>
    <r>
      <rPr>
        <sz val="10"/>
        <rFont val="Arial"/>
        <family val="0"/>
        <charset val="1"/>
      </rPr>
      <t xml:space="preserve">Llama 3 </t>
    </r>
    <r>
      <rPr>
        <sz val="10"/>
        <rFont val="Noto Sans CJK SC"/>
        <family val="2"/>
        <charset val="1"/>
      </rPr>
      <t xml:space="preserve">有效訓練時間比（</t>
    </r>
    <r>
      <rPr>
        <sz val="10"/>
        <rFont val="Arial"/>
        <family val="0"/>
        <charset val="1"/>
      </rPr>
      <t xml:space="preserve">goodput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</si>
  <si>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下限（</t>
    </r>
    <r>
      <rPr>
        <sz val="10"/>
        <rFont val="Arial"/>
        <family val="0"/>
        <charset val="1"/>
      </rPr>
      <t xml:space="preserve">&gt;90%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</si>
  <si>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Train_In!C7</t>
    </r>
    <r>
      <rPr>
        <sz val="10"/>
        <rFont val="Noto Sans CJK SC"/>
        <family val="2"/>
        <charset val="1"/>
      </rPr>
      <t xml:space="preserve">｜選取</t>
    </r>
  </si>
  <si>
    <r>
      <rPr>
        <sz val="10"/>
        <rFont val="Noto Sans CJK SC"/>
        <family val="2"/>
        <charset val="1"/>
      </rPr>
      <t xml:space="preserve">模型 </t>
    </r>
    <r>
      <rPr>
        <sz val="10"/>
        <rFont val="Arial"/>
        <family val="0"/>
        <charset val="1"/>
      </rPr>
      <t xml:space="preserve">goodput 0.9 → Analogy</t>
    </r>
  </si>
  <si>
    <t xml:space="preserve">SRC_PERF_038</t>
  </si>
  <si>
    <t xml:space="preserve">S49</t>
  </si>
  <si>
    <r>
      <rPr>
        <sz val="10"/>
        <rFont val="Arial"/>
        <family val="0"/>
        <charset val="1"/>
      </rPr>
      <t xml:space="preserve">ROLL Flash RLVR </t>
    </r>
    <r>
      <rPr>
        <sz val="10"/>
        <rFont val="Noto Sans CJK SC"/>
        <family val="2"/>
        <charset val="1"/>
      </rPr>
      <t xml:space="preserve">加速（同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預算）</t>
    </r>
  </si>
  <si>
    <t xml:space="preserve">框架基準</t>
  </si>
  <si>
    <t xml:space="preserve">ROLL Flash</t>
  </si>
  <si>
    <t xml:space="preserve">阿里淘天、螞蟻：框架作者自測</t>
  </si>
  <si>
    <r>
      <rPr>
        <sz val="10"/>
        <rFont val="Noto Sans CJK SC"/>
        <family val="2"/>
        <charset val="1"/>
      </rPr>
      <t xml:space="preserve">只用於 </t>
    </r>
    <r>
      <rPr>
        <sz val="10"/>
        <rFont val="Arial"/>
        <family val="0"/>
        <charset val="1"/>
      </rPr>
      <t xml:space="preserve">rollout </t>
    </r>
    <r>
      <rPr>
        <sz val="10"/>
        <rFont val="Noto Sans CJK SC"/>
        <family val="2"/>
        <charset val="1"/>
      </rPr>
      <t xml:space="preserve">效率區間</t>
    </r>
  </si>
  <si>
    <t xml:space="preserve">SRC_PERF_039</t>
  </si>
  <si>
    <r>
      <rPr>
        <sz val="10"/>
        <rFont val="Arial"/>
        <family val="0"/>
        <charset val="1"/>
      </rPr>
      <t xml:space="preserve">ROLL Flash agentic </t>
    </r>
    <r>
      <rPr>
        <sz val="10"/>
        <rFont val="Noto Sans CJK SC"/>
        <family val="2"/>
        <charset val="1"/>
      </rPr>
      <t xml:space="preserve">加速</t>
    </r>
  </si>
  <si>
    <t xml:space="preserve">SRC_PERF_040</t>
  </si>
  <si>
    <r>
      <rPr>
        <sz val="10"/>
        <rFont val="Arial"/>
        <family val="0"/>
        <charset val="1"/>
      </rPr>
      <t xml:space="preserve">AReaL </t>
    </r>
    <r>
      <rPr>
        <sz val="10"/>
        <rFont val="Noto Sans CJK SC"/>
        <family val="2"/>
        <charset val="1"/>
      </rPr>
      <t xml:space="preserve">同步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  <charset val="1"/>
      </rPr>
      <t xml:space="preserve">非同步耗時</t>
    </r>
  </si>
  <si>
    <t xml:space="preserve">AReaL</t>
  </si>
  <si>
    <t xml:space="preserve">SRC_PRC_001</t>
  </si>
  <si>
    <t xml:space="preserve">S18</t>
  </si>
  <si>
    <r>
      <rPr>
        <sz val="10"/>
        <rFont val="Arial"/>
        <family val="0"/>
        <charset val="1"/>
      </rPr>
      <t xml:space="preserve">CoreWeave GB200 4-GPU </t>
    </r>
    <r>
      <rPr>
        <sz val="10"/>
        <rFont val="Noto Sans CJK SC"/>
        <family val="2"/>
        <charset val="1"/>
      </rPr>
      <t xml:space="preserve">執行個體牌價</t>
    </r>
  </si>
  <si>
    <t xml:space="preserve">$/hr</t>
  </si>
  <si>
    <t xml:space="preserve">隨需牌價</t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</si>
  <si>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</si>
  <si>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  <charset val="1"/>
      </rPr>
      <t xml:space="preserve">牌價（經 </t>
    </r>
    <r>
      <rPr>
        <sz val="10"/>
        <rFont val="Arial"/>
        <family val="0"/>
        <charset val="1"/>
      </rPr>
      <t xml:space="preserve">spheron </t>
    </r>
    <r>
      <rPr>
        <sz val="10"/>
        <rFont val="Noto Sans CJK SC"/>
        <family val="2"/>
        <charset val="1"/>
      </rPr>
      <t xml:space="preserve">轉述；</t>
    </r>
    <r>
      <rPr>
        <sz val="10"/>
        <rFont val="Arial"/>
        <family val="0"/>
        <charset val="1"/>
      </rPr>
      <t xml:space="preserve">spheron </t>
    </r>
    <r>
      <rPr>
        <sz val="10"/>
        <rFont val="Noto Sans CJK SC"/>
        <family val="2"/>
        <charset val="1"/>
      </rPr>
      <t xml:space="preserve">為競爭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雲）</t>
    </r>
  </si>
  <si>
    <r>
      <rPr>
        <sz val="10"/>
        <rFont val="Arial"/>
        <family val="0"/>
        <charset val="1"/>
      </rPr>
      <t xml:space="preserve">Checks!C9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</si>
  <si>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÷4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10.50 $/GPU-hr</t>
    </r>
  </si>
  <si>
    <t xml:space="preserve">SRC_PRC_002</t>
  </si>
  <si>
    <t xml:space="preserve">S19</t>
  </si>
  <si>
    <r>
      <rPr>
        <sz val="10"/>
        <rFont val="Noto Sans CJK SC"/>
        <family val="2"/>
        <charset val="1"/>
      </rPr>
      <t xml:space="preserve">新雲損益兩平租金（</t>
    </r>
    <r>
      <rPr>
        <sz val="10"/>
        <rFont val="Arial"/>
        <family val="0"/>
        <charset val="1"/>
      </rPr>
      <t xml:space="preserve">Cape Fear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</si>
  <si>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85% </t>
    </r>
    <r>
      <rPr>
        <sz val="10"/>
        <rFont val="Noto Sans CJK SC"/>
        <family val="2"/>
        <charset val="1"/>
      </rPr>
      <t xml:space="preserve">利用率、</t>
    </r>
    <r>
      <rPr>
        <sz val="10"/>
        <rFont val="Arial"/>
        <family val="0"/>
        <charset val="1"/>
      </rPr>
      <t xml:space="preserve">9.12% </t>
    </r>
    <r>
      <rPr>
        <sz val="10"/>
        <rFont val="Noto Sans CJK SC"/>
        <family val="2"/>
        <charset val="1"/>
      </rPr>
      <t xml:space="preserve">資金成本、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  <charset val="1"/>
      </rPr>
      <t xml:space="preserve">年</t>
    </r>
  </si>
  <si>
    <t xml:space="preserve">機型未明</t>
  </si>
  <si>
    <t xml:space="preserve">獨立部落客推算（第三方推算值，非實測）；機型未明</t>
  </si>
  <si>
    <t xml:space="preserve">一手（作者自算）</t>
  </si>
  <si>
    <r>
      <rPr>
        <sz val="10"/>
        <rFont val="Arial"/>
        <family val="0"/>
        <charset val="1"/>
      </rPr>
      <t xml:space="preserve">Checks!C10</t>
    </r>
    <r>
      <rPr>
        <sz val="10"/>
        <rFont val="Noto Sans CJK SC"/>
        <family val="2"/>
        <charset val="1"/>
      </rPr>
      <t xml:space="preserve">｜對照</t>
    </r>
  </si>
  <si>
    <t xml:space="preserve">第三方推算值</t>
  </si>
  <si>
    <t xml:space="preserve">SRC_PRC_003</t>
  </si>
  <si>
    <t xml:space="preserve">S50</t>
  </si>
  <si>
    <r>
      <rPr>
        <sz val="10"/>
        <rFont val="Arial"/>
        <family val="0"/>
        <charset val="1"/>
      </rPr>
      <t xml:space="preserve">GPT-6 Luna </t>
    </r>
    <r>
      <rPr>
        <sz val="10"/>
        <rFont val="Noto Sans CJK SC"/>
        <family val="2"/>
        <charset val="1"/>
      </rPr>
      <t xml:space="preserve">新鮮輸入</t>
    </r>
  </si>
  <si>
    <t xml:space="preserve">$/M</t>
  </si>
  <si>
    <t xml:space="preserve">Standard</t>
  </si>
  <si>
    <t xml:space="preserve">GPT-6 Luna</t>
  </si>
  <si>
    <t xml:space="preserve">2026-09-25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</si>
  <si>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  <charset val="1"/>
      </rPr>
      <t xml:space="preserve">牌價（牌價本身即事實，誤報誘因低）</t>
    </r>
  </si>
  <si>
    <r>
      <rPr>
        <sz val="10"/>
        <rFont val="Arial"/>
        <family val="0"/>
        <charset val="1"/>
      </rPr>
      <t xml:space="preserve">Cap_In!C6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Cap_In!E46</t>
    </r>
    <r>
      <rPr>
        <sz val="10"/>
        <rFont val="Noto Sans CJK SC"/>
        <family val="2"/>
        <charset val="1"/>
      </rPr>
      <t xml:space="preserve">｜直接</t>
    </r>
  </si>
  <si>
    <t xml:space="preserve">SRC_PRC_004</t>
  </si>
  <si>
    <r>
      <rPr>
        <sz val="10"/>
        <rFont val="Arial"/>
        <family val="0"/>
        <charset val="1"/>
      </rPr>
      <t xml:space="preserve">GPT-6 Luna </t>
    </r>
    <r>
      <rPr>
        <sz val="10"/>
        <rFont val="Noto Sans CJK SC"/>
        <family val="2"/>
        <charset val="1"/>
      </rPr>
      <t xml:space="preserve">快取輸入</t>
    </r>
  </si>
  <si>
    <r>
      <rPr>
        <sz val="10"/>
        <rFont val="Arial"/>
        <family val="0"/>
        <charset val="1"/>
      </rPr>
      <t xml:space="preserve">Cap_In!C7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Cap_In!F46</t>
    </r>
    <r>
      <rPr>
        <sz val="10"/>
        <rFont val="Noto Sans CJK SC"/>
        <family val="2"/>
        <charset val="1"/>
      </rPr>
      <t xml:space="preserve">｜直接</t>
    </r>
  </si>
  <si>
    <t xml:space="preserve">SRC_PRC_005</t>
  </si>
  <si>
    <r>
      <rPr>
        <sz val="10"/>
        <rFont val="Arial"/>
        <family val="0"/>
        <charset val="1"/>
      </rPr>
      <t xml:space="preserve">GPT-6 Luna </t>
    </r>
    <r>
      <rPr>
        <sz val="10"/>
        <rFont val="Noto Sans CJK SC"/>
        <family val="2"/>
        <charset val="1"/>
      </rPr>
      <t xml:space="preserve">輸出（含思考）</t>
    </r>
  </si>
  <si>
    <r>
      <rPr>
        <sz val="10"/>
        <rFont val="Arial"/>
        <family val="0"/>
        <charset val="1"/>
      </rPr>
      <t xml:space="preserve">Cap_In!C8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Cap_In!G46</t>
    </r>
    <r>
      <rPr>
        <sz val="10"/>
        <rFont val="Noto Sans CJK SC"/>
        <family val="2"/>
        <charset val="1"/>
      </rPr>
      <t xml:space="preserve">｜直接</t>
    </r>
  </si>
  <si>
    <t xml:space="preserve">SRC_PRC_006</t>
  </si>
  <si>
    <r>
      <rPr>
        <sz val="10"/>
        <rFont val="Arial"/>
        <family val="0"/>
        <charset val="1"/>
      </rPr>
      <t xml:space="preserve">GPT-6 Sol </t>
    </r>
    <r>
      <rPr>
        <sz val="10"/>
        <rFont val="Noto Sans CJK SC"/>
        <family val="2"/>
        <charset val="1"/>
      </rPr>
      <t xml:space="preserve">新鮮輸入</t>
    </r>
  </si>
  <si>
    <t xml:space="preserve">GPT-6 Sol</t>
  </si>
  <si>
    <r>
      <rPr>
        <sz val="10"/>
        <rFont val="Arial"/>
        <family val="0"/>
        <charset val="1"/>
      </rPr>
      <t xml:space="preserve">Cap_In!D6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Cap_In!E47</t>
    </r>
    <r>
      <rPr>
        <sz val="10"/>
        <rFont val="Noto Sans CJK SC"/>
        <family val="2"/>
        <charset val="1"/>
      </rPr>
      <t xml:space="preserve">｜直接</t>
    </r>
  </si>
  <si>
    <t xml:space="preserve">SRC_PRC_007</t>
  </si>
  <si>
    <r>
      <rPr>
        <sz val="10"/>
        <rFont val="Arial"/>
        <family val="0"/>
        <charset val="1"/>
      </rPr>
      <t xml:space="preserve">GPT-6 Sol </t>
    </r>
    <r>
      <rPr>
        <sz val="10"/>
        <rFont val="Noto Sans CJK SC"/>
        <family val="2"/>
        <charset val="1"/>
      </rPr>
      <t xml:space="preserve">快取輸入</t>
    </r>
  </si>
  <si>
    <r>
      <rPr>
        <sz val="10"/>
        <rFont val="Arial"/>
        <family val="0"/>
        <charset val="1"/>
      </rPr>
      <t xml:space="preserve">Cap_In!D7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Cap_In!F47</t>
    </r>
    <r>
      <rPr>
        <sz val="10"/>
        <rFont val="Noto Sans CJK SC"/>
        <family val="2"/>
        <charset val="1"/>
      </rPr>
      <t xml:space="preserve">｜直接</t>
    </r>
  </si>
  <si>
    <t xml:space="preserve">SRC_PRC_008</t>
  </si>
  <si>
    <r>
      <rPr>
        <sz val="10"/>
        <rFont val="Arial"/>
        <family val="0"/>
        <charset val="1"/>
      </rPr>
      <t xml:space="preserve">GPT-6 Sol </t>
    </r>
    <r>
      <rPr>
        <sz val="10"/>
        <rFont val="Noto Sans CJK SC"/>
        <family val="2"/>
        <charset val="1"/>
      </rPr>
      <t xml:space="preserve">輸出（含思考）</t>
    </r>
  </si>
  <si>
    <r>
      <rPr>
        <sz val="10"/>
        <rFont val="Arial"/>
        <family val="0"/>
        <charset val="1"/>
      </rPr>
      <t xml:space="preserve">Cap_In!D8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Cap_In!G47</t>
    </r>
    <r>
      <rPr>
        <sz val="10"/>
        <rFont val="Noto Sans CJK SC"/>
        <family val="2"/>
        <charset val="1"/>
      </rPr>
      <t xml:space="preserve">｜直接</t>
    </r>
  </si>
  <si>
    <t xml:space="preserve">SRC_PRC_009</t>
  </si>
  <si>
    <r>
      <rPr>
        <sz val="10"/>
        <rFont val="Arial"/>
        <family val="0"/>
        <charset val="1"/>
      </rPr>
      <t xml:space="preserve">GPT-6 Astra </t>
    </r>
    <r>
      <rPr>
        <sz val="10"/>
        <rFont val="Noto Sans CJK SC"/>
        <family val="2"/>
        <charset val="1"/>
      </rPr>
      <t xml:space="preserve">新鮮輸入</t>
    </r>
  </si>
  <si>
    <r>
      <rPr>
        <sz val="10"/>
        <rFont val="Arial"/>
        <family val="0"/>
        <charset val="1"/>
      </rPr>
      <t xml:space="preserve">Cap_In!E6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Cap_In!E48</t>
    </r>
    <r>
      <rPr>
        <sz val="10"/>
        <rFont val="Noto Sans CJK SC"/>
        <family val="2"/>
        <charset val="1"/>
      </rPr>
      <t xml:space="preserve">｜直接</t>
    </r>
  </si>
  <si>
    <t xml:space="preserve">SRC_PRC_010</t>
  </si>
  <si>
    <r>
      <rPr>
        <sz val="10"/>
        <rFont val="Arial"/>
        <family val="0"/>
        <charset val="1"/>
      </rPr>
      <t xml:space="preserve">GPT-6 Astra </t>
    </r>
    <r>
      <rPr>
        <sz val="10"/>
        <rFont val="Noto Sans CJK SC"/>
        <family val="2"/>
        <charset val="1"/>
      </rPr>
      <t xml:space="preserve">快取輸入</t>
    </r>
  </si>
  <si>
    <r>
      <rPr>
        <sz val="10"/>
        <rFont val="Arial"/>
        <family val="0"/>
        <charset val="1"/>
      </rPr>
      <t xml:space="preserve">Cap_In!E7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Cap_In!F48</t>
    </r>
    <r>
      <rPr>
        <sz val="10"/>
        <rFont val="Noto Sans CJK SC"/>
        <family val="2"/>
        <charset val="1"/>
      </rPr>
      <t xml:space="preserve">｜直接</t>
    </r>
  </si>
  <si>
    <t xml:space="preserve">SRC_PRC_011</t>
  </si>
  <si>
    <r>
      <rPr>
        <sz val="10"/>
        <rFont val="Arial"/>
        <family val="0"/>
        <charset val="1"/>
      </rPr>
      <t xml:space="preserve">GPT-6 Astra </t>
    </r>
    <r>
      <rPr>
        <sz val="10"/>
        <rFont val="Noto Sans CJK SC"/>
        <family val="2"/>
        <charset val="1"/>
      </rPr>
      <t xml:space="preserve">輸出（含思考）</t>
    </r>
  </si>
  <si>
    <r>
      <rPr>
        <sz val="10"/>
        <rFont val="Arial"/>
        <family val="0"/>
        <charset val="1"/>
      </rPr>
      <t xml:space="preserve">Cap_In!E8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Cap_In!G48</t>
    </r>
    <r>
      <rPr>
        <sz val="10"/>
        <rFont val="Noto Sans CJK SC"/>
        <family val="2"/>
        <charset val="1"/>
      </rPr>
      <t xml:space="preserve">｜直接</t>
    </r>
  </si>
  <si>
    <t xml:space="preserve">SRC_PRC_012</t>
  </si>
  <si>
    <t xml:space="preserve">S51</t>
  </si>
  <si>
    <r>
      <rPr>
        <sz val="10"/>
        <rFont val="Arial"/>
        <family val="0"/>
        <charset val="1"/>
      </rPr>
      <t xml:space="preserve">Claude Fable 5.1 </t>
    </r>
    <r>
      <rPr>
        <sz val="10"/>
        <rFont val="Noto Sans CJK SC"/>
        <family val="2"/>
        <charset val="1"/>
      </rPr>
      <t xml:space="preserve">輸入</t>
    </r>
  </si>
  <si>
    <t xml:space="preserve">Claude Fable 5.1</t>
  </si>
  <si>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  <charset val="1"/>
      </rPr>
      <t xml:space="preserve">牌價（官方頁未直接讀取）</t>
    </r>
  </si>
  <si>
    <r>
      <rPr>
        <sz val="10"/>
        <rFont val="Arial"/>
        <family val="0"/>
        <charset val="1"/>
      </rPr>
      <t xml:space="preserve">Cap_In!E49</t>
    </r>
    <r>
      <rPr>
        <sz val="10"/>
        <rFont val="Noto Sans CJK SC"/>
        <family val="2"/>
        <charset val="1"/>
      </rPr>
      <t xml:space="preserve">｜直接</t>
    </r>
  </si>
  <si>
    <t xml:space="preserve">SRC_PRC_013</t>
  </si>
  <si>
    <r>
      <rPr>
        <sz val="10"/>
        <rFont val="Arial"/>
        <family val="0"/>
        <charset val="1"/>
      </rPr>
      <t xml:space="preserve">Claude Fable 5.1 </t>
    </r>
    <r>
      <rPr>
        <sz val="10"/>
        <rFont val="Noto Sans CJK SC"/>
        <family val="2"/>
        <charset val="1"/>
      </rPr>
      <t xml:space="preserve">快取讀取</t>
    </r>
  </si>
  <si>
    <r>
      <rPr>
        <sz val="10"/>
        <rFont val="Arial"/>
        <family val="0"/>
        <charset val="1"/>
      </rPr>
      <t xml:space="preserve">Cap_In!F49</t>
    </r>
    <r>
      <rPr>
        <sz val="10"/>
        <rFont val="Noto Sans CJK SC"/>
        <family val="2"/>
        <charset val="1"/>
      </rPr>
      <t xml:space="preserve">｜直接</t>
    </r>
  </si>
  <si>
    <t xml:space="preserve">僅單一二手來源</t>
  </si>
  <si>
    <t xml:space="preserve">SRC_PRC_014</t>
  </si>
  <si>
    <r>
      <rPr>
        <sz val="10"/>
        <rFont val="Arial"/>
        <family val="0"/>
        <charset val="1"/>
      </rPr>
      <t xml:space="preserve">Claude Fable 5.1 </t>
    </r>
    <r>
      <rPr>
        <sz val="10"/>
        <rFont val="Noto Sans CJK SC"/>
        <family val="2"/>
        <charset val="1"/>
      </rPr>
      <t xml:space="preserve">輸出</t>
    </r>
  </si>
  <si>
    <r>
      <rPr>
        <sz val="10"/>
        <rFont val="Arial"/>
        <family val="0"/>
        <charset val="1"/>
      </rPr>
      <t xml:space="preserve">Cap_In!G49</t>
    </r>
    <r>
      <rPr>
        <sz val="10"/>
        <rFont val="Noto Sans CJK SC"/>
        <family val="2"/>
        <charset val="1"/>
      </rPr>
      <t xml:space="preserve">｜直接</t>
    </r>
  </si>
  <si>
    <t xml:space="preserve">SRC_PRC_015</t>
  </si>
  <si>
    <r>
      <rPr>
        <sz val="10"/>
        <rFont val="Arial"/>
        <family val="0"/>
        <charset val="1"/>
      </rPr>
      <t xml:space="preserve">Claude Opus 5 </t>
    </r>
    <r>
      <rPr>
        <sz val="10"/>
        <rFont val="Noto Sans CJK SC"/>
        <family val="2"/>
        <charset val="1"/>
      </rPr>
      <t xml:space="preserve">輸入</t>
    </r>
  </si>
  <si>
    <t xml:space="preserve">2026-07</t>
  </si>
  <si>
    <r>
      <rPr>
        <sz val="10"/>
        <rFont val="Arial"/>
        <family val="0"/>
        <charset val="1"/>
      </rPr>
      <t xml:space="preserve">Cap_In!E50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</si>
  <si>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模型快取 </t>
    </r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  <charset val="1"/>
      </rPr>
      <t xml:space="preserve">無來源（推測為輸入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  <charset val="1"/>
      </rPr>
      <t xml:space="preserve">）</t>
    </r>
  </si>
  <si>
    <t xml:space="preserve">SRC_PRC_016</t>
  </si>
  <si>
    <r>
      <rPr>
        <sz val="10"/>
        <rFont val="Arial"/>
        <family val="0"/>
        <charset val="1"/>
      </rPr>
      <t xml:space="preserve">Claude Opus 5 </t>
    </r>
    <r>
      <rPr>
        <sz val="10"/>
        <rFont val="Noto Sans CJK SC"/>
        <family val="2"/>
        <charset val="1"/>
      </rPr>
      <t xml:space="preserve">輸出</t>
    </r>
  </si>
  <si>
    <r>
      <rPr>
        <sz val="10"/>
        <rFont val="Arial"/>
        <family val="0"/>
        <charset val="1"/>
      </rPr>
      <t xml:space="preserve">Cap_In!G50</t>
    </r>
    <r>
      <rPr>
        <sz val="10"/>
        <rFont val="Noto Sans CJK SC"/>
        <family val="2"/>
        <charset val="1"/>
      </rPr>
      <t xml:space="preserve">｜直接</t>
    </r>
  </si>
  <si>
    <t xml:space="preserve">SRC_PRC_017</t>
  </si>
  <si>
    <r>
      <rPr>
        <sz val="10"/>
        <rFont val="Arial"/>
        <family val="0"/>
        <charset val="1"/>
      </rPr>
      <t xml:space="preserve">Claude Opus 5.5 </t>
    </r>
    <r>
      <rPr>
        <sz val="10"/>
        <rFont val="Noto Sans CJK SC"/>
        <family val="2"/>
        <charset val="1"/>
      </rPr>
      <t xml:space="preserve">輸入</t>
    </r>
  </si>
  <si>
    <t xml:space="preserve">Claude Opus 5.5</t>
  </si>
  <si>
    <t xml:space="preserve">2026-09-22</t>
  </si>
  <si>
    <r>
      <rPr>
        <sz val="10"/>
        <rFont val="Arial"/>
        <family val="0"/>
        <charset val="1"/>
      </rPr>
      <t xml:space="preserve">Cap_In!E51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</si>
  <si>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模型快取 </t>
    </r>
    <r>
      <rPr>
        <sz val="10"/>
        <rFont val="Arial"/>
        <family val="0"/>
        <charset val="1"/>
      </rPr>
      <t xml:space="preserve">0.2 </t>
    </r>
    <r>
      <rPr>
        <sz val="10"/>
        <rFont val="Noto Sans CJK SC"/>
        <family val="2"/>
        <charset val="1"/>
      </rPr>
      <t xml:space="preserve">無來源</t>
    </r>
  </si>
  <si>
    <t xml:space="preserve">SRC_PRC_018</t>
  </si>
  <si>
    <r>
      <rPr>
        <sz val="10"/>
        <rFont val="Arial"/>
        <family val="0"/>
        <charset val="1"/>
      </rPr>
      <t xml:space="preserve">Claude Opus 5.5 </t>
    </r>
    <r>
      <rPr>
        <sz val="10"/>
        <rFont val="Noto Sans CJK SC"/>
        <family val="2"/>
        <charset val="1"/>
      </rPr>
      <t xml:space="preserve">輸出</t>
    </r>
  </si>
  <si>
    <r>
      <rPr>
        <sz val="10"/>
        <rFont val="Arial"/>
        <family val="0"/>
        <charset val="1"/>
      </rPr>
      <t xml:space="preserve">Cap_In!G51</t>
    </r>
    <r>
      <rPr>
        <sz val="10"/>
        <rFont val="Noto Sans CJK SC"/>
        <family val="2"/>
        <charset val="1"/>
      </rPr>
      <t xml:space="preserve">｜直接</t>
    </r>
  </si>
  <si>
    <t xml:space="preserve">SRC_PRC_019</t>
  </si>
  <si>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  <charset val="1"/>
      </rPr>
      <t xml:space="preserve">快取寫入倍數（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  <charset val="1"/>
      </rPr>
      <t xml:space="preserve">分鐘）</t>
    </r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</si>
  <si>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  <charset val="1"/>
      </rPr>
      <t xml:space="preserve">輸入價</t>
    </r>
  </si>
  <si>
    <t xml:space="preserve">Anthropic</t>
  </si>
  <si>
    <t xml:space="preserve">SRC_PRC_020</t>
  </si>
  <si>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  <charset val="1"/>
      </rPr>
      <t xml:space="preserve">快取寫入倍數（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  <charset val="1"/>
      </rPr>
      <t xml:space="preserve">小時）</t>
    </r>
  </si>
  <si>
    <t xml:space="preserve">SRC_PRC_021</t>
  </si>
  <si>
    <t xml:space="preserve">S52</t>
  </si>
  <si>
    <r>
      <rPr>
        <sz val="10"/>
        <rFont val="Arial"/>
        <family val="0"/>
        <charset val="1"/>
      </rPr>
      <t xml:space="preserve">DeepSeek V4.1-Flash </t>
    </r>
    <r>
      <rPr>
        <sz val="10"/>
        <rFont val="Noto Sans CJK SC"/>
        <family val="2"/>
        <charset val="1"/>
      </rPr>
      <t xml:space="preserve">輸入（尖峰）</t>
    </r>
  </si>
  <si>
    <t xml:space="preserve">尖峰；國際站美元</t>
  </si>
  <si>
    <t xml:space="preserve">DeepSeek V4.1-Flash</t>
  </si>
  <si>
    <t xml:space="preserve">2026-10-01</t>
  </si>
  <si>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  <charset val="1"/>
      </rPr>
      <t xml:space="preserve">官方牌價</t>
    </r>
  </si>
  <si>
    <r>
      <rPr>
        <sz val="10"/>
        <rFont val="Arial"/>
        <family val="0"/>
        <charset val="1"/>
      </rPr>
      <t xml:space="preserve">Cap_In!E52</t>
    </r>
    <r>
      <rPr>
        <sz val="10"/>
        <rFont val="Noto Sans CJK SC"/>
        <family val="2"/>
        <charset val="1"/>
      </rPr>
      <t xml:space="preserve">｜直接</t>
    </r>
  </si>
  <si>
    <t xml:space="preserve">SRC_PRC_022</t>
  </si>
  <si>
    <r>
      <rPr>
        <sz val="10"/>
        <rFont val="Arial"/>
        <family val="0"/>
        <charset val="1"/>
      </rPr>
      <t xml:space="preserve">DeepSeek V4.1-Flash </t>
    </r>
    <r>
      <rPr>
        <sz val="10"/>
        <rFont val="Noto Sans CJK SC"/>
        <family val="2"/>
        <charset val="1"/>
      </rPr>
      <t xml:space="preserve">快取輸入（尖峰）</t>
    </r>
  </si>
  <si>
    <t xml:space="preserve">尖峰</t>
  </si>
  <si>
    <r>
      <rPr>
        <sz val="10"/>
        <rFont val="Arial"/>
        <family val="0"/>
        <charset val="1"/>
      </rPr>
      <t xml:space="preserve">Cap_In!F52</t>
    </r>
    <r>
      <rPr>
        <sz val="10"/>
        <rFont val="Noto Sans CJK SC"/>
        <family val="2"/>
        <charset val="1"/>
      </rPr>
      <t xml:space="preserve">｜直接</t>
    </r>
  </si>
  <si>
    <t xml:space="preserve">SRC_PRC_023</t>
  </si>
  <si>
    <r>
      <rPr>
        <sz val="10"/>
        <rFont val="Arial"/>
        <family val="0"/>
        <charset val="1"/>
      </rPr>
      <t xml:space="preserve">DeepSeek V4.1-Flash </t>
    </r>
    <r>
      <rPr>
        <sz val="10"/>
        <rFont val="Noto Sans CJK SC"/>
        <family val="2"/>
        <charset val="1"/>
      </rPr>
      <t xml:space="preserve">輸出（尖峰）</t>
    </r>
  </si>
  <si>
    <r>
      <rPr>
        <sz val="10"/>
        <rFont val="Arial"/>
        <family val="0"/>
        <charset val="1"/>
      </rPr>
      <t xml:space="preserve">Cap_In!G52</t>
    </r>
    <r>
      <rPr>
        <sz val="10"/>
        <rFont val="Noto Sans CJK SC"/>
        <family val="2"/>
        <charset val="1"/>
      </rPr>
      <t xml:space="preserve">｜直接</t>
    </r>
  </si>
  <si>
    <t xml:space="preserve">SRC_PRC_024</t>
  </si>
  <si>
    <r>
      <rPr>
        <sz val="10"/>
        <rFont val="Arial"/>
        <family val="0"/>
        <charset val="1"/>
      </rPr>
      <t xml:space="preserve">DeepSeek V4-Pro-0813 </t>
    </r>
    <r>
      <rPr>
        <sz val="10"/>
        <rFont val="Noto Sans CJK SC"/>
        <family val="2"/>
        <charset val="1"/>
      </rPr>
      <t xml:space="preserve">輸入（尖峰）</t>
    </r>
  </si>
  <si>
    <t xml:space="preserve">DeepSeek V4-Pro-0813</t>
  </si>
  <si>
    <r>
      <rPr>
        <sz val="10"/>
        <rFont val="Arial"/>
        <family val="0"/>
        <charset val="1"/>
      </rPr>
      <t xml:space="preserve">Cap_In!E53</t>
    </r>
    <r>
      <rPr>
        <sz val="10"/>
        <rFont val="Noto Sans CJK SC"/>
        <family val="2"/>
        <charset val="1"/>
      </rPr>
      <t xml:space="preserve">｜直接</t>
    </r>
  </si>
  <si>
    <t xml:space="preserve">SRC_PRC_025</t>
  </si>
  <si>
    <r>
      <rPr>
        <sz val="10"/>
        <rFont val="Arial"/>
        <family val="0"/>
        <charset val="1"/>
      </rPr>
      <t xml:space="preserve">DeepSeek V4-Pro-0813 </t>
    </r>
    <r>
      <rPr>
        <sz val="10"/>
        <rFont val="Noto Sans CJK SC"/>
        <family val="2"/>
        <charset val="1"/>
      </rPr>
      <t xml:space="preserve">快取輸入（尖峰）</t>
    </r>
  </si>
  <si>
    <r>
      <rPr>
        <sz val="10"/>
        <rFont val="Arial"/>
        <family val="0"/>
        <charset val="1"/>
      </rPr>
      <t xml:space="preserve">Cap_In!F53</t>
    </r>
    <r>
      <rPr>
        <sz val="10"/>
        <rFont val="Noto Sans CJK SC"/>
        <family val="2"/>
        <charset val="1"/>
      </rPr>
      <t xml:space="preserve">｜直接</t>
    </r>
  </si>
  <si>
    <t xml:space="preserve">SRC_PRC_026</t>
  </si>
  <si>
    <r>
      <rPr>
        <sz val="10"/>
        <rFont val="Arial"/>
        <family val="0"/>
        <charset val="1"/>
      </rPr>
      <t xml:space="preserve">DeepSeek V4-Pro-0813 </t>
    </r>
    <r>
      <rPr>
        <sz val="10"/>
        <rFont val="Noto Sans CJK SC"/>
        <family val="2"/>
        <charset val="1"/>
      </rPr>
      <t xml:space="preserve">輸出（尖峰）</t>
    </r>
  </si>
  <si>
    <r>
      <rPr>
        <sz val="10"/>
        <rFont val="Arial"/>
        <family val="0"/>
        <charset val="1"/>
      </rPr>
      <t xml:space="preserve">Cap_In!G53</t>
    </r>
    <r>
      <rPr>
        <sz val="10"/>
        <rFont val="Noto Sans CJK SC"/>
        <family val="2"/>
        <charset val="1"/>
      </rPr>
      <t xml:space="preserve">｜直接</t>
    </r>
  </si>
  <si>
    <t xml:space="preserve">SRC_PRC_027</t>
  </si>
  <si>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  <charset val="1"/>
      </rPr>
      <t xml:space="preserve">離峰價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  <charset val="1"/>
      </rPr>
      <t xml:space="preserve">尖峰價</t>
    </r>
  </si>
  <si>
    <r>
      <rPr>
        <sz val="10"/>
        <rFont val="Arial"/>
        <family val="0"/>
        <charset val="1"/>
      </rPr>
      <t xml:space="preserve">Cap_In!C18</t>
    </r>
    <r>
      <rPr>
        <sz val="10"/>
        <rFont val="Noto Sans CJK SC"/>
        <family val="2"/>
        <charset val="1"/>
      </rPr>
      <t xml:space="preserve">｜直接</t>
    </r>
  </si>
  <si>
    <t xml:space="preserve">SRC_PRC_028</t>
  </si>
  <si>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  <charset val="1"/>
      </rPr>
      <t xml:space="preserve">每週尖峰時數</t>
    </r>
  </si>
  <si>
    <r>
      <rPr>
        <sz val="10"/>
        <rFont val="Arial"/>
        <family val="0"/>
        <charset val="1"/>
      </rPr>
      <t xml:space="preserve">hr/</t>
    </r>
    <r>
      <rPr>
        <sz val="10"/>
        <rFont val="Noto Sans CJK SC"/>
        <family val="2"/>
        <charset val="1"/>
      </rPr>
      <t xml:space="preserve">週</t>
    </r>
  </si>
  <si>
    <r>
      <rPr>
        <sz val="10"/>
        <rFont val="Noto Sans CJK SC"/>
        <family val="2"/>
        <charset val="1"/>
      </rPr>
      <t xml:space="preserve">週一至五 </t>
    </r>
    <r>
      <rPr>
        <sz val="10"/>
        <rFont val="Arial"/>
        <family val="0"/>
        <charset val="1"/>
      </rPr>
      <t xml:space="preserve">UTC 01–04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06–10</t>
    </r>
  </si>
  <si>
    <r>
      <rPr>
        <sz val="10"/>
        <rFont val="Arial"/>
        <family val="0"/>
        <charset val="1"/>
      </rPr>
      <t xml:space="preserve">Cap_In!C17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</si>
  <si>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由公告時段計算（</t>
    </r>
    <r>
      <rPr>
        <sz val="10"/>
        <rFont val="Arial"/>
        <family val="0"/>
        <charset val="1"/>
      </rPr>
      <t xml:space="preserve">7 hr × 5</t>
    </r>
    <r>
      <rPr>
        <sz val="10"/>
        <rFont val="Noto Sans CJK SC"/>
        <family val="2"/>
        <charset val="1"/>
      </rPr>
      <t xml:space="preserve">）</t>
    </r>
  </si>
  <si>
    <t xml:space="preserve">SRC_PRC_029</t>
  </si>
  <si>
    <t xml:space="preserve">S53</t>
  </si>
  <si>
    <r>
      <rPr>
        <sz val="10"/>
        <rFont val="Arial"/>
        <family val="0"/>
        <charset val="1"/>
      </rPr>
      <t xml:space="preserve">GLM-5.3 </t>
    </r>
    <r>
      <rPr>
        <sz val="10"/>
        <rFont val="Noto Sans CJK SC"/>
        <family val="2"/>
        <charset val="1"/>
      </rPr>
      <t xml:space="preserve">輸入</t>
    </r>
  </si>
  <si>
    <t xml:space="preserve">GLM-5.3</t>
  </si>
  <si>
    <r>
      <rPr>
        <sz val="10"/>
        <rFont val="Arial"/>
        <family val="0"/>
        <charset val="1"/>
      </rPr>
      <t xml:space="preserve">Z.ai </t>
    </r>
    <r>
      <rPr>
        <sz val="10"/>
        <rFont val="Noto Sans CJK SC"/>
        <family val="2"/>
        <charset val="1"/>
      </rPr>
      <t xml:space="preserve">官方牌價</t>
    </r>
  </si>
  <si>
    <r>
      <rPr>
        <sz val="10"/>
        <rFont val="Arial"/>
        <family val="0"/>
        <charset val="1"/>
      </rPr>
      <t xml:space="preserve">Cap_In!E54</t>
    </r>
    <r>
      <rPr>
        <sz val="10"/>
        <rFont val="Noto Sans CJK SC"/>
        <family val="2"/>
        <charset val="1"/>
      </rPr>
      <t xml:space="preserve">｜直接</t>
    </r>
  </si>
  <si>
    <t xml:space="preserve">SRC_PRC_030</t>
  </si>
  <si>
    <r>
      <rPr>
        <sz val="10"/>
        <rFont val="Arial"/>
        <family val="0"/>
        <charset val="1"/>
      </rPr>
      <t xml:space="preserve">GLM-5.3 </t>
    </r>
    <r>
      <rPr>
        <sz val="10"/>
        <rFont val="Noto Sans CJK SC"/>
        <family val="2"/>
        <charset val="1"/>
      </rPr>
      <t xml:space="preserve">快取輸入</t>
    </r>
  </si>
  <si>
    <r>
      <rPr>
        <sz val="10"/>
        <rFont val="Arial"/>
        <family val="0"/>
        <charset val="1"/>
      </rPr>
      <t xml:space="preserve">Cap_In!F54</t>
    </r>
    <r>
      <rPr>
        <sz val="10"/>
        <rFont val="Noto Sans CJK SC"/>
        <family val="2"/>
        <charset val="1"/>
      </rPr>
      <t xml:space="preserve">｜直接</t>
    </r>
  </si>
  <si>
    <t xml:space="preserve">SRC_PRC_031</t>
  </si>
  <si>
    <r>
      <rPr>
        <sz val="10"/>
        <rFont val="Arial"/>
        <family val="0"/>
        <charset val="1"/>
      </rPr>
      <t xml:space="preserve">GLM-5.3 </t>
    </r>
    <r>
      <rPr>
        <sz val="10"/>
        <rFont val="Noto Sans CJK SC"/>
        <family val="2"/>
        <charset val="1"/>
      </rPr>
      <t xml:space="preserve">輸出</t>
    </r>
  </si>
  <si>
    <r>
      <rPr>
        <sz val="10"/>
        <rFont val="Arial"/>
        <family val="0"/>
        <charset val="1"/>
      </rPr>
      <t xml:space="preserve">Cap_In!G54</t>
    </r>
    <r>
      <rPr>
        <sz val="10"/>
        <rFont val="Noto Sans CJK SC"/>
        <family val="2"/>
        <charset val="1"/>
      </rPr>
      <t xml:space="preserve">｜直接</t>
    </r>
  </si>
  <si>
    <t xml:space="preserve">SRC_PRC_032</t>
  </si>
  <si>
    <r>
      <rPr>
        <sz val="10"/>
        <rFont val="Arial"/>
        <family val="0"/>
        <charset val="1"/>
      </rPr>
      <t xml:space="preserve">GLM-5.3-Flash </t>
    </r>
    <r>
      <rPr>
        <sz val="10"/>
        <rFont val="Noto Sans CJK SC"/>
        <family val="2"/>
        <charset val="1"/>
      </rPr>
      <t xml:space="preserve">輸入</t>
    </r>
  </si>
  <si>
    <t xml:space="preserve">GLM-5.3-Flash</t>
  </si>
  <si>
    <r>
      <rPr>
        <sz val="10"/>
        <rFont val="Arial"/>
        <family val="0"/>
        <charset val="1"/>
      </rPr>
      <t xml:space="preserve">Cap_In!E55</t>
    </r>
    <r>
      <rPr>
        <sz val="10"/>
        <rFont val="Noto Sans CJK SC"/>
        <family val="2"/>
        <charset val="1"/>
      </rPr>
      <t xml:space="preserve">｜直接</t>
    </r>
  </si>
  <si>
    <t xml:space="preserve">SRC_PRC_033</t>
  </si>
  <si>
    <r>
      <rPr>
        <sz val="10"/>
        <rFont val="Arial"/>
        <family val="0"/>
        <charset val="1"/>
      </rPr>
      <t xml:space="preserve">GLM-5.3-Flash </t>
    </r>
    <r>
      <rPr>
        <sz val="10"/>
        <rFont val="Noto Sans CJK SC"/>
        <family val="2"/>
        <charset val="1"/>
      </rPr>
      <t xml:space="preserve">快取輸入</t>
    </r>
  </si>
  <si>
    <r>
      <rPr>
        <sz val="10"/>
        <rFont val="Arial"/>
        <family val="0"/>
        <charset val="1"/>
      </rPr>
      <t xml:space="preserve">Cap_In!F55</t>
    </r>
    <r>
      <rPr>
        <sz val="10"/>
        <rFont val="Noto Sans CJK SC"/>
        <family val="2"/>
        <charset val="1"/>
      </rPr>
      <t xml:space="preserve">｜直接</t>
    </r>
  </si>
  <si>
    <t xml:space="preserve">SRC_PRC_034</t>
  </si>
  <si>
    <r>
      <rPr>
        <sz val="10"/>
        <rFont val="Arial"/>
        <family val="0"/>
        <charset val="1"/>
      </rPr>
      <t xml:space="preserve">GLM-5.3-Flash </t>
    </r>
    <r>
      <rPr>
        <sz val="10"/>
        <rFont val="Noto Sans CJK SC"/>
        <family val="2"/>
        <charset val="1"/>
      </rPr>
      <t xml:space="preserve">輸出</t>
    </r>
  </si>
  <si>
    <r>
      <rPr>
        <sz val="10"/>
        <rFont val="Arial"/>
        <family val="0"/>
        <charset val="1"/>
      </rPr>
      <t xml:space="preserve">Cap_In!G55</t>
    </r>
    <r>
      <rPr>
        <sz val="10"/>
        <rFont val="Noto Sans CJK SC"/>
        <family val="2"/>
        <charset val="1"/>
      </rPr>
      <t xml:space="preserve">｜直接</t>
    </r>
  </si>
  <si>
    <t xml:space="preserve">SRC_PRC_035</t>
  </si>
  <si>
    <t xml:space="preserve">S54</t>
  </si>
  <si>
    <r>
      <rPr>
        <sz val="10"/>
        <rFont val="Arial"/>
        <family val="0"/>
        <charset val="1"/>
      </rPr>
      <t xml:space="preserve">Kimi K3 </t>
    </r>
    <r>
      <rPr>
        <sz val="10"/>
        <rFont val="Noto Sans CJK SC"/>
        <family val="2"/>
        <charset val="1"/>
      </rPr>
      <t xml:space="preserve">輸入</t>
    </r>
  </si>
  <si>
    <t xml:space="preserve">Kimi K3</t>
  </si>
  <si>
    <r>
      <rPr>
        <sz val="10"/>
        <rFont val="Arial"/>
        <family val="0"/>
        <charset val="1"/>
      </rPr>
      <t xml:space="preserve">Moonshot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Alibaba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MiniMax </t>
    </r>
    <r>
      <rPr>
        <sz val="10"/>
        <rFont val="Noto Sans CJK SC"/>
        <family val="2"/>
        <charset val="1"/>
      </rPr>
      <t xml:space="preserve">牌價（官方頁未讀）</t>
    </r>
  </si>
  <si>
    <r>
      <rPr>
        <sz val="10"/>
        <rFont val="Arial"/>
        <family val="0"/>
        <charset val="1"/>
      </rPr>
      <t xml:space="preserve">Cap_In!E57</t>
    </r>
    <r>
      <rPr>
        <sz val="10"/>
        <rFont val="Noto Sans CJK SC"/>
        <family val="2"/>
        <charset val="1"/>
      </rPr>
      <t xml:space="preserve">｜直接</t>
    </r>
  </si>
  <si>
    <t xml:space="preserve">SRC_PRC_036</t>
  </si>
  <si>
    <r>
      <rPr>
        <sz val="10"/>
        <rFont val="Arial"/>
        <family val="0"/>
        <charset val="1"/>
      </rPr>
      <t xml:space="preserve">Kimi K3 </t>
    </r>
    <r>
      <rPr>
        <sz val="10"/>
        <rFont val="Noto Sans CJK SC"/>
        <family val="2"/>
        <charset val="1"/>
      </rPr>
      <t xml:space="preserve">快取輸入</t>
    </r>
  </si>
  <si>
    <r>
      <rPr>
        <sz val="10"/>
        <rFont val="Arial"/>
        <family val="0"/>
        <charset val="1"/>
      </rPr>
      <t xml:space="preserve">Cap_In!F57</t>
    </r>
    <r>
      <rPr>
        <sz val="10"/>
        <rFont val="Noto Sans CJK SC"/>
        <family val="2"/>
        <charset val="1"/>
      </rPr>
      <t xml:space="preserve">｜直接</t>
    </r>
  </si>
  <si>
    <t xml:space="preserve">SRC_PRC_037</t>
  </si>
  <si>
    <r>
      <rPr>
        <sz val="10"/>
        <rFont val="Arial"/>
        <family val="0"/>
        <charset val="1"/>
      </rPr>
      <t xml:space="preserve">Kimi K3 </t>
    </r>
    <r>
      <rPr>
        <sz val="10"/>
        <rFont val="Noto Sans CJK SC"/>
        <family val="2"/>
        <charset val="1"/>
      </rPr>
      <t xml:space="preserve">輸出</t>
    </r>
  </si>
  <si>
    <r>
      <rPr>
        <sz val="10"/>
        <rFont val="Arial"/>
        <family val="0"/>
        <charset val="1"/>
      </rPr>
      <t xml:space="preserve">Cap_In!G57</t>
    </r>
    <r>
      <rPr>
        <sz val="10"/>
        <rFont val="Noto Sans CJK SC"/>
        <family val="2"/>
        <charset val="1"/>
      </rPr>
      <t xml:space="preserve">｜直接</t>
    </r>
  </si>
  <si>
    <t xml:space="preserve">SRC_PRC_038</t>
  </si>
  <si>
    <r>
      <rPr>
        <sz val="10"/>
        <rFont val="Arial"/>
        <family val="0"/>
        <charset val="1"/>
      </rPr>
      <t xml:space="preserve">Qwen3.8-Max </t>
    </r>
    <r>
      <rPr>
        <sz val="10"/>
        <rFont val="Noto Sans CJK SC"/>
        <family val="2"/>
        <charset val="1"/>
      </rPr>
      <t xml:space="preserve">輸入（國際站）</t>
    </r>
  </si>
  <si>
    <t xml:space="preserve">國際站</t>
  </si>
  <si>
    <t xml:space="preserve">Qwen3.8-Max</t>
  </si>
  <si>
    <r>
      <rPr>
        <sz val="10"/>
        <rFont val="Arial"/>
        <family val="0"/>
        <charset val="1"/>
      </rPr>
      <t xml:space="preserve">Cap_In!E56</t>
    </r>
    <r>
      <rPr>
        <sz val="10"/>
        <rFont val="Noto Sans CJK SC"/>
        <family val="2"/>
        <charset val="1"/>
      </rPr>
      <t xml:space="preserve">｜直接</t>
    </r>
  </si>
  <si>
    <t xml:space="preserve">SRC_PRC_039</t>
  </si>
  <si>
    <r>
      <rPr>
        <sz val="10"/>
        <rFont val="Arial"/>
        <family val="0"/>
        <charset val="1"/>
      </rPr>
      <t xml:space="preserve">Qwen3.8-Max </t>
    </r>
    <r>
      <rPr>
        <sz val="10"/>
        <rFont val="Noto Sans CJK SC"/>
        <family val="2"/>
        <charset val="1"/>
      </rPr>
      <t xml:space="preserve">快取輸入（國際站）</t>
    </r>
  </si>
  <si>
    <r>
      <rPr>
        <sz val="10"/>
        <rFont val="Arial"/>
        <family val="0"/>
        <charset val="1"/>
      </rPr>
      <t xml:space="preserve">Cap_In!F56</t>
    </r>
    <r>
      <rPr>
        <sz val="10"/>
        <rFont val="Noto Sans CJK SC"/>
        <family val="2"/>
        <charset val="1"/>
      </rPr>
      <t xml:space="preserve">｜直接</t>
    </r>
  </si>
  <si>
    <t xml:space="preserve">SRC_PRC_040</t>
  </si>
  <si>
    <r>
      <rPr>
        <sz val="10"/>
        <rFont val="Arial"/>
        <family val="0"/>
        <charset val="1"/>
      </rPr>
      <t xml:space="preserve">Qwen3.8-Max </t>
    </r>
    <r>
      <rPr>
        <sz val="10"/>
        <rFont val="Noto Sans CJK SC"/>
        <family val="2"/>
        <charset val="1"/>
      </rPr>
      <t xml:space="preserve">輸出（國際站）</t>
    </r>
  </si>
  <si>
    <r>
      <rPr>
        <sz val="10"/>
        <rFont val="Arial"/>
        <family val="0"/>
        <charset val="1"/>
      </rPr>
      <t xml:space="preserve">Cap_In!G56</t>
    </r>
    <r>
      <rPr>
        <sz val="10"/>
        <rFont val="Noto Sans CJK SC"/>
        <family val="2"/>
        <charset val="1"/>
      </rPr>
      <t xml:space="preserve">｜直接</t>
    </r>
  </si>
  <si>
    <t xml:space="preserve">SRC_PRC_041</t>
  </si>
  <si>
    <r>
      <rPr>
        <sz val="10"/>
        <rFont val="Arial"/>
        <family val="0"/>
        <charset val="1"/>
      </rPr>
      <t xml:space="preserve">Qwen3.8-Max </t>
    </r>
    <r>
      <rPr>
        <sz val="10"/>
        <rFont val="Noto Sans CJK SC"/>
        <family val="2"/>
        <charset val="1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</si>
  <si>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</si>
  <si>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</si>
  <si>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</si>
  <si>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rFont val="Arial"/>
        <family val="0"/>
        <charset val="1"/>
      </rPr>
      <t xml:space="preserve">Qwen3.8-Max </t>
    </r>
    <r>
      <rPr>
        <sz val="10"/>
        <rFont val="Noto Sans CJK SC"/>
        <family val="2"/>
        <charset val="1"/>
      </rPr>
      <t xml:space="preserve">輸出（另一記載，附五折）</t>
    </r>
  </si>
  <si>
    <t xml:space="preserve">SRC_PRC_043</t>
  </si>
  <si>
    <r>
      <rPr>
        <sz val="10"/>
        <rFont val="Arial"/>
        <family val="0"/>
        <charset val="1"/>
      </rPr>
      <t xml:space="preserve">MiniMax M3 </t>
    </r>
    <r>
      <rPr>
        <sz val="10"/>
        <rFont val="Noto Sans CJK SC"/>
        <family val="2"/>
        <charset val="1"/>
      </rPr>
      <t xml:space="preserve">輸入</t>
    </r>
  </si>
  <si>
    <r>
      <rPr>
        <sz val="10"/>
        <rFont val="Arial"/>
        <family val="0"/>
        <charset val="1"/>
      </rPr>
      <t xml:space="preserve">≤512K </t>
    </r>
    <r>
      <rPr>
        <sz val="10"/>
        <rFont val="Noto Sans CJK SC"/>
        <family val="2"/>
        <charset val="1"/>
      </rPr>
      <t xml:space="preserve">輸入</t>
    </r>
  </si>
  <si>
    <t xml:space="preserve">MiniMax M3</t>
  </si>
  <si>
    <r>
      <rPr>
        <sz val="10"/>
        <rFont val="Arial"/>
        <family val="0"/>
        <charset val="1"/>
      </rPr>
      <t xml:space="preserve">Cap_In!E58</t>
    </r>
    <r>
      <rPr>
        <sz val="10"/>
        <rFont val="Noto Sans CJK SC"/>
        <family val="2"/>
        <charset val="1"/>
      </rPr>
      <t xml:space="preserve">｜直接</t>
    </r>
  </si>
  <si>
    <t xml:space="preserve">SRC_PRC_044</t>
  </si>
  <si>
    <r>
      <rPr>
        <sz val="10"/>
        <rFont val="Arial"/>
        <family val="0"/>
        <charset val="1"/>
      </rPr>
      <t xml:space="preserve">MiniMax M3 </t>
    </r>
    <r>
      <rPr>
        <sz val="10"/>
        <rFont val="Noto Sans CJK SC"/>
        <family val="2"/>
        <charset val="1"/>
      </rPr>
      <t xml:space="preserve">輸出</t>
    </r>
  </si>
  <si>
    <r>
      <rPr>
        <sz val="10"/>
        <rFont val="Arial"/>
        <family val="0"/>
        <charset val="1"/>
      </rPr>
      <t xml:space="preserve">Cap_In!G58</t>
    </r>
    <r>
      <rPr>
        <sz val="10"/>
        <rFont val="Noto Sans CJK SC"/>
        <family val="2"/>
        <charset val="1"/>
      </rPr>
      <t xml:space="preserve">｜直接</t>
    </r>
  </si>
  <si>
    <t xml:space="preserve">SRC_CAP_001</t>
  </si>
  <si>
    <t xml:space="preserve">S55</t>
  </si>
  <si>
    <r>
      <rPr>
        <sz val="10"/>
        <rFont val="Arial"/>
        <family val="0"/>
        <charset val="1"/>
      </rPr>
      <t xml:space="preserve">AA Intelligence Index v4.3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GPT-6 Astra</t>
    </r>
  </si>
  <si>
    <t xml:space="preserve">指數</t>
  </si>
  <si>
    <t xml:space="preserve">v4.3</t>
  </si>
  <si>
    <r>
      <rPr>
        <sz val="10"/>
        <rFont val="Arial"/>
        <family val="0"/>
        <charset val="1"/>
      </rPr>
      <t xml:space="preserve">Artificial Analysis</t>
    </r>
    <r>
      <rPr>
        <sz val="10"/>
        <rFont val="Noto Sans CJK SC"/>
        <family val="2"/>
        <charset val="1"/>
      </rPr>
      <t xml:space="preserve">：獨立評測（經報導）；</t>
    </r>
    <r>
      <rPr>
        <sz val="10"/>
        <rFont val="Arial"/>
        <family val="0"/>
        <charset val="1"/>
      </rPr>
      <t xml:space="preserve">v4.3</t>
    </r>
  </si>
  <si>
    <r>
      <rPr>
        <sz val="10"/>
        <rFont val="Arial"/>
        <family val="0"/>
        <charset val="1"/>
      </rPr>
      <t xml:space="preserve">Cap_In!I48</t>
    </r>
    <r>
      <rPr>
        <sz val="10"/>
        <rFont val="Noto Sans CJK SC"/>
        <family val="2"/>
        <charset val="1"/>
      </rPr>
      <t xml:space="preserve">｜直接</t>
    </r>
  </si>
  <si>
    <t xml:space="preserve">SRC_CAP_002</t>
  </si>
  <si>
    <r>
      <rPr>
        <sz val="10"/>
        <rFont val="Arial"/>
        <family val="0"/>
        <charset val="1"/>
      </rPr>
      <t xml:space="preserve">AA Intelligence Index v4.3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Claude Fable 5.1</t>
    </r>
  </si>
  <si>
    <r>
      <rPr>
        <sz val="10"/>
        <rFont val="Arial"/>
        <family val="0"/>
        <charset val="1"/>
      </rPr>
      <t xml:space="preserve">Cap_In!I49</t>
    </r>
    <r>
      <rPr>
        <sz val="10"/>
        <rFont val="Noto Sans CJK SC"/>
        <family val="2"/>
        <charset val="1"/>
      </rPr>
      <t xml:space="preserve">｜直接</t>
    </r>
  </si>
  <si>
    <t xml:space="preserve">SRC_CAP_003</t>
  </si>
  <si>
    <r>
      <rPr>
        <sz val="10"/>
        <rFont val="Arial"/>
        <family val="0"/>
        <charset val="1"/>
      </rPr>
      <t xml:space="preserve">AA Intelligence Index v4.3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Claude Opus 5</t>
    </r>
  </si>
  <si>
    <r>
      <rPr>
        <sz val="10"/>
        <rFont val="Arial"/>
        <family val="0"/>
        <charset val="1"/>
      </rPr>
      <t xml:space="preserve">Cap_In!I50</t>
    </r>
    <r>
      <rPr>
        <sz val="10"/>
        <rFont val="Noto Sans CJK SC"/>
        <family val="2"/>
        <charset val="1"/>
      </rPr>
      <t xml:space="preserve">｜直接</t>
    </r>
  </si>
  <si>
    <t xml:space="preserve">SRC_CAP_004</t>
  </si>
  <si>
    <r>
      <rPr>
        <sz val="10"/>
        <rFont val="Arial"/>
        <family val="0"/>
        <charset val="1"/>
      </rPr>
      <t xml:space="preserve">AA Intelligence Index v4.3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</si>
  <si>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</si>
  <si>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rFont val="Arial"/>
        <family val="0"/>
        <charset val="1"/>
      </rPr>
      <t xml:space="preserve">AA Intelligence Index v4.3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GLM-5.3-Flash</t>
    </r>
  </si>
  <si>
    <r>
      <rPr>
        <sz val="10"/>
        <rFont val="Arial"/>
        <family val="0"/>
        <charset val="1"/>
      </rPr>
      <t xml:space="preserve">Cap_In!I55</t>
    </r>
    <r>
      <rPr>
        <sz val="10"/>
        <rFont val="Noto Sans CJK SC"/>
        <family val="2"/>
        <charset val="1"/>
      </rPr>
      <t xml:space="preserve">｜直接</t>
    </r>
  </si>
  <si>
    <t xml:space="preserve">SRC_CAP_006</t>
  </si>
  <si>
    <r>
      <rPr>
        <sz val="10"/>
        <rFont val="Arial"/>
        <family val="0"/>
        <charset val="1"/>
      </rPr>
      <t xml:space="preserve">AA Intelligence Index v4.3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</si>
  <si>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</si>
  <si>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rFont val="Arial"/>
        <family val="0"/>
        <charset val="1"/>
      </rPr>
      <t xml:space="preserve">Cap_In!I56</t>
    </r>
    <r>
      <rPr>
        <sz val="10"/>
        <rFont val="Noto Sans CJK SC"/>
        <family val="2"/>
        <charset val="1"/>
      </rPr>
      <t xml:space="preserve">｜選取</t>
    </r>
  </si>
  <si>
    <r>
      <rPr>
        <sz val="10"/>
        <rFont val="Noto Sans CJK SC"/>
        <family val="2"/>
        <charset val="1"/>
      </rPr>
      <t xml:space="preserve">模型用於 </t>
    </r>
    <r>
      <rPr>
        <sz val="10"/>
        <rFont val="Arial"/>
        <family val="0"/>
        <charset val="1"/>
      </rPr>
      <t xml:space="preserve">Qwen3.8-Max</t>
    </r>
    <r>
      <rPr>
        <sz val="10"/>
        <rFont val="Noto Sans CJK SC"/>
        <family val="2"/>
        <charset val="1"/>
      </rPr>
      <t xml:space="preserve">；是否同一模型待查</t>
    </r>
  </si>
  <si>
    <t xml:space="preserve">SRC_CAP_007</t>
  </si>
  <si>
    <r>
      <rPr>
        <sz val="10"/>
        <rFont val="Arial"/>
        <family val="0"/>
        <charset val="1"/>
      </rPr>
      <t xml:space="preserve">AA Intelligence Index v4.3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</si>
  <si>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</si>
  <si>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rFont val="Arial"/>
        <family val="0"/>
        <charset val="1"/>
      </rPr>
      <t xml:space="preserve">Cap_In!I53</t>
    </r>
    <r>
      <rPr>
        <sz val="10"/>
        <rFont val="Noto Sans CJK SC"/>
        <family val="2"/>
        <charset val="1"/>
      </rPr>
      <t xml:space="preserve">｜選取</t>
    </r>
  </si>
  <si>
    <r>
      <rPr>
        <sz val="10"/>
        <rFont val="Noto Sans CJK SC"/>
        <family val="2"/>
        <charset val="1"/>
      </rPr>
      <t xml:space="preserve">模型用於 </t>
    </r>
    <r>
      <rPr>
        <sz val="10"/>
        <rFont val="Arial"/>
        <family val="0"/>
        <charset val="1"/>
      </rPr>
      <t xml:space="preserve">V4-Pro-0813</t>
    </r>
    <r>
      <rPr>
        <sz val="10"/>
        <rFont val="Noto Sans CJK SC"/>
        <family val="2"/>
        <charset val="1"/>
      </rPr>
      <t xml:space="preserve">；版本是否相同待查</t>
    </r>
  </si>
  <si>
    <t xml:space="preserve">SRC_CAP_008</t>
  </si>
  <si>
    <t xml:space="preserve">S56</t>
  </si>
  <si>
    <r>
      <rPr>
        <sz val="10"/>
        <rFont val="Arial"/>
        <family val="0"/>
        <charset val="1"/>
      </rPr>
      <t xml:space="preserve">AA Intelligence Index v4.3.2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GPT-6 Sol</t>
    </r>
  </si>
  <si>
    <t xml:space="preserve">v4.3.2</t>
  </si>
  <si>
    <r>
      <rPr>
        <sz val="10"/>
        <rFont val="Arial"/>
        <family val="0"/>
        <charset val="1"/>
      </rPr>
      <t xml:space="preserve">Artificial Analysis</t>
    </r>
    <r>
      <rPr>
        <sz val="10"/>
        <rFont val="Noto Sans CJK SC"/>
        <family val="2"/>
        <charset val="1"/>
      </rPr>
      <t xml:space="preserve">：獨立評測；</t>
    </r>
    <r>
      <rPr>
        <sz val="10"/>
        <rFont val="Arial"/>
        <family val="0"/>
        <charset val="1"/>
      </rPr>
      <t xml:space="preserve">v4.3.2</t>
    </r>
  </si>
  <si>
    <r>
      <rPr>
        <sz val="10"/>
        <rFont val="Arial"/>
        <family val="0"/>
        <charset val="1"/>
      </rPr>
      <t xml:space="preserve">Cap_In!I47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</si>
  <si>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與 </t>
    </r>
    <r>
      <rPr>
        <sz val="10"/>
        <rFont val="Arial"/>
        <family val="0"/>
        <charset val="1"/>
      </rPr>
      <t xml:space="preserve">v4.3 </t>
    </r>
    <r>
      <rPr>
        <sz val="10"/>
        <rFont val="Noto Sans CJK SC"/>
        <family val="2"/>
        <charset val="1"/>
      </rPr>
      <t xml:space="preserve">不同口徑（</t>
    </r>
    <r>
      <rPr>
        <sz val="10"/>
        <rFont val="Arial"/>
        <family val="0"/>
        <charset val="1"/>
      </rPr>
      <t xml:space="preserve">G4</t>
    </r>
    <r>
      <rPr>
        <sz val="10"/>
        <rFont val="Noto Sans CJK SC"/>
        <family val="2"/>
        <charset val="1"/>
      </rPr>
      <t xml:space="preserve">）</t>
    </r>
  </si>
  <si>
    <t xml:space="preserve">SRC_CAP_009</t>
  </si>
  <si>
    <r>
      <rPr>
        <sz val="10"/>
        <rFont val="Arial"/>
        <family val="0"/>
        <charset val="1"/>
      </rPr>
      <t xml:space="preserve">AA Intelligence Index v4.3.2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GPT-6 Luna</t>
    </r>
  </si>
  <si>
    <r>
      <rPr>
        <sz val="10"/>
        <rFont val="Arial"/>
        <family val="0"/>
        <charset val="1"/>
      </rPr>
      <t xml:space="preserve">Cap_In!I46</t>
    </r>
    <r>
      <rPr>
        <sz val="10"/>
        <rFont val="Noto Sans CJK SC"/>
        <family val="2"/>
        <charset val="1"/>
      </rPr>
      <t xml:space="preserve">｜直接</t>
    </r>
  </si>
  <si>
    <t xml:space="preserve">SRC_CAP_010</t>
  </si>
  <si>
    <r>
      <rPr>
        <sz val="10"/>
        <rFont val="Arial"/>
        <family val="0"/>
        <charset val="1"/>
      </rPr>
      <t xml:space="preserve">AA Intelligence Index v4.3.2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DeepSeek V4.1-Flash</t>
    </r>
  </si>
  <si>
    <r>
      <rPr>
        <sz val="10"/>
        <rFont val="Arial"/>
        <family val="0"/>
        <charset val="1"/>
      </rPr>
      <t xml:space="preserve">Cap_In!I52</t>
    </r>
    <r>
      <rPr>
        <sz val="10"/>
        <rFont val="Noto Sans CJK SC"/>
        <family val="2"/>
        <charset val="1"/>
      </rPr>
      <t xml:space="preserve">｜直接</t>
    </r>
  </si>
  <si>
    <t xml:space="preserve">SRC_CAP_011</t>
  </si>
  <si>
    <r>
      <rPr>
        <sz val="10"/>
        <rFont val="Arial"/>
        <family val="0"/>
        <charset val="1"/>
      </rPr>
      <t xml:space="preserve">AA Intelligence Index v4.3.2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GLM-5.3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max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</si>
  <si>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v4.3.2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max </t>
    </r>
    <r>
      <rPr>
        <sz val="10"/>
        <rFont val="Noto Sans CJK SC"/>
        <family val="2"/>
        <charset val="1"/>
      </rPr>
      <t xml:space="preserve">設定</t>
    </r>
  </si>
  <si>
    <r>
      <rPr>
        <sz val="10"/>
        <rFont val="Arial"/>
        <family val="0"/>
        <charset val="1"/>
      </rPr>
      <t xml:space="preserve">Cap_In!I54</t>
    </r>
    <r>
      <rPr>
        <sz val="10"/>
        <rFont val="Noto Sans CJK SC"/>
        <family val="2"/>
        <charset val="1"/>
      </rPr>
      <t xml:space="preserve">｜直接</t>
    </r>
  </si>
  <si>
    <t xml:space="preserve">SRC_CAP_012</t>
  </si>
  <si>
    <t xml:space="preserve">S59</t>
  </si>
  <si>
    <r>
      <rPr>
        <sz val="10"/>
        <rFont val="Arial"/>
        <family val="0"/>
        <charset val="1"/>
      </rPr>
      <t xml:space="preserve">METR 50% </t>
    </r>
    <r>
      <rPr>
        <sz val="10"/>
        <rFont val="Noto Sans CJK SC"/>
        <family val="2"/>
        <charset val="1"/>
      </rPr>
      <t xml:space="preserve">時間範圍：</t>
    </r>
    <r>
      <rPr>
        <sz val="1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</si>
  <si>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</si>
  <si>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</si>
  <si>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t xml:space="preserve">GPT-5</t>
  </si>
  <si>
    <r>
      <rPr>
        <sz val="10"/>
        <rFont val="Arial"/>
        <family val="0"/>
        <charset val="1"/>
      </rPr>
      <t xml:space="preserve">METR</t>
    </r>
    <r>
      <rPr>
        <sz val="10"/>
        <rFont val="Noto Sans CJK SC"/>
        <family val="2"/>
        <charset val="1"/>
      </rPr>
      <t xml:space="preserve">：獨立評測（經 </t>
    </r>
    <r>
      <rPr>
        <sz val="10"/>
        <rFont val="Arial"/>
        <family val="0"/>
        <charset val="1"/>
      </rPr>
      <t xml:space="preserve">Wikipedia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futuresearch </t>
    </r>
    <r>
      <rPr>
        <sz val="10"/>
        <rFont val="Noto Sans CJK SC"/>
        <family val="2"/>
        <charset val="1"/>
      </rPr>
      <t xml:space="preserve">轉述）</t>
    </r>
  </si>
  <si>
    <r>
      <rPr>
        <sz val="10"/>
        <rFont val="Arial"/>
        <family val="0"/>
        <charset val="1"/>
      </rPr>
      <t xml:space="preserve">Har_In!C77</t>
    </r>
    <r>
      <rPr>
        <sz val="10"/>
        <rFont val="Noto Sans CJK SC"/>
        <family val="2"/>
        <charset val="1"/>
      </rPr>
      <t xml:space="preserve">｜直接</t>
    </r>
  </si>
  <si>
    <t xml:space="preserve">3h34</t>
  </si>
  <si>
    <t xml:space="preserve">SRC_CAP_013</t>
  </si>
  <si>
    <r>
      <rPr>
        <sz val="10"/>
        <rFont val="Arial"/>
        <family val="0"/>
        <charset val="1"/>
      </rPr>
      <t xml:space="preserve">METR 80% </t>
    </r>
    <r>
      <rPr>
        <sz val="10"/>
        <rFont val="Noto Sans CJK SC"/>
        <family val="2"/>
        <charset val="1"/>
      </rPr>
      <t xml:space="preserve">時間範圍：</t>
    </r>
    <r>
      <rPr>
        <sz val="10"/>
        <rFont val="Arial"/>
        <family val="0"/>
        <charset val="1"/>
      </rPr>
      <t xml:space="preserve">GPT-5</t>
    </r>
  </si>
  <si>
    <r>
      <rPr>
        <sz val="10"/>
        <rFont val="Arial"/>
        <family val="0"/>
        <charset val="1"/>
      </rPr>
      <t xml:space="preserve">Har_In!D77</t>
    </r>
    <r>
      <rPr>
        <sz val="10"/>
        <rFont val="Noto Sans CJK SC"/>
        <family val="2"/>
        <charset val="1"/>
      </rPr>
      <t xml:space="preserve">｜直接</t>
    </r>
  </si>
  <si>
    <t xml:space="preserve">32m</t>
  </si>
  <si>
    <t xml:space="preserve">SRC_CAP_014</t>
  </si>
  <si>
    <r>
      <rPr>
        <sz val="10"/>
        <rFont val="Arial"/>
        <family val="0"/>
        <charset val="1"/>
      </rPr>
      <t xml:space="preserve">METR 50% </t>
    </r>
    <r>
      <rPr>
        <sz val="10"/>
        <rFont val="Noto Sans CJK SC"/>
        <family val="2"/>
        <charset val="1"/>
      </rPr>
      <t xml:space="preserve">時間範圍：</t>
    </r>
    <r>
      <rPr>
        <sz val="10"/>
        <rFont val="Arial"/>
        <family val="0"/>
        <charset val="1"/>
      </rPr>
      <t xml:space="preserve">GPT-5.2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high</t>
    </r>
    <r>
      <rPr>
        <sz val="10"/>
        <rFont val="Noto Sans CJK SC"/>
        <family val="2"/>
        <charset val="1"/>
      </rPr>
      <t xml:space="preserve">）</t>
    </r>
  </si>
  <si>
    <t xml:space="preserve">TH1.1</t>
  </si>
  <si>
    <t xml:space="preserve">GPT-5.2</t>
  </si>
  <si>
    <r>
      <rPr>
        <sz val="10"/>
        <rFont val="Arial"/>
        <family val="0"/>
        <charset val="1"/>
      </rPr>
      <t xml:space="preserve">Har_In!C78</t>
    </r>
    <r>
      <rPr>
        <sz val="10"/>
        <rFont val="Noto Sans CJK SC"/>
        <family val="2"/>
        <charset val="1"/>
      </rPr>
      <t xml:space="preserve">｜直接</t>
    </r>
  </si>
  <si>
    <t xml:space="preserve">SRC_CAP_015</t>
  </si>
  <si>
    <r>
      <rPr>
        <sz val="10"/>
        <rFont val="Arial"/>
        <family val="0"/>
        <charset val="1"/>
      </rPr>
      <t xml:space="preserve">METR 80% </t>
    </r>
    <r>
      <rPr>
        <sz val="10"/>
        <rFont val="Noto Sans CJK SC"/>
        <family val="2"/>
        <charset val="1"/>
      </rPr>
      <t xml:space="preserve">時間範圍：</t>
    </r>
    <r>
      <rPr>
        <sz val="10"/>
        <rFont val="Arial"/>
        <family val="0"/>
        <charset val="1"/>
      </rPr>
      <t xml:space="preserve">GPT-5.2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high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</si>
  <si>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Har_In!D78</t>
    </r>
    <r>
      <rPr>
        <sz val="10"/>
        <rFont val="Noto Sans CJK SC"/>
        <family val="2"/>
        <charset val="1"/>
      </rPr>
      <t xml:space="preserve">｜直接</t>
    </r>
  </si>
  <si>
    <t xml:space="preserve">SRC_CAP_016</t>
  </si>
  <si>
    <r>
      <rPr>
        <sz val="10"/>
        <rFont val="Arial"/>
        <family val="0"/>
        <charset val="1"/>
      </rPr>
      <t xml:space="preserve">METR 50% </t>
    </r>
    <r>
      <rPr>
        <sz val="10"/>
        <rFont val="Noto Sans CJK SC"/>
        <family val="2"/>
        <charset val="1"/>
      </rPr>
      <t xml:space="preserve">時間範圍：</t>
    </r>
    <r>
      <rPr>
        <sz val="10"/>
        <rFont val="Arial"/>
        <family val="0"/>
        <charset val="1"/>
      </rPr>
      <t xml:space="preserve">GPT-5.4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xhigh</t>
    </r>
    <r>
      <rPr>
        <sz val="10"/>
        <rFont val="Noto Sans CJK SC"/>
        <family val="2"/>
        <charset val="1"/>
      </rPr>
      <t xml:space="preserve">）</t>
    </r>
  </si>
  <si>
    <t xml:space="preserve">GPT-5.4</t>
  </si>
  <si>
    <r>
      <rPr>
        <sz val="10"/>
        <rFont val="Arial"/>
        <family val="0"/>
        <charset val="1"/>
      </rPr>
      <t xml:space="preserve">Har_In!C79</t>
    </r>
    <r>
      <rPr>
        <sz val="10"/>
        <rFont val="Noto Sans CJK SC"/>
        <family val="2"/>
        <charset val="1"/>
      </rPr>
      <t xml:space="preserve">｜直接</t>
    </r>
  </si>
  <si>
    <t xml:space="preserve">SRC_CAP_017</t>
  </si>
  <si>
    <r>
      <rPr>
        <sz val="10"/>
        <rFont val="Arial"/>
        <family val="0"/>
        <charset val="1"/>
      </rPr>
      <t xml:space="preserve">METR 80% </t>
    </r>
    <r>
      <rPr>
        <sz val="10"/>
        <rFont val="Noto Sans CJK SC"/>
        <family val="2"/>
        <charset val="1"/>
      </rPr>
      <t xml:space="preserve">時間範圍：</t>
    </r>
    <r>
      <rPr>
        <sz val="10"/>
        <rFont val="Arial"/>
        <family val="0"/>
        <charset val="1"/>
      </rPr>
      <t xml:space="preserve">GPT-5.4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xhigh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</si>
  <si>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Har_In!D79</t>
    </r>
    <r>
      <rPr>
        <sz val="10"/>
        <rFont val="Noto Sans CJK SC"/>
        <family val="2"/>
        <charset val="1"/>
      </rPr>
      <t xml:space="preserve">｜直接</t>
    </r>
  </si>
  <si>
    <t xml:space="preserve">SRC_CAP_018</t>
  </si>
  <si>
    <r>
      <rPr>
        <sz val="10"/>
        <rFont val="Arial"/>
        <family val="0"/>
        <charset val="1"/>
      </rPr>
      <t xml:space="preserve">METR 50% </t>
    </r>
    <r>
      <rPr>
        <sz val="10"/>
        <rFont val="Noto Sans CJK SC"/>
        <family val="2"/>
        <charset val="1"/>
      </rPr>
      <t xml:space="preserve">時間範圍：</t>
    </r>
    <r>
      <rPr>
        <sz val="10"/>
        <rFont val="Arial"/>
        <family val="0"/>
        <charset val="1"/>
      </rPr>
      <t xml:space="preserve">Gemini 3.1 Pro</t>
    </r>
  </si>
  <si>
    <t xml:space="preserve">Gemini 3.1 Pro</t>
  </si>
  <si>
    <r>
      <rPr>
        <sz val="10"/>
        <rFont val="Arial"/>
        <family val="0"/>
        <charset val="1"/>
      </rPr>
      <t xml:space="preserve">Har_In!C80</t>
    </r>
    <r>
      <rPr>
        <sz val="10"/>
        <rFont val="Noto Sans CJK SC"/>
        <family val="2"/>
        <charset val="1"/>
      </rPr>
      <t xml:space="preserve">｜直接</t>
    </r>
  </si>
  <si>
    <t xml:space="preserve">SRC_CAP_019</t>
  </si>
  <si>
    <r>
      <rPr>
        <sz val="10"/>
        <rFont val="Arial"/>
        <family val="0"/>
        <charset val="1"/>
      </rPr>
      <t xml:space="preserve">METR 80% </t>
    </r>
    <r>
      <rPr>
        <sz val="10"/>
        <rFont val="Noto Sans CJK SC"/>
        <family val="2"/>
        <charset val="1"/>
      </rPr>
      <t xml:space="preserve">時間範圍：</t>
    </r>
    <r>
      <rPr>
        <sz val="10"/>
        <rFont val="Arial"/>
        <family val="0"/>
        <charset val="1"/>
      </rPr>
      <t xml:space="preserve">Gemini 3.1 Pro</t>
    </r>
  </si>
  <si>
    <r>
      <rPr>
        <sz val="10"/>
        <rFont val="Arial"/>
        <family val="0"/>
        <charset val="1"/>
      </rPr>
      <t xml:space="preserve">Har_In!D80</t>
    </r>
    <r>
      <rPr>
        <sz val="10"/>
        <rFont val="Noto Sans CJK SC"/>
        <family val="2"/>
        <charset val="1"/>
      </rPr>
      <t xml:space="preserve">｜直接</t>
    </r>
  </si>
  <si>
    <t xml:space="preserve">SRC_CAP_020</t>
  </si>
  <si>
    <r>
      <rPr>
        <sz val="10"/>
        <rFont val="Arial"/>
        <family val="0"/>
        <charset val="1"/>
      </rPr>
      <t xml:space="preserve">METR 50% </t>
    </r>
    <r>
      <rPr>
        <sz val="10"/>
        <rFont val="Noto Sans CJK SC"/>
        <family val="2"/>
        <charset val="1"/>
      </rPr>
      <t xml:space="preserve">時間範圍：</t>
    </r>
    <r>
      <rPr>
        <sz val="10"/>
        <rFont val="Arial"/>
        <family val="0"/>
        <charset val="1"/>
      </rPr>
      <t xml:space="preserve">GPT-5.6 Sol</t>
    </r>
  </si>
  <si>
    <r>
      <rPr>
        <sz val="10"/>
        <rFont val="Arial"/>
        <family val="0"/>
        <charset val="1"/>
      </rPr>
      <t xml:space="preserve">Har_In </t>
    </r>
    <r>
      <rPr>
        <sz val="10"/>
        <rFont val="Noto Sans CJK SC"/>
        <family val="2"/>
        <charset val="1"/>
      </rPr>
      <t xml:space="preserve">層級 </t>
    </r>
    <r>
      <rPr>
        <sz val="10"/>
        <rFont val="Arial"/>
        <family val="0"/>
        <charset val="1"/>
      </rPr>
      <t xml:space="preserve">H50 </t>
    </r>
    <r>
      <rPr>
        <sz val="10"/>
        <rFont val="Noto Sans CJK SC"/>
        <family val="2"/>
        <charset val="1"/>
      </rPr>
      <t xml:space="preserve">的類比基礎（</t>
    </r>
    <r>
      <rPr>
        <sz val="10"/>
        <rFont val="Arial"/>
        <family val="0"/>
        <charset val="1"/>
      </rPr>
      <t xml:space="preserve">E018</t>
    </r>
    <r>
      <rPr>
        <sz val="10"/>
        <rFont val="Noto Sans CJK SC"/>
        <family val="2"/>
        <charset val="1"/>
      </rPr>
      <t xml:space="preserve">）</t>
    </r>
  </si>
  <si>
    <t xml:space="preserve">SRC_CAP_021</t>
  </si>
  <si>
    <r>
      <rPr>
        <sz val="10"/>
        <rFont val="Arial"/>
        <family val="0"/>
        <charset val="1"/>
      </rPr>
      <t xml:space="preserve">METR 50% </t>
    </r>
    <r>
      <rPr>
        <sz val="10"/>
        <rFont val="Noto Sans CJK SC"/>
        <family val="2"/>
        <charset val="1"/>
      </rPr>
      <t xml:space="preserve">時間範圍：</t>
    </r>
    <r>
      <rPr>
        <sz val="10"/>
        <rFont val="Arial"/>
        <family val="0"/>
        <charset val="1"/>
      </rPr>
      <t xml:space="preserve">Claude Mythos Preview</t>
    </r>
  </si>
  <si>
    <r>
      <rPr>
        <sz val="10"/>
        <rFont val="Arial"/>
        <family val="0"/>
        <charset val="1"/>
      </rPr>
      <t xml:space="preserve">TH1.1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&gt;16 </t>
    </r>
    <r>
      <rPr>
        <sz val="10"/>
        <rFont val="Noto Sans CJK SC"/>
        <family val="2"/>
        <charset val="1"/>
      </rPr>
      <t xml:space="preserve">小時量不準</t>
    </r>
  </si>
  <si>
    <t xml:space="preserve">Claude Mythos Preview</t>
  </si>
  <si>
    <t xml:space="preserve">SRC_DEM_001</t>
  </si>
  <si>
    <t xml:space="preserve">S38</t>
  </si>
  <si>
    <r>
      <rPr>
        <sz val="10"/>
        <rFont val="Noto Sans CJK SC"/>
        <family val="2"/>
        <charset val="1"/>
      </rPr>
      <t xml:space="preserve">最終訓練占研發支出：</t>
    </r>
    <r>
      <rPr>
        <sz val="10"/>
        <rFont val="Arial"/>
        <family val="0"/>
        <charset val="1"/>
      </rPr>
      <t xml:space="preserve">OpenAI</t>
    </r>
  </si>
  <si>
    <r>
      <rPr>
        <sz val="10"/>
        <rFont val="Noto Sans CJK SC"/>
        <family val="2"/>
        <charset val="1"/>
      </rPr>
      <t xml:space="preserve">支出口徑；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  <charset val="1"/>
      </rPr>
      <t xml:space="preserve">推估</t>
    </r>
  </si>
  <si>
    <t xml:space="preserve">OpenAI</t>
  </si>
  <si>
    <r>
      <rPr>
        <sz val="10"/>
        <rFont val="Arial"/>
        <family val="0"/>
        <charset val="1"/>
      </rPr>
      <t xml:space="preserve">Epoch</t>
    </r>
    <r>
      <rPr>
        <sz val="10"/>
        <rFont val="Noto Sans CJK SC"/>
        <family val="2"/>
        <charset val="1"/>
      </rPr>
      <t xml:space="preserve">：獨立研究（底層資料為 </t>
    </r>
    <r>
      <rPr>
        <sz val="10"/>
        <rFont val="Arial"/>
        <family val="0"/>
        <charset val="1"/>
      </rPr>
      <t xml:space="preserve">The Information </t>
    </r>
    <r>
      <rPr>
        <sz val="10"/>
        <rFont val="Noto Sans CJK SC"/>
        <family val="2"/>
        <charset val="1"/>
      </rPr>
      <t xml:space="preserve">等報導）</t>
    </r>
  </si>
  <si>
    <r>
      <rPr>
        <sz val="10"/>
        <rFont val="Arial"/>
        <family val="0"/>
        <charset val="1"/>
      </rPr>
      <t xml:space="preserve">Checks!C37</t>
    </r>
    <r>
      <rPr>
        <sz val="10"/>
        <rFont val="Noto Sans CJK SC"/>
        <family val="2"/>
        <charset val="1"/>
      </rPr>
      <t xml:space="preserve">｜對照</t>
    </r>
  </si>
  <si>
    <r>
      <rPr>
        <sz val="10"/>
        <rFont val="Noto Sans CJK SC"/>
        <family val="2"/>
        <charset val="1"/>
      </rPr>
      <t xml:space="preserve">研發倍數 </t>
    </r>
    <r>
      <rPr>
        <sz val="10"/>
        <rFont val="Arial"/>
        <family val="0"/>
        <charset val="1"/>
      </rPr>
      <t xml:space="preserve">4.4–10.4 </t>
    </r>
    <r>
      <rPr>
        <sz val="10"/>
        <rFont val="Noto Sans CJK SC"/>
        <family val="2"/>
        <charset val="1"/>
      </rPr>
      <t xml:space="preserve">由此換算</t>
    </r>
  </si>
  <si>
    <t xml:space="preserve">SRC_DEM_002</t>
  </si>
  <si>
    <r>
      <rPr>
        <sz val="10"/>
        <rFont val="Noto Sans CJK SC"/>
        <family val="2"/>
        <charset val="1"/>
      </rPr>
      <t xml:space="preserve">最終訓練占研發支出：</t>
    </r>
    <r>
      <rPr>
        <sz val="10"/>
        <rFont val="Arial"/>
        <family val="0"/>
        <charset val="1"/>
      </rPr>
      <t xml:space="preserve">MiniMax</t>
    </r>
  </si>
  <si>
    <t xml:space="preserve">MiniMax</t>
  </si>
  <si>
    <t xml:space="preserve">SRC_DEM_003</t>
  </si>
  <si>
    <r>
      <rPr>
        <sz val="10"/>
        <rFont val="Noto Sans CJK SC"/>
        <family val="2"/>
        <charset val="1"/>
      </rPr>
      <t xml:space="preserve">最終訓練占研發支出：</t>
    </r>
    <r>
      <rPr>
        <sz val="10"/>
        <rFont val="Arial"/>
        <family val="0"/>
        <charset val="1"/>
      </rPr>
      <t xml:space="preserve">Z.ai</t>
    </r>
  </si>
  <si>
    <t xml:space="preserve">Z.ai</t>
  </si>
  <si>
    <t xml:space="preserve">SRC_DEM_004</t>
  </si>
  <si>
    <t xml:space="preserve">S57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</si>
  <si>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  <charset val="1"/>
      </rPr>
      <t xml:space="preserve">推論支出</t>
    </r>
  </si>
  <si>
    <t xml:space="preserve">$B</t>
  </si>
  <si>
    <t xml:space="preserve">年度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</si>
  <si>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  <charset val="1"/>
      </rPr>
      <t xml:space="preserve">投資人資料（經 </t>
    </r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FT</t>
    </r>
    <r>
      <rPr>
        <sz val="10"/>
        <rFont val="Noto Sans CJK SC"/>
        <family val="2"/>
        <charset val="1"/>
      </rPr>
      <t xml:space="preserve">）：有呈現成長的誘因</t>
    </r>
  </si>
  <si>
    <r>
      <rPr>
        <sz val="10"/>
        <rFont val="Arial"/>
        <family val="0"/>
        <charset val="1"/>
      </rPr>
      <t xml:space="preserve">Cap_In!C28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</si>
  <si>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服務占比 </t>
    </r>
    <r>
      <rPr>
        <sz val="10"/>
        <rFont val="Arial"/>
        <family val="0"/>
        <charset val="1"/>
      </rPr>
      <t xml:space="preserve">0.41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8.4 ÷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8.4</t>
    </r>
    <r>
      <rPr>
        <sz val="10"/>
        <rFont val="Noto Sans CJK SC"/>
        <family val="2"/>
        <charset val="1"/>
      </rPr>
      <t xml:space="preserve">＋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  <charset val="1"/>
      </rPr>
      <t xml:space="preserve">）＝</t>
    </r>
    <r>
      <rPr>
        <sz val="10"/>
        <rFont val="Arial"/>
        <family val="0"/>
        <charset val="1"/>
      </rPr>
      <t xml:space="preserve">0.4118</t>
    </r>
  </si>
  <si>
    <t xml:space="preserve">SRC_DEM_005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</si>
  <si>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  <charset val="1"/>
      </rPr>
      <t xml:space="preserve">非付費用戶推論支出</t>
    </r>
  </si>
  <si>
    <r>
      <rPr>
        <sz val="10"/>
        <rFont val="Arial"/>
        <family val="0"/>
        <charset val="1"/>
      </rPr>
      <t xml:space="preserve">Cap_In!C29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</si>
  <si>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Noto Sans CJK SC"/>
        <family val="2"/>
        <charset val="1"/>
      </rPr>
      <t xml:space="preserve">免費占服務 </t>
    </r>
    <r>
      <rPr>
        <sz val="10"/>
        <rFont val="Arial"/>
        <family val="0"/>
        <charset val="1"/>
      </rPr>
      <t xml:space="preserve">0.46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3.9 ÷ 8.4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0.4643</t>
    </r>
  </si>
  <si>
    <t xml:space="preserve">SRC_DEM_006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</si>
  <si>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  <charset val="1"/>
      </rPr>
      <t xml:space="preserve">訓練支出</t>
    </r>
  </si>
  <si>
    <t xml:space="preserve">年度；約值</t>
  </si>
  <si>
    <t xml:space="preserve">SRC_DEM_007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</si>
  <si>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  <charset val="1"/>
      </rPr>
      <t xml:space="preserve">營收</t>
    </r>
  </si>
  <si>
    <r>
      <rPr>
        <sz val="10"/>
        <rFont val="Arial"/>
        <family val="0"/>
        <charset val="1"/>
      </rPr>
      <t xml:space="preserve">Checks!C43</t>
    </r>
    <r>
      <rPr>
        <sz val="10"/>
        <rFont val="Noto Sans CJK SC"/>
        <family val="2"/>
        <charset val="1"/>
      </rPr>
      <t xml:space="preserve">｜換算</t>
    </r>
  </si>
  <si>
    <t xml:space="preserve">SRC_DEM_008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</si>
  <si>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  <charset val="1"/>
      </rPr>
      <t xml:space="preserve">算力規模 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  <charset val="1"/>
      </rPr>
      <t xml:space="preserve">年底</t>
    </r>
  </si>
  <si>
    <t xml:space="preserve">GW</t>
  </si>
  <si>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口徑未明（</t>
    </r>
    <r>
      <rPr>
        <sz val="10"/>
        <rFont val="Arial"/>
        <family val="0"/>
        <charset val="1"/>
      </rPr>
      <t xml:space="preserve">D1</t>
    </r>
    <r>
      <rPr>
        <sz val="10"/>
        <rFont val="Noto Sans CJK SC"/>
        <family val="2"/>
        <charset val="1"/>
      </rPr>
      <t xml:space="preserve">）</t>
    </r>
  </si>
  <si>
    <t xml:space="preserve">2024</t>
  </si>
  <si>
    <t xml:space="preserve">SRC_DEM_009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</si>
  <si>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  <charset val="1"/>
      </rPr>
      <t xml:space="preserve">算力規模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  <charset val="1"/>
      </rPr>
      <t xml:space="preserve">年底</t>
    </r>
  </si>
  <si>
    <t xml:space="preserve">約值；口徑未明</t>
  </si>
  <si>
    <t xml:space="preserve">SRC_HAR_001</t>
  </si>
  <si>
    <t xml:space="preserve">S25</t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</si>
  <si>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  <charset val="1"/>
      </rPr>
      <t xml:space="preserve">：單代理 </t>
    </r>
    <r>
      <rPr>
        <sz val="10"/>
        <rFont val="Arial"/>
        <family val="0"/>
        <charset val="1"/>
      </rPr>
      <t xml:space="preserve">token ÷ </t>
    </r>
    <r>
      <rPr>
        <sz val="10"/>
        <rFont val="Noto Sans CJK SC"/>
        <family val="2"/>
        <charset val="1"/>
      </rPr>
      <t xml:space="preserve">聊天</t>
    </r>
  </si>
  <si>
    <t xml:space="preserve">約值；「聊天」是否含思考未說明</t>
  </si>
  <si>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  <charset val="1"/>
      </rPr>
      <t xml:space="preserve">研究系統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</si>
  <si>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  <charset val="1"/>
      </rPr>
      <t xml:space="preserve">：自家產品宣傳</t>
    </r>
  </si>
  <si>
    <r>
      <rPr>
        <sz val="10"/>
        <rFont val="Arial"/>
        <family val="0"/>
        <charset val="1"/>
      </rPr>
      <t xml:space="preserve">Workload!E40</t>
    </r>
    <r>
      <rPr>
        <sz val="10"/>
        <rFont val="Noto Sans CJK SC"/>
        <family val="2"/>
        <charset val="1"/>
      </rPr>
      <t xml:space="preserve">｜直接</t>
    </r>
  </si>
  <si>
    <t xml:space="preserve">SRC_HAR_002</t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</si>
  <si>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  <charset val="1"/>
      </rPr>
      <t xml:space="preserve">：多代理 </t>
    </r>
    <r>
      <rPr>
        <sz val="10"/>
        <rFont val="Arial"/>
        <family val="0"/>
        <charset val="1"/>
      </rPr>
      <t xml:space="preserve">token ÷ </t>
    </r>
    <r>
      <rPr>
        <sz val="10"/>
        <rFont val="Noto Sans CJK SC"/>
        <family val="2"/>
        <charset val="1"/>
      </rPr>
      <t xml:space="preserve">聊天</t>
    </r>
  </si>
  <si>
    <r>
      <rPr>
        <sz val="10"/>
        <rFont val="Arial"/>
        <family val="0"/>
        <charset val="1"/>
      </rPr>
      <t xml:space="preserve">Workload!F40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Har_In!E75</t>
    </r>
    <r>
      <rPr>
        <sz val="10"/>
        <rFont val="Noto Sans CJK SC"/>
        <family val="2"/>
        <charset val="1"/>
      </rPr>
      <t xml:space="preserve">｜換算</t>
    </r>
  </si>
  <si>
    <r>
      <rPr>
        <sz val="10"/>
        <rFont val="Arial"/>
        <family val="0"/>
        <charset val="1"/>
      </rPr>
      <t xml:space="preserve">Har_In 3.75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15 ÷ 4</t>
    </r>
  </si>
  <si>
    <t xml:space="preserve">SRC_HAR_003</t>
  </si>
  <si>
    <t xml:space="preserve">S58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</si>
  <si>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GPT-6 Astra </t>
    </r>
    <r>
      <rPr>
        <sz val="10"/>
        <rFont val="Noto Sans CJK SC"/>
        <family val="2"/>
        <charset val="1"/>
      </rPr>
      <t xml:space="preserve">標準 </t>
    </r>
    <r>
      <rPr>
        <sz val="10"/>
        <rFont val="Arial"/>
        <family val="0"/>
        <charset val="1"/>
      </rPr>
      <t xml:space="preserve">harness </t>
    </r>
    <r>
      <rPr>
        <sz val="10"/>
        <rFont val="Noto Sans CJK SC"/>
        <family val="2"/>
        <charset val="1"/>
      </rPr>
      <t xml:space="preserve">成功率（最高推理）</t>
    </r>
  </si>
  <si>
    <r>
      <rPr>
        <sz val="10"/>
        <rFont val="Arial"/>
        <family val="0"/>
        <charset val="1"/>
      </rPr>
      <t xml:space="preserve">ARC Prize </t>
    </r>
    <r>
      <rPr>
        <sz val="10"/>
        <rFont val="Noto Sans CJK SC"/>
        <family val="2"/>
        <charset val="1"/>
      </rPr>
      <t xml:space="preserve">自測</t>
    </r>
  </si>
  <si>
    <r>
      <rPr>
        <sz val="10"/>
        <rFont val="Arial"/>
        <family val="0"/>
        <charset val="1"/>
      </rPr>
      <t xml:space="preserve">ARC Prize </t>
    </r>
    <r>
      <rPr>
        <sz val="10"/>
        <rFont val="Noto Sans CJK SC"/>
        <family val="2"/>
        <charset val="1"/>
      </rPr>
      <t xml:space="preserve">自測為中立；</t>
    </r>
    <r>
      <rPr>
        <sz val="10"/>
        <rFont val="Arial"/>
        <family val="0"/>
        <charset val="1"/>
      </rPr>
      <t xml:space="preserve">99.9% </t>
    </r>
    <r>
      <rPr>
        <sz val="10"/>
        <rFont val="Noto Sans CJK SC"/>
        <family val="2"/>
        <charset val="1"/>
      </rPr>
      <t xml:space="preserve">由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  <charset val="1"/>
      </rPr>
      <t xml:space="preserve">發布</t>
    </r>
  </si>
  <si>
    <r>
      <rPr>
        <sz val="10"/>
        <rFont val="Arial"/>
        <family val="0"/>
        <charset val="1"/>
      </rPr>
      <t xml:space="preserve">Har_In!C70</t>
    </r>
    <r>
      <rPr>
        <sz val="10"/>
        <rFont val="Noto Sans CJK SC"/>
        <family val="2"/>
        <charset val="1"/>
      </rPr>
      <t xml:space="preserve">｜直接</t>
    </r>
  </si>
  <si>
    <t xml:space="preserve">SRC_HAR_004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</si>
  <si>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GPT-6 Astra </t>
    </r>
    <r>
      <rPr>
        <sz val="10"/>
        <rFont val="Noto Sans CJK SC"/>
        <family val="2"/>
        <charset val="1"/>
      </rPr>
      <t xml:space="preserve">標準 </t>
    </r>
    <r>
      <rPr>
        <sz val="10"/>
        <rFont val="Arial"/>
        <family val="0"/>
        <charset val="1"/>
      </rPr>
      <t xml:space="preserve">harness </t>
    </r>
    <r>
      <rPr>
        <sz val="10"/>
        <rFont val="Noto Sans CJK SC"/>
        <family val="2"/>
        <charset val="1"/>
      </rPr>
      <t xml:space="preserve">成本</t>
    </r>
  </si>
  <si>
    <t xml:space="preserve">$</t>
  </si>
  <si>
    <r>
      <rPr>
        <sz val="10"/>
        <rFont val="Arial"/>
        <family val="0"/>
        <charset val="1"/>
      </rPr>
      <t xml:space="preserve">Har_In!D70</t>
    </r>
    <r>
      <rPr>
        <sz val="10"/>
        <rFont val="Noto Sans CJK SC"/>
        <family val="2"/>
        <charset val="1"/>
      </rPr>
      <t xml:space="preserve">｜直接</t>
    </r>
  </si>
  <si>
    <t xml:space="preserve">SRC_HAR_005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</si>
  <si>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Provider Adapter </t>
    </r>
    <r>
      <rPr>
        <sz val="10"/>
        <rFont val="Noto Sans CJK SC"/>
        <family val="2"/>
        <charset val="1"/>
      </rPr>
      <t xml:space="preserve">最高推理成功率</t>
    </r>
  </si>
  <si>
    <r>
      <rPr>
        <sz val="10"/>
        <rFont val="Arial"/>
        <family val="0"/>
        <charset val="1"/>
      </rPr>
      <t xml:space="preserve">Har_In!C71</t>
    </r>
    <r>
      <rPr>
        <sz val="10"/>
        <rFont val="Noto Sans CJK SC"/>
        <family val="2"/>
        <charset val="1"/>
      </rPr>
      <t xml:space="preserve">｜直接</t>
    </r>
  </si>
  <si>
    <t xml:space="preserve">SRC_HAR_006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</si>
  <si>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Provider Adapter </t>
    </r>
    <r>
      <rPr>
        <sz val="10"/>
        <rFont val="Noto Sans CJK SC"/>
        <family val="2"/>
        <charset val="1"/>
      </rPr>
      <t xml:space="preserve">最高推理成本</t>
    </r>
  </si>
  <si>
    <r>
      <rPr>
        <sz val="10"/>
        <rFont val="Arial"/>
        <family val="0"/>
        <charset val="1"/>
      </rPr>
      <t xml:space="preserve">Har_In!D71</t>
    </r>
    <r>
      <rPr>
        <sz val="10"/>
        <rFont val="Noto Sans CJK SC"/>
        <family val="2"/>
        <charset val="1"/>
      </rPr>
      <t xml:space="preserve">｜直接</t>
    </r>
  </si>
  <si>
    <t xml:space="preserve">SRC_HAR_007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</si>
  <si>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Provider Adapter </t>
    </r>
    <r>
      <rPr>
        <sz val="10"/>
        <rFont val="Noto Sans CJK SC"/>
        <family val="2"/>
        <charset val="1"/>
      </rPr>
      <t xml:space="preserve">高推理成功率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</si>
  <si>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  <charset val="1"/>
      </rPr>
      <t xml:space="preserve">發布</t>
    </r>
  </si>
  <si>
    <r>
      <rPr>
        <sz val="10"/>
        <rFont val="Arial"/>
        <family val="0"/>
        <charset val="1"/>
      </rPr>
      <t xml:space="preserve">Har_In!C72</t>
    </r>
    <r>
      <rPr>
        <sz val="10"/>
        <rFont val="Noto Sans CJK SC"/>
        <family val="2"/>
        <charset val="1"/>
      </rPr>
      <t xml:space="preserve">｜直接</t>
    </r>
  </si>
  <si>
    <t xml:space="preserve">SRC_HAR_008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</si>
  <si>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Provider Adapter </t>
    </r>
    <r>
      <rPr>
        <sz val="10"/>
        <rFont val="Noto Sans CJK SC"/>
        <family val="2"/>
        <charset val="1"/>
      </rPr>
      <t xml:space="preserve">高推理成本</t>
    </r>
  </si>
  <si>
    <r>
      <rPr>
        <sz val="10"/>
        <rFont val="Arial"/>
        <family val="0"/>
        <charset val="1"/>
      </rPr>
      <t xml:space="preserve">Har_In!D72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</si>
  <si>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另載 </t>
    </r>
    <r>
      <rPr>
        <sz val="10"/>
        <rFont val="Arial"/>
        <family val="0"/>
        <charset val="1"/>
      </rPr>
      <t xml:space="preserve">$19,302</t>
    </r>
    <r>
      <rPr>
        <sz val="10"/>
        <rFont val="Noto Sans CJK SC"/>
        <family val="2"/>
        <charset val="1"/>
      </rPr>
      <t xml:space="preserve">（衝突）</t>
    </r>
  </si>
  <si>
    <t xml:space="preserve">SRC_HAR_009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</si>
  <si>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Provider Adapter </t>
    </r>
    <r>
      <rPr>
        <sz val="10"/>
        <rFont val="Noto Sans CJK SC"/>
        <family val="2"/>
        <charset val="1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</si>
  <si>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</si>
  <si>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</si>
  <si>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Adapter token ÷ </t>
    </r>
    <r>
      <rPr>
        <sz val="10"/>
        <rFont val="Noto Sans CJK SC"/>
        <family val="2"/>
        <charset val="1"/>
      </rPr>
      <t xml:space="preserve">標準</t>
    </r>
  </si>
  <si>
    <r>
      <rPr>
        <sz val="10"/>
        <rFont val="Noto Sans CJK SC"/>
        <family val="2"/>
        <charset val="1"/>
      </rPr>
      <t xml:space="preserve">「少用約 </t>
    </r>
    <r>
      <rPr>
        <sz val="10"/>
        <rFont val="Arial"/>
        <family val="0"/>
        <charset val="1"/>
      </rPr>
      <t xml:space="preserve">49%</t>
    </r>
    <r>
      <rPr>
        <sz val="10"/>
        <rFont val="Noto Sans CJK SC"/>
        <family val="2"/>
        <charset val="1"/>
      </rPr>
      <t xml:space="preserve">」，範圍不明</t>
    </r>
  </si>
  <si>
    <r>
      <rPr>
        <sz val="10"/>
        <rFont val="Arial"/>
        <family val="0"/>
        <charset val="1"/>
      </rPr>
      <t xml:space="preserve">Har_In!E72</t>
    </r>
    <r>
      <rPr>
        <sz val="10"/>
        <rFont val="Noto Sans CJK SC"/>
        <family val="2"/>
        <charset val="1"/>
      </rPr>
      <t xml:space="preserve">｜直接；</t>
    </r>
    <r>
      <rPr>
        <sz val="10"/>
        <rFont val="Arial"/>
        <family val="0"/>
        <charset val="1"/>
      </rPr>
      <t xml:space="preserve">Checks!C62</t>
    </r>
    <r>
      <rPr>
        <sz val="10"/>
        <rFont val="Noto Sans CJK SC"/>
        <family val="2"/>
        <charset val="1"/>
      </rPr>
      <t xml:space="preserve">｜對照</t>
    </r>
  </si>
  <si>
    <t xml:space="preserve">SRC_HAR_011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</si>
  <si>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Adapter </t>
    </r>
    <r>
      <rPr>
        <sz val="10"/>
        <rFont val="Noto Sans CJK SC"/>
        <family val="2"/>
        <charset val="1"/>
      </rPr>
      <t xml:space="preserve">耗時加速</t>
    </r>
  </si>
  <si>
    <t xml:space="preserve">SRC_HAR_012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</si>
  <si>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Claude Opus 5 </t>
    </r>
    <r>
      <rPr>
        <sz val="10"/>
        <rFont val="Noto Sans CJK SC"/>
        <family val="2"/>
        <charset val="1"/>
      </rPr>
      <t xml:space="preserve">標準 </t>
    </r>
    <r>
      <rPr>
        <sz val="10"/>
        <rFont val="Arial"/>
        <family val="0"/>
        <charset val="1"/>
      </rPr>
      <t xml:space="preserve">harness </t>
    </r>
    <r>
      <rPr>
        <sz val="10"/>
        <rFont val="Noto Sans CJK SC"/>
        <family val="2"/>
        <charset val="1"/>
      </rPr>
      <t xml:space="preserve">成功率</t>
    </r>
  </si>
  <si>
    <t xml:space="preserve">ARC Prize</t>
  </si>
  <si>
    <r>
      <rPr>
        <sz val="10"/>
        <rFont val="Arial"/>
        <family val="0"/>
        <charset val="1"/>
      </rPr>
      <t xml:space="preserve">Har_In!C73</t>
    </r>
    <r>
      <rPr>
        <sz val="10"/>
        <rFont val="Noto Sans CJK SC"/>
        <family val="2"/>
        <charset val="1"/>
      </rPr>
      <t xml:space="preserve">｜直接</t>
    </r>
  </si>
  <si>
    <t xml:space="preserve">SRC_HAR_013</t>
  </si>
  <si>
    <t xml:space="preserve">S60</t>
  </si>
  <si>
    <r>
      <rPr>
        <sz val="10"/>
        <rFont val="Arial"/>
        <family val="0"/>
        <charset val="1"/>
      </rPr>
      <t xml:space="preserve">AA </t>
    </r>
    <r>
      <rPr>
        <sz val="10"/>
        <rFont val="Noto Sans CJK SC"/>
        <family val="2"/>
        <charset val="1"/>
      </rPr>
      <t xml:space="preserve">每任務成本：</t>
    </r>
    <r>
      <rPr>
        <sz val="10"/>
        <rFont val="Arial"/>
        <family val="0"/>
        <charset val="1"/>
      </rPr>
      <t xml:space="preserve">GPT-6 Astra</t>
    </r>
  </si>
  <si>
    <r>
      <rPr>
        <sz val="10"/>
        <rFont val="Arial"/>
        <family val="0"/>
        <charset val="1"/>
      </rPr>
      <t xml:space="preserve">$/</t>
    </r>
    <r>
      <rPr>
        <sz val="10"/>
        <rFont val="Noto Sans CJK SC"/>
        <family val="2"/>
        <charset val="1"/>
      </rPr>
      <t xml:space="preserve">任務</t>
    </r>
  </si>
  <si>
    <r>
      <rPr>
        <sz val="10"/>
        <rFont val="Arial"/>
        <family val="0"/>
        <charset val="1"/>
      </rPr>
      <t xml:space="preserve">AA agent </t>
    </r>
    <r>
      <rPr>
        <sz val="10"/>
        <rFont val="Noto Sans CJK SC"/>
        <family val="2"/>
        <charset val="1"/>
      </rPr>
      <t xml:space="preserve">評測</t>
    </r>
  </si>
  <si>
    <r>
      <rPr>
        <sz val="10"/>
        <rFont val="Arial"/>
        <family val="0"/>
        <charset val="1"/>
      </rPr>
      <t xml:space="preserve">Artificial Analysis</t>
    </r>
    <r>
      <rPr>
        <sz val="10"/>
        <rFont val="Noto Sans CJK SC"/>
        <family val="2"/>
        <charset val="1"/>
      </rPr>
      <t xml:space="preserve">：獨立評測（經轉述）；任務組合與 </t>
    </r>
    <r>
      <rPr>
        <sz val="10"/>
        <rFont val="Arial"/>
        <family val="0"/>
        <charset val="1"/>
      </rPr>
      <t xml:space="preserve">Workload </t>
    </r>
    <r>
      <rPr>
        <sz val="10"/>
        <rFont val="Noto Sans CJK SC"/>
        <family val="2"/>
        <charset val="1"/>
      </rPr>
      <t xml:space="preserve">不同</t>
    </r>
  </si>
  <si>
    <t xml:space="preserve">只作對照</t>
  </si>
  <si>
    <t xml:space="preserve">SRC_HAR_014</t>
  </si>
  <si>
    <r>
      <rPr>
        <sz val="10"/>
        <rFont val="Arial"/>
        <family val="0"/>
        <charset val="1"/>
      </rPr>
      <t xml:space="preserve">AA </t>
    </r>
    <r>
      <rPr>
        <sz val="10"/>
        <rFont val="Noto Sans CJK SC"/>
        <family val="2"/>
        <charset val="1"/>
      </rPr>
      <t xml:space="preserve">每任務成本：</t>
    </r>
    <r>
      <rPr>
        <sz val="10"/>
        <rFont val="Arial"/>
        <family val="0"/>
        <charset val="1"/>
      </rPr>
      <t xml:space="preserve">Claude Fable 5.1</t>
    </r>
  </si>
  <si>
    <t xml:space="preserve">SRC_HAR_015</t>
  </si>
  <si>
    <t xml:space="preserve">S61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</si>
  <si>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Opus 5</t>
    </r>
    <r>
      <rPr>
        <sz val="10"/>
        <rFont val="Noto Sans CJK SC"/>
        <family val="2"/>
        <charset val="1"/>
      </rPr>
      <t xml:space="preserve">＋</t>
    </r>
    <r>
      <rPr>
        <sz val="10"/>
        <rFont val="Arial"/>
        <family val="0"/>
        <charset val="1"/>
      </rPr>
      <t xml:space="preserve">Nvidia harness </t>
    </r>
    <r>
      <rPr>
        <sz val="10"/>
        <rFont val="Noto Sans CJK SC"/>
        <family val="2"/>
        <charset val="1"/>
      </rPr>
      <t xml:space="preserve">成功率</t>
    </r>
  </si>
  <si>
    <t xml:space="preserve">全部關卡通關</t>
  </si>
  <si>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  <charset val="1"/>
      </rPr>
      <t xml:space="preserve">（報導）；歸屬與 </t>
    </r>
    <r>
      <rPr>
        <sz val="10"/>
        <rFont val="Arial"/>
        <family val="0"/>
        <charset val="1"/>
      </rPr>
      <t xml:space="preserve">Strands </t>
    </r>
    <r>
      <rPr>
        <sz val="10"/>
        <rFont val="Noto Sans CJK SC"/>
        <family val="2"/>
        <charset val="1"/>
      </rPr>
      <t xml:space="preserve">衝突</t>
    </r>
  </si>
  <si>
    <r>
      <rPr>
        <sz val="10"/>
        <rFont val="Arial"/>
        <family val="0"/>
        <charset val="1"/>
      </rPr>
      <t xml:space="preserve">Har_In!C74</t>
    </r>
    <r>
      <rPr>
        <sz val="10"/>
        <rFont val="Noto Sans CJK SC"/>
        <family val="2"/>
        <charset val="1"/>
      </rPr>
      <t xml:space="preserve">｜直接</t>
    </r>
  </si>
  <si>
    <r>
      <rPr>
        <sz val="10"/>
        <rFont val="Noto Sans CJK SC"/>
        <family val="2"/>
        <charset val="1"/>
      </rPr>
      <t xml:space="preserve">歸屬（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Strands</t>
    </r>
    <r>
      <rPr>
        <sz val="10"/>
        <rFont val="Noto Sans CJK SC"/>
        <family val="2"/>
        <charset val="1"/>
      </rPr>
      <t xml:space="preserve">）待核</t>
    </r>
  </si>
  <si>
    <r>
      <rPr>
        <b val="true"/>
        <sz val="10"/>
        <color rgb="FFFFFFFF"/>
        <rFont val="Arial"/>
        <family val="0"/>
        <charset val="1"/>
      </rPr>
      <t xml:space="preserve">S </t>
    </r>
    <r>
      <rPr>
        <b val="true"/>
        <sz val="10"/>
        <color rgb="FFFFFFFF"/>
        <rFont val="Noto Sans CJK SC"/>
        <family val="2"/>
        <charset val="1"/>
      </rPr>
      <t xml:space="preserve">編號</t>
    </r>
  </si>
  <si>
    <r>
      <rPr>
        <b val="true"/>
        <sz val="10"/>
        <color rgb="FFFFFFFF"/>
        <rFont val="Noto Sans CJK SC"/>
        <family val="2"/>
        <charset val="1"/>
      </rPr>
      <t xml:space="preserve">項目（</t>
    </r>
    <r>
      <rPr>
        <b val="true"/>
        <sz val="10"/>
        <color rgb="FFFFFFFF"/>
        <rFont val="Arial"/>
        <family val="0"/>
        <charset val="1"/>
      </rPr>
      <t xml:space="preserve">Sources</t>
    </r>
    <r>
      <rPr>
        <b val="true"/>
        <sz val="10"/>
        <color rgb="FFFFFFFF"/>
        <rFont val="Noto Sans CJK SC"/>
        <family val="2"/>
        <charset val="1"/>
      </rPr>
      <t xml:space="preserve">）</t>
    </r>
  </si>
  <si>
    <t xml:space="preserve">原標記</t>
  </si>
  <si>
    <t xml:space="preserve">原查核狀態</t>
  </si>
  <si>
    <t xml:space="preserve">擬分頁</t>
  </si>
  <si>
    <t xml:space="preserve">立場說明</t>
  </si>
  <si>
    <t xml:space="preserve">處置</t>
  </si>
  <si>
    <t xml:space="preserve">候選紀錄數</t>
  </si>
  <si>
    <r>
      <rPr>
        <b val="true"/>
        <sz val="10"/>
        <color rgb="FFFFFFFF"/>
        <rFont val="Noto Sans CJK SC"/>
        <family val="2"/>
        <charset val="1"/>
      </rPr>
      <t xml:space="preserve">候選 </t>
    </r>
    <r>
      <rPr>
        <b val="true"/>
        <sz val="10"/>
        <color rgb="FFFFFFFF"/>
        <rFont val="Arial"/>
        <family val="0"/>
        <charset val="1"/>
      </rPr>
      <t xml:space="preserve">SRC_ID</t>
    </r>
  </si>
  <si>
    <r>
      <rPr>
        <sz val="10"/>
        <rFont val="Arial"/>
        <family val="0"/>
        <charset val="1"/>
      </rPr>
      <t xml:space="preserve">DGX H100 </t>
    </r>
    <r>
      <rPr>
        <sz val="10"/>
        <rFont val="Noto Sans CJK SC"/>
        <family val="2"/>
        <charset val="1"/>
      </rPr>
      <t xml:space="preserve">功率</t>
    </r>
  </si>
  <si>
    <t xml:space="preserve">Verified</t>
  </si>
  <si>
    <t xml:space="preserve">待查核</t>
  </si>
  <si>
    <t xml:space="preserve">遷入</t>
  </si>
  <si>
    <r>
      <rPr>
        <sz val="10"/>
        <rFont val="Arial"/>
        <family val="0"/>
        <charset val="1"/>
      </rPr>
      <t xml:space="preserve">HGX H100 </t>
    </r>
    <r>
      <rPr>
        <sz val="10"/>
        <rFont val="Noto Sans CJK SC"/>
        <family val="2"/>
        <charset val="1"/>
      </rPr>
      <t xml:space="preserve">價格</t>
    </r>
  </si>
  <si>
    <r>
      <rPr>
        <sz val="10"/>
        <rFont val="Arial"/>
        <family val="0"/>
        <charset val="1"/>
      </rPr>
      <t xml:space="preserve">SRC_HW_002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SRC_HW_003</t>
    </r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</si>
  <si>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  <charset val="1"/>
      </rPr>
      <t xml:space="preserve">機架功率</t>
    </r>
  </si>
  <si>
    <t xml:space="preserve">Interested-party</t>
  </si>
  <si>
    <r>
      <rPr>
        <sz val="10"/>
        <rFont val="Arial"/>
        <family val="0"/>
        <charset val="1"/>
      </rPr>
      <t xml:space="preserve">SRC_HW_004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SRC_HW_005</t>
    </r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</si>
  <si>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價格</t>
    </r>
  </si>
  <si>
    <r>
      <rPr>
        <sz val="10"/>
        <rFont val="Arial"/>
        <family val="0"/>
        <charset val="1"/>
      </rPr>
      <t xml:space="preserve">SRC_HW_006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SRC_HW_008</t>
    </r>
  </si>
  <si>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  <charset val="1"/>
      </rPr>
      <t xml:space="preserve">機架功率</t>
    </r>
  </si>
  <si>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  <charset val="1"/>
      </rPr>
      <t xml:space="preserve">採購單價</t>
    </r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</si>
  <si>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與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  <charset val="1"/>
      </rPr>
      <t xml:space="preserve">功率</t>
    </r>
  </si>
  <si>
    <r>
      <rPr>
        <sz val="10"/>
        <rFont val="Arial"/>
        <family val="0"/>
        <charset val="1"/>
      </rPr>
      <t xml:space="preserve">SRC_HW_011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SRC_HW_013</t>
    </r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</si>
  <si>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機架成本估計</t>
    </r>
  </si>
  <si>
    <r>
      <rPr>
        <sz val="10"/>
        <rFont val="Arial"/>
        <family val="0"/>
        <charset val="1"/>
      </rPr>
      <t xml:space="preserve">SRC_HW_015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SRC_HW_017</t>
    </r>
  </si>
  <si>
    <t xml:space="preserve">網路資本支出占比</t>
  </si>
  <si>
    <r>
      <rPr>
        <sz val="10"/>
        <rFont val="Arial"/>
        <family val="0"/>
        <charset val="1"/>
      </rPr>
      <t xml:space="preserve">SRC_DC_001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SRC_DC_002</t>
    </r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</si>
  <si>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報價是否含網路</t>
    </r>
  </si>
  <si>
    <t xml:space="preserve">未解：可能重複計算</t>
  </si>
  <si>
    <r>
      <rPr>
        <sz val="10"/>
        <rFont val="Noto Sans CJK SC"/>
        <family val="2"/>
        <charset val="1"/>
      </rPr>
      <t xml:space="preserve">遷入（</t>
    </r>
    <r>
      <rPr>
        <sz val="10"/>
        <rFont val="Arial"/>
        <family val="0"/>
        <charset val="1"/>
      </rPr>
      <t xml:space="preserve">Alt</t>
    </r>
    <r>
      <rPr>
        <sz val="10"/>
        <rFont val="Noto Sans CJK SC"/>
        <family val="2"/>
        <charset val="1"/>
      </rPr>
      <t xml:space="preserve">，未解）</t>
    </r>
  </si>
  <si>
    <t xml:space="preserve">廠房建造成本</t>
  </si>
  <si>
    <r>
      <rPr>
        <sz val="10"/>
        <rFont val="Arial"/>
        <family val="0"/>
        <charset val="1"/>
      </rPr>
      <t xml:space="preserve">SRC_DC_003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SRC_DC_004</t>
    </r>
  </si>
  <si>
    <t xml:space="preserve">美國工業電價</t>
  </si>
  <si>
    <t xml:space="preserve">已核對二手轉載</t>
  </si>
  <si>
    <r>
      <rPr>
        <sz val="10"/>
        <rFont val="Arial"/>
        <family val="0"/>
        <charset val="1"/>
      </rPr>
      <t xml:space="preserve">SRC_DC_005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SRC_DC_006</t>
    </r>
  </si>
  <si>
    <t xml:space="preserve">S14</t>
  </si>
  <si>
    <t xml:space="preserve">PUE</t>
  </si>
  <si>
    <r>
      <rPr>
        <sz val="10"/>
        <rFont val="Arial"/>
        <family val="0"/>
        <charset val="1"/>
      </rPr>
      <t xml:space="preserve">v4 </t>
    </r>
    <r>
      <rPr>
        <sz val="10"/>
        <rFont val="Noto Sans CJK SC"/>
        <family val="2"/>
        <charset val="1"/>
      </rPr>
      <t xml:space="preserve">假設，非已取得訊息</t>
    </r>
  </si>
  <si>
    <r>
      <rPr>
        <sz val="10"/>
        <rFont val="Noto Sans CJK SC"/>
        <family val="2"/>
        <charset val="1"/>
      </rPr>
      <t xml:space="preserve">不遷入：非原始訊息（</t>
    </r>
    <r>
      <rPr>
        <sz val="10"/>
        <rFont val="Arial"/>
        <family val="0"/>
        <charset val="1"/>
      </rPr>
      <t xml:space="preserve">G1</t>
    </r>
    <r>
      <rPr>
        <sz val="10"/>
        <rFont val="Noto Sans CJK SC"/>
        <family val="2"/>
        <charset val="1"/>
      </rPr>
      <t xml:space="preserve">），模型頁 </t>
    </r>
    <r>
      <rPr>
        <sz val="10"/>
        <rFont val="Arial"/>
        <family val="0"/>
        <charset val="1"/>
      </rPr>
      <t xml:space="preserve">PUE </t>
    </r>
    <r>
      <rPr>
        <sz val="10"/>
        <rFont val="Noto Sans CJK SC"/>
        <family val="2"/>
        <charset val="1"/>
      </rPr>
      <t xml:space="preserve">維持 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Stage 2 </t>
    </r>
    <r>
      <rPr>
        <sz val="10"/>
        <rFont val="Noto Sans CJK SC"/>
        <family val="2"/>
        <charset val="1"/>
      </rPr>
      <t xml:space="preserve">另找來源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</si>
  <si>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折舊年限</t>
    </r>
  </si>
  <si>
    <r>
      <rPr>
        <sz val="10"/>
        <rFont val="Noto Sans CJK SC"/>
        <family val="2"/>
        <charset val="1"/>
      </rPr>
      <t xml:space="preserve">待以 </t>
    </r>
    <r>
      <rPr>
        <sz val="10"/>
        <rFont val="Arial"/>
        <family val="0"/>
        <charset val="1"/>
      </rPr>
      <t xml:space="preserve">10-K </t>
    </r>
    <r>
      <rPr>
        <sz val="10"/>
        <rFont val="Noto Sans CJK SC"/>
        <family val="2"/>
        <charset val="1"/>
      </rPr>
      <t xml:space="preserve">原文核對</t>
    </r>
  </si>
  <si>
    <r>
      <rPr>
        <sz val="10"/>
        <rFont val="Arial"/>
        <family val="0"/>
        <charset val="1"/>
      </rPr>
      <t xml:space="preserve">SRC_DC_007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SRC_DC_008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SRC_DC_009</t>
    </r>
  </si>
  <si>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建置成本</t>
    </r>
  </si>
  <si>
    <r>
      <rPr>
        <sz val="10"/>
        <rFont val="Noto Sans CJK SC"/>
        <family val="2"/>
        <charset val="1"/>
      </rPr>
      <t xml:space="preserve">待查核；口徑（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  <charset val="1"/>
      </rPr>
      <t xml:space="preserve">／設施）未明</t>
    </r>
  </si>
  <si>
    <r>
      <rPr>
        <sz val="10"/>
        <rFont val="Arial"/>
        <family val="0"/>
        <charset val="1"/>
      </rPr>
      <t xml:space="preserve">SRC_DC_010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SRC_DC_011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</si>
  <si>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每小時 </t>
    </r>
    <r>
      <rPr>
        <sz val="10"/>
        <rFont val="Arial"/>
        <family val="0"/>
        <charset val="1"/>
      </rPr>
      <t xml:space="preserve">TCO</t>
    </r>
  </si>
  <si>
    <r>
      <rPr>
        <sz val="10"/>
        <rFont val="Arial"/>
        <family val="0"/>
        <charset val="1"/>
      </rPr>
      <t xml:space="preserve">SRC_DC_012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SRC_DC_013</t>
    </r>
  </si>
  <si>
    <r>
      <rPr>
        <sz val="10"/>
        <rFont val="Arial"/>
        <family val="0"/>
        <charset val="1"/>
      </rPr>
      <t xml:space="preserve">CoreWeave GB200 </t>
    </r>
    <r>
      <rPr>
        <sz val="10"/>
        <rFont val="Noto Sans CJK SC"/>
        <family val="2"/>
        <charset val="1"/>
      </rPr>
      <t xml:space="preserve">牌價</t>
    </r>
  </si>
  <si>
    <t xml:space="preserve">新雲損益兩平租金</t>
  </si>
  <si>
    <t xml:space="preserve">Derived</t>
  </si>
  <si>
    <r>
      <rPr>
        <sz val="10"/>
        <rFont val="Arial"/>
        <family val="0"/>
        <charset val="1"/>
      </rPr>
      <t xml:space="preserve">InferenceX GB300 </t>
    </r>
    <r>
      <rPr>
        <sz val="10"/>
        <rFont val="Noto Sans CJK SC"/>
        <family val="2"/>
        <charset val="1"/>
      </rPr>
      <t xml:space="preserve">對 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V4-Pro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</si>
  <si>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SemiAnalysis</t>
    </r>
    <r>
      <rPr>
        <sz val="10"/>
        <rFont val="Noto Sans CJK SC"/>
        <family val="2"/>
        <charset val="1"/>
      </rPr>
      <t xml:space="preserve">：平台受晶片商贊助、另售 </t>
    </r>
    <r>
      <rPr>
        <sz val="10"/>
        <rFont val="Arial"/>
        <family val="0"/>
        <charset val="1"/>
      </rPr>
      <t xml:space="preserve">TCO </t>
    </r>
    <r>
      <rPr>
        <sz val="10"/>
        <rFont val="Noto Sans CJK SC"/>
        <family val="2"/>
        <charset val="1"/>
      </rPr>
      <t xml:space="preserve">模型）；單一來源須佐證</t>
    </r>
  </si>
  <si>
    <t xml:space="preserve">已核對原文（交接錨點即此，屬舊軟體）</t>
  </si>
  <si>
    <r>
      <rPr>
        <sz val="10"/>
        <rFont val="Arial"/>
        <family val="0"/>
        <charset val="1"/>
      </rPr>
      <t xml:space="preserve">SRC_PERF_001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SRC_PERF_002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SRC_PERF_003</t>
    </r>
  </si>
  <si>
    <r>
      <rPr>
        <sz val="10"/>
        <rFont val="Arial"/>
        <family val="0"/>
        <charset val="1"/>
      </rPr>
      <t xml:space="preserve">SGLang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V4 on GB300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</si>
  <si>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SGLang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作者）</t>
    </r>
  </si>
  <si>
    <t xml:space="preserve">已核對原文</t>
  </si>
  <si>
    <r>
      <rPr>
        <sz val="10"/>
        <rFont val="Arial"/>
        <family val="0"/>
        <charset val="1"/>
      </rPr>
      <t xml:space="preserve">SRC_PERF_004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SRC_PERF_008</t>
    </r>
  </si>
  <si>
    <r>
      <rPr>
        <sz val="10"/>
        <rFont val="Arial"/>
        <family val="0"/>
        <charset val="1"/>
      </rPr>
      <t xml:space="preserve">InferenceX </t>
    </r>
    <r>
      <rPr>
        <sz val="10"/>
        <rFont val="Noto Sans CJK SC"/>
        <family val="2"/>
        <charset val="1"/>
      </rPr>
      <t xml:space="preserve">每美元比較（</t>
    </r>
    <r>
      <rPr>
        <sz val="10"/>
        <rFont val="Arial"/>
        <family val="0"/>
        <charset val="1"/>
      </rPr>
      <t xml:space="preserve">B300 </t>
    </r>
    <r>
      <rPr>
        <sz val="10"/>
        <rFont val="Noto Sans CJK SC"/>
        <family val="2"/>
        <charset val="1"/>
      </rPr>
      <t xml:space="preserve">對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V4-Pro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</si>
  <si>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SemiAnalysis</t>
    </r>
    <r>
      <rPr>
        <sz val="10"/>
        <rFont val="Noto Sans CJK SC"/>
        <family val="2"/>
        <charset val="1"/>
      </rPr>
      <t xml:space="preserve">）；擬合所用，第二來源見 </t>
    </r>
    <r>
      <rPr>
        <sz val="10"/>
        <rFont val="Arial"/>
        <family val="0"/>
        <charset val="1"/>
      </rPr>
      <t xml:space="preserve">S31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S32</t>
    </r>
  </si>
  <si>
    <t xml:space="preserve">已核對搜尋摘錄；軟體與日期待確認</t>
  </si>
  <si>
    <r>
      <rPr>
        <sz val="10"/>
        <rFont val="Arial"/>
        <family val="0"/>
        <charset val="1"/>
      </rPr>
      <t xml:space="preserve">SRC_PERF_009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SRC_PERF_013</t>
    </r>
  </si>
  <si>
    <r>
      <rPr>
        <sz val="10"/>
        <rFont val="Arial"/>
        <family val="0"/>
        <charset val="1"/>
      </rPr>
      <t xml:space="preserve">InferenceX </t>
    </r>
    <r>
      <rPr>
        <sz val="10"/>
        <rFont val="Noto Sans CJK SC"/>
        <family val="2"/>
        <charset val="1"/>
      </rPr>
      <t xml:space="preserve">比較（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  <charset val="1"/>
      </rPr>
      <t xml:space="preserve">對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V4-Pro 0813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</si>
  <si>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SemiAnalysis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</si>
  <si>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口徑待查：頁面預設為 </t>
    </r>
    <r>
      <rPr>
        <sz val="10"/>
        <rFont val="Arial"/>
        <family val="0"/>
        <charset val="1"/>
      </rPr>
      <t xml:space="preserve">agentic traces</t>
    </r>
  </si>
  <si>
    <r>
      <rPr>
        <sz val="10"/>
        <rFont val="Arial"/>
        <family val="0"/>
        <charset val="1"/>
      </rPr>
      <t xml:space="preserve">SRC_PERF_014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SRC_PERF_015</t>
    </r>
  </si>
  <si>
    <r>
      <rPr>
        <sz val="10"/>
        <rFont val="Arial"/>
        <family val="0"/>
        <charset val="1"/>
      </rPr>
      <t xml:space="preserve">InferenceX H200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V4-Pro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FP8</t>
    </r>
    <r>
      <rPr>
        <sz val="10"/>
        <rFont val="Noto Sans CJK SC"/>
        <family val="2"/>
        <charset val="1"/>
      </rPr>
      <t xml:space="preserve">）</t>
    </r>
  </si>
  <si>
    <t xml:space="preserve">口徑待查；未入驗證</t>
  </si>
  <si>
    <r>
      <rPr>
        <sz val="10"/>
        <rFont val="Arial"/>
        <family val="0"/>
        <charset val="1"/>
      </rPr>
      <t xml:space="preserve">SRC_PERF_016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SRC_PERF_017</t>
    </r>
  </si>
  <si>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  <charset val="1"/>
      </rPr>
      <t xml:space="preserve">多代理研究系統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</si>
  <si>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  <charset val="1"/>
      </rPr>
      <t xml:space="preserve">）</t>
    </r>
  </si>
  <si>
    <t xml:space="preserve">已核對二手</t>
  </si>
  <si>
    <r>
      <rPr>
        <sz val="10"/>
        <rFont val="Arial"/>
        <family val="0"/>
        <charset val="1"/>
      </rPr>
      <t xml:space="preserve">SRC_HAR_001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SRC_HAR_002</t>
    </r>
  </si>
  <si>
    <r>
      <rPr>
        <sz val="10"/>
        <rFont val="Arial"/>
        <family val="0"/>
        <charset val="1"/>
      </rPr>
      <t xml:space="preserve">Artificial Analysis </t>
    </r>
    <r>
      <rPr>
        <sz val="10"/>
        <rFont val="Noto Sans CJK SC"/>
        <family val="2"/>
        <charset val="1"/>
      </rPr>
      <t xml:space="preserve">輸出速度</t>
    </r>
  </si>
  <si>
    <r>
      <rPr>
        <sz val="10"/>
        <rFont val="Arial"/>
        <family val="0"/>
        <charset val="1"/>
      </rPr>
      <t xml:space="preserve">Verified-measured</t>
    </r>
    <r>
      <rPr>
        <sz val="10"/>
        <rFont val="Noto Sans CJK SC"/>
        <family val="2"/>
        <charset val="1"/>
      </rPr>
      <t xml:space="preserve">（反映供應商自身服務選擇）</t>
    </r>
  </si>
  <si>
    <t xml:space="preserve">已核對</t>
  </si>
  <si>
    <r>
      <rPr>
        <sz val="10"/>
        <rFont val="Arial"/>
        <family val="0"/>
        <charset val="1"/>
      </rPr>
      <t xml:space="preserve">SRC_PERF_018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SRC_PERF_022</t>
    </r>
  </si>
  <si>
    <r>
      <rPr>
        <sz val="10"/>
        <rFont val="Arial"/>
        <family val="0"/>
        <charset val="1"/>
      </rPr>
      <t xml:space="preserve">DeepSeek V4 </t>
    </r>
    <r>
      <rPr>
        <sz val="10"/>
        <rFont val="Noto Sans CJK SC"/>
        <family val="2"/>
        <charset val="1"/>
      </rPr>
      <t xml:space="preserve">模型卡與 </t>
    </r>
    <r>
      <rPr>
        <sz val="10"/>
        <rFont val="Arial"/>
        <family val="0"/>
        <charset val="1"/>
      </rPr>
      <t xml:space="preserve">v4 </t>
    </r>
    <r>
      <rPr>
        <sz val="10"/>
        <rFont val="Noto Sans CJK SC"/>
        <family val="2"/>
        <charset val="1"/>
      </rPr>
      <t xml:space="preserve">架構預設表</t>
    </r>
  </si>
  <si>
    <r>
      <rPr>
        <sz val="10"/>
        <rFont val="Arial"/>
        <family val="0"/>
        <charset val="1"/>
      </rPr>
      <t xml:space="preserve">SRC_MOD_001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SRC_MOD_002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SRC_MOD_006</t>
    </r>
  </si>
  <si>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規格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</si>
  <si>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  <charset val="1"/>
      </rPr>
      <t xml:space="preserve">）</t>
    </r>
  </si>
  <si>
    <t xml:space="preserve">待以規格表核對</t>
  </si>
  <si>
    <r>
      <rPr>
        <sz val="10"/>
        <rFont val="Noto Sans CJK SC"/>
        <family val="2"/>
        <charset val="1"/>
      </rPr>
      <t xml:space="preserve">遷入（</t>
    </r>
    <r>
      <rPr>
        <sz val="10"/>
        <rFont val="Arial"/>
        <family val="0"/>
        <charset val="1"/>
      </rPr>
      <t xml:space="preserve">H100 989 TF </t>
    </r>
    <r>
      <rPr>
        <sz val="10"/>
        <rFont val="Noto Sans CJK SC"/>
        <family val="2"/>
        <charset val="1"/>
      </rPr>
      <t xml:space="preserve">實為 </t>
    </r>
    <r>
      <rPr>
        <sz val="10"/>
        <rFont val="Arial"/>
        <family val="0"/>
        <charset val="1"/>
      </rPr>
      <t xml:space="preserve">BF16</t>
    </r>
    <r>
      <rPr>
        <sz val="10"/>
        <rFont val="Noto Sans CJK SC"/>
        <family val="2"/>
        <charset val="1"/>
      </rPr>
      <t xml:space="preserve">，見 </t>
    </r>
    <r>
      <rPr>
        <sz val="10"/>
        <rFont val="Arial"/>
        <family val="0"/>
        <charset val="1"/>
      </rPr>
      <t xml:space="preserve">E001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</si>
  <si>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SRC_HW_019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SRC_HW_031</t>
    </r>
  </si>
  <si>
    <t xml:space="preserve">能量常數</t>
  </si>
  <si>
    <r>
      <rPr>
        <sz val="10"/>
        <rFont val="Arial"/>
        <family val="0"/>
        <charset val="1"/>
      </rPr>
      <t xml:space="preserve">SRC_HW_032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SRC_HW_035</t>
    </r>
  </si>
  <si>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  <charset val="1"/>
      </rPr>
      <t xml:space="preserve">推論系統公開統計（</t>
    </r>
    <r>
      <rPr>
        <sz val="10"/>
        <rFont val="Arial"/>
        <family val="0"/>
        <charset val="1"/>
      </rPr>
      <t xml:space="preserve">H800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</si>
  <si>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DeepSeek</t>
    </r>
    <r>
      <rPr>
        <sz val="10"/>
        <rFont val="Noto Sans CJK SC"/>
        <family val="2"/>
        <charset val="1"/>
      </rPr>
      <t xml:space="preserve">）</t>
    </r>
  </si>
  <si>
    <t xml:space="preserve">遷入（數值待取得）</t>
  </si>
  <si>
    <r>
      <rPr>
        <sz val="10"/>
        <rFont val="Arial"/>
        <family val="0"/>
        <charset val="1"/>
      </rPr>
      <t xml:space="preserve">MLPerf Inference v6.0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DeepSeek-R1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</si>
  <si>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Verified-measured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MLCommons </t>
    </r>
    <r>
      <rPr>
        <sz val="10"/>
        <rFont val="Noto Sans CJK SC"/>
        <family val="2"/>
        <charset val="1"/>
      </rPr>
      <t xml:space="preserve">稽核）／</t>
    </r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提交並挑選配置）</t>
    </r>
  </si>
  <si>
    <r>
      <rPr>
        <sz val="10"/>
        <rFont val="Arial"/>
        <family val="0"/>
        <charset val="1"/>
      </rPr>
      <t xml:space="preserve">SRC_PERF_024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SRC_PERF_026</t>
    </r>
  </si>
  <si>
    <r>
      <rPr>
        <sz val="10"/>
        <rFont val="Arial"/>
        <family val="0"/>
        <charset val="1"/>
      </rPr>
      <t xml:space="preserve">MLPerf Inference v6.1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首次提交）</t>
    </r>
  </si>
  <si>
    <r>
      <rPr>
        <sz val="10"/>
        <rFont val="Arial"/>
        <family val="0"/>
        <charset val="1"/>
      </rPr>
      <t xml:space="preserve">Verified-measured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MLCommons</t>
    </r>
    <r>
      <rPr>
        <sz val="10"/>
        <rFont val="Noto Sans CJK SC"/>
        <family val="2"/>
        <charset val="1"/>
      </rPr>
      <t xml:space="preserve">）／</t>
    </r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對照表）</t>
    </r>
  </si>
  <si>
    <r>
      <rPr>
        <sz val="10"/>
        <rFont val="Noto Sans CJK SC"/>
        <family val="2"/>
        <charset val="1"/>
      </rPr>
      <t xml:space="preserve">待以 </t>
    </r>
    <r>
      <rPr>
        <sz val="10"/>
        <rFont val="Arial"/>
        <family val="0"/>
        <charset val="1"/>
      </rPr>
      <t xml:space="preserve">MLCommons </t>
    </r>
    <r>
      <rPr>
        <sz val="10"/>
        <rFont val="Noto Sans CJK SC"/>
        <family val="2"/>
        <charset val="1"/>
      </rPr>
      <t xml:space="preserve">原始結果核對</t>
    </r>
  </si>
  <si>
    <r>
      <rPr>
        <sz val="10"/>
        <rFont val="Arial"/>
        <family val="0"/>
        <charset val="1"/>
      </rPr>
      <t xml:space="preserve">SRC_PERF_027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SRC_PERF_028</t>
    </r>
  </si>
  <si>
    <r>
      <rPr>
        <sz val="10"/>
        <rFont val="Arial"/>
        <family val="0"/>
        <charset val="1"/>
      </rPr>
      <t xml:space="preserve">MLCommons DeepSeek-R1 </t>
    </r>
    <r>
      <rPr>
        <sz val="10"/>
        <rFont val="Noto Sans CJK SC"/>
        <family val="2"/>
        <charset val="1"/>
      </rPr>
      <t xml:space="preserve">基準規格</t>
    </r>
  </si>
  <si>
    <r>
      <rPr>
        <sz val="10"/>
        <rFont val="Arial"/>
        <family val="0"/>
        <charset val="1"/>
      </rPr>
      <t xml:space="preserve">SRC_PERF_029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SRC_PERF_034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SRC_PERF_035</t>
    </r>
  </si>
  <si>
    <t xml:space="preserve">S34</t>
  </si>
  <si>
    <r>
      <rPr>
        <sz val="10"/>
        <rFont val="Arial"/>
        <family val="0"/>
        <charset val="1"/>
      </rPr>
      <t xml:space="preserve">AMD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InferenceX </t>
    </r>
    <r>
      <rPr>
        <sz val="10"/>
        <rFont val="Noto Sans CJK SC"/>
        <family val="2"/>
        <charset val="1"/>
      </rPr>
      <t xml:space="preserve">資料的選擇性使用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</si>
  <si>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AMD</t>
    </r>
    <r>
      <rPr>
        <sz val="10"/>
        <rFont val="Noto Sans CJK SC"/>
        <family val="2"/>
        <charset val="1"/>
      </rPr>
      <t xml:space="preserve">）</t>
    </r>
  </si>
  <si>
    <t xml:space="preserve">提醒：同一平台資料可因設定選擇而偏向</t>
  </si>
  <si>
    <t xml:space="preserve">定性提醒，無數值</t>
  </si>
  <si>
    <r>
      <rPr>
        <sz val="10"/>
        <rFont val="Noto Sans CJK SC"/>
        <family val="2"/>
        <charset val="1"/>
      </rPr>
      <t xml:space="preserve">不遷入：無數值；轉為 </t>
    </r>
    <r>
      <rPr>
        <sz val="10"/>
        <rFont val="Arial"/>
        <family val="0"/>
        <charset val="1"/>
      </rPr>
      <t xml:space="preserve">DB_Evidence </t>
    </r>
    <r>
      <rPr>
        <sz val="10"/>
        <rFont val="Noto Sans CJK SC"/>
        <family val="2"/>
        <charset val="1"/>
      </rPr>
      <t xml:space="preserve">備註（</t>
    </r>
    <r>
      <rPr>
        <sz val="10"/>
        <rFont val="Arial"/>
        <family val="0"/>
        <charset val="1"/>
      </rPr>
      <t xml:space="preserve">SemiAnalysis </t>
    </r>
    <r>
      <rPr>
        <sz val="10"/>
        <rFont val="Noto Sans CJK SC"/>
        <family val="2"/>
        <charset val="1"/>
      </rPr>
      <t xml:space="preserve">資料使用規則的佐證）</t>
    </r>
  </si>
  <si>
    <r>
      <rPr>
        <sz val="10"/>
        <rFont val="Arial"/>
        <family val="0"/>
        <charset val="1"/>
      </rPr>
      <t xml:space="preserve">DeepSeek-V4 </t>
    </r>
    <r>
      <rPr>
        <sz val="10"/>
        <rFont val="Noto Sans CJK SC"/>
        <family val="2"/>
        <charset val="1"/>
      </rPr>
      <t xml:space="preserve">技術報告（</t>
    </r>
    <r>
      <rPr>
        <sz val="10"/>
        <rFont val="Arial"/>
        <family val="0"/>
        <charset val="1"/>
      </rPr>
      <t xml:space="preserve">arXiv 2606.19348</t>
    </r>
    <r>
      <rPr>
        <sz val="10"/>
        <rFont val="Noto Sans CJK SC"/>
        <family val="2"/>
        <charset val="1"/>
      </rPr>
      <t xml:space="preserve">）</t>
    </r>
  </si>
  <si>
    <t xml:space="preserve">已核對原文摘錄</t>
  </si>
  <si>
    <t xml:space="preserve">遷入（精度做法為定性，不建數值）</t>
  </si>
  <si>
    <r>
      <rPr>
        <sz val="10"/>
        <rFont val="Arial"/>
        <family val="0"/>
        <charset val="1"/>
      </rPr>
      <t xml:space="preserve">SRC_MOD_029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SRC_MOD_032</t>
    </r>
  </si>
  <si>
    <r>
      <rPr>
        <sz val="10"/>
        <rFont val="Arial"/>
        <family val="0"/>
        <charset val="1"/>
      </rPr>
      <t xml:space="preserve">NVIDIA Vera Rubin NVL72 </t>
    </r>
    <r>
      <rPr>
        <sz val="10"/>
        <rFont val="Noto Sans CJK SC"/>
        <family val="2"/>
        <charset val="1"/>
      </rPr>
      <t xml:space="preserve">規格表</t>
    </r>
  </si>
  <si>
    <t xml:space="preserve">已核對兩處轉載</t>
  </si>
  <si>
    <r>
      <rPr>
        <sz val="10"/>
        <rFont val="Arial"/>
        <family val="0"/>
        <charset val="1"/>
      </rPr>
      <t xml:space="preserve">SRC_HW_036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SRC_HW_039</t>
    </r>
  </si>
  <si>
    <r>
      <rPr>
        <sz val="10"/>
        <rFont val="Arial"/>
        <family val="0"/>
        <charset val="1"/>
      </rPr>
      <t xml:space="preserve">Meta Llama 3 </t>
    </r>
    <r>
      <rPr>
        <sz val="10"/>
        <rFont val="Noto Sans CJK SC"/>
        <family val="2"/>
        <charset val="1"/>
      </rPr>
      <t xml:space="preserve">技術報告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</si>
  <si>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Meta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</si>
  <si>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SRC_PERF_036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SRC_PERF_037</t>
    </r>
  </si>
  <si>
    <r>
      <rPr>
        <sz val="10"/>
        <rFont val="Arial"/>
        <family val="0"/>
        <charset val="1"/>
      </rPr>
      <t xml:space="preserve">Epoch</t>
    </r>
    <r>
      <rPr>
        <sz val="10"/>
        <rFont val="Noto Sans CJK SC"/>
        <family val="2"/>
        <charset val="1"/>
      </rPr>
      <t xml:space="preserve">：最終訓練占研發算力少數</t>
    </r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</si>
  <si>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  <charset val="1"/>
      </rPr>
      <t xml:space="preserve">推估；資料源為 </t>
    </r>
    <r>
      <rPr>
        <sz val="10"/>
        <rFont val="Arial"/>
        <family val="0"/>
        <charset val="1"/>
      </rPr>
      <t xml:space="preserve">The Information </t>
    </r>
    <r>
      <rPr>
        <sz val="10"/>
        <rFont val="Noto Sans CJK SC"/>
        <family val="2"/>
        <charset val="1"/>
      </rPr>
      <t xml:space="preserve">等報導）</t>
    </r>
  </si>
  <si>
    <r>
      <rPr>
        <sz val="10"/>
        <rFont val="Arial"/>
        <family val="0"/>
        <charset val="1"/>
      </rPr>
      <t xml:space="preserve">SRC_DEM_001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SRC_DEM_002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SRC_DEM_003</t>
    </r>
  </si>
  <si>
    <r>
      <rPr>
        <sz val="10"/>
        <rFont val="Arial"/>
        <family val="0"/>
        <charset val="1"/>
      </rPr>
      <t xml:space="preserve">Epoch</t>
    </r>
    <r>
      <rPr>
        <sz val="10"/>
        <rFont val="Noto Sans CJK SC"/>
        <family val="2"/>
        <charset val="1"/>
      </rPr>
      <t xml:space="preserve">：超過 </t>
    </r>
    <r>
      <rPr>
        <sz val="10"/>
        <rFont val="Arial"/>
        <family val="0"/>
        <charset val="1"/>
      </rPr>
      <t xml:space="preserve">1e25 FLOP </t>
    </r>
    <r>
      <rPr>
        <sz val="10"/>
        <rFont val="Noto Sans CJK SC"/>
        <family val="2"/>
        <charset val="1"/>
      </rPr>
      <t xml:space="preserve">的模型</t>
    </r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</si>
  <si>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  <charset val="1"/>
      </rPr>
      <t xml:space="preserve">推估）</t>
    </r>
  </si>
  <si>
    <r>
      <rPr>
        <sz val="10"/>
        <rFont val="Arial"/>
        <family val="0"/>
        <charset val="1"/>
      </rPr>
      <t xml:space="preserve">R1 RL </t>
    </r>
    <r>
      <rPr>
        <sz val="10"/>
        <rFont val="Noto Sans CJK SC"/>
        <family val="2"/>
        <charset val="1"/>
      </rPr>
      <t xml:space="preserve">算力（</t>
    </r>
    <r>
      <rPr>
        <sz val="10"/>
        <rFont val="Arial"/>
        <family val="0"/>
        <charset val="1"/>
      </rPr>
      <t xml:space="preserve">Lambert</t>
    </r>
    <r>
      <rPr>
        <sz val="10"/>
        <rFont val="Noto Sans CJK SC"/>
        <family val="2"/>
        <charset val="1"/>
      </rPr>
      <t xml:space="preserve">《</t>
    </r>
    <r>
      <rPr>
        <sz val="10"/>
        <rFont val="Arial"/>
        <family val="0"/>
        <charset val="1"/>
      </rPr>
      <t xml:space="preserve">RLHF</t>
    </r>
    <r>
      <rPr>
        <sz val="10"/>
        <rFont val="Noto Sans CJK SC"/>
        <family val="2"/>
        <charset val="1"/>
      </rPr>
      <t xml:space="preserve">》書）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</si>
  <si>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DeepSeek</t>
    </r>
    <r>
      <rPr>
        <sz val="10"/>
        <rFont val="Noto Sans CJK SC"/>
        <family val="2"/>
        <charset val="1"/>
      </rPr>
      <t xml:space="preserve">，經轉述）</t>
    </r>
  </si>
  <si>
    <t xml:space="preserve">已核對轉述</t>
  </si>
  <si>
    <r>
      <rPr>
        <sz val="10"/>
        <rFont val="Arial"/>
        <family val="0"/>
        <charset val="1"/>
      </rPr>
      <t xml:space="preserve">Epoch</t>
    </r>
    <r>
      <rPr>
        <sz val="10"/>
        <rFont val="Noto Sans CJK SC"/>
        <family val="2"/>
        <charset val="1"/>
      </rPr>
      <t xml:space="preserve">：推理模型能擴展多遠</t>
    </r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</si>
  <si>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  <charset val="1"/>
      </rPr>
      <t xml:space="preserve">轉述 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</si>
  <si>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xAI Grok 4 </t>
    </r>
    <r>
      <rPr>
        <sz val="10"/>
        <rFont val="Noto Sans CJK SC"/>
        <family val="2"/>
        <charset val="1"/>
      </rPr>
      <t xml:space="preserve">發表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</si>
  <si>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xAI</t>
    </r>
    <r>
      <rPr>
        <sz val="10"/>
        <rFont val="Noto Sans CJK SC"/>
        <family val="2"/>
        <charset val="1"/>
      </rPr>
      <t xml:space="preserve">，宣傳誘因）</t>
    </r>
  </si>
  <si>
    <t xml:space="preserve">已核對原文；口徑不明</t>
  </si>
  <si>
    <r>
      <rPr>
        <sz val="10"/>
        <rFont val="Arial"/>
        <family val="0"/>
        <charset val="1"/>
      </rPr>
      <t xml:space="preserve">SRC_MOD_036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SRC_MOD_037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SRC_MOD_038</t>
    </r>
  </si>
  <si>
    <t xml:space="preserve">S43</t>
  </si>
  <si>
    <r>
      <rPr>
        <sz val="10"/>
        <rFont val="Arial"/>
        <family val="0"/>
        <charset val="1"/>
      </rPr>
      <t xml:space="preserve">verl DeepSeek V4 RL </t>
    </r>
    <r>
      <rPr>
        <sz val="10"/>
        <rFont val="Noto Sans CJK SC"/>
        <family val="2"/>
        <charset val="1"/>
      </rPr>
      <t xml:space="preserve">配方（</t>
    </r>
    <r>
      <rPr>
        <sz val="10"/>
        <rFont val="Arial"/>
        <family val="0"/>
        <charset val="1"/>
      </rPr>
      <t xml:space="preserve">PR #7895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</si>
  <si>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  <charset val="1"/>
      </rPr>
      <t xml:space="preserve">（開源程式碼）</t>
    </r>
  </si>
  <si>
    <r>
      <rPr>
        <sz val="10"/>
        <rFont val="Noto Sans CJK SC"/>
        <family val="2"/>
        <charset val="1"/>
      </rPr>
      <t xml:space="preserve">已核對；</t>
    </r>
    <r>
      <rPr>
        <sz val="10"/>
        <rFont val="Arial"/>
        <family val="0"/>
        <charset val="1"/>
      </rPr>
      <t xml:space="preserve">J12 </t>
    </r>
    <r>
      <rPr>
        <sz val="10"/>
        <rFont val="Noto Sans CJK SC"/>
        <family val="2"/>
        <charset val="1"/>
      </rPr>
      <t xml:space="preserve">替代情境依據</t>
    </r>
  </si>
  <si>
    <t xml:space="preserve">開源程式碼設定（定性）</t>
  </si>
  <si>
    <r>
      <rPr>
        <sz val="10"/>
        <rFont val="Noto Sans CJK SC"/>
        <family val="2"/>
        <charset val="1"/>
      </rPr>
      <t xml:space="preserve">不遷入：定性；保留於 </t>
    </r>
    <r>
      <rPr>
        <sz val="10"/>
        <rFont val="Arial"/>
        <family val="0"/>
        <charset val="1"/>
      </rPr>
      <t xml:space="preserve">DB_Evidence E008</t>
    </r>
  </si>
  <si>
    <r>
      <rPr>
        <sz val="10"/>
        <rFont val="Arial"/>
        <family val="0"/>
        <charset val="1"/>
      </rPr>
      <t xml:space="preserve">DeepSeek-V3 </t>
    </r>
    <r>
      <rPr>
        <sz val="10"/>
        <rFont val="Noto Sans CJK SC"/>
        <family val="2"/>
        <charset val="1"/>
      </rPr>
      <t xml:space="preserve">技術報告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</si>
  <si>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小時為模型內建知識，待以原文核對</t>
    </r>
  </si>
  <si>
    <r>
      <rPr>
        <sz val="10"/>
        <rFont val="Arial"/>
        <family val="0"/>
        <charset val="1"/>
      </rPr>
      <t xml:space="preserve">SRC_MOD_039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SRC_MOD_042</t>
    </r>
  </si>
  <si>
    <r>
      <rPr>
        <sz val="10"/>
        <rFont val="Arial"/>
        <family val="0"/>
        <charset val="1"/>
      </rPr>
      <t xml:space="preserve">DeepSeek-V4.1-Flash </t>
    </r>
    <r>
      <rPr>
        <sz val="10"/>
        <rFont val="Noto Sans CJK SC"/>
        <family val="2"/>
        <charset val="1"/>
      </rPr>
      <t xml:space="preserve">技術報告（</t>
    </r>
    <r>
      <rPr>
        <sz val="10"/>
        <rFont val="Arial"/>
        <family val="0"/>
        <charset val="1"/>
      </rPr>
      <t xml:space="preserve">arXiv 2609.19969</t>
    </r>
    <r>
      <rPr>
        <sz val="10"/>
        <rFont val="Noto Sans CJK SC"/>
        <family val="2"/>
        <charset val="1"/>
      </rPr>
      <t xml:space="preserve">）</t>
    </r>
  </si>
  <si>
    <t xml:space="preserve">遷入（採用紀錄）</t>
  </si>
  <si>
    <r>
      <rPr>
        <sz val="10"/>
        <rFont val="Arial"/>
        <family val="0"/>
        <charset val="1"/>
      </rPr>
      <t xml:space="preserve">GLM-5 </t>
    </r>
    <r>
      <rPr>
        <sz val="10"/>
        <rFont val="Noto Sans CJK SC"/>
        <family val="2"/>
        <charset val="1"/>
      </rPr>
      <t xml:space="preserve">技術報告（</t>
    </r>
    <r>
      <rPr>
        <sz val="10"/>
        <rFont val="Arial"/>
        <family val="0"/>
        <charset val="1"/>
      </rPr>
      <t xml:space="preserve">arXiv 2602.15763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</si>
  <si>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Zhipu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</si>
  <si>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Kimi-Researcher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Moonshot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</si>
  <si>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Moonshot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</si>
  <si>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SRC_MOD_045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SRC_MOD_046</t>
    </r>
  </si>
  <si>
    <r>
      <rPr>
        <sz val="10"/>
        <rFont val="Arial"/>
        <family val="0"/>
        <charset val="1"/>
      </rPr>
      <t xml:space="preserve">LlamaRL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Meta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arXiv 2505.24034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</si>
  <si>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SRC_MOD_047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SRC_MOD_048</t>
    </r>
  </si>
  <si>
    <r>
      <rPr>
        <sz val="10"/>
        <rFont val="Arial"/>
        <family val="0"/>
        <charset val="1"/>
      </rPr>
      <t xml:space="preserve">ROLL Flash</t>
    </r>
    <r>
      <rPr>
        <sz val="10"/>
        <rFont val="Noto Sans CJK SC"/>
        <family val="2"/>
        <charset val="1"/>
      </rPr>
      <t xml:space="preserve">（阿里淘天）、</t>
    </r>
    <r>
      <rPr>
        <sz val="10"/>
        <rFont val="Arial"/>
        <family val="0"/>
        <charset val="1"/>
      </rPr>
      <t xml:space="preserve">AReaL</t>
    </r>
    <r>
      <rPr>
        <sz val="10"/>
        <rFont val="Noto Sans CJK SC"/>
        <family val="2"/>
        <charset val="1"/>
      </rPr>
      <t xml:space="preserve">（螞蟻）框架</t>
    </r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</si>
  <si>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（框架基準測試）</t>
    </r>
  </si>
  <si>
    <r>
      <rPr>
        <sz val="10"/>
        <rFont val="Noto Sans CJK SC"/>
        <family val="2"/>
        <charset val="1"/>
      </rPr>
      <t xml:space="preserve">已核對；不計入 </t>
    </r>
    <r>
      <rPr>
        <sz val="10"/>
        <rFont val="Arial"/>
        <family val="0"/>
        <charset val="1"/>
      </rPr>
      <t xml:space="preserve">J14 </t>
    </r>
    <r>
      <rPr>
        <sz val="10"/>
        <rFont val="Noto Sans CJK SC"/>
        <family val="2"/>
        <charset val="1"/>
      </rPr>
      <t xml:space="preserve">採用數</t>
    </r>
  </si>
  <si>
    <r>
      <rPr>
        <sz val="10"/>
        <rFont val="Arial"/>
        <family val="0"/>
        <charset val="1"/>
      </rPr>
      <t xml:space="preserve">SRC_PERF_038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SRC_PERF_040</t>
    </r>
  </si>
  <si>
    <r>
      <rPr>
        <sz val="10"/>
        <rFont val="Arial"/>
        <family val="0"/>
        <charset val="1"/>
      </rPr>
      <t xml:space="preserve">OpenAI API </t>
    </r>
    <r>
      <rPr>
        <sz val="10"/>
        <rFont val="Noto Sans CJK SC"/>
        <family val="2"/>
        <charset val="1"/>
      </rPr>
      <t xml:space="preserve">定價頁（</t>
    </r>
    <r>
      <rPr>
        <sz val="10"/>
        <rFont val="Arial"/>
        <family val="0"/>
        <charset val="1"/>
      </rPr>
      <t xml:space="preserve">GPT-6 Astra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</si>
  <si>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SRC_PRC_003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SRC_PRC_011</t>
    </r>
  </si>
  <si>
    <r>
      <rPr>
        <sz val="10"/>
        <rFont val="Arial"/>
        <family val="0"/>
        <charset val="1"/>
      </rPr>
      <t xml:space="preserve">Anthropic API </t>
    </r>
    <r>
      <rPr>
        <sz val="10"/>
        <rFont val="Noto Sans CJK SC"/>
        <family val="2"/>
        <charset val="1"/>
      </rPr>
      <t xml:space="preserve">定價（二手）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</si>
  <si>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  <charset val="1"/>
      </rPr>
      <t xml:space="preserve">定價；經 </t>
    </r>
    <r>
      <rPr>
        <sz val="10"/>
        <rFont val="Arial"/>
        <family val="0"/>
        <charset val="1"/>
      </rPr>
      <t xml:space="preserve">dev.to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eesel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orcarouter </t>
    </r>
    <r>
      <rPr>
        <sz val="10"/>
        <rFont val="Noto Sans CJK SC"/>
        <family val="2"/>
        <charset val="1"/>
      </rPr>
      <t xml:space="preserve">轉述）</t>
    </r>
  </si>
  <si>
    <r>
      <rPr>
        <sz val="10"/>
        <rFont val="Noto Sans CJK SC"/>
        <family val="2"/>
        <charset val="1"/>
      </rPr>
      <t xml:space="preserve">多個二手來源一致；</t>
    </r>
    <r>
      <rPr>
        <sz val="10"/>
        <rFont val="Arial"/>
        <family val="0"/>
        <charset val="1"/>
      </rPr>
      <t xml:space="preserve">Fable 5.1 </t>
    </r>
    <r>
      <rPr>
        <sz val="10"/>
        <rFont val="Noto Sans CJK SC"/>
        <family val="2"/>
        <charset val="1"/>
      </rPr>
      <t xml:space="preserve">快取讀取 </t>
    </r>
    <r>
      <rPr>
        <sz val="10"/>
        <rFont val="Arial"/>
        <family val="0"/>
        <charset val="1"/>
      </rPr>
      <t xml:space="preserve">$0.25 </t>
    </r>
    <r>
      <rPr>
        <sz val="10"/>
        <rFont val="Noto Sans CJK SC"/>
        <family val="2"/>
        <charset val="1"/>
      </rPr>
      <t xml:space="preserve">僅單一來源</t>
    </r>
  </si>
  <si>
    <r>
      <rPr>
        <sz val="10"/>
        <rFont val="Arial"/>
        <family val="0"/>
        <charset val="1"/>
      </rPr>
      <t xml:space="preserve">SRC_PRC_012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SRC_PRC_020</t>
    </r>
  </si>
  <si>
    <r>
      <rPr>
        <sz val="10"/>
        <rFont val="Arial"/>
        <family val="0"/>
        <charset val="1"/>
      </rPr>
      <t xml:space="preserve">DeepSeek API </t>
    </r>
    <r>
      <rPr>
        <sz val="10"/>
        <rFont val="Noto Sans CJK SC"/>
        <family val="2"/>
        <charset val="1"/>
      </rPr>
      <t xml:space="preserve">官方定價頁</t>
    </r>
  </si>
  <si>
    <t xml:space="preserve">已核對原文；第三方頁多為過時價</t>
  </si>
  <si>
    <r>
      <rPr>
        <sz val="10"/>
        <rFont val="Arial"/>
        <family val="0"/>
        <charset val="1"/>
      </rPr>
      <t xml:space="preserve">SRC_PRC_021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SRC_PRC_028</t>
    </r>
  </si>
  <si>
    <r>
      <rPr>
        <sz val="10"/>
        <rFont val="Arial"/>
        <family val="0"/>
        <charset val="1"/>
      </rPr>
      <t xml:space="preserve">Z.ai </t>
    </r>
    <r>
      <rPr>
        <sz val="10"/>
        <rFont val="Noto Sans CJK SC"/>
        <family val="2"/>
        <charset val="1"/>
      </rPr>
      <t xml:space="preserve">官方定價頁</t>
    </r>
  </si>
  <si>
    <r>
      <rPr>
        <sz val="10"/>
        <rFont val="Arial"/>
        <family val="0"/>
        <charset val="1"/>
      </rPr>
      <t xml:space="preserve">SRC_PRC_029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SRC_PRC_034</t>
    </r>
  </si>
  <si>
    <r>
      <rPr>
        <sz val="10"/>
        <rFont val="Arial"/>
        <family val="0"/>
        <charset val="1"/>
      </rPr>
      <t xml:space="preserve">Moonshot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Alibaba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MiniMax </t>
    </r>
    <r>
      <rPr>
        <sz val="10"/>
        <rFont val="Noto Sans CJK SC"/>
        <family val="2"/>
        <charset val="1"/>
      </rPr>
      <t xml:space="preserve">定價（二手）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</si>
  <si>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（廠商定價，經彙整站轉述）</t>
    </r>
  </si>
  <si>
    <r>
      <rPr>
        <sz val="10"/>
        <rFont val="Noto Sans CJK SC"/>
        <family val="2"/>
        <charset val="1"/>
      </rPr>
      <t xml:space="preserve">官方頁未直接讀取；</t>
    </r>
    <r>
      <rPr>
        <sz val="10"/>
        <rFont val="Arial"/>
        <family val="0"/>
        <charset val="1"/>
      </rPr>
      <t xml:space="preserve">Qwen </t>
    </r>
    <r>
      <rPr>
        <sz val="10"/>
        <rFont val="Noto Sans CJK SC"/>
        <family val="2"/>
        <charset val="1"/>
      </rPr>
      <t xml:space="preserve">有 </t>
    </r>
    <r>
      <rPr>
        <sz val="10"/>
        <rFont val="Arial"/>
        <family val="0"/>
        <charset val="1"/>
      </rPr>
      <t xml:space="preserve">$2.5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$7.5 </t>
    </r>
    <r>
      <rPr>
        <sz val="10"/>
        <rFont val="Noto Sans CJK SC"/>
        <family val="2"/>
        <charset val="1"/>
      </rPr>
      <t xml:space="preserve">附五折之衝突記載</t>
    </r>
  </si>
  <si>
    <r>
      <rPr>
        <sz val="10"/>
        <rFont val="Arial"/>
        <family val="0"/>
        <charset val="1"/>
      </rPr>
      <t xml:space="preserve">SRC_PRC_035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SRC_PRC_042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SRC_PRC_043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SRC_PRC_044</t>
    </r>
  </si>
  <si>
    <r>
      <rPr>
        <sz val="10"/>
        <rFont val="Arial"/>
        <family val="0"/>
        <charset val="1"/>
      </rPr>
      <t xml:space="preserve">Artificial Analysis Intelligence Index v4.3</t>
    </r>
    <r>
      <rPr>
        <sz val="10"/>
        <rFont val="Noto Sans CJK SC"/>
        <family val="2"/>
        <charset val="1"/>
      </rPr>
      <t xml:space="preserve">（經報導）</t>
    </r>
  </si>
  <si>
    <r>
      <rPr>
        <sz val="10"/>
        <rFont val="Arial"/>
        <family val="0"/>
        <charset val="1"/>
      </rPr>
      <t xml:space="preserve">Verified-measured</t>
    </r>
    <r>
      <rPr>
        <sz val="10"/>
        <rFont val="Noto Sans CJK SC"/>
        <family val="2"/>
        <charset val="1"/>
      </rPr>
      <t xml:space="preserve">（獨立評測；改版頻繁，跨版本不可比）</t>
    </r>
  </si>
  <si>
    <t xml:space="preserve">已核對報導原文</t>
  </si>
  <si>
    <r>
      <rPr>
        <sz val="10"/>
        <rFont val="Arial"/>
        <family val="0"/>
        <charset val="1"/>
      </rPr>
      <t xml:space="preserve">SRC_CAP_001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SRC_CAP_002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SRC_CAP_007</t>
    </r>
  </si>
  <si>
    <r>
      <rPr>
        <sz val="10"/>
        <rFont val="Arial"/>
        <family val="0"/>
        <charset val="1"/>
      </rPr>
      <t xml:space="preserve">Artificial Analysis </t>
    </r>
    <r>
      <rPr>
        <sz val="10"/>
        <rFont val="Noto Sans CJK SC"/>
        <family val="2"/>
        <charset val="1"/>
      </rPr>
      <t xml:space="preserve">發布比較頁 </t>
    </r>
    <r>
      <rPr>
        <sz val="10"/>
        <rFont val="Arial"/>
        <family val="0"/>
        <charset val="1"/>
      </rPr>
      <t xml:space="preserve">v4.3.2</t>
    </r>
  </si>
  <si>
    <t xml:space="preserve">Verified-measured</t>
  </si>
  <si>
    <t xml:space="preserve">已核對搜尋摘錄</t>
  </si>
  <si>
    <r>
      <rPr>
        <sz val="10"/>
        <rFont val="Arial"/>
        <family val="0"/>
        <charset val="1"/>
      </rPr>
      <t xml:space="preserve">SRC_CAP_008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SRC_CAP_009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SRC_CAP_011</t>
    </r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</si>
  <si>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  <charset val="1"/>
      </rPr>
      <t xml:space="preserve">推論與訓練支出（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  <charset val="1"/>
      </rPr>
      <t xml:space="preserve">模型 </t>
    </r>
    <r>
      <rPr>
        <sz val="10"/>
        <rFont val="Arial"/>
        <family val="0"/>
        <charset val="1"/>
      </rPr>
      <t xml:space="preserve">v0.5 </t>
    </r>
    <r>
      <rPr>
        <sz val="10"/>
        <rFont val="Noto Sans CJK SC"/>
        <family val="2"/>
        <charset val="1"/>
      </rPr>
      <t xml:space="preserve">已收錄）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</si>
  <si>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  <charset val="1"/>
      </rPr>
      <t xml:space="preserve">投資人資料，經 </t>
    </r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FT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  <charset val="1"/>
      </rPr>
      <t xml:space="preserve">部落格）</t>
    </r>
  </si>
  <si>
    <t xml:space="preserve">待查核（報導）</t>
  </si>
  <si>
    <r>
      <rPr>
        <sz val="10"/>
        <rFont val="Arial"/>
        <family val="0"/>
        <charset val="1"/>
      </rPr>
      <t xml:space="preserve">SRC_DEM_004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SRC_DEM_005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SRC_DEM_006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SRC_DEM_008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SRC_DEM_009</t>
    </r>
  </si>
  <si>
    <r>
      <rPr>
        <sz val="10"/>
        <rFont val="Arial"/>
        <family val="0"/>
        <charset val="1"/>
      </rPr>
      <t xml:space="preserve">ARC-AGI-3 harness </t>
    </r>
    <r>
      <rPr>
        <sz val="10"/>
        <rFont val="Noto Sans CJK SC"/>
        <family val="2"/>
        <charset val="1"/>
      </rPr>
      <t xml:space="preserve">對照（</t>
    </r>
    <r>
      <rPr>
        <sz val="10"/>
        <rFont val="Arial"/>
        <family val="0"/>
        <charset val="1"/>
      </rPr>
      <t xml:space="preserve">ARC Prize </t>
    </r>
    <r>
      <rPr>
        <sz val="10"/>
        <rFont val="Noto Sans CJK SC"/>
        <family val="2"/>
        <charset val="1"/>
      </rPr>
      <t xml:space="preserve">自測，經報導）</t>
    </r>
  </si>
  <si>
    <r>
      <rPr>
        <sz val="10"/>
        <rFont val="Arial"/>
        <family val="0"/>
        <charset val="1"/>
      </rPr>
      <t xml:space="preserve">Verified-measured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ARC Prize</t>
    </r>
    <r>
      <rPr>
        <sz val="10"/>
        <rFont val="Noto Sans CJK SC"/>
        <family val="2"/>
        <charset val="1"/>
      </rPr>
      <t xml:space="preserve">）／</t>
    </r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  <charset val="1"/>
      </rPr>
      <t xml:space="preserve">發布 </t>
    </r>
    <r>
      <rPr>
        <sz val="10"/>
        <rFont val="Arial"/>
        <family val="0"/>
        <charset val="1"/>
      </rPr>
      <t xml:space="preserve">99.9%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</si>
  <si>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ARC Prize </t>
    </r>
    <r>
      <rPr>
        <sz val="10"/>
        <rFont val="Noto Sans CJK SC"/>
        <family val="2"/>
        <charset val="1"/>
      </rPr>
      <t xml:space="preserve">原頁待核；金額衝突待核</t>
    </r>
  </si>
  <si>
    <r>
      <rPr>
        <sz val="10"/>
        <rFont val="Arial"/>
        <family val="0"/>
        <charset val="1"/>
      </rPr>
      <t xml:space="preserve">SRC_HAR_003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SRC_HAR_008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SRC_HAR_009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SRC_HAR_012</t>
    </r>
  </si>
  <si>
    <r>
      <rPr>
        <sz val="10"/>
        <rFont val="Arial"/>
        <family val="0"/>
        <charset val="1"/>
      </rPr>
      <t xml:space="preserve">METR </t>
    </r>
    <r>
      <rPr>
        <sz val="10"/>
        <rFont val="Noto Sans CJK SC"/>
        <family val="2"/>
        <charset val="1"/>
      </rPr>
      <t xml:space="preserve">時間範圍（</t>
    </r>
    <r>
      <rPr>
        <sz val="10"/>
        <rFont val="Arial"/>
        <family val="0"/>
        <charset val="1"/>
      </rPr>
      <t xml:space="preserve">Time Horizon 1.1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</si>
  <si>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Verified-measured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METR</t>
    </r>
    <r>
      <rPr>
        <sz val="10"/>
        <rFont val="Noto Sans CJK SC"/>
        <family val="2"/>
        <charset val="1"/>
      </rPr>
      <t xml:space="preserve">，獨立評測）</t>
    </r>
  </si>
  <si>
    <r>
      <rPr>
        <sz val="10"/>
        <rFont val="Arial"/>
        <family val="0"/>
        <charset val="1"/>
      </rPr>
      <t xml:space="preserve">metr.org </t>
    </r>
    <r>
      <rPr>
        <sz val="10"/>
        <rFont val="Noto Sans CJK SC"/>
        <family val="2"/>
        <charset val="1"/>
      </rPr>
      <t xml:space="preserve">原頁待核；</t>
    </r>
    <r>
      <rPr>
        <sz val="10"/>
        <rFont val="Arial"/>
        <family val="0"/>
        <charset val="1"/>
      </rPr>
      <t xml:space="preserve">GPT-6 </t>
    </r>
    <r>
      <rPr>
        <sz val="10"/>
        <rFont val="Noto Sans CJK SC"/>
        <family val="2"/>
        <charset val="1"/>
      </rPr>
      <t xml:space="preserve">各層級未發布</t>
    </r>
  </si>
  <si>
    <r>
      <rPr>
        <sz val="10"/>
        <rFont val="Arial"/>
        <family val="0"/>
        <charset val="1"/>
      </rPr>
      <t xml:space="preserve">SRC_CAP_012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SRC_CAP_021</t>
    </r>
  </si>
  <si>
    <r>
      <rPr>
        <sz val="10"/>
        <rFont val="Arial"/>
        <family val="0"/>
        <charset val="1"/>
      </rPr>
      <t xml:space="preserve">Artificial Analysis </t>
    </r>
    <r>
      <rPr>
        <sz val="10"/>
        <rFont val="Noto Sans CJK SC"/>
        <family val="2"/>
        <charset val="1"/>
      </rPr>
      <t xml:space="preserve">每任務成本</t>
    </r>
  </si>
  <si>
    <r>
      <rPr>
        <sz val="10"/>
        <rFont val="Arial"/>
        <family val="0"/>
        <charset val="1"/>
      </rPr>
      <t xml:space="preserve">Verified-measured</t>
    </r>
    <r>
      <rPr>
        <sz val="10"/>
        <rFont val="Noto Sans CJK SC"/>
        <family val="2"/>
        <charset val="1"/>
      </rPr>
      <t xml:space="preserve">（獨立評測）</t>
    </r>
  </si>
  <si>
    <r>
      <rPr>
        <sz val="10"/>
        <rFont val="Noto Sans CJK SC"/>
        <family val="2"/>
        <charset val="1"/>
      </rPr>
      <t xml:space="preserve">只作對照：</t>
    </r>
    <r>
      <rPr>
        <sz val="10"/>
        <rFont val="Arial"/>
        <family val="0"/>
        <charset val="1"/>
      </rPr>
      <t xml:space="preserve">AA </t>
    </r>
    <r>
      <rPr>
        <sz val="10"/>
        <rFont val="Noto Sans CJK SC"/>
        <family val="2"/>
        <charset val="1"/>
      </rPr>
      <t xml:space="preserve">的任務組合與 </t>
    </r>
    <r>
      <rPr>
        <sz val="10"/>
        <rFont val="Arial"/>
        <family val="0"/>
        <charset val="1"/>
      </rPr>
      <t xml:space="preserve">Workload </t>
    </r>
    <r>
      <rPr>
        <sz val="10"/>
        <rFont val="Noto Sans CJK SC"/>
        <family val="2"/>
        <charset val="1"/>
      </rPr>
      <t xml:space="preserve">不同</t>
    </r>
  </si>
  <si>
    <r>
      <rPr>
        <sz val="10"/>
        <rFont val="Arial"/>
        <family val="0"/>
        <charset val="1"/>
      </rPr>
      <t xml:space="preserve">SRC_HAR_013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SRC_HAR_014</t>
    </r>
  </si>
  <si>
    <r>
      <rPr>
        <sz val="10"/>
        <rFont val="Arial"/>
        <family val="0"/>
        <charset val="1"/>
      </rPr>
      <t xml:space="preserve">Claude Opus 5 + Nvidia </t>
    </r>
    <r>
      <rPr>
        <sz val="10"/>
        <rFont val="Noto Sans CJK SC"/>
        <family val="2"/>
        <charset val="1"/>
      </rPr>
      <t xml:space="preserve">所建 </t>
    </r>
    <r>
      <rPr>
        <sz val="10"/>
        <rFont val="Arial"/>
        <family val="0"/>
        <charset val="1"/>
      </rPr>
      <t xml:space="preserve">harness </t>
    </r>
    <r>
      <rPr>
        <sz val="10"/>
        <rFont val="Noto Sans CJK SC"/>
        <family val="2"/>
        <charset val="1"/>
      </rPr>
      <t xml:space="preserve">通關 </t>
    </r>
    <r>
      <rPr>
        <sz val="10"/>
        <rFont val="Arial"/>
        <family val="0"/>
        <charset val="1"/>
      </rPr>
      <t xml:space="preserve">ARC-AGI-3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</si>
  <si>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</si>
  <si>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交接原記 </t>
    </r>
    <r>
      <rPr>
        <sz val="10"/>
        <rFont val="Arial"/>
        <family val="0"/>
        <charset val="1"/>
      </rPr>
      <t xml:space="preserve">Strands</t>
    </r>
    <r>
      <rPr>
        <sz val="10"/>
        <rFont val="Noto Sans CJK SC"/>
        <family val="2"/>
        <charset val="1"/>
      </rPr>
      <t xml:space="preserve">；歸屬與成本待核</t>
    </r>
  </si>
  <si>
    <r>
      <rPr>
        <sz val="10"/>
        <rFont val="Noto Sans CJK SC"/>
        <family val="2"/>
        <charset val="1"/>
      </rPr>
      <t xml:space="preserve">（未登錄於 </t>
    </r>
    <r>
      <rPr>
        <sz val="10"/>
        <rFont val="Arial"/>
        <family val="0"/>
        <charset val="1"/>
      </rPr>
      <t xml:space="preserve">Sources</t>
    </r>
    <r>
      <rPr>
        <sz val="10"/>
        <rFont val="Noto Sans CJK SC"/>
        <family val="2"/>
        <charset val="1"/>
      </rPr>
      <t xml:space="preserve">）</t>
    </r>
  </si>
  <si>
    <t xml:space="preserve">新增（未登錄來源）</t>
  </si>
  <si>
    <r>
      <rPr>
        <sz val="10"/>
        <rFont val="Arial"/>
        <family val="0"/>
        <charset val="1"/>
      </rPr>
      <t xml:space="preserve">SRC_HW_041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SRC_HW_050</t>
    </r>
  </si>
  <si>
    <r>
      <rPr>
        <sz val="10"/>
        <rFont val="Arial"/>
        <family val="0"/>
        <charset val="1"/>
      </rPr>
      <t xml:space="preserve">SRC_HW_051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SRC_HW_052</t>
    </r>
  </si>
  <si>
    <r>
      <rPr>
        <sz val="10"/>
        <rFont val="Arial"/>
        <family val="0"/>
        <charset val="1"/>
      </rPr>
      <t xml:space="preserve">SRC_MOD_007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SRC_MOD_008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SRC_MOD_009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SRC_MOD_026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SRC_MOD_028</t>
    </r>
  </si>
  <si>
    <r>
      <rPr>
        <sz val="10"/>
        <rFont val="Noto Sans CJK SC"/>
        <family val="2"/>
        <charset val="1"/>
      </rPr>
      <t xml:space="preserve">新增（來自 </t>
    </r>
    <r>
      <rPr>
        <sz val="10"/>
        <rFont val="Arial"/>
        <family val="0"/>
        <charset val="1"/>
      </rPr>
      <t xml:space="preserve">DB_Evidence</t>
    </r>
    <r>
      <rPr>
        <sz val="10"/>
        <rFont val="Noto Sans CJK SC"/>
        <family val="2"/>
        <charset val="1"/>
      </rPr>
      <t xml:space="preserve">）</t>
    </r>
  </si>
  <si>
    <t xml:space="preserve">INV_ID</t>
  </si>
  <si>
    <t xml:space="preserve">工作表</t>
  </si>
  <si>
    <t xml:space="preserve">列</t>
  </si>
  <si>
    <t xml:space="preserve">標籤</t>
  </si>
  <si>
    <t xml:space="preserve">藍字格</t>
  </si>
  <si>
    <t xml:space="preserve">藍字格數</t>
  </si>
  <si>
    <t xml:space="preserve">全部標記</t>
  </si>
  <si>
    <t xml:space="preserve">主標記</t>
  </si>
  <si>
    <t xml:space="preserve">多標記</t>
  </si>
  <si>
    <t xml:space="preserve">來源編號</t>
  </si>
  <si>
    <r>
      <rPr>
        <b val="true"/>
        <sz val="10"/>
        <color rgb="FFFFFFFF"/>
        <rFont val="Arial"/>
        <family val="0"/>
        <charset val="1"/>
      </rPr>
      <t xml:space="preserve">CC </t>
    </r>
    <r>
      <rPr>
        <b val="true"/>
        <sz val="10"/>
        <color rgb="FFFFFFFF"/>
        <rFont val="Noto Sans CJK SC"/>
        <family val="2"/>
        <charset val="1"/>
      </rPr>
      <t xml:space="preserve">規則初步分類</t>
    </r>
  </si>
  <si>
    <r>
      <rPr>
        <b val="true"/>
        <sz val="10"/>
        <color rgb="FFFFFFFF"/>
        <rFont val="Arial"/>
        <family val="0"/>
        <charset val="1"/>
      </rPr>
      <t xml:space="preserve">chat </t>
    </r>
    <r>
      <rPr>
        <b val="true"/>
        <sz val="10"/>
        <color rgb="FFFFFFFF"/>
        <rFont val="Noto Sans CJK SC"/>
        <family val="2"/>
        <charset val="1"/>
      </rPr>
      <t xml:space="preserve">複核分類</t>
    </r>
  </si>
  <si>
    <t xml:space="preserve">與初步分類相同</t>
  </si>
  <si>
    <r>
      <rPr>
        <b val="true"/>
        <sz val="10"/>
        <color rgb="FFFFFFFF"/>
        <rFont val="Noto Sans CJK SC"/>
        <family val="2"/>
        <charset val="1"/>
      </rPr>
      <t xml:space="preserve">擬 </t>
    </r>
    <r>
      <rPr>
        <b val="true"/>
        <sz val="10"/>
        <color rgb="FFFFFFFF"/>
        <rFont val="Arial"/>
        <family val="0"/>
        <charset val="1"/>
      </rPr>
      <t xml:space="preserve">SRC </t>
    </r>
    <r>
      <rPr>
        <b val="true"/>
        <sz val="10"/>
        <color rgb="FFFFFFFF"/>
        <rFont val="Noto Sans CJK SC"/>
        <family val="2"/>
        <charset val="1"/>
      </rPr>
      <t xml:space="preserve">分頁</t>
    </r>
  </si>
  <si>
    <t xml:space="preserve">理由</t>
  </si>
  <si>
    <r>
      <rPr>
        <b val="true"/>
        <sz val="10"/>
        <color rgb="FFFFFFFF"/>
        <rFont val="Noto Sans CJK SC"/>
        <family val="2"/>
        <charset val="1"/>
      </rPr>
      <t xml:space="preserve">直接連結 </t>
    </r>
    <r>
      <rPr>
        <b val="true"/>
        <sz val="10"/>
        <color rgb="FFFFFFFF"/>
        <rFont val="Arial"/>
        <family val="0"/>
        <charset val="1"/>
      </rPr>
      <t xml:space="preserve">SRC </t>
    </r>
    <r>
      <rPr>
        <b val="true"/>
        <sz val="10"/>
        <color rgb="FFFFFFFF"/>
        <rFont val="Noto Sans CJK SC"/>
        <family val="2"/>
        <charset val="1"/>
      </rPr>
      <t xml:space="preserve">的格數</t>
    </r>
  </si>
  <si>
    <t xml:space="preserve">換算／取整／選取格數</t>
  </si>
  <si>
    <r>
      <rPr>
        <b val="true"/>
        <sz val="10"/>
        <color rgb="FFFFFFFF"/>
        <rFont val="Noto Sans CJK SC"/>
        <family val="2"/>
        <charset val="1"/>
      </rPr>
      <t xml:space="preserve">相關 </t>
    </r>
    <r>
      <rPr>
        <b val="true"/>
        <sz val="10"/>
        <color rgb="FFFFFFFF"/>
        <rFont val="Arial"/>
        <family val="0"/>
        <charset val="1"/>
      </rPr>
      <t xml:space="preserve">SRC_ID</t>
    </r>
  </si>
  <si>
    <r>
      <rPr>
        <b val="true"/>
        <sz val="10"/>
        <color rgb="FFFFFFFF"/>
        <rFont val="Arial"/>
        <family val="0"/>
        <charset val="1"/>
      </rPr>
      <t xml:space="preserve">Gate 0 </t>
    </r>
    <r>
      <rPr>
        <b val="true"/>
        <sz val="10"/>
        <color rgb="FFFFFFFF"/>
        <rFont val="Noto Sans CJK SC"/>
        <family val="2"/>
        <charset val="1"/>
      </rPr>
      <t xml:space="preserve">爭議</t>
    </r>
  </si>
  <si>
    <t xml:space="preserve">INV-001</t>
  </si>
  <si>
    <t xml:space="preserve">Inputs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</si>
  <si>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  <charset val="1"/>
      </rPr>
      <t xml:space="preserve">電力規模</t>
    </r>
  </si>
  <si>
    <t xml:space="preserve">E5</t>
  </si>
  <si>
    <t xml:space="preserve">是</t>
  </si>
  <si>
    <t xml:space="preserve">同意規則分類（未逐列判讀）</t>
  </si>
  <si>
    <t xml:space="preserve">INV-002</t>
  </si>
  <si>
    <r>
      <rPr>
        <sz val="10"/>
        <rFont val="Noto Sans CJK SC"/>
        <family val="2"/>
        <charset val="1"/>
      </rPr>
      <t xml:space="preserve">功率情境（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  <charset val="1"/>
      </rPr>
      <t xml:space="preserve">低／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  <charset val="1"/>
      </rPr>
      <t xml:space="preserve">基準／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高）</t>
    </r>
  </si>
  <si>
    <t xml:space="preserve">選擇</t>
  </si>
  <si>
    <t xml:space="preserve">E6</t>
  </si>
  <si>
    <t xml:space="preserve">INV-003</t>
  </si>
  <si>
    <r>
      <rPr>
        <sz val="10"/>
        <rFont val="Noto Sans CJK SC"/>
        <family val="2"/>
        <charset val="1"/>
      </rPr>
      <t xml:space="preserve">機架外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  <charset val="1"/>
      </rPr>
      <t xml:space="preserve">電力占比</t>
    </r>
  </si>
  <si>
    <t xml:space="preserve">E8</t>
  </si>
  <si>
    <t xml:space="preserve">INV-004</t>
  </si>
  <si>
    <r>
      <rPr>
        <sz val="10"/>
        <rFont val="Arial"/>
        <family val="0"/>
        <charset val="1"/>
      </rPr>
      <t xml:space="preserve">D9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F9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</si>
  <si>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S14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</si>
  <si>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INV-005</t>
  </si>
  <si>
    <r>
      <rPr>
        <sz val="10"/>
        <rFont val="Noto Sans CJK SC"/>
        <family val="2"/>
        <charset val="1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  <charset val="1"/>
      </rPr>
      <t xml:space="preserve">配電設計功率</t>
    </r>
  </si>
  <si>
    <r>
      <rPr>
        <sz val="10"/>
        <rFont val="Arial"/>
        <family val="0"/>
        <charset val="1"/>
      </rPr>
      <t xml:space="preserve">D10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F10</t>
    </r>
  </si>
  <si>
    <t xml:space="preserve">INV-006</t>
  </si>
  <si>
    <t xml:space="preserve">電價</t>
  </si>
  <si>
    <r>
      <rPr>
        <sz val="10"/>
        <rFont val="Arial"/>
        <family val="0"/>
        <charset val="1"/>
      </rPr>
      <t xml:space="preserve">D11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F11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</si>
  <si>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Analogy</t>
    </r>
  </si>
  <si>
    <t xml:space="preserve">原始數據（候選）</t>
  </si>
  <si>
    <t xml:space="preserve">否</t>
  </si>
  <si>
    <r>
      <rPr>
        <sz val="10"/>
        <rFont val="Noto Sans CJK SC"/>
        <family val="2"/>
        <charset val="1"/>
      </rPr>
      <t xml:space="preserve">基準 </t>
    </r>
    <r>
      <rPr>
        <sz val="10"/>
        <rFont val="Arial"/>
        <family val="0"/>
        <charset val="1"/>
      </rPr>
      <t xml:space="preserve">0.08 </t>
    </r>
    <r>
      <rPr>
        <sz val="10"/>
        <rFont val="Noto Sans CJK SC"/>
        <family val="2"/>
        <charset val="1"/>
      </rPr>
      <t xml:space="preserve">低於 </t>
    </r>
    <r>
      <rPr>
        <sz val="10"/>
        <rFont val="Arial"/>
        <family val="0"/>
        <charset val="1"/>
      </rPr>
      <t xml:space="preserve">EIA 2026-05 </t>
    </r>
    <r>
      <rPr>
        <sz val="10"/>
        <rFont val="Noto Sans CJK SC"/>
        <family val="2"/>
        <charset val="1"/>
      </rPr>
      <t xml:space="preserve">的 </t>
    </r>
    <r>
      <rPr>
        <sz val="10"/>
        <rFont val="Arial"/>
        <family val="0"/>
        <charset val="1"/>
      </rPr>
      <t xml:space="preserve">0.0871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S13</t>
    </r>
    <r>
      <rPr>
        <sz val="10"/>
        <rFont val="Noto Sans CJK SC"/>
        <family val="2"/>
        <charset val="1"/>
      </rPr>
      <t xml:space="preserve">）；低值 </t>
    </r>
    <r>
      <rPr>
        <sz val="10"/>
        <rFont val="Arial"/>
        <family val="0"/>
        <charset val="1"/>
      </rPr>
      <t xml:space="preserve">0.06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v4 PPA </t>
    </r>
    <r>
      <rPr>
        <sz val="10"/>
        <rFont val="Noto Sans CJK SC"/>
        <family val="2"/>
        <charset val="1"/>
      </rPr>
      <t xml:space="preserve">假設。模型格非原始值，留模型頁並附可比對象 </t>
    </r>
    <r>
      <rPr>
        <sz val="10"/>
        <rFont val="Arial"/>
        <family val="0"/>
        <charset val="1"/>
      </rPr>
      <t xml:space="preserve">SRC</t>
    </r>
  </si>
  <si>
    <t xml:space="preserve">INV-007</t>
  </si>
  <si>
    <r>
      <rPr>
        <sz val="10"/>
        <rFont val="Arial"/>
        <family val="0"/>
        <charset val="1"/>
      </rPr>
      <t xml:space="preserve">Scale-out </t>
    </r>
    <r>
      <rPr>
        <sz val="10"/>
        <rFont val="Noto Sans CJK SC"/>
        <family val="2"/>
        <charset val="1"/>
      </rPr>
      <t xml:space="preserve">網路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  <charset val="1"/>
      </rPr>
      <t xml:space="preserve">機架價格</t>
    </r>
  </si>
  <si>
    <r>
      <rPr>
        <sz val="10"/>
        <rFont val="Arial"/>
        <family val="0"/>
        <charset val="1"/>
      </rPr>
      <t xml:space="preserve">D13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F13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</si>
  <si>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S10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</si>
  <si>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INV-008</t>
  </si>
  <si>
    <t xml:space="preserve">儲存與管理設備</t>
  </si>
  <si>
    <r>
      <rPr>
        <sz val="10"/>
        <rFont val="Arial"/>
        <family val="0"/>
        <charset val="1"/>
      </rPr>
      <t xml:space="preserve">D14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F14</t>
    </r>
  </si>
  <si>
    <t xml:space="preserve">INV-009</t>
  </si>
  <si>
    <t xml:space="preserve">土地</t>
  </si>
  <si>
    <r>
      <rPr>
        <sz val="10"/>
        <rFont val="Arial"/>
        <family val="0"/>
        <charset val="1"/>
      </rPr>
      <t xml:space="preserve">D16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F16</t>
    </r>
  </si>
  <si>
    <t xml:space="preserve">INV-010</t>
  </si>
  <si>
    <t xml:space="preserve">建物與基地工程</t>
  </si>
  <si>
    <r>
      <rPr>
        <sz val="10"/>
        <rFont val="Arial"/>
        <family val="0"/>
        <charset val="1"/>
      </rPr>
      <t xml:space="preserve">D17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F17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</si>
  <si>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S12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</si>
  <si>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INV-011</t>
  </si>
  <si>
    <r>
      <rPr>
        <sz val="10"/>
        <rFont val="Noto Sans CJK SC"/>
        <family val="2"/>
        <charset val="1"/>
      </rPr>
      <t xml:space="preserve">電力設施（變電、中壓、發電機、</t>
    </r>
    <r>
      <rPr>
        <sz val="10"/>
        <rFont val="Arial"/>
        <family val="0"/>
        <charset val="1"/>
      </rPr>
      <t xml:space="preserve">UPS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</si>
  <si>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D18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F18</t>
    </r>
  </si>
  <si>
    <t xml:space="preserve">INV-012</t>
  </si>
  <si>
    <t xml:space="preserve">機械與散熱（液冷迴路、散熱設備）</t>
  </si>
  <si>
    <r>
      <rPr>
        <sz val="10"/>
        <rFont val="Arial"/>
        <family val="0"/>
        <charset val="1"/>
      </rPr>
      <t xml:space="preserve">D19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F19</t>
    </r>
  </si>
  <si>
    <t xml:space="preserve">INV-013</t>
  </si>
  <si>
    <r>
      <rPr>
        <sz val="10"/>
        <rFont val="Noto Sans CJK SC"/>
        <family val="2"/>
        <charset val="1"/>
      </rPr>
      <t xml:space="preserve">光纖、佈線、保全、</t>
    </r>
    <r>
      <rPr>
        <sz val="10"/>
        <rFont val="Arial"/>
        <family val="0"/>
        <charset val="1"/>
      </rPr>
      <t xml:space="preserve">BMS</t>
    </r>
  </si>
  <si>
    <r>
      <rPr>
        <sz val="10"/>
        <rFont val="Arial"/>
        <family val="0"/>
        <charset val="1"/>
      </rPr>
      <t xml:space="preserve">D20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F20</t>
    </r>
  </si>
  <si>
    <t xml:space="preserve">INV-014</t>
  </si>
  <si>
    <t xml:space="preserve">設計、管理與預備費</t>
  </si>
  <si>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  <charset val="1"/>
      </rPr>
      <t xml:space="preserve">廠房</t>
    </r>
  </si>
  <si>
    <r>
      <rPr>
        <sz val="10"/>
        <rFont val="Arial"/>
        <family val="0"/>
        <charset val="1"/>
      </rPr>
      <t xml:space="preserve">D21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F21</t>
    </r>
  </si>
  <si>
    <t xml:space="preserve">INV-015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</si>
  <si>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  <charset val="1"/>
      </rPr>
      <t xml:space="preserve">設備折舊年限</t>
    </r>
  </si>
  <si>
    <r>
      <rPr>
        <sz val="10"/>
        <rFont val="Arial"/>
        <family val="0"/>
        <charset val="1"/>
      </rPr>
      <t xml:space="preserve">D23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F23</t>
    </r>
  </si>
  <si>
    <r>
      <rPr>
        <sz val="10"/>
        <rFont val="Arial"/>
        <family val="0"/>
        <charset val="1"/>
      </rPr>
      <t xml:space="preserve">D4</t>
    </r>
    <r>
      <rPr>
        <sz val="10"/>
        <rFont val="Noto Sans CJK SC"/>
        <family val="2"/>
        <charset val="1"/>
      </rPr>
      <t xml:space="preserve">：基準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  <charset val="1"/>
      </rPr>
      <t xml:space="preserve">年須與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  <charset val="1"/>
      </rPr>
      <t xml:space="preserve">一致；</t>
    </r>
    <r>
      <rPr>
        <sz val="10"/>
        <rFont val="Arial"/>
        <family val="0"/>
        <charset val="1"/>
      </rPr>
      <t xml:space="preserve">CoreWeave 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Nebius 4 </t>
    </r>
    <r>
      <rPr>
        <sz val="10"/>
        <rFont val="Noto Sans CJK SC"/>
        <family val="2"/>
        <charset val="1"/>
      </rPr>
      <t xml:space="preserve">為可比 </t>
    </r>
    <r>
      <rPr>
        <sz val="10"/>
        <rFont val="Arial"/>
        <family val="0"/>
        <charset val="1"/>
      </rPr>
      <t xml:space="preserve">SRC</t>
    </r>
    <r>
      <rPr>
        <sz val="10"/>
        <rFont val="Noto Sans CJK SC"/>
        <family val="2"/>
        <charset val="1"/>
      </rPr>
      <t xml:space="preserve">（高成本情境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  <charset val="1"/>
      </rPr>
      <t xml:space="preserve">直接等於 </t>
    </r>
    <r>
      <rPr>
        <sz val="10"/>
        <rFont val="Arial"/>
        <family val="0"/>
        <charset val="1"/>
      </rPr>
      <t xml:space="preserve">Nebius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</si>
  <si>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SRC_DC_007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SRC_DC_008</t>
    </r>
  </si>
  <si>
    <t xml:space="preserve">INV-016</t>
  </si>
  <si>
    <t xml:space="preserve">建物年限</t>
  </si>
  <si>
    <t xml:space="preserve">E24</t>
  </si>
  <si>
    <t xml:space="preserve">INV-017</t>
  </si>
  <si>
    <t xml:space="preserve">電力設施年限</t>
  </si>
  <si>
    <t xml:space="preserve">E25</t>
  </si>
  <si>
    <t xml:space="preserve">INV-018</t>
  </si>
  <si>
    <t xml:space="preserve">機械與散熱年限</t>
  </si>
  <si>
    <t xml:space="preserve">E26</t>
  </si>
  <si>
    <t xml:space="preserve">INV-019</t>
  </si>
  <si>
    <t xml:space="preserve">光纖與保全年限</t>
  </si>
  <si>
    <t xml:space="preserve">E27</t>
  </si>
  <si>
    <t xml:space="preserve">INV-020</t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</si>
  <si>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  <charset val="1"/>
      </rPr>
      <t xml:space="preserve">（經濟口徑）</t>
    </r>
  </si>
  <si>
    <r>
      <rPr>
        <sz val="10"/>
        <rFont val="Arial"/>
        <family val="0"/>
        <charset val="1"/>
      </rPr>
      <t xml:space="preserve">D28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F28</t>
    </r>
  </si>
  <si>
    <t xml:space="preserve">INV-021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</si>
  <si>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  <charset val="1"/>
      </rPr>
      <t xml:space="preserve">維護</t>
    </r>
  </si>
  <si>
    <r>
      <rPr>
        <sz val="10"/>
        <rFont val="Arial"/>
        <family val="0"/>
        <charset val="1"/>
      </rPr>
      <t xml:space="preserve">% IT </t>
    </r>
    <r>
      <rPr>
        <sz val="10"/>
        <rFont val="Noto Sans CJK SC"/>
        <family val="2"/>
        <charset val="1"/>
      </rPr>
      <t xml:space="preserve">資本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年</t>
    </r>
  </si>
  <si>
    <r>
      <rPr>
        <sz val="10"/>
        <rFont val="Arial"/>
        <family val="0"/>
        <charset val="1"/>
      </rPr>
      <t xml:space="preserve">D30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F30</t>
    </r>
  </si>
  <si>
    <t xml:space="preserve">INV-022</t>
  </si>
  <si>
    <t xml:space="preserve">廠房維護</t>
  </si>
  <si>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  <charset val="1"/>
      </rPr>
      <t xml:space="preserve">廠房資本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年</t>
    </r>
  </si>
  <si>
    <r>
      <rPr>
        <sz val="10"/>
        <rFont val="Arial"/>
        <family val="0"/>
        <charset val="1"/>
      </rPr>
      <t xml:space="preserve">D31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F31</t>
    </r>
  </si>
  <si>
    <t xml:space="preserve">INV-023</t>
  </si>
  <si>
    <t xml:space="preserve">人員</t>
  </si>
  <si>
    <r>
      <rPr>
        <sz val="10"/>
        <rFont val="Arial"/>
        <family val="0"/>
        <charset val="1"/>
      </rPr>
      <t xml:space="preserve">$M/GW/</t>
    </r>
    <r>
      <rPr>
        <sz val="10"/>
        <rFont val="Noto Sans CJK SC"/>
        <family val="2"/>
        <charset val="1"/>
      </rPr>
      <t xml:space="preserve">年</t>
    </r>
  </si>
  <si>
    <r>
      <rPr>
        <sz val="10"/>
        <rFont val="Arial"/>
        <family val="0"/>
        <charset val="1"/>
      </rPr>
      <t xml:space="preserve">D32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F32</t>
    </r>
  </si>
  <si>
    <t xml:space="preserve">INV-024</t>
  </si>
  <si>
    <t xml:space="preserve">軟體授權與連線</t>
  </si>
  <si>
    <r>
      <rPr>
        <sz val="10"/>
        <rFont val="Arial"/>
        <family val="0"/>
        <charset val="1"/>
      </rPr>
      <t xml:space="preserve">D33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F33</t>
    </r>
  </si>
  <si>
    <t xml:space="preserve">INV-025</t>
  </si>
  <si>
    <t xml:space="preserve">水與耗材</t>
  </si>
  <si>
    <r>
      <rPr>
        <sz val="10"/>
        <rFont val="Arial"/>
        <family val="0"/>
        <charset val="1"/>
      </rPr>
      <t xml:space="preserve">$M/MW/</t>
    </r>
    <r>
      <rPr>
        <sz val="10"/>
        <rFont val="Noto Sans CJK SC"/>
        <family val="2"/>
        <charset val="1"/>
      </rPr>
      <t xml:space="preserve">年</t>
    </r>
  </si>
  <si>
    <r>
      <rPr>
        <sz val="10"/>
        <rFont val="Arial"/>
        <family val="0"/>
        <charset val="1"/>
      </rPr>
      <t xml:space="preserve">D34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F34</t>
    </r>
  </si>
  <si>
    <t xml:space="preserve">INV-026</t>
  </si>
  <si>
    <t xml:space="preserve">財產稅與保險</t>
  </si>
  <si>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  <charset val="1"/>
      </rPr>
      <t xml:space="preserve">總資本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年</t>
    </r>
  </si>
  <si>
    <r>
      <rPr>
        <sz val="10"/>
        <rFont val="Arial"/>
        <family val="0"/>
        <charset val="1"/>
      </rPr>
      <t xml:space="preserve">D35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F35</t>
    </r>
  </si>
  <si>
    <t xml:space="preserve">INV-027</t>
  </si>
  <si>
    <t xml:space="preserve">Spec_Rack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</si>
  <si>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封裝／架</t>
    </r>
  </si>
  <si>
    <r>
      <rPr>
        <sz val="10"/>
        <rFont val="Arial"/>
        <family val="0"/>
        <charset val="1"/>
      </rPr>
      <t xml:space="preserve">C6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G6</t>
    </r>
  </si>
  <si>
    <t xml:space="preserve">待分類</t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</si>
  <si>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的 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RU </t>
    </r>
    <r>
      <rPr>
        <sz val="10"/>
        <rFont val="Noto Sans CJK SC"/>
        <family val="2"/>
        <charset val="1"/>
      </rPr>
      <t xml:space="preserve">的 </t>
    </r>
    <r>
      <rPr>
        <sz val="10"/>
        <rFont val="Arial"/>
        <family val="0"/>
        <charset val="1"/>
      </rPr>
      <t xml:space="preserve">144 </t>
    </r>
    <r>
      <rPr>
        <sz val="10"/>
        <rFont val="Noto Sans CJK SC"/>
        <family val="2"/>
        <charset val="1"/>
      </rPr>
      <t xml:space="preserve">為產品規格（</t>
    </r>
    <r>
      <rPr>
        <sz val="10"/>
        <rFont val="Arial"/>
        <family val="0"/>
        <charset val="1"/>
      </rPr>
      <t xml:space="preserve">SRC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Hopper 32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HGX ×4 </t>
    </r>
    <r>
      <rPr>
        <sz val="10"/>
        <rFont val="Noto Sans CJK SC"/>
        <family val="2"/>
        <charset val="1"/>
      </rPr>
      <t xml:space="preserve">為機架配置選擇（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）</t>
    </r>
  </si>
  <si>
    <t xml:space="preserve">INV-028</t>
  </si>
  <si>
    <r>
      <rPr>
        <sz val="10"/>
        <rFont val="Noto Sans CJK SC"/>
        <family val="2"/>
        <charset val="1"/>
      </rPr>
      <t xml:space="preserve">配電設計功率 低（</t>
    </r>
    <r>
      <rPr>
        <sz val="10"/>
        <rFont val="Arial"/>
        <family val="0"/>
        <charset val="1"/>
      </rPr>
      <t xml:space="preserve">kW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</si>
  <si>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G8</t>
    </r>
  </si>
  <si>
    <r>
      <rPr>
        <sz val="10"/>
        <rFont val="Arial"/>
        <family val="0"/>
        <charset val="1"/>
      </rPr>
      <t xml:space="preserve">GB200 120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GB300 132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VR200 190 </t>
    </r>
    <r>
      <rPr>
        <sz val="10"/>
        <rFont val="Noto Sans CJK SC"/>
        <family val="2"/>
        <charset val="1"/>
      </rPr>
      <t xml:space="preserve">等於來源值；</t>
    </r>
    <r>
      <rPr>
        <sz val="10"/>
        <rFont val="Arial"/>
        <family val="0"/>
        <charset val="1"/>
      </rPr>
      <t xml:space="preserve">Hopper 38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RU 550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Assumed </t>
    </r>
    <r>
      <rPr>
        <sz val="10"/>
        <rFont val="Noto Sans CJK SC"/>
        <family val="2"/>
        <charset val="1"/>
      </rPr>
      <t xml:space="preserve">區間</t>
    </r>
  </si>
  <si>
    <r>
      <rPr>
        <sz val="10"/>
        <rFont val="Arial"/>
        <family val="0"/>
        <charset val="1"/>
      </rPr>
      <t xml:space="preserve">SRC_HW_004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SRC_HW_011</t>
    </r>
  </si>
  <si>
    <t xml:space="preserve">INV-029</t>
  </si>
  <si>
    <r>
      <rPr>
        <sz val="10"/>
        <rFont val="Noto Sans CJK SC"/>
        <family val="2"/>
        <charset val="1"/>
      </rPr>
      <t xml:space="preserve">配電設計功率 基準（</t>
    </r>
    <r>
      <rPr>
        <sz val="10"/>
        <rFont val="Arial"/>
        <family val="0"/>
        <charset val="1"/>
      </rPr>
      <t xml:space="preserve">kW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</si>
  <si>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G9</t>
    </r>
  </si>
  <si>
    <r>
      <rPr>
        <sz val="10"/>
        <rFont val="Arial"/>
        <family val="0"/>
        <charset val="1"/>
      </rPr>
      <t xml:space="preserve">VR200 227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S8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RU 600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S7</t>
    </r>
    <r>
      <rPr>
        <sz val="10"/>
        <rFont val="Noto Sans CJK SC"/>
        <family val="2"/>
        <charset val="1"/>
      </rPr>
      <t xml:space="preserve">）等於來源；</t>
    </r>
    <r>
      <rPr>
        <sz val="10"/>
        <rFont val="Arial"/>
        <family val="0"/>
        <charset val="1"/>
      </rPr>
      <t xml:space="preserve">Hopper 41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10.2×4 </t>
    </r>
    <r>
      <rPr>
        <sz val="10"/>
        <rFont val="Noto Sans CJK SC"/>
        <family val="2"/>
        <charset val="1"/>
      </rPr>
      <t xml:space="preserve">取整、</t>
    </r>
    <r>
      <rPr>
        <sz val="10"/>
        <rFont val="Arial"/>
        <family val="0"/>
        <charset val="1"/>
      </rPr>
      <t xml:space="preserve">GB200 130 </t>
    </r>
    <r>
      <rPr>
        <sz val="10"/>
        <rFont val="Noto Sans CJK SC"/>
        <family val="2"/>
        <charset val="1"/>
      </rPr>
      <t xml:space="preserve">為區間上緣、</t>
    </r>
    <r>
      <rPr>
        <sz val="10"/>
        <rFont val="Arial"/>
        <family val="0"/>
        <charset val="1"/>
      </rPr>
      <t xml:space="preserve">GB300 137 </t>
    </r>
    <r>
      <rPr>
        <sz val="10"/>
        <rFont val="Noto Sans CJK SC"/>
        <family val="2"/>
        <charset val="1"/>
      </rPr>
      <t xml:space="preserve">為中點 → 留藍字附 </t>
    </r>
    <r>
      <rPr>
        <sz val="10"/>
        <rFont val="Arial"/>
        <family val="0"/>
        <charset val="1"/>
      </rPr>
      <t xml:space="preserve">SRC</t>
    </r>
  </si>
  <si>
    <r>
      <rPr>
        <sz val="10"/>
        <rFont val="Arial"/>
        <family val="0"/>
        <charset val="1"/>
      </rPr>
      <t xml:space="preserve">SRC_HW_001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SRC_HW_014</t>
    </r>
  </si>
  <si>
    <t xml:space="preserve">INV-030</t>
  </si>
  <si>
    <r>
      <rPr>
        <sz val="10"/>
        <rFont val="Noto Sans CJK SC"/>
        <family val="2"/>
        <charset val="1"/>
      </rPr>
      <t xml:space="preserve">配電設計功率 高（</t>
    </r>
    <r>
      <rPr>
        <sz val="10"/>
        <rFont val="Arial"/>
        <family val="0"/>
        <charset val="1"/>
      </rPr>
      <t xml:space="preserve">kW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</si>
  <si>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G10</t>
    </r>
  </si>
  <si>
    <r>
      <rPr>
        <sz val="10"/>
        <rFont val="Arial"/>
        <family val="0"/>
        <charset val="1"/>
      </rPr>
      <t xml:space="preserve">GB300 142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VR200 230 </t>
    </r>
    <r>
      <rPr>
        <sz val="10"/>
        <rFont val="Noto Sans CJK SC"/>
        <family val="2"/>
        <charset val="1"/>
      </rPr>
      <t xml:space="preserve">等於來源；</t>
    </r>
    <r>
      <rPr>
        <sz val="10"/>
        <rFont val="Arial"/>
        <family val="0"/>
        <charset val="1"/>
      </rPr>
      <t xml:space="preserve">GB200 140 </t>
    </r>
    <r>
      <rPr>
        <sz val="10"/>
        <rFont val="Noto Sans CJK SC"/>
        <family val="2"/>
        <charset val="1"/>
      </rPr>
      <t xml:space="preserve">無來源（</t>
    </r>
    <r>
      <rPr>
        <sz val="10"/>
        <rFont val="Arial"/>
        <family val="0"/>
        <charset val="1"/>
      </rPr>
      <t xml:space="preserve">v4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139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Hopper 44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RU 650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</si>
  <si>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SRC_HW_005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SRC_HW_012</t>
    </r>
  </si>
  <si>
    <t xml:space="preserve">INV-031</t>
  </si>
  <si>
    <r>
      <rPr>
        <sz val="10"/>
        <rFont val="Noto Sans CJK SC"/>
        <family val="2"/>
        <charset val="1"/>
      </rPr>
      <t xml:space="preserve">機架價格 低（</t>
    </r>
    <r>
      <rPr>
        <sz val="10"/>
        <rFont val="Arial"/>
        <family val="0"/>
        <charset val="1"/>
      </rPr>
      <t xml:space="preserve">$M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</si>
  <si>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G11</t>
    </r>
  </si>
  <si>
    <r>
      <rPr>
        <sz val="10"/>
        <rFont val="Arial"/>
        <family val="0"/>
        <charset val="1"/>
      </rPr>
      <t xml:space="preserve">GB200 2.8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S4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GB300 4.0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MS</t>
    </r>
    <r>
      <rPr>
        <sz val="10"/>
        <rFont val="Noto Sans CJK SC"/>
        <family val="2"/>
        <charset val="1"/>
      </rPr>
      <t xml:space="preserve">，未登錄）、</t>
    </r>
    <r>
      <rPr>
        <sz val="10"/>
        <rFont val="Arial"/>
        <family val="0"/>
        <charset val="1"/>
      </rPr>
      <t xml:space="preserve">VR200 6.7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S9</t>
    </r>
    <r>
      <rPr>
        <sz val="10"/>
        <rFont val="Noto Sans CJK SC"/>
        <family val="2"/>
        <charset val="1"/>
      </rPr>
      <t xml:space="preserve">，自購記憶體口徑）等於來源；</t>
    </r>
    <r>
      <rPr>
        <sz val="10"/>
        <rFont val="Arial"/>
        <family val="0"/>
        <charset val="1"/>
      </rPr>
      <t xml:space="preserve">Hopper 0.9 </t>
    </r>
    <r>
      <rPr>
        <sz val="10"/>
        <rFont val="Noto Sans CJK SC"/>
        <family val="2"/>
        <charset val="1"/>
      </rPr>
      <t xml:space="preserve">由 </t>
    </r>
    <r>
      <rPr>
        <sz val="10"/>
        <rFont val="Arial"/>
        <family val="0"/>
        <charset val="1"/>
      </rPr>
      <t xml:space="preserve">S2 </t>
    </r>
    <r>
      <rPr>
        <sz val="10"/>
        <rFont val="Noto Sans CJK SC"/>
        <family val="2"/>
        <charset val="1"/>
      </rPr>
      <t xml:space="preserve">換算取整；</t>
    </r>
    <r>
      <rPr>
        <sz val="10"/>
        <rFont val="Arial"/>
        <family val="0"/>
        <charset val="1"/>
      </rPr>
      <t xml:space="preserve">RU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VR × </t>
    </r>
    <r>
      <rPr>
        <sz val="10"/>
        <rFont val="Noto Sans CJK SC"/>
        <family val="2"/>
        <charset val="1"/>
      </rPr>
      <t xml:space="preserve">倍數的 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</si>
  <si>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SRC_HW_003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SRC_HW_052</t>
    </r>
  </si>
  <si>
    <t xml:space="preserve">INV-032</t>
  </si>
  <si>
    <r>
      <rPr>
        <sz val="10"/>
        <rFont val="Noto Sans CJK SC"/>
        <family val="2"/>
        <charset val="1"/>
      </rPr>
      <t xml:space="preserve">機架價格 基準（</t>
    </r>
    <r>
      <rPr>
        <sz val="10"/>
        <rFont val="Arial"/>
        <family val="0"/>
        <charset val="1"/>
      </rPr>
      <t xml:space="preserve">$M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</si>
  <si>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G12</t>
    </r>
  </si>
  <si>
    <r>
      <rPr>
        <sz val="10"/>
        <rFont val="Arial"/>
        <family val="0"/>
        <charset val="1"/>
      </rPr>
      <t xml:space="preserve">GB300 5.0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S6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VR200 7.8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S9 MS</t>
    </r>
    <r>
      <rPr>
        <sz val="10"/>
        <rFont val="Noto Sans CJK SC"/>
        <family val="2"/>
        <charset val="1"/>
      </rPr>
      <t xml:space="preserve">）等於來源；</t>
    </r>
    <r>
      <rPr>
        <sz val="10"/>
        <rFont val="Arial"/>
        <family val="0"/>
        <charset val="1"/>
      </rPr>
      <t xml:space="preserve">GB200 3.1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  <charset val="1"/>
      </rPr>
      <t xml:space="preserve">區間中點；</t>
    </r>
    <r>
      <rPr>
        <sz val="10"/>
        <rFont val="Arial"/>
        <family val="0"/>
        <charset val="1"/>
      </rPr>
      <t xml:space="preserve">Hopper 1.1 </t>
    </r>
    <r>
      <rPr>
        <sz val="10"/>
        <rFont val="Noto Sans CJK SC"/>
        <family val="2"/>
        <charset val="1"/>
      </rPr>
      <t xml:space="preserve">換算；</t>
    </r>
    <r>
      <rPr>
        <sz val="10"/>
        <rFont val="Arial"/>
        <family val="0"/>
        <charset val="1"/>
      </rPr>
      <t xml:space="preserve">RU 31.2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VR 7.8 × 4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Assumed </t>
    </r>
    <r>
      <rPr>
        <sz val="10"/>
        <rFont val="Noto Sans CJK SC"/>
        <family val="2"/>
        <charset val="1"/>
      </rPr>
      <t xml:space="preserve">倍數，應改公式）</t>
    </r>
  </si>
  <si>
    <r>
      <rPr>
        <sz val="10"/>
        <rFont val="Arial"/>
        <family val="0"/>
        <charset val="1"/>
      </rPr>
      <t xml:space="preserve">SRC_HW_006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SRC_HW_015</t>
    </r>
  </si>
  <si>
    <t xml:space="preserve">INV-033</t>
  </si>
  <si>
    <r>
      <rPr>
        <sz val="10"/>
        <rFont val="Noto Sans CJK SC"/>
        <family val="2"/>
        <charset val="1"/>
      </rPr>
      <t xml:space="preserve">機架價格 高（</t>
    </r>
    <r>
      <rPr>
        <sz val="10"/>
        <rFont val="Arial"/>
        <family val="0"/>
        <charset val="1"/>
      </rPr>
      <t xml:space="preserve">$M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</si>
  <si>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G13</t>
    </r>
  </si>
  <si>
    <r>
      <rPr>
        <sz val="10"/>
        <rFont val="Arial"/>
        <family val="0"/>
        <charset val="1"/>
      </rPr>
      <t xml:space="preserve">GB200 3.4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GB300 6.5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S4</t>
    </r>
    <r>
      <rPr>
        <sz val="10"/>
        <rFont val="Noto Sans CJK SC"/>
        <family val="2"/>
        <charset val="1"/>
      </rPr>
      <t xml:space="preserve">）等於來源；</t>
    </r>
    <r>
      <rPr>
        <sz val="10"/>
        <rFont val="Arial"/>
        <family val="0"/>
        <charset val="1"/>
      </rPr>
      <t xml:space="preserve">VR200 9.1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Bernstein 9.09 </t>
    </r>
    <r>
      <rPr>
        <sz val="10"/>
        <rFont val="Noto Sans CJK SC"/>
        <family val="2"/>
        <charset val="1"/>
      </rPr>
      <t xml:space="preserve">取整；</t>
    </r>
    <r>
      <rPr>
        <sz val="10"/>
        <rFont val="Arial"/>
        <family val="0"/>
        <charset val="1"/>
      </rPr>
      <t xml:space="preserve">Hopper 1.3 </t>
    </r>
    <r>
      <rPr>
        <sz val="10"/>
        <rFont val="Noto Sans CJK SC"/>
        <family val="2"/>
        <charset val="1"/>
      </rPr>
      <t xml:space="preserve">換算；</t>
    </r>
    <r>
      <rPr>
        <sz val="10"/>
        <rFont val="Arial"/>
        <family val="0"/>
        <charset val="1"/>
      </rPr>
      <t xml:space="preserve">RU 39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7.8 × 5</t>
    </r>
  </si>
  <si>
    <r>
      <rPr>
        <sz val="10"/>
        <rFont val="Arial"/>
        <family val="0"/>
        <charset val="1"/>
      </rPr>
      <t xml:space="preserve">SRC_HW_003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SRC_HW_017</t>
    </r>
  </si>
  <si>
    <t xml:space="preserve">INV-034</t>
  </si>
  <si>
    <r>
      <rPr>
        <sz val="10"/>
        <rFont val="Noto Sans CJK SC"/>
        <family val="2"/>
        <charset val="1"/>
      </rPr>
      <t xml:space="preserve">峰值 </t>
    </r>
    <r>
      <rPr>
        <sz val="10"/>
        <rFont val="Arial"/>
        <family val="0"/>
        <charset val="1"/>
      </rPr>
      <t xml:space="preserve">dense</t>
    </r>
    <r>
      <rPr>
        <sz val="10"/>
        <rFont val="Noto Sans CJK SC"/>
        <family val="2"/>
        <charset val="1"/>
      </rPr>
      <t xml:space="preserve">（基準）</t>
    </r>
    <r>
      <rPr>
        <sz val="10"/>
        <rFont val="Arial"/>
        <family val="0"/>
        <charset val="1"/>
      </rPr>
      <t xml:space="preserve">PF/GPU</t>
    </r>
  </si>
  <si>
    <r>
      <rPr>
        <sz val="10"/>
        <rFont val="Arial"/>
        <family val="0"/>
        <charset val="1"/>
      </rPr>
      <t xml:space="preserve">C23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G23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</si>
  <si>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Derived</t>
    </r>
  </si>
  <si>
    <r>
      <rPr>
        <sz val="10"/>
        <rFont val="Arial"/>
        <family val="0"/>
        <charset val="1"/>
      </rPr>
      <t xml:space="preserve">Hopper 1.979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E001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GB200 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GB300 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VR200 35 </t>
    </r>
    <r>
      <rPr>
        <sz val="10"/>
        <rFont val="Noto Sans CJK SC"/>
        <family val="2"/>
        <charset val="1"/>
      </rPr>
      <t xml:space="preserve">等於 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  <charset val="1"/>
      </rPr>
      <t xml:space="preserve">規格；</t>
    </r>
    <r>
      <rPr>
        <sz val="10"/>
        <rFont val="Arial"/>
        <family val="0"/>
        <charset val="1"/>
      </rPr>
      <t xml:space="preserve">RU 73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104 × 35/50 </t>
    </r>
    <r>
      <rPr>
        <sz val="10"/>
        <rFont val="Noto Sans CJK SC"/>
        <family val="2"/>
        <charset val="1"/>
      </rPr>
      <t xml:space="preserve">推估 → </t>
    </r>
    <r>
      <rPr>
        <sz val="10"/>
        <rFont val="Arial"/>
        <family val="0"/>
        <charset val="1"/>
      </rPr>
      <t xml:space="preserve">Derived </t>
    </r>
    <r>
      <rPr>
        <sz val="10"/>
        <rFont val="Noto Sans CJK SC"/>
        <family val="2"/>
        <charset val="1"/>
      </rPr>
      <t xml:space="preserve">改公式</t>
    </r>
  </si>
  <si>
    <r>
      <rPr>
        <sz val="10"/>
        <rFont val="Arial"/>
        <family val="0"/>
        <charset val="1"/>
      </rPr>
      <t xml:space="preserve">SRC_HW_022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SRC_HW_040</t>
    </r>
  </si>
  <si>
    <t xml:space="preserve">INV-035</t>
  </si>
  <si>
    <r>
      <rPr>
        <sz val="10"/>
        <rFont val="Noto Sans CJK SC"/>
        <family val="2"/>
        <charset val="1"/>
      </rPr>
      <t xml:space="preserve">峰值（高情境：</t>
    </r>
    <r>
      <rPr>
        <sz val="10"/>
        <rFont val="Arial"/>
        <family val="0"/>
        <charset val="1"/>
      </rPr>
      <t xml:space="preserve">NVFP4 </t>
    </r>
    <r>
      <rPr>
        <sz val="10"/>
        <rFont val="Noto Sans CJK SC"/>
        <family val="2"/>
        <charset val="1"/>
      </rPr>
      <t xml:space="preserve">推論口徑）</t>
    </r>
    <r>
      <rPr>
        <sz val="10"/>
        <rFont val="Arial"/>
        <family val="0"/>
        <charset val="1"/>
      </rPr>
      <t xml:space="preserve">PF/GPU</t>
    </r>
  </si>
  <si>
    <r>
      <rPr>
        <sz val="10"/>
        <rFont val="Arial"/>
        <family val="0"/>
        <charset val="1"/>
      </rPr>
      <t xml:space="preserve">C24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G24</t>
    </r>
  </si>
  <si>
    <r>
      <rPr>
        <sz val="10"/>
        <rFont val="Arial"/>
        <family val="0"/>
        <charset val="1"/>
      </rPr>
      <t xml:space="preserve">GB200 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GB300 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VR200 50 </t>
    </r>
    <r>
      <rPr>
        <sz val="10"/>
        <rFont val="Noto Sans CJK SC"/>
        <family val="2"/>
        <charset val="1"/>
      </rPr>
      <t xml:space="preserve">等於規格（</t>
    </r>
    <r>
      <rPr>
        <sz val="10"/>
        <rFont val="Arial"/>
        <family val="0"/>
        <charset val="1"/>
      </rPr>
      <t xml:space="preserve">VR </t>
    </r>
    <r>
      <rPr>
        <sz val="10"/>
        <rFont val="Noto Sans CJK SC"/>
        <family val="2"/>
        <charset val="1"/>
      </rPr>
      <t xml:space="preserve">也可由 </t>
    </r>
    <r>
      <rPr>
        <sz val="10"/>
        <rFont val="Arial"/>
        <family val="0"/>
        <charset val="1"/>
      </rPr>
      <t xml:space="preserve">S36 3,600 ÷ 72 </t>
    </r>
    <r>
      <rPr>
        <sz val="10"/>
        <rFont val="Noto Sans CJK SC"/>
        <family val="2"/>
        <charset val="1"/>
      </rPr>
      <t xml:space="preserve">換算）；</t>
    </r>
    <r>
      <rPr>
        <sz val="10"/>
        <rFont val="Arial"/>
        <family val="0"/>
        <charset val="1"/>
      </rPr>
      <t xml:space="preserve">Hopper 1.979 </t>
    </r>
    <r>
      <rPr>
        <sz val="10"/>
        <rFont val="Noto Sans CJK SC"/>
        <family val="2"/>
        <charset val="1"/>
      </rPr>
      <t xml:space="preserve">複製 </t>
    </r>
    <r>
      <rPr>
        <sz val="10"/>
        <rFont val="Arial"/>
        <family val="0"/>
        <charset val="1"/>
      </rPr>
      <t xml:space="preserve">FP8 </t>
    </r>
    <r>
      <rPr>
        <sz val="10"/>
        <rFont val="Noto Sans CJK SC"/>
        <family val="2"/>
        <charset val="1"/>
      </rPr>
      <t xml:space="preserve">值（應連結第 </t>
    </r>
    <r>
      <rPr>
        <sz val="10"/>
        <rFont val="Arial"/>
        <family val="0"/>
        <charset val="1"/>
      </rPr>
      <t xml:space="preserve">23 </t>
    </r>
    <r>
      <rPr>
        <sz val="10"/>
        <rFont val="Noto Sans CJK SC"/>
        <family val="2"/>
        <charset val="1"/>
      </rPr>
      <t xml:space="preserve">列）；</t>
    </r>
    <r>
      <rPr>
        <sz val="10"/>
        <rFont val="Arial"/>
        <family val="0"/>
        <charset val="1"/>
      </rPr>
      <t xml:space="preserve">RU 104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15 EF ÷ 144 </t>
    </r>
    <r>
      <rPr>
        <sz val="10"/>
        <rFont val="Noto Sans CJK SC"/>
        <family val="2"/>
        <charset val="1"/>
      </rPr>
      <t xml:space="preserve">取整</t>
    </r>
  </si>
  <si>
    <r>
      <rPr>
        <sz val="10"/>
        <rFont val="Arial"/>
        <family val="0"/>
        <charset val="1"/>
      </rPr>
      <t xml:space="preserve">SRC_HW_022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SRC_HW_036</t>
    </r>
  </si>
  <si>
    <t xml:space="preserve">INV-036</t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</si>
  <si>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  <charset val="1"/>
      </rPr>
      <t xml:space="preserve">容量 </t>
    </r>
    <r>
      <rPr>
        <sz val="10"/>
        <rFont val="Arial"/>
        <family val="0"/>
        <charset val="1"/>
      </rPr>
      <t xml:space="preserve">GB/GPU</t>
    </r>
  </si>
  <si>
    <r>
      <rPr>
        <sz val="10"/>
        <rFont val="Arial"/>
        <family val="0"/>
        <charset val="1"/>
      </rPr>
      <t xml:space="preserve">C25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G25</t>
    </r>
  </si>
  <si>
    <r>
      <rPr>
        <sz val="10"/>
        <rFont val="Arial"/>
        <family val="0"/>
        <charset val="1"/>
      </rPr>
      <t xml:space="preserve">Hopper 80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GB300 288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VR200 288 </t>
    </r>
    <r>
      <rPr>
        <sz val="10"/>
        <rFont val="Noto Sans CJK SC"/>
        <family val="2"/>
        <charset val="1"/>
      </rPr>
      <t xml:space="preserve">等於規格；</t>
    </r>
    <r>
      <rPr>
        <sz val="10"/>
        <rFont val="Arial"/>
        <family val="0"/>
        <charset val="1"/>
      </rPr>
      <t xml:space="preserve">GB200 186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13.4 TB ÷ 72</t>
    </r>
    <r>
      <rPr>
        <sz val="10"/>
        <rFont val="Noto Sans CJK SC"/>
        <family val="2"/>
        <charset val="1"/>
      </rPr>
      <t xml:space="preserve">（換算，</t>
    </r>
    <r>
      <rPr>
        <sz val="10"/>
        <rFont val="Arial"/>
        <family val="0"/>
        <charset val="1"/>
      </rPr>
      <t xml:space="preserve">InferenceX </t>
    </r>
    <r>
      <rPr>
        <sz val="10"/>
        <rFont val="Noto Sans CJK SC"/>
        <family val="2"/>
        <charset val="1"/>
      </rPr>
      <t xml:space="preserve">以 </t>
    </r>
    <r>
      <rPr>
        <sz val="10"/>
        <rFont val="Arial"/>
        <family val="0"/>
        <charset val="1"/>
      </rPr>
      <t xml:space="preserve">192 </t>
    </r>
    <r>
      <rPr>
        <sz val="10"/>
        <rFont val="Noto Sans CJK SC"/>
        <family val="2"/>
        <charset val="1"/>
      </rPr>
      <t xml:space="preserve">計）；</t>
    </r>
    <r>
      <rPr>
        <sz val="10"/>
        <rFont val="Arial"/>
        <family val="0"/>
        <charset val="1"/>
      </rPr>
      <t xml:space="preserve">RU 1,024 </t>
    </r>
    <r>
      <rPr>
        <sz val="10"/>
        <rFont val="Noto Sans CJK SC"/>
        <family val="2"/>
        <charset val="1"/>
      </rPr>
      <t xml:space="preserve">為約值（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</si>
  <si>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SRC_HW_020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SRC_HW_041</t>
    </r>
  </si>
  <si>
    <t xml:space="preserve">INV-037</t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</si>
  <si>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  <charset val="1"/>
      </rPr>
      <t xml:space="preserve">頻寬 </t>
    </r>
    <r>
      <rPr>
        <sz val="10"/>
        <rFont val="Arial"/>
        <family val="0"/>
        <charset val="1"/>
      </rPr>
      <t xml:space="preserve">TB/s/GPU</t>
    </r>
  </si>
  <si>
    <r>
      <rPr>
        <sz val="10"/>
        <rFont val="Arial"/>
        <family val="0"/>
        <charset val="1"/>
      </rPr>
      <t xml:space="preserve">C26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G26</t>
    </r>
  </si>
  <si>
    <r>
      <rPr>
        <sz val="10"/>
        <rFont val="Arial"/>
        <family val="0"/>
        <charset val="1"/>
      </rPr>
      <t xml:space="preserve">Hopper 3.35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GB300 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VR200 22 </t>
    </r>
    <r>
      <rPr>
        <sz val="10"/>
        <rFont val="Noto Sans CJK SC"/>
        <family val="2"/>
        <charset val="1"/>
      </rPr>
      <t xml:space="preserve">等於規格；</t>
    </r>
    <r>
      <rPr>
        <sz val="10"/>
        <rFont val="Arial"/>
        <family val="0"/>
        <charset val="1"/>
      </rPr>
      <t xml:space="preserve">RU 32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4.6 PB/s ÷ 144 </t>
    </r>
    <r>
      <rPr>
        <sz val="10"/>
        <rFont val="Noto Sans CJK SC"/>
        <family val="2"/>
        <charset val="1"/>
      </rPr>
      <t xml:space="preserve">取整</t>
    </r>
  </si>
  <si>
    <r>
      <rPr>
        <sz val="10"/>
        <rFont val="Arial"/>
        <family val="0"/>
        <charset val="1"/>
      </rPr>
      <t xml:space="preserve">SRC_HW_021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SRC_HW_044</t>
    </r>
  </si>
  <si>
    <t xml:space="preserve">INV-038</t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</si>
  <si>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  <charset val="1"/>
      </rPr>
      <t xml:space="preserve">通訊頻寬 </t>
    </r>
    <r>
      <rPr>
        <sz val="10"/>
        <rFont val="Arial"/>
        <family val="0"/>
        <charset val="1"/>
      </rPr>
      <t xml:space="preserve">TB/s/GPU</t>
    </r>
    <r>
      <rPr>
        <sz val="10"/>
        <rFont val="Noto Sans CJK SC"/>
        <family val="2"/>
        <charset val="1"/>
      </rPr>
      <t xml:space="preserve">（單向）</t>
    </r>
  </si>
  <si>
    <r>
      <rPr>
        <sz val="10"/>
        <rFont val="Arial"/>
        <family val="0"/>
        <charset val="1"/>
      </rPr>
      <t xml:space="preserve">C27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G27</t>
    </r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</si>
  <si>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GB300 0.9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VR200 1.8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NVLink </t>
    </r>
    <r>
      <rPr>
        <sz val="10"/>
        <rFont val="Noto Sans CJK SC"/>
        <family val="2"/>
        <charset val="1"/>
      </rPr>
      <t xml:space="preserve">規格；</t>
    </r>
    <r>
      <rPr>
        <sz val="10"/>
        <rFont val="Arial"/>
        <family val="0"/>
        <charset val="1"/>
      </rPr>
      <t xml:space="preserve">Hopper 0.05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400G IB</t>
    </r>
    <r>
      <rPr>
        <sz val="10"/>
        <rFont val="Noto Sans CJK SC"/>
        <family val="2"/>
        <charset val="1"/>
      </rPr>
      <t xml:space="preserve">（換算）；</t>
    </r>
    <r>
      <rPr>
        <sz val="10"/>
        <rFont val="Arial"/>
        <family val="0"/>
        <charset val="1"/>
      </rPr>
      <t xml:space="preserve">RU </t>
    </r>
    <r>
      <rPr>
        <sz val="10"/>
        <rFont val="Noto Sans CJK SC"/>
        <family val="2"/>
        <charset val="1"/>
      </rPr>
      <t xml:space="preserve">取同 </t>
    </r>
    <r>
      <rPr>
        <sz val="10"/>
        <rFont val="Arial"/>
        <family val="0"/>
        <charset val="1"/>
      </rPr>
      <t xml:space="preserve">VR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</si>
  <si>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SRC_HW_048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SRC_HW_049</t>
    </r>
  </si>
  <si>
    <t xml:space="preserve">INV-039</t>
  </si>
  <si>
    <r>
      <rPr>
        <sz val="10"/>
        <rFont val="Arial"/>
        <family val="0"/>
        <charset val="1"/>
      </rPr>
      <t xml:space="preserve">Scale-up </t>
    </r>
    <r>
      <rPr>
        <sz val="10"/>
        <rFont val="Noto Sans CJK SC"/>
        <family val="2"/>
        <charset val="1"/>
      </rPr>
      <t xml:space="preserve">域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數</t>
    </r>
  </si>
  <si>
    <r>
      <rPr>
        <sz val="10"/>
        <rFont val="Arial"/>
        <family val="0"/>
        <charset val="1"/>
      </rPr>
      <t xml:space="preserve">C28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G28</t>
    </r>
  </si>
  <si>
    <r>
      <rPr>
        <sz val="10"/>
        <rFont val="Arial"/>
        <family val="0"/>
        <charset val="1"/>
      </rPr>
      <t xml:space="preserve">NVLink </t>
    </r>
    <r>
      <rPr>
        <sz val="10"/>
        <rFont val="Noto Sans CJK SC"/>
        <family val="2"/>
        <charset val="1"/>
      </rPr>
      <t xml:space="preserve">域大小為產品規格（</t>
    </r>
    <r>
      <rPr>
        <sz val="10"/>
        <rFont val="Arial"/>
        <family val="0"/>
        <charset val="1"/>
      </rPr>
      <t xml:space="preserve">Hopper 8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HGX 8 GPU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NVL72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NVL576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144 </t>
    </r>
    <r>
      <rPr>
        <sz val="10"/>
        <rFont val="Noto Sans CJK SC"/>
        <family val="2"/>
        <charset val="1"/>
      </rPr>
      <t xml:space="preserve">封裝）；目前無登錄來源，</t>
    </r>
    <r>
      <rPr>
        <sz val="10"/>
        <rFont val="Arial"/>
        <family val="0"/>
        <charset val="1"/>
      </rPr>
      <t xml:space="preserve">Stage 2 </t>
    </r>
    <r>
      <rPr>
        <sz val="10"/>
        <rFont val="Noto Sans CJK SC"/>
        <family val="2"/>
        <charset val="1"/>
      </rPr>
      <t xml:space="preserve">補</t>
    </r>
  </si>
  <si>
    <t xml:space="preserve">INV-040</t>
  </si>
  <si>
    <r>
      <rPr>
        <sz val="10"/>
        <rFont val="Arial"/>
        <family val="0"/>
        <charset val="1"/>
      </rPr>
      <t xml:space="preserve">decode EP </t>
    </r>
    <r>
      <rPr>
        <sz val="10"/>
        <rFont val="Noto Sans CJK SC"/>
        <family val="2"/>
        <charset val="1"/>
      </rPr>
      <t xml:space="preserve">基準寬度</t>
    </r>
  </si>
  <si>
    <r>
      <rPr>
        <sz val="10"/>
        <rFont val="Arial"/>
        <family val="0"/>
        <charset val="1"/>
      </rPr>
      <t xml:space="preserve">C29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G29</t>
    </r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</si>
  <si>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</si>
  <si>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GB300 32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S21 </t>
    </r>
    <r>
      <rPr>
        <sz val="10"/>
        <rFont val="Noto Sans CJK SC"/>
        <family val="2"/>
        <charset val="1"/>
      </rPr>
      <t xml:space="preserve">公開配方；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沿用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Hopper 64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Analogy DeepSeek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RU Assumed</t>
    </r>
  </si>
  <si>
    <t xml:space="preserve">INV-041</t>
  </si>
  <si>
    <r>
      <rPr>
        <sz val="10"/>
        <rFont val="Noto Sans CJK SC"/>
        <family val="2"/>
        <charset val="1"/>
      </rPr>
      <t xml:space="preserve">專家權重 </t>
    </r>
    <r>
      <rPr>
        <sz val="10"/>
        <rFont val="Arial"/>
        <family val="0"/>
        <charset val="1"/>
      </rPr>
      <t xml:space="preserve">bytes/param</t>
    </r>
  </si>
  <si>
    <r>
      <rPr>
        <sz val="10"/>
        <rFont val="Arial"/>
        <family val="0"/>
        <charset val="1"/>
      </rPr>
      <t xml:space="preserve">C30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G30</t>
    </r>
  </si>
  <si>
    <r>
      <rPr>
        <sz val="10"/>
        <rFont val="Arial"/>
        <family val="0"/>
        <charset val="1"/>
      </rPr>
      <t xml:space="preserve">NVFP4 </t>
    </r>
    <r>
      <rPr>
        <sz val="10"/>
        <rFont val="Noto Sans CJK SC"/>
        <family val="2"/>
        <charset val="1"/>
      </rPr>
      <t xml:space="preserve">格式定義 </t>
    </r>
    <r>
      <rPr>
        <sz val="10"/>
        <rFont val="Arial"/>
        <family val="0"/>
        <charset val="1"/>
      </rPr>
      <t xml:space="preserve">0.5625 bytes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4 bit</t>
    </r>
    <r>
      <rPr>
        <sz val="10"/>
        <rFont val="Noto Sans CJK SC"/>
        <family val="2"/>
        <charset val="1"/>
      </rPr>
      <t xml:space="preserve">＋每 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  <charset val="1"/>
      </rPr>
      <t xml:space="preserve">值 </t>
    </r>
    <r>
      <rPr>
        <sz val="10"/>
        <rFont val="Arial"/>
        <family val="0"/>
        <charset val="1"/>
      </rPr>
      <t xml:space="preserve">8 bit scale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Hopper 1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FP8 1 byte</t>
    </r>
    <r>
      <rPr>
        <sz val="10"/>
        <rFont val="Noto Sans CJK SC"/>
        <family val="2"/>
        <charset val="1"/>
      </rPr>
      <t xml:space="preserve">；選用哪種精度屬 </t>
    </r>
    <r>
      <rPr>
        <sz val="10"/>
        <rFont val="Arial"/>
        <family val="0"/>
        <charset val="1"/>
      </rPr>
      <t xml:space="preserve">Decision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T03</t>
    </r>
    <r>
      <rPr>
        <sz val="10"/>
        <rFont val="Noto Sans CJK SC"/>
        <family val="2"/>
        <charset val="1"/>
      </rPr>
      <t xml:space="preserve">）</t>
    </r>
  </si>
  <si>
    <t xml:space="preserve">INV-042</t>
  </si>
  <si>
    <r>
      <rPr>
        <sz val="10"/>
        <rFont val="Noto Sans CJK SC"/>
        <family val="2"/>
        <charset val="1"/>
      </rPr>
      <t xml:space="preserve">非專家權重 </t>
    </r>
    <r>
      <rPr>
        <sz val="10"/>
        <rFont val="Arial"/>
        <family val="0"/>
        <charset val="1"/>
      </rPr>
      <t xml:space="preserve">bytes/param</t>
    </r>
  </si>
  <si>
    <r>
      <rPr>
        <sz val="10"/>
        <rFont val="Arial"/>
        <family val="0"/>
        <charset val="1"/>
      </rPr>
      <t xml:space="preserve">C31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G31</t>
    </r>
  </si>
  <si>
    <r>
      <rPr>
        <sz val="10"/>
        <rFont val="Noto Sans CJK SC"/>
        <family val="2"/>
        <charset val="1"/>
      </rPr>
      <t xml:space="preserve">非專家權重以 </t>
    </r>
    <r>
      <rPr>
        <sz val="10"/>
        <rFont val="Arial"/>
        <family val="0"/>
        <charset val="1"/>
      </rPr>
      <t xml:space="preserve">FP8 </t>
    </r>
    <r>
      <rPr>
        <sz val="10"/>
        <rFont val="Noto Sans CJK SC"/>
        <family val="2"/>
        <charset val="1"/>
      </rPr>
      <t xml:space="preserve">存放（</t>
    </r>
    <r>
      <rPr>
        <sz val="10"/>
        <rFont val="Arial"/>
        <family val="0"/>
        <charset val="1"/>
      </rPr>
      <t xml:space="preserve">Analogy V4</t>
    </r>
    <r>
      <rPr>
        <sz val="10"/>
        <rFont val="Noto Sans CJK SC"/>
        <family val="2"/>
        <charset val="1"/>
      </rPr>
      <t xml:space="preserve">）</t>
    </r>
  </si>
  <si>
    <t xml:space="preserve">INV-043</t>
  </si>
  <si>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  <charset val="1"/>
      </rPr>
      <t xml:space="preserve">實例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數（算 </t>
    </r>
    <r>
      <rPr>
        <sz val="10"/>
        <rFont val="Arial"/>
        <family val="0"/>
        <charset val="1"/>
      </rPr>
      <t xml:space="preserve">TTFT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</si>
  <si>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G32</t>
    </r>
  </si>
  <si>
    <r>
      <rPr>
        <sz val="10"/>
        <rFont val="Arial"/>
        <family val="0"/>
        <charset val="1"/>
      </rPr>
      <t xml:space="preserve">GB300 4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S21 </t>
    </r>
    <r>
      <rPr>
        <sz val="10"/>
        <rFont val="Noto Sans CJK SC"/>
        <family val="2"/>
        <charset val="1"/>
      </rPr>
      <t xml:space="preserve">配方；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沿用（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Hopper 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RU 8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Assumed</t>
    </r>
  </si>
  <si>
    <t xml:space="preserve">INV-044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</si>
  <si>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功率 </t>
    </r>
    <r>
      <rPr>
        <sz val="10"/>
        <rFont val="Arial"/>
        <family val="0"/>
        <charset val="1"/>
      </rPr>
      <t xml:space="preserve">W/</t>
    </r>
    <r>
      <rPr>
        <sz val="10"/>
        <rFont val="Noto Sans CJK SC"/>
        <family val="2"/>
        <charset val="1"/>
      </rPr>
      <t xml:space="preserve">封裝（能量用）</t>
    </r>
  </si>
  <si>
    <r>
      <rPr>
        <sz val="10"/>
        <rFont val="Arial"/>
        <family val="0"/>
        <charset val="1"/>
      </rPr>
      <t xml:space="preserve">C33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G33</t>
    </r>
  </si>
  <si>
    <r>
      <rPr>
        <sz val="10"/>
        <rFont val="Arial"/>
        <family val="0"/>
        <charset val="1"/>
      </rPr>
      <t xml:space="preserve">VR200 1,800 W </t>
    </r>
    <r>
      <rPr>
        <sz val="10"/>
        <rFont val="Noto Sans CJK SC"/>
        <family val="2"/>
        <charset val="1"/>
      </rPr>
      <t xml:space="preserve">等於「</t>
    </r>
    <r>
      <rPr>
        <sz val="10"/>
        <rFont val="Arial"/>
        <family val="0"/>
        <charset val="1"/>
      </rPr>
      <t xml:space="preserve">Rubin </t>
    </r>
    <r>
      <rPr>
        <sz val="10"/>
        <rFont val="Noto Sans CJK SC"/>
        <family val="2"/>
        <charset val="1"/>
      </rPr>
      <t xml:space="preserve">約 </t>
    </r>
    <r>
      <rPr>
        <sz val="10"/>
        <rFont val="Arial"/>
        <family val="0"/>
        <charset val="1"/>
      </rPr>
      <t xml:space="preserve">1.8 kW</t>
    </r>
    <r>
      <rPr>
        <sz val="10"/>
        <rFont val="Noto Sans CJK SC"/>
        <family val="2"/>
        <charset val="1"/>
      </rPr>
      <t xml:space="preserve">」（未登錄來源）；其餘世代無來源（模型內建知識）；</t>
    </r>
    <r>
      <rPr>
        <sz val="10"/>
        <rFont val="Arial"/>
        <family val="0"/>
        <charset val="1"/>
      </rPr>
      <t xml:space="preserve">RU </t>
    </r>
    <r>
      <rPr>
        <sz val="10"/>
        <rFont val="Noto Sans CJK SC"/>
        <family val="2"/>
        <charset val="1"/>
      </rPr>
      <t xml:space="preserve">推估。僅用於能量下限</t>
    </r>
  </si>
  <si>
    <t xml:space="preserve">INV-045</t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</si>
  <si>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  <charset val="1"/>
      </rPr>
      <t xml:space="preserve">存取能量 </t>
    </r>
    <r>
      <rPr>
        <sz val="10"/>
        <rFont val="Arial"/>
        <family val="0"/>
        <charset val="1"/>
      </rPr>
      <t xml:space="preserve">pJ/byte</t>
    </r>
  </si>
  <si>
    <r>
      <rPr>
        <sz val="10"/>
        <rFont val="Arial"/>
        <family val="0"/>
        <charset val="1"/>
      </rPr>
      <t xml:space="preserve">C34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G34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</si>
  <si>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S29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</si>
  <si>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r>
      <rPr>
        <sz val="10"/>
        <rFont val="Arial"/>
        <family val="0"/>
        <charset val="1"/>
      </rPr>
      <t xml:space="preserve">SRC_HW_032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SRC_HW_034</t>
    </r>
  </si>
  <si>
    <t xml:space="preserve">INV-046</t>
  </si>
  <si>
    <t xml:space="preserve">BF16 dense PF/GPU</t>
  </si>
  <si>
    <r>
      <rPr>
        <sz val="10"/>
        <rFont val="Arial"/>
        <family val="0"/>
        <charset val="1"/>
      </rPr>
      <t xml:space="preserve">C39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G39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</si>
  <si>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</si>
  <si>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Hopper 0.989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S28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BF16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GB300 2.5</t>
    </r>
    <r>
      <rPr>
        <sz val="10"/>
        <rFont val="Noto Sans CJK SC"/>
        <family val="2"/>
        <charset val="1"/>
      </rPr>
      <t xml:space="preserve">（未登錄）等於規格；</t>
    </r>
    <r>
      <rPr>
        <sz val="10"/>
        <rFont val="Arial"/>
        <family val="0"/>
        <charset val="1"/>
      </rPr>
      <t xml:space="preserve">VR200 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S36 288 ÷ 72</t>
    </r>
    <r>
      <rPr>
        <sz val="10"/>
        <rFont val="Noto Sans CJK SC"/>
        <family val="2"/>
        <charset val="1"/>
      </rPr>
      <t xml:space="preserve">（改公式，值不變）；</t>
    </r>
    <r>
      <rPr>
        <sz val="10"/>
        <rFont val="Arial"/>
        <family val="0"/>
        <charset val="1"/>
      </rPr>
      <t xml:space="preserve">RU 8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</si>
  <si>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SRC_HW_019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SRC_HW_042</t>
    </r>
  </si>
  <si>
    <t xml:space="preserve">INV-047</t>
  </si>
  <si>
    <r>
      <rPr>
        <sz val="10"/>
        <rFont val="Arial"/>
        <family val="0"/>
        <charset val="1"/>
      </rPr>
      <t xml:space="preserve">FP8 dense PF/GPU</t>
    </r>
    <r>
      <rPr>
        <sz val="10"/>
        <rFont val="Noto Sans CJK SC"/>
        <family val="2"/>
        <charset val="1"/>
      </rPr>
      <t xml:space="preserve">（訓練基準，</t>
    </r>
    <r>
      <rPr>
        <sz val="10"/>
        <rFont val="Arial"/>
        <family val="0"/>
        <charset val="1"/>
      </rPr>
      <t xml:space="preserve">J7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</si>
  <si>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G40</t>
    </r>
  </si>
  <si>
    <r>
      <rPr>
        <sz val="10"/>
        <rFont val="Arial"/>
        <family val="0"/>
        <charset val="1"/>
      </rPr>
      <t xml:space="preserve">Hopper 1.979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E001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GB300 5</t>
    </r>
    <r>
      <rPr>
        <sz val="10"/>
        <rFont val="Noto Sans CJK SC"/>
        <family val="2"/>
        <charset val="1"/>
      </rPr>
      <t xml:space="preserve">（未登錄）等於規格；</t>
    </r>
    <r>
      <rPr>
        <sz val="10"/>
        <rFont val="Arial"/>
        <family val="0"/>
        <charset val="1"/>
      </rPr>
      <t xml:space="preserve">VR200 17.5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S36 1,260 ÷ 72</t>
    </r>
    <r>
      <rPr>
        <sz val="10"/>
        <rFont val="Noto Sans CJK SC"/>
        <family val="2"/>
        <charset val="1"/>
      </rPr>
      <t xml:space="preserve">（改公式，值不變）；</t>
    </r>
    <r>
      <rPr>
        <sz val="10"/>
        <rFont val="Arial"/>
        <family val="0"/>
        <charset val="1"/>
      </rPr>
      <t xml:space="preserve">RU 34.7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5 EF ÷ 144 </t>
    </r>
    <r>
      <rPr>
        <sz val="10"/>
        <rFont val="Noto Sans CJK SC"/>
        <family val="2"/>
        <charset val="1"/>
      </rPr>
      <t xml:space="preserve">取整（模型內建知識）</t>
    </r>
  </si>
  <si>
    <r>
      <rPr>
        <sz val="10"/>
        <rFont val="Arial"/>
        <family val="0"/>
        <charset val="1"/>
      </rPr>
      <t xml:space="preserve">SRC_HW_038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SRC_HW_045</t>
    </r>
  </si>
  <si>
    <t xml:space="preserve">INV-048</t>
  </si>
  <si>
    <r>
      <rPr>
        <sz val="10"/>
        <rFont val="Arial"/>
        <family val="0"/>
        <charset val="1"/>
      </rPr>
      <t xml:space="preserve">NVFP4 </t>
    </r>
    <r>
      <rPr>
        <sz val="10"/>
        <rFont val="Noto Sans CJK SC"/>
        <family val="2"/>
        <charset val="1"/>
      </rPr>
      <t xml:space="preserve">訓練 </t>
    </r>
    <r>
      <rPr>
        <sz val="10"/>
        <rFont val="Arial"/>
        <family val="0"/>
        <charset val="1"/>
      </rPr>
      <t xml:space="preserve">dense PF/GPU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Tech_Registry </t>
    </r>
    <r>
      <rPr>
        <sz val="10"/>
        <rFont val="Noto Sans CJK SC"/>
        <family val="2"/>
        <charset val="1"/>
      </rPr>
      <t xml:space="preserve">情境）</t>
    </r>
  </si>
  <si>
    <r>
      <rPr>
        <sz val="10"/>
        <rFont val="Arial"/>
        <family val="0"/>
        <charset val="1"/>
      </rPr>
      <t xml:space="preserve">C41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G41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</si>
  <si>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Derived</t>
    </r>
  </si>
  <si>
    <r>
      <rPr>
        <sz val="10"/>
        <rFont val="Arial"/>
        <family val="0"/>
        <charset val="1"/>
      </rPr>
      <t xml:space="preserve">VR200 35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S36 2,520 ÷ 72</t>
    </r>
    <r>
      <rPr>
        <sz val="10"/>
        <rFont val="Noto Sans CJK SC"/>
        <family val="2"/>
        <charset val="1"/>
      </rPr>
      <t xml:space="preserve">（改公式）；</t>
    </r>
    <r>
      <rPr>
        <sz val="10"/>
        <rFont val="Arial"/>
        <family val="0"/>
        <charset val="1"/>
      </rPr>
      <t xml:space="preserve">GB200 10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GB300 15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（區間 </t>
    </r>
    <r>
      <rPr>
        <sz val="10"/>
        <rFont val="Arial"/>
        <family val="0"/>
        <charset val="1"/>
      </rPr>
      <t xml:space="preserve">10–15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  <charset val="1"/>
      </rPr>
      <t xml:space="preserve">複製 </t>
    </r>
    <r>
      <rPr>
        <sz val="10"/>
        <rFont val="Arial"/>
        <family val="0"/>
        <charset val="1"/>
      </rPr>
      <t xml:space="preserve">FP8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RU </t>
    </r>
    <r>
      <rPr>
        <sz val="10"/>
        <rFont val="Noto Sans CJK SC"/>
        <family val="2"/>
        <charset val="1"/>
      </rPr>
      <t xml:space="preserve">推估</t>
    </r>
  </si>
  <si>
    <t xml:space="preserve">INV-049</t>
  </si>
  <si>
    <t xml:space="preserve">Arch</t>
  </si>
  <si>
    <t xml:space="preserve">總參數</t>
  </si>
  <si>
    <r>
      <rPr>
        <sz val="10"/>
        <rFont val="Arial"/>
        <family val="0"/>
        <charset val="1"/>
      </rPr>
      <t xml:space="preserve">C6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E6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</si>
  <si>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</si>
  <si>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V4-Flash 284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V4-Pro 1,600 </t>
    </r>
    <r>
      <rPr>
        <sz val="10"/>
        <rFont val="Noto Sans CJK SC"/>
        <family val="2"/>
        <charset val="1"/>
      </rPr>
      <t xml:space="preserve">為模型卡（</t>
    </r>
    <r>
      <rPr>
        <sz val="10"/>
        <rFont val="Arial"/>
        <family val="0"/>
        <charset val="1"/>
      </rPr>
      <t xml:space="preserve">S27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Astra 4,000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2–10T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</si>
  <si>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SRC_MOD_001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SRC_MOD_005</t>
    </r>
  </si>
  <si>
    <t xml:space="preserve">INV-050</t>
  </si>
  <si>
    <t xml:space="preserve">啟用參數</t>
  </si>
  <si>
    <r>
      <rPr>
        <sz val="10"/>
        <rFont val="Arial"/>
        <family val="0"/>
        <charset val="1"/>
      </rPr>
      <t xml:space="preserve">C7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E7</t>
    </r>
  </si>
  <si>
    <r>
      <rPr>
        <sz val="10"/>
        <rFont val="Arial"/>
        <family val="0"/>
        <charset val="1"/>
      </rPr>
      <t xml:space="preserve">Luna 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Sol 49 </t>
    </r>
    <r>
      <rPr>
        <sz val="10"/>
        <rFont val="Noto Sans CJK SC"/>
        <family val="2"/>
        <charset val="1"/>
      </rPr>
      <t xml:space="preserve">為模型卡；</t>
    </r>
    <r>
      <rPr>
        <sz val="10"/>
        <rFont val="Arial"/>
        <family val="0"/>
        <charset val="1"/>
      </rPr>
      <t xml:space="preserve">Astra 180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</si>
  <si>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SRC_MOD_002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SRC_MOD_006</t>
    </r>
  </si>
  <si>
    <t xml:space="preserve">INV-051</t>
  </si>
  <si>
    <t xml:space="preserve">層數</t>
  </si>
  <si>
    <r>
      <rPr>
        <sz val="10"/>
        <rFont val="Arial"/>
        <family val="0"/>
        <charset val="1"/>
      </rPr>
      <t xml:space="preserve">C8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E8</t>
    </r>
  </si>
  <si>
    <r>
      <rPr>
        <sz val="10"/>
        <rFont val="Arial"/>
        <family val="0"/>
        <charset val="1"/>
      </rPr>
      <t xml:space="preserve">Sol 61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config.json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Luna 43</t>
    </r>
    <r>
      <rPr>
        <sz val="10"/>
        <rFont val="Noto Sans CJK SC"/>
        <family val="2"/>
        <charset val="1"/>
      </rPr>
      <t xml:space="preserve">（二手）為原始；</t>
    </r>
    <r>
      <rPr>
        <sz val="10"/>
        <rFont val="Arial"/>
        <family val="0"/>
        <charset val="1"/>
      </rPr>
      <t xml:space="preserve">Astra Assumed</t>
    </r>
  </si>
  <si>
    <r>
      <rPr>
        <sz val="10"/>
        <rFont val="Arial"/>
        <family val="0"/>
        <charset val="1"/>
      </rPr>
      <t xml:space="preserve">SRC_MOD_003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SRC_MOD_007</t>
    </r>
  </si>
  <si>
    <t xml:space="preserve">INV-052</t>
  </si>
  <si>
    <t xml:space="preserve">d_model</t>
  </si>
  <si>
    <r>
      <rPr>
        <sz val="10"/>
        <rFont val="Arial"/>
        <family val="0"/>
        <charset val="1"/>
      </rPr>
      <t xml:space="preserve">C9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E9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</si>
  <si>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Derived</t>
    </r>
  </si>
  <si>
    <r>
      <rPr>
        <sz val="10"/>
        <rFont val="Arial"/>
        <family val="0"/>
        <charset val="1"/>
      </rPr>
      <t xml:space="preserve">Sol 7,168 </t>
    </r>
    <r>
      <rPr>
        <sz val="10"/>
        <rFont val="Noto Sans CJK SC"/>
        <family val="2"/>
        <charset val="1"/>
      </rPr>
      <t xml:space="preserve">原始；</t>
    </r>
    <r>
      <rPr>
        <sz val="10"/>
        <rFont val="Arial"/>
        <family val="0"/>
        <charset val="1"/>
      </rPr>
      <t xml:space="preserve">Luna 4,096 </t>
    </r>
    <r>
      <rPr>
        <sz val="10"/>
        <rFont val="Noto Sans CJK SC"/>
        <family val="2"/>
        <charset val="1"/>
      </rPr>
      <t xml:space="preserve">由專家維度反推（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Astra Assumed</t>
    </r>
  </si>
  <si>
    <t xml:space="preserve">INV-053</t>
  </si>
  <si>
    <t xml:space="preserve">query heads</t>
  </si>
  <si>
    <r>
      <rPr>
        <sz val="10"/>
        <rFont val="Arial"/>
        <family val="0"/>
        <charset val="1"/>
      </rPr>
      <t xml:space="preserve">C10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E10</t>
    </r>
  </si>
  <si>
    <r>
      <rPr>
        <sz val="10"/>
        <rFont val="Arial"/>
        <family val="0"/>
        <charset val="1"/>
      </rPr>
      <t xml:space="preserve">Sol 128 </t>
    </r>
    <r>
      <rPr>
        <sz val="10"/>
        <rFont val="Noto Sans CJK SC"/>
        <family val="2"/>
        <charset val="1"/>
      </rPr>
      <t xml:space="preserve">原始；</t>
    </r>
    <r>
      <rPr>
        <sz val="10"/>
        <rFont val="Arial"/>
        <family val="0"/>
        <charset val="1"/>
      </rPr>
      <t xml:space="preserve">Luna 64 </t>
    </r>
    <r>
      <rPr>
        <sz val="10"/>
        <rFont val="Noto Sans CJK SC"/>
        <family val="2"/>
        <charset val="1"/>
      </rPr>
      <t xml:space="preserve">取 </t>
    </r>
    <r>
      <rPr>
        <sz val="10"/>
        <rFont val="Arial"/>
        <family val="0"/>
        <charset val="1"/>
      </rPr>
      <t xml:space="preserve">Pro </t>
    </r>
    <r>
      <rPr>
        <sz val="10"/>
        <rFont val="Noto Sans CJK SC"/>
        <family val="2"/>
        <charset val="1"/>
      </rPr>
      <t xml:space="preserve">一半（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）；</t>
    </r>
    <r>
      <rPr>
        <sz val="10"/>
        <rFont val="Arial"/>
        <family val="0"/>
        <charset val="1"/>
      </rPr>
      <t xml:space="preserve">Astra 96 Assumed</t>
    </r>
  </si>
  <si>
    <t xml:space="preserve">INV-054</t>
  </si>
  <si>
    <t xml:space="preserve">head_dim</t>
  </si>
  <si>
    <r>
      <rPr>
        <sz val="10"/>
        <rFont val="Arial"/>
        <family val="0"/>
        <charset val="1"/>
      </rPr>
      <t xml:space="preserve">C11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E11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</si>
  <si>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 512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V4 </t>
    </r>
    <r>
      <rPr>
        <sz val="10"/>
        <rFont val="Noto Sans CJK SC"/>
        <family val="2"/>
        <charset val="1"/>
      </rPr>
      <t xml:space="preserve">單一 </t>
    </r>
    <r>
      <rPr>
        <sz val="10"/>
        <rFont val="Arial"/>
        <family val="0"/>
        <charset val="1"/>
      </rPr>
      <t xml:space="preserve">KV head</t>
    </r>
    <r>
      <rPr>
        <sz val="10"/>
        <rFont val="Noto Sans CJK SC"/>
        <family val="2"/>
        <charset val="1"/>
      </rPr>
      <t xml:space="preserve">）原始；</t>
    </r>
    <r>
      <rPr>
        <sz val="10"/>
        <rFont val="Arial"/>
        <family val="0"/>
        <charset val="1"/>
      </rPr>
      <t xml:space="preserve">Astra 128 Assumed</t>
    </r>
  </si>
  <si>
    <t xml:space="preserve">INV-055</t>
  </si>
  <si>
    <t xml:space="preserve">routed experts</t>
  </si>
  <si>
    <r>
      <rPr>
        <sz val="10"/>
        <rFont val="Arial"/>
        <family val="0"/>
        <charset val="1"/>
      </rPr>
      <t xml:space="preserve">C12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E12</t>
    </r>
  </si>
  <si>
    <r>
      <rPr>
        <sz val="10"/>
        <rFont val="Arial"/>
        <family val="0"/>
        <charset val="1"/>
      </rPr>
      <t xml:space="preserve">Luna 256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Sol 384 </t>
    </r>
    <r>
      <rPr>
        <sz val="10"/>
        <rFont val="Noto Sans CJK SC"/>
        <family val="2"/>
        <charset val="1"/>
      </rPr>
      <t xml:space="preserve">原始；</t>
    </r>
    <r>
      <rPr>
        <sz val="10"/>
        <rFont val="Arial"/>
        <family val="0"/>
        <charset val="1"/>
      </rPr>
      <t xml:space="preserve">Astra 512 Assumed</t>
    </r>
  </si>
  <si>
    <r>
      <rPr>
        <sz val="10"/>
        <rFont val="Arial"/>
        <family val="0"/>
        <charset val="1"/>
      </rPr>
      <t xml:space="preserve">SRC_MOD_010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SRC_MOD_011</t>
    </r>
  </si>
  <si>
    <t xml:space="preserve">INV-056</t>
  </si>
  <si>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  <charset val="1"/>
      </rPr>
      <t xml:space="preserve">啟用 </t>
    </r>
    <r>
      <rPr>
        <sz val="10"/>
        <rFont val="Arial"/>
        <family val="0"/>
        <charset val="1"/>
      </rPr>
      <t xml:space="preserve">routed experts</t>
    </r>
  </si>
  <si>
    <r>
      <rPr>
        <sz val="10"/>
        <rFont val="Arial"/>
        <family val="0"/>
        <charset val="1"/>
      </rPr>
      <t xml:space="preserve">C13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E13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</si>
  <si>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 6 </t>
    </r>
    <r>
      <rPr>
        <sz val="10"/>
        <rFont val="Noto Sans CJK SC"/>
        <family val="2"/>
        <charset val="1"/>
      </rPr>
      <t xml:space="preserve">原始；</t>
    </r>
    <r>
      <rPr>
        <sz val="10"/>
        <rFont val="Arial"/>
        <family val="0"/>
        <charset val="1"/>
      </rPr>
      <t xml:space="preserve">Astra 16 Assumed</t>
    </r>
  </si>
  <si>
    <t xml:space="preserve">INV-057</t>
  </si>
  <si>
    <t xml:space="preserve">shared experts</t>
  </si>
  <si>
    <r>
      <rPr>
        <sz val="10"/>
        <rFont val="Arial"/>
        <family val="0"/>
        <charset val="1"/>
      </rPr>
      <t xml:space="preserve">C14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E14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</si>
  <si>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 1 </t>
    </r>
    <r>
      <rPr>
        <sz val="10"/>
        <rFont val="Noto Sans CJK SC"/>
        <family val="2"/>
        <charset val="1"/>
      </rPr>
      <t xml:space="preserve">原始；</t>
    </r>
    <r>
      <rPr>
        <sz val="10"/>
        <rFont val="Arial"/>
        <family val="0"/>
        <charset val="1"/>
      </rPr>
      <t xml:space="preserve">Astra 1 Assumed</t>
    </r>
    <r>
      <rPr>
        <sz val="10"/>
        <rFont val="Noto Sans CJK SC"/>
        <family val="2"/>
        <charset val="1"/>
      </rPr>
      <t xml:space="preserve">（沿用）</t>
    </r>
  </si>
  <si>
    <t xml:space="preserve">INV-058</t>
  </si>
  <si>
    <t xml:space="preserve">vocab</t>
  </si>
  <si>
    <r>
      <rPr>
        <sz val="10"/>
        <rFont val="Arial"/>
        <family val="0"/>
        <charset val="1"/>
      </rPr>
      <t xml:space="preserve">C15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E15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</si>
  <si>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 129,280 </t>
    </r>
    <r>
      <rPr>
        <sz val="10"/>
        <rFont val="Noto Sans CJK SC"/>
        <family val="2"/>
        <charset val="1"/>
      </rPr>
      <t xml:space="preserve">原始；</t>
    </r>
    <r>
      <rPr>
        <sz val="10"/>
        <rFont val="Arial"/>
        <family val="0"/>
        <charset val="1"/>
      </rPr>
      <t xml:space="preserve">Astra 200,000 Assumed</t>
    </r>
  </si>
  <si>
    <t xml:space="preserve">INV-059</t>
  </si>
  <si>
    <t xml:space="preserve">全注意力層比例</t>
  </si>
  <si>
    <r>
      <rPr>
        <sz val="10"/>
        <rFont val="Arial"/>
        <family val="0"/>
        <charset val="1"/>
      </rPr>
      <t xml:space="preserve">C16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E16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</si>
  <si>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 0.5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CSA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HCA </t>
    </r>
    <r>
      <rPr>
        <sz val="10"/>
        <rFont val="Noto Sans CJK SC"/>
        <family val="2"/>
        <charset val="1"/>
      </rPr>
      <t xml:space="preserve">約各半）原始；</t>
    </r>
    <r>
      <rPr>
        <sz val="10"/>
        <rFont val="Arial"/>
        <family val="0"/>
        <charset val="1"/>
      </rPr>
      <t xml:space="preserve">Astra 1</t>
    </r>
    <r>
      <rPr>
        <sz val="10"/>
        <rFont val="Noto Sans CJK SC"/>
        <family val="2"/>
        <charset val="1"/>
      </rPr>
      <t xml:space="preserve">（全層注意力）為 </t>
    </r>
    <r>
      <rPr>
        <sz val="10"/>
        <rFont val="Arial"/>
        <family val="0"/>
        <charset val="1"/>
      </rPr>
      <t xml:space="preserve">Assumed </t>
    </r>
    <r>
      <rPr>
        <sz val="10"/>
        <rFont val="Noto Sans CJK SC"/>
        <family val="2"/>
        <charset val="1"/>
      </rPr>
      <t xml:space="preserve">設計</t>
    </r>
  </si>
  <si>
    <t xml:space="preserve">INV-060</t>
  </si>
  <si>
    <r>
      <rPr>
        <sz val="10"/>
        <rFont val="Noto Sans CJK SC"/>
        <family val="2"/>
        <charset val="1"/>
      </rPr>
      <t xml:space="preserve">全注意力層跨度上限（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  <charset val="1"/>
      </rPr>
      <t xml:space="preserve">＝全上下文）</t>
    </r>
  </si>
  <si>
    <r>
      <rPr>
        <sz val="10"/>
        <rFont val="Arial"/>
        <family val="0"/>
        <charset val="1"/>
      </rPr>
      <t xml:space="preserve">C17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E17</t>
    </r>
  </si>
  <si>
    <r>
      <rPr>
        <sz val="10"/>
        <rFont val="Arial"/>
        <family val="0"/>
        <charset val="1"/>
      </rPr>
      <t xml:space="preserve">Derived </t>
    </r>
    <r>
      <rPr>
        <sz val="10"/>
        <rFont val="Noto Sans CJK SC"/>
        <family val="2"/>
        <charset val="1"/>
      </rPr>
      <t xml:space="preserve">藍字（異常）</t>
    </r>
  </si>
  <si>
    <r>
      <rPr>
        <sz val="10"/>
        <rFont val="Arial"/>
        <family val="0"/>
        <charset val="1"/>
      </rPr>
      <t xml:space="preserve">4,224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1,024 </t>
    </r>
    <r>
      <rPr>
        <sz val="10"/>
        <rFont val="Noto Sans CJK SC"/>
        <family val="2"/>
        <charset val="1"/>
      </rPr>
      <t xml:space="preserve">塊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  <charset val="1"/>
      </rPr>
      <t xml:space="preserve">＋</t>
    </r>
    <r>
      <rPr>
        <sz val="10"/>
        <rFont val="Arial"/>
        <family val="0"/>
        <charset val="1"/>
      </rPr>
      <t xml:space="preserve">128 </t>
    </r>
    <r>
      <rPr>
        <sz val="10"/>
        <rFont val="Noto Sans CJK SC"/>
        <family val="2"/>
        <charset val="1"/>
      </rPr>
      <t xml:space="preserve">窗口；三個原始參數入 </t>
    </r>
    <r>
      <rPr>
        <sz val="10"/>
        <rFont val="Arial"/>
        <family val="0"/>
        <charset val="1"/>
      </rPr>
      <t xml:space="preserve">SRC_Model</t>
    </r>
    <r>
      <rPr>
        <sz val="10"/>
        <rFont val="Noto Sans CJK SC"/>
        <family val="2"/>
        <charset val="1"/>
      </rPr>
      <t xml:space="preserve">，本格改公式（值不變）；</t>
    </r>
    <r>
      <rPr>
        <sz val="10"/>
        <rFont val="Arial"/>
        <family val="0"/>
        <charset val="1"/>
      </rPr>
      <t xml:space="preserve">Astra 0</t>
    </r>
    <r>
      <rPr>
        <sz val="10"/>
        <rFont val="Noto Sans CJK SC"/>
        <family val="2"/>
        <charset val="1"/>
      </rPr>
      <t xml:space="preserve">＝全上下文為 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</si>
  <si>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SRC_MOD_018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SRC_MOD_019</t>
    </r>
  </si>
  <si>
    <t xml:space="preserve">INV-061</t>
  </si>
  <si>
    <t xml:space="preserve">其他層壓縮比</t>
  </si>
  <si>
    <r>
      <rPr>
        <sz val="10"/>
        <rFont val="Arial"/>
        <family val="0"/>
        <charset val="1"/>
      </rPr>
      <t xml:space="preserve">C18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E18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</si>
  <si>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 128 </t>
    </r>
    <r>
      <rPr>
        <sz val="10"/>
        <rFont val="Noto Sans CJK SC"/>
        <family val="2"/>
        <charset val="1"/>
      </rPr>
      <t xml:space="preserve">原始；</t>
    </r>
    <r>
      <rPr>
        <sz val="10"/>
        <rFont val="Arial"/>
        <family val="0"/>
        <charset val="1"/>
      </rPr>
      <t xml:space="preserve">Astra 1</t>
    </r>
    <r>
      <rPr>
        <sz val="10"/>
        <rFont val="Noto Sans CJK SC"/>
        <family val="2"/>
        <charset val="1"/>
      </rPr>
      <t xml:space="preserve">（不壓縮）為 </t>
    </r>
    <r>
      <rPr>
        <sz val="10"/>
        <rFont val="Arial"/>
        <family val="0"/>
        <charset val="1"/>
      </rPr>
      <t xml:space="preserve">Assumed </t>
    </r>
    <r>
      <rPr>
        <sz val="10"/>
        <rFont val="Noto Sans CJK SC"/>
        <family val="2"/>
        <charset val="1"/>
      </rPr>
      <t xml:space="preserve">設計</t>
    </r>
  </si>
  <si>
    <t xml:space="preserve">INV-062</t>
  </si>
  <si>
    <t xml:space="preserve">其他層滑動窗</t>
  </si>
  <si>
    <r>
      <rPr>
        <sz val="10"/>
        <rFont val="Arial"/>
        <family val="0"/>
        <charset val="1"/>
      </rPr>
      <t xml:space="preserve">C19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E19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</si>
  <si>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 128 </t>
    </r>
    <r>
      <rPr>
        <sz val="10"/>
        <rFont val="Noto Sans CJK SC"/>
        <family val="2"/>
        <charset val="1"/>
      </rPr>
      <t xml:space="preserve">原始；</t>
    </r>
    <r>
      <rPr>
        <sz val="10"/>
        <rFont val="Arial"/>
        <family val="0"/>
        <charset val="1"/>
      </rPr>
      <t xml:space="preserve">Astra 0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Assumed </t>
    </r>
    <r>
      <rPr>
        <sz val="10"/>
        <rFont val="Noto Sans CJK SC"/>
        <family val="2"/>
        <charset val="1"/>
      </rPr>
      <t xml:space="preserve">設計</t>
    </r>
  </si>
  <si>
    <t xml:space="preserve">INV-063</t>
  </si>
  <si>
    <r>
      <rPr>
        <sz val="10"/>
        <rFont val="Arial"/>
        <family val="0"/>
        <charset val="1"/>
      </rPr>
      <t xml:space="preserve">Astra KV </t>
    </r>
    <r>
      <rPr>
        <sz val="10"/>
        <rFont val="Noto Sans CJK SC"/>
        <family val="2"/>
        <charset val="1"/>
      </rPr>
      <t xml:space="preserve">情境（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  <charset val="1"/>
      </rPr>
      <t xml:space="preserve">混合／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  <charset val="1"/>
      </rPr>
      <t xml:space="preserve">全層 </t>
    </r>
    <r>
      <rPr>
        <sz val="10"/>
        <rFont val="Arial"/>
        <family val="0"/>
        <charset val="1"/>
      </rPr>
      <t xml:space="preserve">MLA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3 GQA-8</t>
    </r>
    <r>
      <rPr>
        <sz val="10"/>
        <rFont val="Noto Sans CJK SC"/>
        <family val="2"/>
        <charset val="1"/>
      </rPr>
      <t xml:space="preserve">）</t>
    </r>
  </si>
  <si>
    <t xml:space="preserve">E20</t>
  </si>
  <si>
    <t xml:space="preserve">INV-064</t>
  </si>
  <si>
    <r>
      <rPr>
        <sz val="10"/>
        <rFont val="Arial"/>
        <family val="0"/>
        <charset val="1"/>
      </rPr>
      <t xml:space="preserve">KV bytes/token — </t>
    </r>
    <r>
      <rPr>
        <sz val="10"/>
        <rFont val="Noto Sans CJK SC"/>
        <family val="2"/>
        <charset val="1"/>
      </rPr>
      <t xml:space="preserve">情境 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</si>
  <si>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C21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E21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</si>
  <si>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 2,795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3,965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65 × </t>
    </r>
    <r>
      <rPr>
        <sz val="10"/>
        <rFont val="Noto Sans CJK SC"/>
        <family val="2"/>
        <charset val="1"/>
      </rPr>
      <t xml:space="preserve">層數（</t>
    </r>
    <r>
      <rPr>
        <sz val="10"/>
        <rFont val="Arial"/>
        <family val="0"/>
        <charset val="1"/>
      </rPr>
      <t xml:space="preserve">v4 </t>
    </r>
    <r>
      <rPr>
        <sz val="10"/>
        <rFont val="Noto Sans CJK SC"/>
        <family val="2"/>
        <charset val="1"/>
      </rPr>
      <t xml:space="preserve">推導）；</t>
    </r>
    <r>
      <rPr>
        <sz val="10"/>
        <rFont val="Arial"/>
        <family val="0"/>
        <charset val="1"/>
      </rPr>
      <t xml:space="preserve">Astra 14,976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26% × 576 × 100</t>
    </r>
    <r>
      <rPr>
        <sz val="10"/>
        <rFont val="Noto Sans CJK SC"/>
        <family val="2"/>
        <charset val="1"/>
      </rPr>
      <t xml:space="preserve">。皆由其他輸入算出，應改公式；情境選擇本身屬 </t>
    </r>
    <r>
      <rPr>
        <sz val="10"/>
        <rFont val="Arial"/>
        <family val="0"/>
        <charset val="1"/>
      </rPr>
      <t xml:space="preserve">J1 Decision</t>
    </r>
  </si>
  <si>
    <t xml:space="preserve">INV-065</t>
  </si>
  <si>
    <r>
      <rPr>
        <sz val="10"/>
        <rFont val="Arial"/>
        <family val="0"/>
        <charset val="1"/>
      </rPr>
      <t xml:space="preserve">KV bytes/token — </t>
    </r>
    <r>
      <rPr>
        <sz val="10"/>
        <rFont val="Noto Sans CJK SC"/>
        <family val="2"/>
        <charset val="1"/>
      </rPr>
      <t xml:space="preserve">情境 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</si>
  <si>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C22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E22</t>
    </r>
  </si>
  <si>
    <r>
      <rPr>
        <sz val="10"/>
        <rFont val="Arial"/>
        <family val="0"/>
        <charset val="1"/>
      </rPr>
      <t xml:space="preserve">Astra 57,600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576 × 100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  <charset val="1"/>
      </rPr>
      <t xml:space="preserve">同情境 </t>
    </r>
    <r>
      <rPr>
        <sz val="10"/>
        <rFont val="Arial"/>
        <family val="0"/>
        <charset val="1"/>
      </rPr>
      <t xml:space="preserve">1</t>
    </r>
  </si>
  <si>
    <t xml:space="preserve">INV-066</t>
  </si>
  <si>
    <r>
      <rPr>
        <sz val="10"/>
        <rFont val="Arial"/>
        <family val="0"/>
        <charset val="1"/>
      </rPr>
      <t xml:space="preserve">KV bytes/token — </t>
    </r>
    <r>
      <rPr>
        <sz val="10"/>
        <rFont val="Noto Sans CJK SC"/>
        <family val="2"/>
        <charset val="1"/>
      </rPr>
      <t xml:space="preserve">情境 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</si>
  <si>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C23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E23</t>
    </r>
  </si>
  <si>
    <r>
      <rPr>
        <sz val="10"/>
        <rFont val="Arial"/>
        <family val="0"/>
        <charset val="1"/>
      </rPr>
      <t xml:space="preserve">Astra 204,800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8 × 128 × 2 × 100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  <charset val="1"/>
      </rPr>
      <t xml:space="preserve">同情境 </t>
    </r>
    <r>
      <rPr>
        <sz val="10"/>
        <rFont val="Arial"/>
        <family val="0"/>
        <charset val="1"/>
      </rPr>
      <t xml:space="preserve">1</t>
    </r>
  </si>
  <si>
    <t xml:space="preserve">INV-067</t>
  </si>
  <si>
    <t xml:space="preserve">Serving</t>
  </si>
  <si>
    <r>
      <rPr>
        <sz val="10"/>
        <rFont val="Arial"/>
        <family val="0"/>
        <charset val="1"/>
      </rPr>
      <t xml:space="preserve">MTP </t>
    </r>
    <r>
      <rPr>
        <sz val="10"/>
        <rFont val="Noto Sans CJK SC"/>
        <family val="2"/>
        <charset val="1"/>
      </rPr>
      <t xml:space="preserve">草稿數 </t>
    </r>
    <r>
      <rPr>
        <sz val="10"/>
        <rFont val="Arial"/>
        <family val="0"/>
        <charset val="1"/>
      </rPr>
      <t xml:space="preserve">N</t>
    </r>
  </si>
  <si>
    <t xml:space="preserve">C6</t>
  </si>
  <si>
    <t xml:space="preserve">INV-068</t>
  </si>
  <si>
    <r>
      <rPr>
        <sz val="10"/>
        <rFont val="Noto Sans CJK SC"/>
        <family val="2"/>
        <charset val="1"/>
      </rPr>
      <t xml:space="preserve">每個草稿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  <charset val="1"/>
      </rPr>
      <t xml:space="preserve">接受率 </t>
    </r>
    <r>
      <rPr>
        <sz val="10"/>
        <rFont val="Arial"/>
        <family val="0"/>
        <charset val="1"/>
      </rPr>
      <t xml:space="preserve">α</t>
    </r>
  </si>
  <si>
    <t xml:space="preserve">C7</t>
  </si>
  <si>
    <r>
      <rPr>
        <sz val="10"/>
        <rFont val="Arial"/>
        <family val="0"/>
        <charset val="1"/>
      </rPr>
      <t xml:space="preserve">0.70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S21 </t>
    </r>
    <r>
      <rPr>
        <sz val="10"/>
        <rFont val="Noto Sans CJK SC"/>
        <family val="2"/>
        <charset val="1"/>
      </rPr>
      <t xml:space="preserve">修正後接受率</t>
    </r>
  </si>
  <si>
    <t xml:space="preserve">INV-069</t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</si>
  <si>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  <charset val="1"/>
      </rPr>
      <t xml:space="preserve">保留比例（啟用值、工作區）</t>
    </r>
  </si>
  <si>
    <t xml:space="preserve">C9</t>
  </si>
  <si>
    <t xml:space="preserve">INV-070</t>
  </si>
  <si>
    <r>
      <rPr>
        <sz val="10"/>
        <rFont val="Noto Sans CJK SC"/>
        <family val="2"/>
        <charset val="1"/>
      </rPr>
      <t xml:space="preserve">非專家權重占可用 </t>
    </r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  <charset val="1"/>
      </rPr>
      <t xml:space="preserve">上限</t>
    </r>
  </si>
  <si>
    <t xml:space="preserve">C10</t>
  </si>
  <si>
    <t xml:space="preserve">INV-071</t>
  </si>
  <si>
    <r>
      <rPr>
        <sz val="10"/>
        <rFont val="Noto Sans CJK SC"/>
        <family val="2"/>
        <charset val="1"/>
      </rPr>
      <t xml:space="preserve">專家權重占可用 </t>
    </r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  <charset val="1"/>
      </rPr>
      <t xml:space="preserve">上限</t>
    </r>
  </si>
  <si>
    <t xml:space="preserve">C11</t>
  </si>
  <si>
    <t xml:space="preserve">INV-072</t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</si>
  <si>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  <charset val="1"/>
      </rPr>
      <t xml:space="preserve">啟用值 </t>
    </r>
    <r>
      <rPr>
        <sz val="10"/>
        <rFont val="Arial"/>
        <family val="0"/>
        <charset val="1"/>
      </rPr>
      <t xml:space="preserve">bytes/</t>
    </r>
    <r>
      <rPr>
        <sz val="10"/>
        <rFont val="Noto Sans CJK SC"/>
        <family val="2"/>
        <charset val="1"/>
      </rPr>
      <t xml:space="preserve">元素（</t>
    </r>
    <r>
      <rPr>
        <sz val="10"/>
        <rFont val="Arial"/>
        <family val="0"/>
        <charset val="1"/>
      </rPr>
      <t xml:space="preserve">dispatch</t>
    </r>
    <r>
      <rPr>
        <sz val="10"/>
        <rFont val="Noto Sans CJK SC"/>
        <family val="2"/>
        <charset val="1"/>
      </rPr>
      <t xml:space="preserve">＋</t>
    </r>
    <r>
      <rPr>
        <sz val="10"/>
        <rFont val="Arial"/>
        <family val="0"/>
        <charset val="1"/>
      </rPr>
      <t xml:space="preserve">combine</t>
    </r>
    <r>
      <rPr>
        <sz val="10"/>
        <rFont val="Noto Sans CJK SC"/>
        <family val="2"/>
        <charset val="1"/>
      </rPr>
      <t xml:space="preserve">）</t>
    </r>
  </si>
  <si>
    <t xml:space="preserve">C12</t>
  </si>
  <si>
    <t xml:space="preserve">INV-073</t>
  </si>
  <si>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  <charset val="1"/>
      </rPr>
      <t xml:space="preserve">讀取頻寬效率 </t>
    </r>
    <r>
      <rPr>
        <sz val="10"/>
        <rFont val="Arial"/>
        <family val="0"/>
        <charset val="1"/>
      </rPr>
      <t xml:space="preserve">η_mem</t>
    </r>
  </si>
  <si>
    <t xml:space="preserve">C13</t>
  </si>
  <si>
    <t xml:space="preserve">INV-074</t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</si>
  <si>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  <charset val="1"/>
      </rPr>
      <t xml:space="preserve">通訊效率 </t>
    </r>
    <r>
      <rPr>
        <sz val="10"/>
        <rFont val="Arial"/>
        <family val="0"/>
        <charset val="1"/>
      </rPr>
      <t xml:space="preserve">η_link</t>
    </r>
  </si>
  <si>
    <t xml:space="preserve">C14</t>
  </si>
  <si>
    <t xml:space="preserve">INV-075</t>
  </si>
  <si>
    <r>
      <rPr>
        <sz val="10"/>
        <rFont val="Noto Sans CJK SC"/>
        <family val="2"/>
        <charset val="1"/>
      </rPr>
      <t xml:space="preserve">快取命中 </t>
    </r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  <charset val="1"/>
      </rPr>
      <t xml:space="preserve">載入頻寬</t>
    </r>
  </si>
  <si>
    <t xml:space="preserve">C15</t>
  </si>
  <si>
    <t xml:space="preserve">INV-076</t>
  </si>
  <si>
    <r>
      <rPr>
        <sz val="10"/>
        <rFont val="Noto Sans CJK SC"/>
        <family val="2"/>
        <charset val="1"/>
      </rPr>
      <t xml:space="preserve">峰值情境（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dense </t>
    </r>
    <r>
      <rPr>
        <sz val="10"/>
        <rFont val="Noto Sans CJK SC"/>
        <family val="2"/>
        <charset val="1"/>
      </rPr>
      <t xml:space="preserve">基準／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NVFP4 </t>
    </r>
    <r>
      <rPr>
        <sz val="10"/>
        <rFont val="Noto Sans CJK SC"/>
        <family val="2"/>
        <charset val="1"/>
      </rPr>
      <t xml:space="preserve">推論高）</t>
    </r>
  </si>
  <si>
    <t xml:space="preserve">C16</t>
  </si>
  <si>
    <t xml:space="preserve">INV-077</t>
  </si>
  <si>
    <r>
      <rPr>
        <sz val="10"/>
        <rFont val="Noto Sans CJK SC"/>
        <family val="2"/>
        <charset val="1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  <charset val="1"/>
      </rPr>
      <t xml:space="preserve">層）</t>
    </r>
  </si>
  <si>
    <t xml:space="preserve">C17</t>
  </si>
  <si>
    <t xml:space="preserve">INV-078</t>
  </si>
  <si>
    <t xml:space="preserve">實測→生產效率折減</t>
  </si>
  <si>
    <t xml:space="preserve">C18</t>
  </si>
  <si>
    <t xml:space="preserve">INV-079</t>
  </si>
  <si>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  <charset val="1"/>
      </rPr>
      <t xml:space="preserve">：每用戶 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  <charset val="1"/>
      </rPr>
      <t xml:space="preserve">速度下限</t>
    </r>
  </si>
  <si>
    <t xml:space="preserve">tok/s</t>
  </si>
  <si>
    <r>
      <rPr>
        <sz val="10"/>
        <rFont val="Arial"/>
        <family val="0"/>
        <charset val="1"/>
      </rPr>
      <t xml:space="preserve">J3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Luna 120 </t>
    </r>
    <r>
      <rPr>
        <sz val="10"/>
        <rFont val="Noto Sans CJK SC"/>
        <family val="2"/>
        <charset val="1"/>
      </rPr>
      <t xml:space="preserve">等於 </t>
    </r>
    <r>
      <rPr>
        <sz val="10"/>
        <rFont val="Arial"/>
        <family val="0"/>
        <charset val="1"/>
      </rPr>
      <t xml:space="preserve">S26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  <charset val="1"/>
      </rPr>
      <t xml:space="preserve">取 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S26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68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  <charset val="1"/>
      </rPr>
      <t xml:space="preserve">取 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S26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52–56</t>
    </r>
    <r>
      <rPr>
        <sz val="10"/>
        <rFont val="Noto Sans CJK SC"/>
        <family val="2"/>
        <charset val="1"/>
      </rPr>
      <t xml:space="preserve">）→ 選取值，屬 </t>
    </r>
    <r>
      <rPr>
        <sz val="10"/>
        <rFont val="Arial"/>
        <family val="0"/>
        <charset val="1"/>
      </rPr>
      <t xml:space="preserve">Decision</t>
    </r>
    <r>
      <rPr>
        <sz val="10"/>
        <rFont val="Noto Sans CJK SC"/>
        <family val="2"/>
        <charset val="1"/>
      </rPr>
      <t xml:space="preserve">，附 </t>
    </r>
    <r>
      <rPr>
        <sz val="10"/>
        <rFont val="Arial"/>
        <family val="0"/>
        <charset val="1"/>
      </rPr>
      <t xml:space="preserve">SRC</t>
    </r>
  </si>
  <si>
    <r>
      <rPr>
        <sz val="10"/>
        <rFont val="Arial"/>
        <family val="0"/>
        <charset val="1"/>
      </rPr>
      <t xml:space="preserve">SRC_PERF_018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SRC_PERF_020</t>
    </r>
  </si>
  <si>
    <t xml:space="preserve">INV-080</t>
  </si>
  <si>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  <charset val="1"/>
      </rPr>
      <t xml:space="preserve">上限（只作檢查）</t>
    </r>
  </si>
  <si>
    <t xml:space="preserve">INV-081</t>
  </si>
  <si>
    <r>
      <rPr>
        <sz val="10"/>
        <rFont val="Noto Sans CJK SC"/>
        <family val="2"/>
        <charset val="1"/>
      </rPr>
      <t xml:space="preserve">參考 </t>
    </r>
    <r>
      <rPr>
        <sz val="10"/>
        <rFont val="Arial"/>
        <family val="0"/>
        <charset val="1"/>
      </rPr>
      <t xml:space="preserve">ISL</t>
    </r>
    <r>
      <rPr>
        <sz val="10"/>
        <rFont val="Noto Sans CJK SC"/>
        <family val="2"/>
        <charset val="1"/>
      </rPr>
      <t xml:space="preserve">（每次請求輸入）</t>
    </r>
  </si>
  <si>
    <t xml:space="preserve">INV-082</t>
  </si>
  <si>
    <r>
      <rPr>
        <sz val="10"/>
        <rFont val="Noto Sans CJK SC"/>
        <family val="2"/>
        <charset val="1"/>
      </rPr>
      <t xml:space="preserve">參考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  <charset val="1"/>
      </rPr>
      <t xml:space="preserve">（含思考）</t>
    </r>
  </si>
  <si>
    <r>
      <rPr>
        <sz val="10"/>
        <rFont val="Arial"/>
        <family val="0"/>
        <charset val="1"/>
      </rPr>
      <t xml:space="preserve">C24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E24</t>
    </r>
  </si>
  <si>
    <t xml:space="preserve">INV-083</t>
  </si>
  <si>
    <t xml:space="preserve">Workload</t>
  </si>
  <si>
    <r>
      <rPr>
        <sz val="10"/>
        <rFont val="Noto Sans CJK SC"/>
        <family val="2"/>
        <charset val="1"/>
      </rPr>
      <t xml:space="preserve">輪數 </t>
    </r>
    <r>
      <rPr>
        <sz val="10"/>
        <rFont val="Arial"/>
        <family val="0"/>
        <charset val="1"/>
      </rPr>
      <t xml:space="preserve">T</t>
    </r>
  </si>
  <si>
    <t xml:space="preserve">輪</t>
  </si>
  <si>
    <r>
      <rPr>
        <sz val="10"/>
        <rFont val="Arial"/>
        <family val="0"/>
        <charset val="1"/>
      </rPr>
      <t xml:space="preserve">C5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</t>
    </r>
  </si>
  <si>
    <t xml:space="preserve">INV-084</t>
  </si>
  <si>
    <r>
      <rPr>
        <sz val="10"/>
        <rFont val="Noto Sans CJK SC"/>
        <family val="2"/>
        <charset val="1"/>
      </rPr>
      <t xml:space="preserve">初始上下文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  <charset val="1"/>
      </rPr>
      <t xml:space="preserve">（系統提示、歷史、工具定義）</t>
    </r>
  </si>
  <si>
    <t xml:space="preserve">INV-085</t>
  </si>
  <si>
    <r>
      <rPr>
        <sz val="10"/>
        <rFont val="Noto Sans CJK SC"/>
        <family val="2"/>
        <charset val="1"/>
      </rPr>
      <t xml:space="preserve">每輪新輸入 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  <charset val="1"/>
      </rPr>
      <t xml:space="preserve">（使用者或工具結果）</t>
    </r>
  </si>
  <si>
    <r>
      <rPr>
        <sz val="10"/>
        <rFont val="Arial"/>
        <family val="0"/>
        <charset val="1"/>
      </rPr>
      <t xml:space="preserve">C7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G7</t>
    </r>
  </si>
  <si>
    <t xml:space="preserve">INV-086</t>
  </si>
  <si>
    <r>
      <rPr>
        <sz val="10"/>
        <rFont val="Noto Sans CJK SC"/>
        <family val="2"/>
        <charset val="1"/>
      </rPr>
      <t xml:space="preserve">每輪思考 </t>
    </r>
    <r>
      <rPr>
        <sz val="10"/>
        <rFont val="Arial"/>
        <family val="0"/>
        <charset val="1"/>
      </rPr>
      <t xml:space="preserve">token h</t>
    </r>
  </si>
  <si>
    <t xml:space="preserve">INV-087</t>
  </si>
  <si>
    <r>
      <rPr>
        <sz val="10"/>
        <rFont val="Noto Sans CJK SC"/>
        <family val="2"/>
        <charset val="1"/>
      </rPr>
      <t xml:space="preserve">每輪可見輸出 </t>
    </r>
    <r>
      <rPr>
        <sz val="10"/>
        <rFont val="Arial"/>
        <family val="0"/>
        <charset val="1"/>
      </rPr>
      <t xml:space="preserve">o</t>
    </r>
  </si>
  <si>
    <t xml:space="preserve">INV-088</t>
  </si>
  <si>
    <r>
      <rPr>
        <sz val="10"/>
        <rFont val="Noto Sans CJK SC"/>
        <family val="2"/>
        <charset val="1"/>
      </rPr>
      <t xml:space="preserve">思考保留於上下文比例 </t>
    </r>
    <r>
      <rPr>
        <sz val="10"/>
        <rFont val="Arial"/>
        <family val="0"/>
        <charset val="1"/>
      </rPr>
      <t xml:space="preserve">ρ</t>
    </r>
  </si>
  <si>
    <t xml:space="preserve">INV-089</t>
  </si>
  <si>
    <r>
      <rPr>
        <sz val="10"/>
        <rFont val="Noto Sans CJK SC"/>
        <family val="2"/>
        <charset val="1"/>
      </rPr>
      <t xml:space="preserve">歷史快取命中率 </t>
    </r>
    <r>
      <rPr>
        <sz val="10"/>
        <rFont val="Arial"/>
        <family val="0"/>
        <charset val="1"/>
      </rPr>
      <t xml:space="preserve">χ</t>
    </r>
  </si>
  <si>
    <t xml:space="preserve">INV-090</t>
  </si>
  <si>
    <r>
      <rPr>
        <sz val="10"/>
        <rFont val="Noto Sans CJK SC"/>
        <family val="2"/>
        <charset val="1"/>
      </rPr>
      <t xml:space="preserve">並行子代理數 </t>
    </r>
    <r>
      <rPr>
        <sz val="10"/>
        <rFont val="Arial"/>
        <family val="0"/>
        <charset val="1"/>
      </rPr>
      <t xml:space="preserve">m</t>
    </r>
  </si>
  <si>
    <t xml:space="preserve">INV-091</t>
  </si>
  <si>
    <r>
      <rPr>
        <sz val="10"/>
        <rFont val="Arial"/>
        <family val="0"/>
        <charset val="1"/>
      </rPr>
      <t xml:space="preserve">harness token </t>
    </r>
    <r>
      <rPr>
        <sz val="10"/>
        <rFont val="Noto Sans CJK SC"/>
        <family val="2"/>
        <charset val="1"/>
      </rPr>
      <t xml:space="preserve">倍數</t>
    </r>
  </si>
  <si>
    <r>
      <rPr>
        <sz val="10"/>
        <rFont val="Arial"/>
        <family val="0"/>
        <charset val="1"/>
      </rPr>
      <t xml:space="preserve">L1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L3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harness token </t>
    </r>
    <r>
      <rPr>
        <sz val="10"/>
        <rFont val="Noto Sans CJK SC"/>
        <family val="2"/>
        <charset val="1"/>
      </rPr>
      <t xml:space="preserve">殘差倍數預設 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  <charset val="1"/>
      </rPr>
      <t xml:space="preserve">（沿用 </t>
    </r>
    <r>
      <rPr>
        <sz val="10"/>
        <rFont val="Arial"/>
        <family val="0"/>
        <charset val="1"/>
      </rPr>
      <t xml:space="preserve">Andy</t>
    </r>
    <r>
      <rPr>
        <sz val="10"/>
        <rFont val="Noto Sans CJK SC"/>
        <family val="2"/>
        <charset val="1"/>
      </rPr>
      <t xml:space="preserve">「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  <charset val="1"/>
      </rPr>
      <t xml:space="preserve">倍數：預設 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  <charset val="1"/>
      </rPr>
      <t xml:space="preserve">」）</t>
    </r>
  </si>
  <si>
    <t xml:space="preserve">INV-092</t>
  </si>
  <si>
    <r>
      <rPr>
        <sz val="10"/>
        <rFont val="Noto Sans CJK SC"/>
        <family val="2"/>
        <charset val="1"/>
      </rPr>
      <t xml:space="preserve">歷史保留比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  <charset val="1"/>
      </rPr>
      <t xml:space="preserve">（壓縮後保留的歷史比例；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＝不壓縮）</t>
    </r>
  </si>
  <si>
    <r>
      <rPr>
        <sz val="10"/>
        <rFont val="Arial"/>
        <family val="0"/>
        <charset val="1"/>
      </rPr>
      <t xml:space="preserve">C14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G14</t>
    </r>
  </si>
  <si>
    <r>
      <rPr>
        <sz val="10"/>
        <rFont val="Arial"/>
        <family val="0"/>
        <charset val="1"/>
      </rPr>
      <t xml:space="preserve">L3</t>
    </r>
    <r>
      <rPr>
        <sz val="10"/>
        <rFont val="Noto Sans CJK SC"/>
        <family val="2"/>
        <charset val="1"/>
      </rPr>
      <t xml:space="preserve">：標準 </t>
    </r>
    <r>
      <rPr>
        <sz val="10"/>
        <rFont val="Arial"/>
        <family val="0"/>
        <charset val="1"/>
      </rPr>
      <t xml:space="preserve">harness </t>
    </r>
    <r>
      <rPr>
        <sz val="10"/>
        <rFont val="Noto Sans CJK SC"/>
        <family val="2"/>
        <charset val="1"/>
      </rPr>
      <t xml:space="preserve">不壓縮（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），屬標準檔定義</t>
    </r>
  </si>
  <si>
    <t xml:space="preserve">INV-093</t>
  </si>
  <si>
    <r>
      <rPr>
        <sz val="10"/>
        <rFont val="Noto Sans CJK SC"/>
        <family val="2"/>
        <charset val="1"/>
      </rPr>
      <t xml:space="preserve">參照：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  <charset val="1"/>
      </rPr>
      <t xml:space="preserve">揭露倍數（相對聊天）</t>
    </r>
  </si>
  <si>
    <r>
      <rPr>
        <sz val="10"/>
        <rFont val="Arial"/>
        <family val="0"/>
        <charset val="1"/>
      </rPr>
      <t xml:space="preserve">C40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F40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</si>
  <si>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  <charset val="1"/>
      </rPr>
      <t xml:space="preserve">等於 </t>
    </r>
    <r>
      <rPr>
        <sz val="10"/>
        <rFont val="Arial"/>
        <family val="0"/>
        <charset val="1"/>
      </rPr>
      <t xml:space="preserve">S25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  <charset val="1"/>
      </rPr>
      <t xml:space="preserve">為聊天基準（定義）</t>
    </r>
  </si>
  <si>
    <t xml:space="preserve">INV-094</t>
  </si>
  <si>
    <t xml:space="preserve">Calib</t>
  </si>
  <si>
    <r>
      <rPr>
        <sz val="10"/>
        <rFont val="Arial"/>
        <family val="0"/>
        <charset val="1"/>
      </rPr>
      <t xml:space="preserve">η_p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  <charset val="1"/>
      </rPr>
      <t xml:space="preserve">達成峰值比例</t>
    </r>
  </si>
  <si>
    <t xml:space="preserve">C5</t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</si>
  <si>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S30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</si>
  <si>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INV-095</t>
  </si>
  <si>
    <t xml:space="preserve">世代索引</t>
  </si>
  <si>
    <r>
      <rPr>
        <sz val="10"/>
        <rFont val="Arial"/>
        <family val="0"/>
        <charset val="1"/>
      </rPr>
      <t xml:space="preserve">C10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I10</t>
    </r>
  </si>
  <si>
    <t xml:space="preserve">INV-096</t>
  </si>
  <si>
    <r>
      <rPr>
        <sz val="10"/>
        <rFont val="Arial"/>
        <family val="0"/>
        <charset val="1"/>
      </rPr>
      <t xml:space="preserve">MTP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＝有）</t>
    </r>
  </si>
  <si>
    <r>
      <rPr>
        <sz val="10"/>
        <rFont val="Arial"/>
        <family val="0"/>
        <charset val="1"/>
      </rPr>
      <t xml:space="preserve">C13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I13</t>
    </r>
  </si>
  <si>
    <r>
      <rPr>
        <sz val="10"/>
        <rFont val="Noto Sans CJK SC"/>
        <family val="2"/>
        <charset val="1"/>
      </rPr>
      <t xml:space="preserve">錨點量測條件（是否 </t>
    </r>
    <r>
      <rPr>
        <sz val="10"/>
        <rFont val="Arial"/>
        <family val="0"/>
        <charset val="1"/>
      </rPr>
      <t xml:space="preserve">MTP</t>
    </r>
    <r>
      <rPr>
        <sz val="10"/>
        <rFont val="Noto Sans CJK SC"/>
        <family val="2"/>
        <charset val="1"/>
      </rPr>
      <t xml:space="preserve">），作為 </t>
    </r>
    <r>
      <rPr>
        <sz val="10"/>
        <rFont val="Arial"/>
        <family val="0"/>
        <charset val="1"/>
      </rPr>
      <t xml:space="preserve">SRC_Perf </t>
    </r>
    <r>
      <rPr>
        <sz val="10"/>
        <rFont val="Noto Sans CJK SC"/>
        <family val="2"/>
        <charset val="1"/>
      </rPr>
      <t xml:space="preserve">紀錄欄位</t>
    </r>
  </si>
  <si>
    <t xml:space="preserve">INV-097</t>
  </si>
  <si>
    <t xml:space="preserve">每用戶速度</t>
  </si>
  <si>
    <r>
      <rPr>
        <sz val="10"/>
        <rFont val="Arial"/>
        <family val="0"/>
        <charset val="1"/>
      </rPr>
      <t xml:space="preserve">C14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I14</t>
    </r>
  </si>
  <si>
    <t xml:space="preserve">錨點量測條件（每用戶速度）</t>
  </si>
  <si>
    <t xml:space="preserve">INV-098</t>
  </si>
  <si>
    <t xml:space="preserve">ISL</t>
  </si>
  <si>
    <r>
      <rPr>
        <sz val="10"/>
        <rFont val="Arial"/>
        <family val="0"/>
        <charset val="1"/>
      </rPr>
      <t xml:space="preserve">C15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I15</t>
    </r>
  </si>
  <si>
    <r>
      <rPr>
        <sz val="10"/>
        <rFont val="Noto Sans CJK SC"/>
        <family val="2"/>
        <charset val="1"/>
      </rPr>
      <t xml:space="preserve">錨點量測條件（</t>
    </r>
    <r>
      <rPr>
        <sz val="10"/>
        <rFont val="Arial"/>
        <family val="0"/>
        <charset val="1"/>
      </rPr>
      <t xml:space="preserve">ISL 8,192</t>
    </r>
    <r>
      <rPr>
        <sz val="10"/>
        <rFont val="Noto Sans CJK SC"/>
        <family val="2"/>
        <charset val="1"/>
      </rPr>
      <t xml:space="preserve">）</t>
    </r>
  </si>
  <si>
    <t xml:space="preserve">INV-099</t>
  </si>
  <si>
    <t xml:space="preserve">OSL</t>
  </si>
  <si>
    <r>
      <rPr>
        <sz val="10"/>
        <rFont val="Arial"/>
        <family val="0"/>
        <charset val="1"/>
      </rPr>
      <t xml:space="preserve">C16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I16</t>
    </r>
  </si>
  <si>
    <r>
      <rPr>
        <sz val="10"/>
        <rFont val="Noto Sans CJK SC"/>
        <family val="2"/>
        <charset val="1"/>
      </rPr>
      <t xml:space="preserve">錨點量測條件（</t>
    </r>
    <r>
      <rPr>
        <sz val="10"/>
        <rFont val="Arial"/>
        <family val="0"/>
        <charset val="1"/>
      </rPr>
      <t xml:space="preserve">OSL 1,024</t>
    </r>
    <r>
      <rPr>
        <sz val="10"/>
        <rFont val="Noto Sans CJK SC"/>
        <family val="2"/>
        <charset val="1"/>
      </rPr>
      <t xml:space="preserve">）</t>
    </r>
  </si>
  <si>
    <t xml:space="preserve">INV-100</t>
  </si>
  <si>
    <r>
      <rPr>
        <sz val="10"/>
        <rFont val="Noto Sans CJK SC"/>
        <family val="2"/>
        <charset val="1"/>
      </rPr>
      <t xml:space="preserve">實測 </t>
    </r>
    <r>
      <rPr>
        <sz val="10"/>
        <rFont val="Arial"/>
        <family val="0"/>
        <charset val="1"/>
      </rPr>
      <t xml:space="preserve">tok/s/GPU</t>
    </r>
    <r>
      <rPr>
        <sz val="10"/>
        <rFont val="Noto Sans CJK SC"/>
        <family val="2"/>
        <charset val="1"/>
      </rPr>
      <t xml:space="preserve">（總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</si>
  <si>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I17</t>
    </r>
  </si>
  <si>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  <charset val="1"/>
      </rPr>
      <t xml:space="preserve">個錨點實測值，全部等於 </t>
    </r>
    <r>
      <rPr>
        <sz val="10"/>
        <rFont val="Arial"/>
        <family val="0"/>
        <charset val="1"/>
      </rPr>
      <t xml:space="preserve">S20–S23</t>
    </r>
    <r>
      <rPr>
        <sz val="10"/>
        <rFont val="Noto Sans CJK SC"/>
        <family val="2"/>
        <charset val="1"/>
      </rPr>
      <t xml:space="preserve">；七點同一平台（</t>
    </r>
    <r>
      <rPr>
        <sz val="10"/>
        <rFont val="Arial"/>
        <family val="0"/>
        <charset val="1"/>
      </rPr>
      <t xml:space="preserve">InferenceX</t>
    </r>
    <r>
      <rPr>
        <sz val="10"/>
        <rFont val="Noto Sans CJK SC"/>
        <family val="2"/>
        <charset val="1"/>
      </rPr>
      <t xml:space="preserve">），須第二來源</t>
    </r>
  </si>
  <si>
    <r>
      <rPr>
        <sz val="10"/>
        <rFont val="Arial"/>
        <family val="0"/>
        <charset val="1"/>
      </rPr>
      <t xml:space="preserve">SRC_PERF_001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SRC_PERF_002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SRC_PERF_009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SRC_PERF_015</t>
    </r>
  </si>
  <si>
    <t xml:space="preserve">INV-101</t>
  </si>
  <si>
    <r>
      <rPr>
        <sz val="10"/>
        <rFont val="Arial"/>
        <family val="0"/>
        <charset val="1"/>
      </rPr>
      <t xml:space="preserve">η_d </t>
    </r>
    <r>
      <rPr>
        <sz val="10"/>
        <rFont val="Noto Sans CJK SC"/>
        <family val="2"/>
        <charset val="1"/>
      </rPr>
      <t xml:space="preserve">倍數</t>
    </r>
  </si>
  <si>
    <r>
      <rPr>
        <sz val="10"/>
        <rFont val="Arial"/>
        <family val="0"/>
        <charset val="1"/>
      </rPr>
      <t xml:space="preserve">C67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E67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F67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G67</t>
    </r>
  </si>
  <si>
    <r>
      <rPr>
        <sz val="10"/>
        <rFont val="Arial"/>
        <family val="0"/>
        <charset val="1"/>
      </rPr>
      <t xml:space="preserve">Hopper 1.5 </t>
    </r>
    <r>
      <rPr>
        <sz val="10"/>
        <rFont val="Noto Sans CJK SC"/>
        <family val="2"/>
        <charset val="1"/>
      </rPr>
      <t xml:space="preserve">由 </t>
    </r>
    <r>
      <rPr>
        <sz val="10"/>
        <rFont val="Arial"/>
        <family val="0"/>
        <charset val="1"/>
      </rPr>
      <t xml:space="preserve">S30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H800 </t>
    </r>
    <r>
      <rPr>
        <sz val="10"/>
        <rFont val="Noto Sans CJK SC"/>
        <family val="2"/>
        <charset val="1"/>
      </rPr>
      <t xml:space="preserve">約 </t>
    </r>
    <r>
      <rPr>
        <sz val="10"/>
        <rFont val="Arial"/>
        <family val="0"/>
        <charset val="1"/>
      </rPr>
      <t xml:space="preserve">18% </t>
    </r>
    <r>
      <rPr>
        <sz val="10"/>
        <rFont val="Noto Sans CJK SC"/>
        <family val="2"/>
        <charset val="1"/>
      </rPr>
      <t xml:space="preserve">峰值）換算並為峰值更正而減半；其餘沿用 </t>
    </r>
    <r>
      <rPr>
        <sz val="10"/>
        <rFont val="Arial"/>
        <family val="0"/>
        <charset val="1"/>
      </rPr>
      <t xml:space="preserve">GB300</t>
    </r>
  </si>
  <si>
    <t xml:space="preserve">INV-102</t>
  </si>
  <si>
    <t xml:space="preserve">每層延遲倍數</t>
  </si>
  <si>
    <r>
      <rPr>
        <sz val="10"/>
        <rFont val="Arial"/>
        <family val="0"/>
        <charset val="1"/>
      </rPr>
      <t xml:space="preserve">C68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E68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F68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G68</t>
    </r>
  </si>
  <si>
    <t xml:space="preserve">INV-103</t>
  </si>
  <si>
    <r>
      <rPr>
        <sz val="10"/>
        <rFont val="Arial"/>
        <family val="0"/>
        <charset val="1"/>
      </rPr>
      <t xml:space="preserve">η_p </t>
    </r>
    <r>
      <rPr>
        <sz val="10"/>
        <rFont val="Noto Sans CJK SC"/>
        <family val="2"/>
        <charset val="1"/>
      </rPr>
      <t xml:space="preserve">倍數</t>
    </r>
  </si>
  <si>
    <r>
      <rPr>
        <sz val="10"/>
        <rFont val="Arial"/>
        <family val="0"/>
        <charset val="1"/>
      </rPr>
      <t xml:space="preserve">C69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E69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F69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G69</t>
    </r>
  </si>
  <si>
    <r>
      <rPr>
        <sz val="10"/>
        <rFont val="Arial"/>
        <family val="0"/>
        <charset val="1"/>
      </rPr>
      <t xml:space="preserve">Hopper 0.5 </t>
    </r>
    <r>
      <rPr>
        <sz val="10"/>
        <rFont val="Noto Sans CJK SC"/>
        <family val="2"/>
        <charset val="1"/>
      </rPr>
      <t xml:space="preserve">為峰值更正後維持產出的調整值；其餘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S30 </t>
    </r>
    <r>
      <rPr>
        <sz val="10"/>
        <rFont val="Noto Sans CJK SC"/>
        <family val="2"/>
        <charset val="1"/>
      </rPr>
      <t xml:space="preserve">查核後重推</t>
    </r>
  </si>
  <si>
    <t xml:space="preserve">INV-104</t>
  </si>
  <si>
    <t xml:space="preserve">η_p</t>
  </si>
  <si>
    <r>
      <rPr>
        <sz val="10"/>
        <rFont val="Arial"/>
        <family val="0"/>
        <charset val="1"/>
      </rPr>
      <t xml:space="preserve">C90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D90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E90</t>
    </r>
  </si>
  <si>
    <r>
      <rPr>
        <sz val="10"/>
        <rFont val="Arial"/>
        <family val="0"/>
        <charset val="1"/>
      </rPr>
      <t xml:space="preserve">η_p </t>
    </r>
    <r>
      <rPr>
        <sz val="10"/>
        <rFont val="Noto Sans CJK SC"/>
        <family val="2"/>
        <charset val="1"/>
      </rPr>
      <t xml:space="preserve">敏感度格點 </t>
    </r>
    <r>
      <rPr>
        <sz val="10"/>
        <rFont val="Arial"/>
        <family val="0"/>
        <charset val="1"/>
      </rPr>
      <t xml:space="preserve">0.15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0.30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0.45</t>
    </r>
  </si>
  <si>
    <t xml:space="preserve">INV-105</t>
  </si>
  <si>
    <t xml:space="preserve">C100</t>
  </si>
  <si>
    <r>
      <rPr>
        <sz val="10"/>
        <rFont val="Arial"/>
        <family val="0"/>
        <charset val="1"/>
      </rPr>
      <t xml:space="preserve">DeepSeek-V3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  <charset val="1"/>
      </rPr>
      <t xml:space="preserve">總參數 </t>
    </r>
    <r>
      <rPr>
        <sz val="10"/>
        <rFont val="Arial"/>
        <family val="0"/>
        <charset val="1"/>
      </rPr>
      <t xml:space="preserve">671</t>
    </r>
    <r>
      <rPr>
        <sz val="10"/>
        <rFont val="Noto Sans CJK SC"/>
        <family val="2"/>
        <charset val="1"/>
      </rPr>
      <t xml:space="preserve">（模型卡；未登錄來源）</t>
    </r>
  </si>
  <si>
    <t xml:space="preserve">INV-106</t>
  </si>
  <si>
    <t xml:space="preserve">C101</t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</si>
  <si>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  <charset val="1"/>
      </rPr>
      <t xml:space="preserve">啟用參數 </t>
    </r>
    <r>
      <rPr>
        <sz val="10"/>
        <rFont val="Arial"/>
        <family val="0"/>
        <charset val="1"/>
      </rPr>
      <t xml:space="preserve">37</t>
    </r>
  </si>
  <si>
    <t xml:space="preserve">INV-107</t>
  </si>
  <si>
    <t xml:space="preserve">C102</t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</si>
  <si>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  <charset val="1"/>
      </rPr>
      <t xml:space="preserve">層數 </t>
    </r>
    <r>
      <rPr>
        <sz val="10"/>
        <rFont val="Arial"/>
        <family val="0"/>
        <charset val="1"/>
      </rPr>
      <t xml:space="preserve">61</t>
    </r>
  </si>
  <si>
    <t xml:space="preserve">INV-108</t>
  </si>
  <si>
    <t xml:space="preserve">C103</t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</si>
  <si>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d_model 7,168</t>
    </r>
  </si>
  <si>
    <t xml:space="preserve">INV-109</t>
  </si>
  <si>
    <t xml:space="preserve">C104</t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</si>
  <si>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routed experts 256</t>
    </r>
  </si>
  <si>
    <t xml:space="preserve">INV-110</t>
  </si>
  <si>
    <r>
      <rPr>
        <sz val="10"/>
        <rFont val="Noto Sans CJK SC"/>
        <family val="2"/>
        <charset val="1"/>
      </rPr>
      <t xml:space="preserve">啟用 </t>
    </r>
    <r>
      <rPr>
        <sz val="10"/>
        <rFont val="Arial"/>
        <family val="0"/>
        <charset val="1"/>
      </rPr>
      <t xml:space="preserve">experts</t>
    </r>
  </si>
  <si>
    <t xml:space="preserve">C105</t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</si>
  <si>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  <charset val="1"/>
      </rPr>
      <t xml:space="preserve">啟用 </t>
    </r>
    <r>
      <rPr>
        <sz val="10"/>
        <rFont val="Arial"/>
        <family val="0"/>
        <charset val="1"/>
      </rPr>
      <t xml:space="preserve">experts 8</t>
    </r>
  </si>
  <si>
    <t xml:space="preserve">INV-111</t>
  </si>
  <si>
    <t xml:space="preserve">C106</t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</si>
  <si>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shared experts 1</t>
    </r>
  </si>
  <si>
    <t xml:space="preserve">INV-112</t>
  </si>
  <si>
    <t xml:space="preserve">C107</t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</si>
  <si>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R1 vocab 129,280</t>
    </r>
  </si>
  <si>
    <t xml:space="preserve">INV-113</t>
  </si>
  <si>
    <r>
      <rPr>
        <sz val="10"/>
        <rFont val="Arial"/>
        <family val="0"/>
        <charset val="1"/>
      </rPr>
      <t xml:space="preserve">KV bytes/token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MLA 576 × 61 </t>
    </r>
    <r>
      <rPr>
        <sz val="10"/>
        <rFont val="Noto Sans CJK SC"/>
        <family val="2"/>
        <charset val="1"/>
      </rPr>
      <t xml:space="preserve">層，</t>
    </r>
    <r>
      <rPr>
        <sz val="10"/>
        <rFont val="Arial"/>
        <family val="0"/>
        <charset val="1"/>
      </rPr>
      <t xml:space="preserve">FP8</t>
    </r>
    <r>
      <rPr>
        <sz val="10"/>
        <rFont val="Noto Sans CJK SC"/>
        <family val="2"/>
        <charset val="1"/>
      </rPr>
      <t xml:space="preserve">）</t>
    </r>
  </si>
  <si>
    <t xml:space="preserve">C108</t>
  </si>
  <si>
    <r>
      <rPr>
        <sz val="10"/>
        <rFont val="Arial"/>
        <family val="0"/>
        <charset val="1"/>
      </rPr>
      <t xml:space="preserve">35,136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576 × 61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576 </t>
    </r>
    <r>
      <rPr>
        <sz val="10"/>
        <rFont val="Noto Sans CJK SC"/>
        <family val="2"/>
        <charset val="1"/>
      </rPr>
      <t xml:space="preserve">入 </t>
    </r>
    <r>
      <rPr>
        <sz val="10"/>
        <rFont val="Arial"/>
        <family val="0"/>
        <charset val="1"/>
      </rPr>
      <t xml:space="preserve">SRC</t>
    </r>
    <r>
      <rPr>
        <sz val="10"/>
        <rFont val="Noto Sans CJK SC"/>
        <family val="2"/>
        <charset val="1"/>
      </rPr>
      <t xml:space="preserve">，本格改公式（值不變）</t>
    </r>
  </si>
  <si>
    <t xml:space="preserve">INV-114</t>
  </si>
  <si>
    <r>
      <rPr>
        <sz val="10"/>
        <rFont val="Noto Sans CJK SC"/>
        <family val="2"/>
        <charset val="1"/>
      </rPr>
      <t xml:space="preserve">注意力 </t>
    </r>
    <r>
      <rPr>
        <sz val="10"/>
        <rFont val="Arial"/>
        <family val="0"/>
        <charset val="1"/>
      </rPr>
      <t xml:space="preserve">FLOPs</t>
    </r>
    <r>
      <rPr>
        <sz val="10"/>
        <rFont val="Noto Sans CJK SC"/>
        <family val="2"/>
        <charset val="1"/>
      </rPr>
      <t xml:space="preserve">／被注意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MLA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2×128×192</t>
    </r>
    <r>
      <rPr>
        <sz val="10"/>
        <rFont val="Noto Sans CJK SC"/>
        <family val="2"/>
        <charset val="1"/>
      </rPr>
      <t xml:space="preserve">＋</t>
    </r>
    <r>
      <rPr>
        <sz val="10"/>
        <rFont val="Arial"/>
        <family val="0"/>
        <charset val="1"/>
      </rPr>
      <t xml:space="preserve">2×128×128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× 61</t>
    </r>
    <r>
      <rPr>
        <sz val="10"/>
        <rFont val="Noto Sans CJK SC"/>
        <family val="2"/>
        <charset val="1"/>
      </rPr>
      <t xml:space="preserve">）</t>
    </r>
  </si>
  <si>
    <t xml:space="preserve">C109</t>
  </si>
  <si>
    <r>
      <rPr>
        <sz val="10"/>
        <rFont val="Arial"/>
        <family val="0"/>
        <charset val="1"/>
      </rPr>
      <t xml:space="preserve">4,997,120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(2×128×192</t>
    </r>
    <r>
      <rPr>
        <sz val="10"/>
        <rFont val="Noto Sans CJK SC"/>
        <family val="2"/>
        <charset val="1"/>
      </rPr>
      <t xml:space="preserve">＋</t>
    </r>
    <r>
      <rPr>
        <sz val="10"/>
        <rFont val="Arial"/>
        <family val="0"/>
        <charset val="1"/>
      </rPr>
      <t xml:space="preserve">2×128×128) × 61</t>
    </r>
    <r>
      <rPr>
        <sz val="10"/>
        <rFont val="Noto Sans CJK SC"/>
        <family val="2"/>
        <charset val="1"/>
      </rPr>
      <t xml:space="preserve">；注意力維度入 </t>
    </r>
    <r>
      <rPr>
        <sz val="10"/>
        <rFont val="Arial"/>
        <family val="0"/>
        <charset val="1"/>
      </rPr>
      <t xml:space="preserve">SRC</t>
    </r>
    <r>
      <rPr>
        <sz val="10"/>
        <rFont val="Noto Sans CJK SC"/>
        <family val="2"/>
        <charset val="1"/>
      </rPr>
      <t xml:space="preserve">（未登錄），本格改公式</t>
    </r>
  </si>
  <si>
    <t xml:space="preserve">INV-115</t>
  </si>
  <si>
    <r>
      <rPr>
        <sz val="10"/>
        <rFont val="Noto Sans CJK SC"/>
        <family val="2"/>
        <charset val="1"/>
      </rPr>
      <t xml:space="preserve">平均 </t>
    </r>
    <r>
      <rPr>
        <sz val="10"/>
        <rFont val="Arial"/>
        <family val="0"/>
        <charset val="1"/>
      </rPr>
      <t xml:space="preserve">ISL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MLCommons </t>
    </r>
    <r>
      <rPr>
        <sz val="10"/>
        <rFont val="Noto Sans CJK SC"/>
        <family val="2"/>
        <charset val="1"/>
      </rPr>
      <t xml:space="preserve">資料集）</t>
    </r>
  </si>
  <si>
    <t xml:space="preserve">C110</t>
  </si>
  <si>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S33</t>
    </r>
  </si>
  <si>
    <t xml:space="preserve">INV-116</t>
  </si>
  <si>
    <r>
      <rPr>
        <sz val="10"/>
        <rFont val="Noto Sans CJK SC"/>
        <family val="2"/>
        <charset val="1"/>
      </rPr>
      <t xml:space="preserve">平均 </t>
    </r>
    <r>
      <rPr>
        <sz val="10"/>
        <rFont val="Arial"/>
        <family val="0"/>
        <charset val="1"/>
      </rPr>
      <t xml:space="preserve">OSL</t>
    </r>
  </si>
  <si>
    <t xml:space="preserve">C111</t>
  </si>
  <si>
    <r>
      <rPr>
        <sz val="10"/>
        <rFont val="Arial"/>
        <family val="0"/>
        <charset val="1"/>
      </rPr>
      <t xml:space="preserve">3,880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S33</t>
    </r>
  </si>
  <si>
    <t xml:space="preserve">INV-117</t>
  </si>
  <si>
    <r>
      <rPr>
        <sz val="10"/>
        <rFont val="Arial"/>
        <family val="0"/>
        <charset val="1"/>
      </rPr>
      <t xml:space="preserve">C117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F117</t>
    </r>
  </si>
  <si>
    <t xml:space="preserve">INV-118</t>
  </si>
  <si>
    <r>
      <rPr>
        <sz val="10"/>
        <rFont val="Noto Sans CJK SC"/>
        <family val="2"/>
        <charset val="1"/>
      </rPr>
      <t xml:space="preserve">推測解碼（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＝有）</t>
    </r>
  </si>
  <si>
    <r>
      <rPr>
        <sz val="10"/>
        <rFont val="Arial"/>
        <family val="0"/>
        <charset val="1"/>
      </rPr>
      <t xml:space="preserve">C119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F119</t>
    </r>
  </si>
  <si>
    <r>
      <rPr>
        <sz val="10"/>
        <rFont val="Arial"/>
        <family val="0"/>
        <charset val="1"/>
      </rPr>
      <t xml:space="preserve">MLCommons </t>
    </r>
    <r>
      <rPr>
        <sz val="10"/>
        <rFont val="Noto Sans CJK SC"/>
        <family val="2"/>
        <charset val="1"/>
      </rPr>
      <t xml:space="preserve">規則（</t>
    </r>
    <r>
      <rPr>
        <sz val="10"/>
        <rFont val="Arial"/>
        <family val="0"/>
        <charset val="1"/>
      </rPr>
      <t xml:space="preserve">interactive </t>
    </r>
    <r>
      <rPr>
        <sz val="10"/>
        <rFont val="Noto Sans CJK SC"/>
        <family val="2"/>
        <charset val="1"/>
      </rPr>
      <t xml:space="preserve">允許 </t>
    </r>
    <r>
      <rPr>
        <sz val="10"/>
        <rFont val="Arial"/>
        <family val="0"/>
        <charset val="1"/>
      </rPr>
      <t xml:space="preserve">MTP 3 </t>
    </r>
    <r>
      <rPr>
        <sz val="10"/>
        <rFont val="Noto Sans CJK SC"/>
        <family val="2"/>
        <charset val="1"/>
      </rPr>
      <t xml:space="preserve">步、</t>
    </r>
    <r>
      <rPr>
        <sz val="10"/>
        <rFont val="Arial"/>
        <family val="0"/>
        <charset val="1"/>
      </rPr>
      <t xml:space="preserve">server </t>
    </r>
    <r>
      <rPr>
        <sz val="10"/>
        <rFont val="Noto Sans CJK SC"/>
        <family val="2"/>
        <charset val="1"/>
      </rPr>
      <t xml:space="preserve">未列），以旗標表示</t>
    </r>
  </si>
  <si>
    <t xml:space="preserve">INV-119</t>
  </si>
  <si>
    <r>
      <rPr>
        <sz val="10"/>
        <rFont val="Arial"/>
        <family val="0"/>
        <charset val="1"/>
      </rPr>
      <t xml:space="preserve">MLPerf </t>
    </r>
    <r>
      <rPr>
        <sz val="10"/>
        <rFont val="Noto Sans CJK SC"/>
        <family val="2"/>
        <charset val="1"/>
      </rPr>
      <t xml:space="preserve">實測輸出 </t>
    </r>
    <r>
      <rPr>
        <sz val="10"/>
        <rFont val="Arial"/>
        <family val="0"/>
        <charset val="1"/>
      </rPr>
      <t xml:space="preserve">tok/s/GPU</t>
    </r>
    <r>
      <rPr>
        <sz val="10"/>
        <rFont val="Noto Sans CJK SC"/>
        <family val="2"/>
        <charset val="1"/>
      </rPr>
      <t xml:space="preserve">（總量 </t>
    </r>
    <r>
      <rPr>
        <sz val="10"/>
        <rFont val="Arial"/>
        <family val="0"/>
        <charset val="1"/>
      </rPr>
      <t xml:space="preserve">÷ 72</t>
    </r>
    <r>
      <rPr>
        <sz val="10"/>
        <rFont val="Noto Sans CJK SC"/>
        <family val="2"/>
        <charset val="1"/>
      </rPr>
      <t xml:space="preserve">）</t>
    </r>
  </si>
  <si>
    <t xml:space="preserve">F120</t>
  </si>
  <si>
    <r>
      <rPr>
        <sz val="10"/>
        <rFont val="Arial"/>
        <family val="0"/>
        <charset val="1"/>
      </rPr>
      <t xml:space="preserve">F120 8,064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S31</t>
    </r>
    <r>
      <rPr>
        <sz val="10"/>
        <rFont val="Noto Sans CJK SC"/>
        <family val="2"/>
        <charset val="1"/>
      </rPr>
      <t xml:space="preserve">；同列 </t>
    </r>
    <r>
      <rPr>
        <sz val="10"/>
        <rFont val="Arial"/>
        <family val="0"/>
        <charset val="1"/>
      </rPr>
      <t xml:space="preserve">C–E </t>
    </r>
    <r>
      <rPr>
        <sz val="10"/>
        <rFont val="Noto Sans CJK SC"/>
        <family val="2"/>
        <charset val="1"/>
      </rPr>
      <t xml:space="preserve">為內嵌常數公式（</t>
    </r>
    <r>
      <rPr>
        <sz val="10"/>
        <rFont val="Arial"/>
        <family val="0"/>
        <charset val="1"/>
      </rPr>
      <t xml:space="preserve">=253506/72 </t>
    </r>
    <r>
      <rPr>
        <sz val="10"/>
        <rFont val="Noto Sans CJK SC"/>
        <family val="2"/>
        <charset val="1"/>
      </rPr>
      <t xml:space="preserve">等），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一併改連 </t>
    </r>
    <r>
      <rPr>
        <sz val="10"/>
        <rFont val="Arial"/>
        <family val="0"/>
        <charset val="1"/>
      </rPr>
      <t xml:space="preserve">SRC</t>
    </r>
  </si>
  <si>
    <t xml:space="preserve">INV-120</t>
  </si>
  <si>
    <t xml:space="preserve">Tech_Registry</t>
  </si>
  <si>
    <t xml:space="preserve">T01</t>
  </si>
  <si>
    <r>
      <rPr>
        <sz val="10"/>
        <rFont val="Arial"/>
        <family val="0"/>
        <charset val="1"/>
      </rPr>
      <t xml:space="preserve">MTP </t>
    </r>
    <r>
      <rPr>
        <sz val="10"/>
        <rFont val="Noto Sans CJK SC"/>
        <family val="2"/>
        <charset val="1"/>
      </rPr>
      <t xml:space="preserve">推測解碼</t>
    </r>
  </si>
  <si>
    <r>
      <rPr>
        <sz val="10"/>
        <rFont val="Arial"/>
        <family val="0"/>
        <charset val="1"/>
      </rPr>
      <t xml:space="preserve">E5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O5</t>
    </r>
  </si>
  <si>
    <r>
      <rPr>
        <sz val="10"/>
        <rFont val="Noto Sans CJK SC"/>
        <family val="2"/>
        <charset val="1"/>
      </rPr>
      <t xml:space="preserve">列內標記 </t>
    </r>
    <r>
      <rPr>
        <sz val="10"/>
        <rFont val="Arial"/>
        <family val="0"/>
        <charset val="1"/>
      </rPr>
      <t xml:space="preserve">Verified </t>
    </r>
    <r>
      <rPr>
        <sz val="10"/>
        <rFont val="Noto Sans CJK SC"/>
        <family val="2"/>
        <charset val="1"/>
      </rPr>
      <t xml:space="preserve">指採用證據，不是倍數本身；倍數為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、情境與開關為 </t>
    </r>
    <r>
      <rPr>
        <sz val="10"/>
        <rFont val="Arial"/>
        <family val="0"/>
        <charset val="1"/>
      </rPr>
      <t xml:space="preserve">Decision</t>
    </r>
    <r>
      <rPr>
        <sz val="10"/>
        <rFont val="Noto Sans CJK SC"/>
        <family val="2"/>
        <charset val="1"/>
      </rPr>
      <t xml:space="preserve">；採用數可改由 </t>
    </r>
    <r>
      <rPr>
        <sz val="10"/>
        <rFont val="Arial"/>
        <family val="0"/>
        <charset val="1"/>
      </rPr>
      <t xml:space="preserve">SRC </t>
    </r>
    <r>
      <rPr>
        <sz val="10"/>
        <rFont val="Noto Sans CJK SC"/>
        <family val="2"/>
        <charset val="1"/>
      </rPr>
      <t xml:space="preserve">採用紀錄計數</t>
    </r>
  </si>
  <si>
    <t xml:space="preserve">INV-121</t>
  </si>
  <si>
    <t xml:space="preserve">T02</t>
  </si>
  <si>
    <r>
      <rPr>
        <sz val="10"/>
        <rFont val="Noto Sans CJK SC"/>
        <family val="2"/>
        <charset val="1"/>
      </rPr>
      <t xml:space="preserve">壓縮／稀疏注意力（</t>
    </r>
    <r>
      <rPr>
        <sz val="10"/>
        <rFont val="Arial"/>
        <family val="0"/>
        <charset val="1"/>
      </rPr>
      <t xml:space="preserve">CSA/HCA </t>
    </r>
    <r>
      <rPr>
        <sz val="10"/>
        <rFont val="Noto Sans CJK SC"/>
        <family val="2"/>
        <charset val="1"/>
      </rPr>
      <t xml:space="preserve">類）</t>
    </r>
  </si>
  <si>
    <r>
      <rPr>
        <sz val="10"/>
        <rFont val="Arial"/>
        <family val="0"/>
        <charset val="1"/>
      </rPr>
      <t xml:space="preserve">E6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O6</t>
    </r>
  </si>
  <si>
    <r>
      <rPr>
        <sz val="10"/>
        <rFont val="Arial"/>
        <family val="0"/>
        <charset val="1"/>
      </rPr>
      <t xml:space="preserve">S27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S35</t>
    </r>
  </si>
  <si>
    <t xml:space="preserve">INV-122</t>
  </si>
  <si>
    <t xml:space="preserve">T03</t>
  </si>
  <si>
    <r>
      <rPr>
        <sz val="10"/>
        <rFont val="Arial"/>
        <family val="0"/>
        <charset val="1"/>
      </rPr>
      <t xml:space="preserve">FP4 </t>
    </r>
    <r>
      <rPr>
        <sz val="10"/>
        <rFont val="Noto Sans CJK SC"/>
        <family val="2"/>
        <charset val="1"/>
      </rPr>
      <t xml:space="preserve">權重推論（</t>
    </r>
    <r>
      <rPr>
        <sz val="10"/>
        <rFont val="Arial"/>
        <family val="0"/>
        <charset val="1"/>
      </rPr>
      <t xml:space="preserve">NVFP4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MXFP4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</si>
  <si>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E7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O7</t>
    </r>
  </si>
  <si>
    <t xml:space="preserve">INV-123</t>
  </si>
  <si>
    <t xml:space="preserve">T04</t>
  </si>
  <si>
    <r>
      <rPr>
        <sz val="10"/>
        <rFont val="Arial"/>
        <family val="0"/>
        <charset val="1"/>
      </rPr>
      <t xml:space="preserve">FP4 </t>
    </r>
    <r>
      <rPr>
        <sz val="10"/>
        <rFont val="Noto Sans CJK SC"/>
        <family val="2"/>
        <charset val="1"/>
      </rPr>
      <t xml:space="preserve">量化感知訓練（後訓練）</t>
    </r>
  </si>
  <si>
    <r>
      <rPr>
        <sz val="10"/>
        <rFont val="Arial"/>
        <family val="0"/>
        <charset val="1"/>
      </rPr>
      <t xml:space="preserve">E8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O8</t>
    </r>
  </si>
  <si>
    <t xml:space="preserve">INV-124</t>
  </si>
  <si>
    <t xml:space="preserve">T05</t>
  </si>
  <si>
    <r>
      <rPr>
        <sz val="10"/>
        <rFont val="Arial"/>
        <family val="0"/>
        <charset val="1"/>
      </rPr>
      <t xml:space="preserve">On-policy </t>
    </r>
    <r>
      <rPr>
        <sz val="10"/>
        <rFont val="Noto Sans CJK SC"/>
        <family val="2"/>
        <charset val="1"/>
      </rPr>
      <t xml:space="preserve">蒸餾（多專家整合）</t>
    </r>
  </si>
  <si>
    <r>
      <rPr>
        <sz val="10"/>
        <rFont val="Arial"/>
        <family val="0"/>
        <charset val="1"/>
      </rPr>
      <t xml:space="preserve">E9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O9</t>
    </r>
  </si>
  <si>
    <t xml:space="preserve">INV-125</t>
  </si>
  <si>
    <t xml:space="preserve">T06</t>
  </si>
  <si>
    <r>
      <rPr>
        <sz val="10"/>
        <rFont val="Arial"/>
        <family val="0"/>
        <charset val="1"/>
      </rPr>
      <t xml:space="preserve">Muon </t>
    </r>
    <r>
      <rPr>
        <sz val="10"/>
        <rFont val="Noto Sans CJK SC"/>
        <family val="2"/>
        <charset val="1"/>
      </rPr>
      <t xml:space="preserve">優化器</t>
    </r>
  </si>
  <si>
    <r>
      <rPr>
        <sz val="10"/>
        <rFont val="Arial"/>
        <family val="0"/>
        <charset val="1"/>
      </rPr>
      <t xml:space="preserve">E10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O10</t>
    </r>
  </si>
  <si>
    <t xml:space="preserve">INV-126</t>
  </si>
  <si>
    <t xml:space="preserve">T07</t>
  </si>
  <si>
    <r>
      <rPr>
        <sz val="10"/>
        <rFont val="Arial"/>
        <family val="0"/>
        <charset val="1"/>
      </rPr>
      <t xml:space="preserve">NVFP4 </t>
    </r>
    <r>
      <rPr>
        <sz val="10"/>
        <rFont val="Noto Sans CJK SC"/>
        <family val="2"/>
        <charset val="1"/>
      </rPr>
      <t xml:space="preserve">預訓練</t>
    </r>
  </si>
  <si>
    <r>
      <rPr>
        <sz val="10"/>
        <rFont val="Arial"/>
        <family val="0"/>
        <charset val="1"/>
      </rPr>
      <t xml:space="preserve">E11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O11</t>
    </r>
  </si>
  <si>
    <r>
      <rPr>
        <sz val="10"/>
        <rFont val="Arial"/>
        <family val="0"/>
        <charset val="1"/>
      </rPr>
      <t xml:space="preserve">T07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VR </t>
    </r>
    <r>
      <rPr>
        <sz val="10"/>
        <rFont val="Noto Sans CJK SC"/>
        <family val="2"/>
        <charset val="1"/>
      </rPr>
      <t xml:space="preserve">倍數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35 ÷ 17.5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S36 </t>
    </r>
    <r>
      <rPr>
        <sz val="10"/>
        <rFont val="Noto Sans CJK SC"/>
        <family val="2"/>
        <charset val="1"/>
      </rPr>
      <t xml:space="preserve">換算）、</t>
    </r>
    <r>
      <rPr>
        <sz val="10"/>
        <rFont val="Arial"/>
        <family val="0"/>
        <charset val="1"/>
      </rPr>
      <t xml:space="preserve">GB300 3 Assumed</t>
    </r>
  </si>
  <si>
    <t xml:space="preserve">INV-127</t>
  </si>
  <si>
    <t xml:space="preserve">T08</t>
  </si>
  <si>
    <r>
      <rPr>
        <sz val="10"/>
        <rFont val="Arial"/>
        <family val="0"/>
        <charset val="1"/>
      </rPr>
      <t xml:space="preserve">Looped transformer</t>
    </r>
    <r>
      <rPr>
        <sz val="10"/>
        <rFont val="Noto Sans CJK SC"/>
        <family val="2"/>
        <charset val="1"/>
      </rPr>
      <t xml:space="preserve">（權重共享迴圈）— 計算量</t>
    </r>
  </si>
  <si>
    <r>
      <rPr>
        <sz val="10"/>
        <rFont val="Arial"/>
        <family val="0"/>
        <charset val="1"/>
      </rPr>
      <t xml:space="preserve">E12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O12</t>
    </r>
  </si>
  <si>
    <t xml:space="preserve">INV-128</t>
  </si>
  <si>
    <t xml:space="preserve">T09</t>
  </si>
  <si>
    <r>
      <rPr>
        <sz val="10"/>
        <rFont val="Arial"/>
        <family val="0"/>
        <charset val="1"/>
      </rPr>
      <t xml:space="preserve">Looped transformer — </t>
    </r>
    <r>
      <rPr>
        <sz val="10"/>
        <rFont val="Noto Sans CJK SC"/>
        <family val="2"/>
        <charset val="1"/>
      </rPr>
      <t xml:space="preserve">每層延遲</t>
    </r>
  </si>
  <si>
    <r>
      <rPr>
        <sz val="10"/>
        <rFont val="Arial"/>
        <family val="0"/>
        <charset val="1"/>
      </rPr>
      <t xml:space="preserve">E13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O13</t>
    </r>
  </si>
  <si>
    <t xml:space="preserve">INV-129</t>
  </si>
  <si>
    <t xml:space="preserve">T10</t>
  </si>
  <si>
    <r>
      <rPr>
        <sz val="10"/>
        <rFont val="Noto Sans CJK SC"/>
        <family val="2"/>
        <charset val="1"/>
      </rPr>
      <t xml:space="preserve">非同步 </t>
    </r>
    <r>
      <rPr>
        <sz val="10"/>
        <rFont val="Arial"/>
        <family val="0"/>
        <charset val="1"/>
      </rPr>
      <t xml:space="preserve">RL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rollout </t>
    </r>
    <r>
      <rPr>
        <sz val="10"/>
        <rFont val="Noto Sans CJK SC"/>
        <family val="2"/>
        <charset val="1"/>
      </rPr>
      <t xml:space="preserve">與訓練解耦、部分 </t>
    </r>
    <r>
      <rPr>
        <sz val="10"/>
        <rFont val="Arial"/>
        <family val="0"/>
        <charset val="1"/>
      </rPr>
      <t xml:space="preserve">rollout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</si>
  <si>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E14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O14</t>
    </r>
  </si>
  <si>
    <r>
      <rPr>
        <sz val="10"/>
        <rFont val="Arial"/>
        <family val="0"/>
        <charset val="1"/>
      </rPr>
      <t xml:space="preserve">S45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S48</t>
    </r>
  </si>
  <si>
    <r>
      <rPr>
        <sz val="10"/>
        <rFont val="Arial"/>
        <family val="0"/>
        <charset val="1"/>
      </rPr>
      <t xml:space="preserve">T10</t>
    </r>
    <r>
      <rPr>
        <sz val="10"/>
        <rFont val="Noto Sans CJK SC"/>
        <family val="2"/>
        <charset val="1"/>
      </rPr>
      <t xml:space="preserve">：採用數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S45–S48 </t>
    </r>
    <r>
      <rPr>
        <sz val="10"/>
        <rFont val="Noto Sans CJK SC"/>
        <family val="2"/>
        <charset val="1"/>
      </rPr>
      <t xml:space="preserve">計數（已建採用紀錄）</t>
    </r>
  </si>
  <si>
    <r>
      <rPr>
        <sz val="10"/>
        <rFont val="Arial"/>
        <family val="0"/>
        <charset val="1"/>
      </rPr>
      <t xml:space="preserve">SRC_MOD_043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SRC_MOD_044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SRC_MOD_045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SRC_MOD_047</t>
    </r>
  </si>
  <si>
    <t xml:space="preserve">INV-130</t>
  </si>
  <si>
    <t xml:space="preserve">T11</t>
  </si>
  <si>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  <charset val="1"/>
      </rPr>
      <t xml:space="preserve">快取壓縮（</t>
    </r>
    <r>
      <rPr>
        <sz val="10"/>
        <rFont val="Arial"/>
        <family val="0"/>
        <charset val="1"/>
      </rPr>
      <t xml:space="preserve">FP4 KV </t>
    </r>
    <r>
      <rPr>
        <sz val="10"/>
        <rFont val="Noto Sans CJK SC"/>
        <family val="2"/>
        <charset val="1"/>
      </rPr>
      <t xml:space="preserve">等）</t>
    </r>
  </si>
  <si>
    <r>
      <rPr>
        <sz val="10"/>
        <rFont val="Arial"/>
        <family val="0"/>
        <charset val="1"/>
      </rPr>
      <t xml:space="preserve">E15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O15</t>
    </r>
  </si>
  <si>
    <t xml:space="preserve">INV-131</t>
  </si>
  <si>
    <t xml:space="preserve">T12</t>
  </si>
  <si>
    <r>
      <rPr>
        <sz val="10"/>
        <rFont val="Arial"/>
        <family val="0"/>
        <charset val="1"/>
      </rPr>
      <t xml:space="preserve">Harness</t>
    </r>
    <r>
      <rPr>
        <sz val="10"/>
        <rFont val="Noto Sans CJK SC"/>
        <family val="2"/>
        <charset val="1"/>
      </rPr>
      <t xml:space="preserve">（代理框架）</t>
    </r>
  </si>
  <si>
    <r>
      <rPr>
        <sz val="10"/>
        <rFont val="Arial"/>
        <family val="0"/>
        <charset val="1"/>
      </rPr>
      <t xml:space="preserve">E16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O16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</si>
  <si>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S58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</si>
  <si>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INV-132</t>
  </si>
  <si>
    <t xml:space="preserve">Perf</t>
  </si>
  <si>
    <r>
      <rPr>
        <sz val="10"/>
        <rFont val="Arial"/>
        <family val="0"/>
        <charset val="1"/>
      </rPr>
      <t xml:space="preserve">C6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P6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Q6</t>
    </r>
  </si>
  <si>
    <t xml:space="preserve">INV-133</t>
  </si>
  <si>
    <t xml:space="preserve">層級索引</t>
  </si>
  <si>
    <r>
      <rPr>
        <sz val="10"/>
        <rFont val="Arial"/>
        <family val="0"/>
        <charset val="1"/>
      </rPr>
      <t xml:space="preserve">C7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P7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Q7</t>
    </r>
  </si>
  <si>
    <t xml:space="preserve">INV-134</t>
  </si>
  <si>
    <t xml:space="preserve">Sens_Perf</t>
  </si>
  <si>
    <r>
      <rPr>
        <sz val="10"/>
        <rFont val="Arial"/>
        <family val="0"/>
        <charset val="1"/>
      </rPr>
      <t xml:space="preserve">C6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P6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Q6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T6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U6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W6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X6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Y6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Z6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AA6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AB6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AC6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AD6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AE6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AF6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AG6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AH6</t>
    </r>
  </si>
  <si>
    <t xml:space="preserve">INV-135</t>
  </si>
  <si>
    <r>
      <rPr>
        <sz val="10"/>
        <rFont val="Arial"/>
        <family val="0"/>
        <charset val="1"/>
      </rPr>
      <t xml:space="preserve">C7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P7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Q7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T7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U7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W7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X7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Y7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Z7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AA7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AB7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AC7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AD7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AE7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AF7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AG7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AH7</t>
    </r>
  </si>
  <si>
    <t xml:space="preserve">INV-136</t>
  </si>
  <si>
    <t xml:space="preserve">計算用峰值</t>
  </si>
  <si>
    <t xml:space="preserve">M14</t>
  </si>
  <si>
    <t xml:space="preserve">INV-137</t>
  </si>
  <si>
    <r>
      <rPr>
        <sz val="10"/>
        <rFont val="Arial"/>
        <family val="0"/>
        <charset val="1"/>
      </rPr>
      <t xml:space="preserve">O41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P41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Q41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R41</t>
    </r>
  </si>
  <si>
    <t xml:space="preserve">INV-138</t>
  </si>
  <si>
    <r>
      <rPr>
        <sz val="10"/>
        <rFont val="Noto Sans CJK SC"/>
        <family val="2"/>
        <charset val="1"/>
      </rPr>
      <t xml:space="preserve">參考 </t>
    </r>
    <r>
      <rPr>
        <sz val="10"/>
        <rFont val="Arial"/>
        <family val="0"/>
        <charset val="1"/>
      </rPr>
      <t xml:space="preserve">ISL</t>
    </r>
  </si>
  <si>
    <r>
      <rPr>
        <sz val="10"/>
        <rFont val="Arial"/>
        <family val="0"/>
        <charset val="1"/>
      </rPr>
      <t xml:space="preserve">W43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X43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Y43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Z43</t>
    </r>
  </si>
  <si>
    <t xml:space="preserve">INV-139</t>
  </si>
  <si>
    <t xml:space="preserve">草稿接受率</t>
  </si>
  <si>
    <r>
      <rPr>
        <sz val="10"/>
        <rFont val="Arial"/>
        <family val="0"/>
        <charset val="1"/>
      </rPr>
      <t xml:space="preserve">S48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T48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U48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V48</t>
    </r>
  </si>
  <si>
    <t xml:space="preserve">INV-140</t>
  </si>
  <si>
    <r>
      <rPr>
        <sz val="10"/>
        <rFont val="Arial"/>
        <family val="0"/>
        <charset val="1"/>
      </rPr>
      <t xml:space="preserve">AA50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AB50</t>
    </r>
  </si>
  <si>
    <t xml:space="preserve">INV-141</t>
  </si>
  <si>
    <r>
      <rPr>
        <sz val="10"/>
        <rFont val="Arial"/>
        <family val="0"/>
        <charset val="1"/>
      </rPr>
      <t xml:space="preserve">η_d </t>
    </r>
    <r>
      <rPr>
        <sz val="10"/>
        <rFont val="Noto Sans CJK SC"/>
        <family val="2"/>
        <charset val="1"/>
      </rPr>
      <t xml:space="preserve">倍數（</t>
    </r>
    <r>
      <rPr>
        <sz val="10"/>
        <rFont val="Arial"/>
        <family val="0"/>
        <charset val="1"/>
      </rPr>
      <t xml:space="preserve">Tech_Registry H_ETAD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Sens_Perf </t>
    </r>
    <r>
      <rPr>
        <sz val="10"/>
        <rFont val="Noto Sans CJK SC"/>
        <family val="2"/>
        <charset val="1"/>
      </rPr>
      <t xml:space="preserve">情境覆寫）</t>
    </r>
  </si>
  <si>
    <r>
      <rPr>
        <sz val="10"/>
        <rFont val="Arial"/>
        <family val="0"/>
        <charset val="1"/>
      </rPr>
      <t xml:space="preserve">E52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G52</t>
    </r>
  </si>
  <si>
    <t xml:space="preserve">INV-142</t>
  </si>
  <si>
    <r>
      <rPr>
        <sz val="10"/>
        <rFont val="Noto Sans CJK SC"/>
        <family val="2"/>
        <charset val="1"/>
      </rPr>
      <t xml:space="preserve">每層延遲倍數（</t>
    </r>
    <r>
      <rPr>
        <sz val="10"/>
        <rFont val="Arial"/>
        <family val="0"/>
        <charset val="1"/>
      </rPr>
      <t xml:space="preserve">Tech_Registry H_TL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Sens_Perf </t>
    </r>
    <r>
      <rPr>
        <sz val="10"/>
        <rFont val="Noto Sans CJK SC"/>
        <family val="2"/>
        <charset val="1"/>
      </rPr>
      <t xml:space="preserve">情境覆寫）</t>
    </r>
  </si>
  <si>
    <r>
      <rPr>
        <sz val="10"/>
        <rFont val="Arial"/>
        <family val="0"/>
        <charset val="1"/>
      </rPr>
      <t xml:space="preserve">I54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K54</t>
    </r>
  </si>
  <si>
    <t xml:space="preserve">INV-143</t>
  </si>
  <si>
    <t xml:space="preserve">Unit_Cost</t>
  </si>
  <si>
    <t xml:space="preserve">INV-144</t>
  </si>
  <si>
    <t xml:space="preserve">Train_In</t>
  </si>
  <si>
    <r>
      <rPr>
        <sz val="10"/>
        <rFont val="Noto Sans CJK SC"/>
        <family val="2"/>
        <charset val="1"/>
      </rPr>
      <t xml:space="preserve">訓練精度（</t>
    </r>
    <r>
      <rPr>
        <sz val="10"/>
        <rFont val="Arial"/>
        <family val="0"/>
        <charset val="1"/>
      </rPr>
      <t xml:space="preserve">MFU </t>
    </r>
    <r>
      <rPr>
        <sz val="10"/>
        <rFont val="Noto Sans CJK SC"/>
        <family val="2"/>
        <charset val="1"/>
      </rPr>
      <t xml:space="preserve">分母）</t>
    </r>
  </si>
  <si>
    <t xml:space="preserve">INV-145</t>
  </si>
  <si>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MFU </t>
    </r>
    <r>
      <rPr>
        <sz val="10"/>
        <rFont val="Noto Sans CJK SC"/>
        <family val="2"/>
        <charset val="1"/>
      </rPr>
      <t xml:space="preserve">基準（</t>
    </r>
    <r>
      <rPr>
        <sz val="10"/>
        <rFont val="Arial"/>
        <family val="0"/>
        <charset val="1"/>
      </rPr>
      <t xml:space="preserve">FP8 </t>
    </r>
    <r>
      <rPr>
        <sz val="10"/>
        <rFont val="Noto Sans CJK SC"/>
        <family val="2"/>
        <charset val="1"/>
      </rPr>
      <t xml:space="preserve">分母；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</si>
  <si>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S37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</si>
  <si>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INV-146</t>
  </si>
  <si>
    <r>
      <rPr>
        <sz val="10"/>
        <rFont val="Arial"/>
        <family val="0"/>
        <charset val="1"/>
      </rPr>
      <t xml:space="preserve">goodput</t>
    </r>
    <r>
      <rPr>
        <sz val="10"/>
        <rFont val="Noto Sans CJK SC"/>
        <family val="2"/>
        <charset val="1"/>
      </rPr>
      <t xml:space="preserve">（扣除故障、重啟、</t>
    </r>
    <r>
      <rPr>
        <sz val="10"/>
        <rFont val="Arial"/>
        <family val="0"/>
        <charset val="1"/>
      </rPr>
      <t xml:space="preserve">checkpoint </t>
    </r>
    <r>
      <rPr>
        <sz val="10"/>
        <rFont val="Noto Sans CJK SC"/>
        <family val="2"/>
        <charset val="1"/>
      </rPr>
      <t xml:space="preserve">的有效時間比）</t>
    </r>
  </si>
  <si>
    <r>
      <rPr>
        <sz val="10"/>
        <rFont val="Arial"/>
        <family val="0"/>
        <charset val="1"/>
      </rPr>
      <t xml:space="preserve">goodput 0.9 </t>
    </r>
    <r>
      <rPr>
        <sz val="10"/>
        <rFont val="Noto Sans CJK SC"/>
        <family val="2"/>
        <charset val="1"/>
      </rPr>
      <t xml:space="preserve">以 </t>
    </r>
    <r>
      <rPr>
        <sz val="10"/>
        <rFont val="Arial"/>
        <family val="0"/>
        <charset val="1"/>
      </rPr>
      <t xml:space="preserve">Llama 3 &gt;90%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S37</t>
    </r>
    <r>
      <rPr>
        <sz val="10"/>
        <rFont val="Noto Sans CJK SC"/>
        <family val="2"/>
        <charset val="1"/>
      </rPr>
      <t xml:space="preserve">）類比</t>
    </r>
  </si>
  <si>
    <t xml:space="preserve">INV-147</t>
  </si>
  <si>
    <r>
      <rPr>
        <sz val="10"/>
        <rFont val="Arial"/>
        <family val="0"/>
        <charset val="1"/>
      </rPr>
      <t xml:space="preserve">SFT MFU </t>
    </r>
    <r>
      <rPr>
        <sz val="10"/>
        <rFont val="Noto Sans CJK SC"/>
        <family val="2"/>
        <charset val="1"/>
      </rPr>
      <t xml:space="preserve">係數（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MFU</t>
    </r>
    <r>
      <rPr>
        <sz val="10"/>
        <rFont val="Noto Sans CJK SC"/>
        <family val="2"/>
        <charset val="1"/>
      </rPr>
      <t xml:space="preserve">）</t>
    </r>
  </si>
  <si>
    <t xml:space="preserve">C8</t>
  </si>
  <si>
    <t xml:space="preserve">INV-148</t>
  </si>
  <si>
    <r>
      <rPr>
        <sz val="10"/>
        <rFont val="Arial"/>
        <family val="0"/>
        <charset val="1"/>
      </rPr>
      <t xml:space="preserve">RL trainer MFU </t>
    </r>
    <r>
      <rPr>
        <sz val="10"/>
        <rFont val="Noto Sans CJK SC"/>
        <family val="2"/>
        <charset val="1"/>
      </rPr>
      <t xml:space="preserve">係數（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MFU</t>
    </r>
    <r>
      <rPr>
        <sz val="10"/>
        <rFont val="Noto Sans CJK SC"/>
        <family val="2"/>
        <charset val="1"/>
      </rPr>
      <t xml:space="preserve">）</t>
    </r>
  </si>
  <si>
    <t xml:space="preserve">INV-149</t>
  </si>
  <si>
    <r>
      <rPr>
        <sz val="10"/>
        <rFont val="Noto Sans CJK SC"/>
        <family val="2"/>
        <charset val="1"/>
      </rPr>
      <t xml:space="preserve">參考模型前向（</t>
    </r>
    <r>
      <rPr>
        <sz val="10"/>
        <rFont val="Arial"/>
        <family val="0"/>
        <charset val="1"/>
      </rPr>
      <t xml:space="preserve">KL </t>
    </r>
    <r>
      <rPr>
        <sz val="10"/>
        <rFont val="Noto Sans CJK SC"/>
        <family val="2"/>
        <charset val="1"/>
      </rPr>
      <t xml:space="preserve">懲罰；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  <charset val="1"/>
      </rPr>
      <t xml:space="preserve">＝無、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＝有）</t>
    </r>
  </si>
  <si>
    <t xml:space="preserve">INV-150</t>
  </si>
  <si>
    <r>
      <rPr>
        <sz val="10"/>
        <rFont val="Arial"/>
        <family val="0"/>
        <charset val="1"/>
      </rPr>
      <t xml:space="preserve">rollout </t>
    </r>
    <r>
      <rPr>
        <sz val="10"/>
        <rFont val="Noto Sans CJK SC"/>
        <family val="2"/>
        <charset val="1"/>
      </rPr>
      <t xml:space="preserve">效率（長尾等待、權重同步、閒置）</t>
    </r>
  </si>
  <si>
    <r>
      <rPr>
        <sz val="10"/>
        <rFont val="Arial"/>
        <family val="0"/>
        <charset val="1"/>
      </rPr>
      <t xml:space="preserve">S45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S49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</si>
  <si>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S45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S49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</si>
  <si>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INV-151</t>
  </si>
  <si>
    <r>
      <rPr>
        <sz val="10"/>
        <rFont val="Arial"/>
        <family val="0"/>
        <charset val="1"/>
      </rPr>
      <t xml:space="preserve">GRPO </t>
    </r>
    <r>
      <rPr>
        <sz val="10"/>
        <rFont val="Noto Sans CJK SC"/>
        <family val="2"/>
        <charset val="1"/>
      </rPr>
      <t xml:space="preserve">每題取樣數（共用 </t>
    </r>
    <r>
      <rPr>
        <sz val="10"/>
        <rFont val="Arial"/>
        <family val="0"/>
        <charset val="1"/>
      </rPr>
      <t xml:space="preserve">prompt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  <charset val="1"/>
      </rPr>
      <t xml:space="preserve">只算一次）</t>
    </r>
  </si>
  <si>
    <t xml:space="preserve">INV-152</t>
  </si>
  <si>
    <r>
      <rPr>
        <sz val="10"/>
        <rFont val="Noto Sans CJK SC"/>
        <family val="2"/>
        <charset val="1"/>
      </rPr>
      <t xml:space="preserve">研發倍數（研發總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小時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  <charset val="1"/>
      </rPr>
      <t xml:space="preserve">最終訓練）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</si>
  <si>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S38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</si>
  <si>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INV-153</t>
  </si>
  <si>
    <t xml:space="preserve">研發歸屬</t>
  </si>
  <si>
    <t xml:space="preserve">INV-154</t>
  </si>
  <si>
    <r>
      <rPr>
        <sz val="10"/>
        <rFont val="Noto Sans CJK SC"/>
        <family val="2"/>
        <charset val="1"/>
      </rPr>
      <t xml:space="preserve">合成資料生成層級（</t>
    </r>
    <r>
      <rPr>
        <sz val="10"/>
        <rFont val="Arial"/>
        <family val="0"/>
        <charset val="1"/>
      </rPr>
      <t xml:space="preserve">1 Luna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2 Sol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3 Astra</t>
    </r>
    <r>
      <rPr>
        <sz val="10"/>
        <rFont val="Noto Sans CJK SC"/>
        <family val="2"/>
        <charset val="1"/>
      </rPr>
      <t xml:space="preserve">）</t>
    </r>
  </si>
  <si>
    <t xml:space="preserve">INV-155</t>
  </si>
  <si>
    <t xml:space="preserve">下游預設訓練世代（世代索引）</t>
  </si>
  <si>
    <t xml:space="preserve">索引</t>
  </si>
  <si>
    <t xml:space="preserve">INV-156</t>
  </si>
  <si>
    <t xml:space="preserve">並列訓練世代（世代索引）</t>
  </si>
  <si>
    <t xml:space="preserve">INV-157</t>
  </si>
  <si>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MFU </t>
    </r>
    <r>
      <rPr>
        <sz val="10"/>
        <rFont val="Noto Sans CJK SC"/>
        <family val="2"/>
        <charset val="1"/>
      </rPr>
      <t xml:space="preserve">世代倍數</t>
    </r>
  </si>
  <si>
    <r>
      <rPr>
        <sz val="10"/>
        <rFont val="Arial"/>
        <family val="0"/>
        <charset val="1"/>
      </rPr>
      <t xml:space="preserve">C21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G21</t>
    </r>
  </si>
  <si>
    <r>
      <rPr>
        <sz val="10"/>
        <rFont val="Arial"/>
        <family val="0"/>
        <charset val="1"/>
      </rPr>
      <t xml:space="preserve">Hopper 0.8 </t>
    </r>
    <r>
      <rPr>
        <sz val="10"/>
        <rFont val="Noto Sans CJK SC"/>
        <family val="2"/>
        <charset val="1"/>
      </rPr>
      <t xml:space="preserve">由 </t>
    </r>
    <r>
      <rPr>
        <sz val="10"/>
        <rFont val="Arial"/>
        <family val="0"/>
        <charset val="1"/>
      </rPr>
      <t xml:space="preserve">V3 </t>
    </r>
    <r>
      <rPr>
        <sz val="10"/>
        <rFont val="Noto Sans CJK SC"/>
        <family val="2"/>
        <charset val="1"/>
      </rPr>
      <t xml:space="preserve">推導 </t>
    </r>
    <r>
      <rPr>
        <sz val="10"/>
        <rFont val="Arial"/>
        <family val="0"/>
        <charset val="1"/>
      </rPr>
      <t xml:space="preserve">MFU </t>
    </r>
    <r>
      <rPr>
        <sz val="10"/>
        <rFont val="Noto Sans CJK SC"/>
        <family val="2"/>
        <charset val="1"/>
      </rPr>
      <t xml:space="preserve">反推（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  <charset val="1"/>
      </rPr>
      <t xml:space="preserve">）；其餘 </t>
    </r>
    <r>
      <rPr>
        <sz val="10"/>
        <rFont val="Arial"/>
        <family val="0"/>
        <charset val="1"/>
      </rPr>
      <t xml:space="preserve">Assumed</t>
    </r>
  </si>
  <si>
    <t xml:space="preserve">INV-158</t>
  </si>
  <si>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</si>
  <si>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C25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E25</t>
    </r>
  </si>
  <si>
    <r>
      <rPr>
        <sz val="10"/>
        <rFont val="Arial"/>
        <family val="0"/>
        <charset val="1"/>
      </rPr>
      <t xml:space="preserve">Luna 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Sol 33 </t>
    </r>
    <r>
      <rPr>
        <sz val="10"/>
        <rFont val="Noto Sans CJK SC"/>
        <family val="2"/>
        <charset val="1"/>
      </rPr>
      <t xml:space="preserve">等於 </t>
    </r>
    <r>
      <rPr>
        <sz val="10"/>
        <rFont val="Arial"/>
        <family val="0"/>
        <charset val="1"/>
      </rPr>
      <t xml:space="preserve">S35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Astra 60 Assumed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J8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</si>
  <si>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SRC_MOD_029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SRC_MOD_030</t>
    </r>
  </si>
  <si>
    <t xml:space="preserve">INV-159</t>
  </si>
  <si>
    <r>
      <rPr>
        <sz val="10"/>
        <rFont val="Noto Sans CJK SC"/>
        <family val="2"/>
        <charset val="1"/>
      </rPr>
      <t xml:space="preserve">預訓練序列長（</t>
    </r>
    <r>
      <rPr>
        <sz val="10"/>
        <rFont val="Arial"/>
        <family val="0"/>
        <charset val="1"/>
      </rPr>
      <t xml:space="preserve">dense </t>
    </r>
    <r>
      <rPr>
        <sz val="10"/>
        <rFont val="Noto Sans CJK SC"/>
        <family val="2"/>
        <charset val="1"/>
      </rPr>
      <t xml:space="preserve">注意力）</t>
    </r>
  </si>
  <si>
    <r>
      <rPr>
        <sz val="10"/>
        <rFont val="Arial"/>
        <family val="0"/>
        <charset val="1"/>
      </rPr>
      <t xml:space="preserve">C26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E26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</si>
  <si>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S35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</si>
  <si>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INV-160</t>
  </si>
  <si>
    <r>
      <rPr>
        <sz val="10"/>
        <rFont val="Noto Sans CJK SC"/>
        <family val="2"/>
        <charset val="1"/>
      </rPr>
      <t xml:space="preserve">長上下文延伸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</si>
  <si>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C27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E27</t>
    </r>
  </si>
  <si>
    <t xml:space="preserve">INV-161</t>
  </si>
  <si>
    <t xml:space="preserve">長上下文延伸序列長（稀疏注意力路徑）</t>
  </si>
  <si>
    <r>
      <rPr>
        <sz val="10"/>
        <rFont val="Arial"/>
        <family val="0"/>
        <charset val="1"/>
      </rPr>
      <t xml:space="preserve">C28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E28</t>
    </r>
  </si>
  <si>
    <t xml:space="preserve">INV-162</t>
  </si>
  <si>
    <t xml:space="preserve">SFT token</t>
  </si>
  <si>
    <r>
      <rPr>
        <sz val="10"/>
        <rFont val="Arial"/>
        <family val="0"/>
        <charset val="1"/>
      </rPr>
      <t xml:space="preserve">C29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E29</t>
    </r>
  </si>
  <si>
    <t xml:space="preserve">INV-163</t>
  </si>
  <si>
    <r>
      <rPr>
        <sz val="10"/>
        <rFont val="Arial"/>
        <family val="0"/>
        <charset val="1"/>
      </rPr>
      <t xml:space="preserve">SFT </t>
    </r>
    <r>
      <rPr>
        <sz val="10"/>
        <rFont val="Noto Sans CJK SC"/>
        <family val="2"/>
        <charset val="1"/>
      </rPr>
      <t xml:space="preserve">序列長</t>
    </r>
  </si>
  <si>
    <r>
      <rPr>
        <sz val="10"/>
        <rFont val="Arial"/>
        <family val="0"/>
        <charset val="1"/>
      </rPr>
      <t xml:space="preserve">C30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E30</t>
    </r>
  </si>
  <si>
    <t xml:space="preserve">INV-164</t>
  </si>
  <si>
    <r>
      <rPr>
        <sz val="10"/>
        <rFont val="Noto Sans CJK SC"/>
        <family val="2"/>
        <charset val="1"/>
      </rPr>
      <t xml:space="preserve">批次推論速度下限（</t>
    </r>
    <r>
      <rPr>
        <sz val="10"/>
        <rFont val="Arial"/>
        <family val="0"/>
        <charset val="1"/>
      </rPr>
      <t xml:space="preserve">rollout</t>
    </r>
    <r>
      <rPr>
        <sz val="10"/>
        <rFont val="Noto Sans CJK SC"/>
        <family val="2"/>
        <charset val="1"/>
      </rPr>
      <t xml:space="preserve">、合成、評測）</t>
    </r>
  </si>
  <si>
    <r>
      <rPr>
        <sz val="10"/>
        <rFont val="Arial"/>
        <family val="0"/>
        <charset val="1"/>
      </rPr>
      <t xml:space="preserve">C31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E31</t>
    </r>
  </si>
  <si>
    <t xml:space="preserve">INV-165</t>
  </si>
  <si>
    <r>
      <rPr>
        <sz val="10"/>
        <rFont val="Arial"/>
        <family val="0"/>
        <charset val="1"/>
      </rPr>
      <t xml:space="preserve">rollout </t>
    </r>
    <r>
      <rPr>
        <sz val="10"/>
        <rFont val="Noto Sans CJK SC"/>
        <family val="2"/>
        <charset val="1"/>
      </rPr>
      <t xml:space="preserve">參考輸入（</t>
    </r>
    <r>
      <rPr>
        <sz val="10"/>
        <rFont val="Arial"/>
        <family val="0"/>
        <charset val="1"/>
      </rPr>
      <t xml:space="preserve">prompt</t>
    </r>
    <r>
      <rPr>
        <sz val="10"/>
        <rFont val="Noto Sans CJK SC"/>
        <family val="2"/>
        <charset val="1"/>
      </rPr>
      <t xml:space="preserve">＋工具結果）</t>
    </r>
  </si>
  <si>
    <r>
      <rPr>
        <sz val="10"/>
        <rFont val="Arial"/>
        <family val="0"/>
        <charset val="1"/>
      </rPr>
      <t xml:space="preserve">C32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E32</t>
    </r>
  </si>
  <si>
    <t xml:space="preserve">INV-166</t>
  </si>
  <si>
    <r>
      <rPr>
        <sz val="10"/>
        <rFont val="Arial"/>
        <family val="0"/>
        <charset val="1"/>
      </rPr>
      <t xml:space="preserve">rollout </t>
    </r>
    <r>
      <rPr>
        <sz val="10"/>
        <rFont val="Noto Sans CJK SC"/>
        <family val="2"/>
        <charset val="1"/>
      </rPr>
      <t xml:space="preserve">參考輸出（含思考）</t>
    </r>
  </si>
  <si>
    <r>
      <rPr>
        <sz val="10"/>
        <rFont val="Arial"/>
        <family val="0"/>
        <charset val="1"/>
      </rPr>
      <t xml:space="preserve">C33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E33</t>
    </r>
  </si>
  <si>
    <t xml:space="preserve">INV-167</t>
  </si>
  <si>
    <r>
      <rPr>
        <sz val="10"/>
        <rFont val="Arial"/>
        <family val="0"/>
        <charset val="1"/>
      </rPr>
      <t xml:space="preserve">RL rollout </t>
    </r>
    <r>
      <rPr>
        <sz val="10"/>
        <rFont val="Noto Sans CJK SC"/>
        <family val="2"/>
        <charset val="1"/>
      </rPr>
      <t xml:space="preserve">輸出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  <charset val="1"/>
      </rPr>
      <t xml:space="preserve">（含各領域專家）</t>
    </r>
  </si>
  <si>
    <r>
      <rPr>
        <sz val="10"/>
        <rFont val="Arial"/>
        <family val="0"/>
        <charset val="1"/>
      </rPr>
      <t xml:space="preserve">C34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E34</t>
    </r>
  </si>
  <si>
    <r>
      <rPr>
        <sz val="10"/>
        <rFont val="Arial"/>
        <family val="0"/>
        <charset val="1"/>
      </rPr>
      <t xml:space="preserve">S40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S42</t>
    </r>
  </si>
  <si>
    <r>
      <rPr>
        <sz val="10"/>
        <rFont val="Arial"/>
        <family val="0"/>
        <charset val="1"/>
      </rPr>
      <t xml:space="preserve">J9 </t>
    </r>
    <r>
      <rPr>
        <sz val="10"/>
        <rFont val="Noto Sans CJK SC"/>
        <family val="2"/>
        <charset val="1"/>
      </rPr>
      <t xml:space="preserve">校準值：使 </t>
    </r>
    <r>
      <rPr>
        <sz val="10"/>
        <rFont val="Arial"/>
        <family val="0"/>
        <charset val="1"/>
      </rPr>
      <t xml:space="preserve">RL ÷ </t>
    </r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小時符合 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  <charset val="1"/>
      </rPr>
      <t xml:space="preserve">；外部錨點 </t>
    </r>
    <r>
      <rPr>
        <sz val="10"/>
        <rFont val="Arial"/>
        <family val="0"/>
        <charset val="1"/>
      </rPr>
      <t xml:space="preserve">S40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S42 </t>
    </r>
    <r>
      <rPr>
        <sz val="10"/>
        <rFont val="Noto Sans CJK SC"/>
        <family val="2"/>
        <charset val="1"/>
      </rPr>
      <t xml:space="preserve">只作對照</t>
    </r>
  </si>
  <si>
    <t xml:space="preserve">INV-168</t>
  </si>
  <si>
    <r>
      <rPr>
        <sz val="10"/>
        <rFont val="Arial"/>
        <family val="0"/>
        <charset val="1"/>
      </rPr>
      <t xml:space="preserve">On-policy </t>
    </r>
    <r>
      <rPr>
        <sz val="10"/>
        <rFont val="Noto Sans CJK SC"/>
        <family val="2"/>
        <charset val="1"/>
      </rPr>
      <t xml:space="preserve">蒸餾：學生 </t>
    </r>
    <r>
      <rPr>
        <sz val="10"/>
        <rFont val="Arial"/>
        <family val="0"/>
        <charset val="1"/>
      </rPr>
      <t xml:space="preserve">rollout </t>
    </r>
    <r>
      <rPr>
        <sz val="10"/>
        <rFont val="Noto Sans CJK SC"/>
        <family val="2"/>
        <charset val="1"/>
      </rPr>
      <t xml:space="preserve">輸出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</si>
  <si>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C35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E35</t>
    </r>
  </si>
  <si>
    <t xml:space="preserve">INV-169</t>
  </si>
  <si>
    <r>
      <rPr>
        <sz val="10"/>
        <rFont val="Noto Sans CJK SC"/>
        <family val="2"/>
        <charset val="1"/>
      </rPr>
      <t xml:space="preserve">蒸餾教師層級（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</si>
  <si>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C36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E36</t>
    </r>
  </si>
  <si>
    <r>
      <rPr>
        <sz val="10"/>
        <rFont val="Noto Sans CJK SC"/>
        <family val="2"/>
        <charset val="1"/>
      </rPr>
      <t xml:space="preserve">蒸餾教師層級為選擇格；</t>
    </r>
    <r>
      <rPr>
        <sz val="10"/>
        <rFont val="Arial"/>
        <family val="0"/>
        <charset val="1"/>
      </rPr>
      <t xml:space="preserve">S35 </t>
    </r>
    <r>
      <rPr>
        <sz val="10"/>
        <rFont val="Noto Sans CJK SC"/>
        <family val="2"/>
        <charset val="1"/>
      </rPr>
      <t xml:space="preserve">只說明 </t>
    </r>
    <r>
      <rPr>
        <sz val="10"/>
        <rFont val="Arial"/>
        <family val="0"/>
        <charset val="1"/>
      </rPr>
      <t xml:space="preserve">V4 </t>
    </r>
    <r>
      <rPr>
        <sz val="10"/>
        <rFont val="Noto Sans CJK SC"/>
        <family val="2"/>
        <charset val="1"/>
      </rPr>
      <t xml:space="preserve">做法</t>
    </r>
  </si>
  <si>
    <t xml:space="preserve">INV-170</t>
  </si>
  <si>
    <r>
      <rPr>
        <sz val="10"/>
        <rFont val="Noto Sans CJK SC"/>
        <family val="2"/>
        <charset val="1"/>
      </rPr>
      <t xml:space="preserve">合成資料生成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</si>
  <si>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C37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E37</t>
    </r>
  </si>
  <si>
    <t xml:space="preserve">INV-171</t>
  </si>
  <si>
    <r>
      <rPr>
        <sz val="10"/>
        <rFont val="Noto Sans CJK SC"/>
        <family val="2"/>
        <charset val="1"/>
      </rPr>
      <t xml:space="preserve">評測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</si>
  <si>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C38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E38</t>
    </r>
  </si>
  <si>
    <t xml:space="preserve">INV-172</t>
  </si>
  <si>
    <r>
      <rPr>
        <sz val="10"/>
        <rFont val="Arial"/>
        <family val="0"/>
        <charset val="1"/>
      </rPr>
      <t xml:space="preserve">DeepSeek V3 </t>
    </r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token</t>
    </r>
  </si>
  <si>
    <t xml:space="preserve">C41</t>
  </si>
  <si>
    <r>
      <rPr>
        <sz val="10"/>
        <rFont val="Arial"/>
        <family val="0"/>
        <charset val="1"/>
      </rPr>
      <t xml:space="preserve">14.8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S44</t>
    </r>
  </si>
  <si>
    <t xml:space="preserve">INV-173</t>
  </si>
  <si>
    <r>
      <rPr>
        <sz val="10"/>
        <rFont val="Arial"/>
        <family val="0"/>
        <charset val="1"/>
      </rPr>
      <t xml:space="preserve">DeepSeek V3 </t>
    </r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H800 GPU </t>
    </r>
    <r>
      <rPr>
        <sz val="10"/>
        <rFont val="Noto Sans CJK SC"/>
        <family val="2"/>
        <charset val="1"/>
      </rPr>
      <t xml:space="preserve">小時</t>
    </r>
  </si>
  <si>
    <t xml:space="preserve">M</t>
  </si>
  <si>
    <t xml:space="preserve">C42</t>
  </si>
  <si>
    <r>
      <rPr>
        <sz val="10"/>
        <rFont val="Arial"/>
        <family val="0"/>
        <charset val="1"/>
      </rPr>
      <t xml:space="preserve">2.664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S44</t>
    </r>
    <r>
      <rPr>
        <sz val="10"/>
        <rFont val="Noto Sans CJK SC"/>
        <family val="2"/>
        <charset val="1"/>
      </rPr>
      <t xml:space="preserve">（模型內建知識，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級）</t>
    </r>
  </si>
  <si>
    <t xml:space="preserve">INV-174</t>
  </si>
  <si>
    <r>
      <rPr>
        <sz val="10"/>
        <rFont val="Arial"/>
        <family val="0"/>
        <charset val="1"/>
      </rPr>
      <t xml:space="preserve">DeepSeek V3 </t>
    </r>
    <r>
      <rPr>
        <sz val="10"/>
        <rFont val="Noto Sans CJK SC"/>
        <family val="2"/>
        <charset val="1"/>
      </rPr>
      <t xml:space="preserve">預訓練序列長</t>
    </r>
  </si>
  <si>
    <t xml:space="preserve">C43</t>
  </si>
  <si>
    <r>
      <rPr>
        <sz val="10"/>
        <rFont val="Arial"/>
        <family val="0"/>
        <charset val="1"/>
      </rPr>
      <t xml:space="preserve">4,096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S44</t>
    </r>
  </si>
  <si>
    <t xml:space="preserve">INV-175</t>
  </si>
  <si>
    <r>
      <rPr>
        <sz val="10"/>
        <rFont val="Arial"/>
        <family val="0"/>
        <charset val="1"/>
      </rPr>
      <t xml:space="preserve">DeepSeek R1 RL GPU </t>
    </r>
    <r>
      <rPr>
        <sz val="10"/>
        <rFont val="Noto Sans CJK SC"/>
        <family val="2"/>
        <charset val="1"/>
      </rPr>
      <t xml:space="preserve">小時 </t>
    </r>
    <r>
      <rPr>
        <sz val="10"/>
        <rFont val="Arial"/>
        <family val="0"/>
        <charset val="1"/>
      </rPr>
      <t xml:space="preserve">÷ V3 </t>
    </r>
    <r>
      <rPr>
        <sz val="10"/>
        <rFont val="Noto Sans CJK SC"/>
        <family val="2"/>
        <charset val="1"/>
      </rPr>
      <t xml:space="preserve">預訓練</t>
    </r>
  </si>
  <si>
    <t xml:space="preserve">C44</t>
  </si>
  <si>
    <r>
      <rPr>
        <sz val="10"/>
        <rFont val="Arial"/>
        <family val="0"/>
        <charset val="1"/>
      </rPr>
      <t xml:space="preserve">0.055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147K ÷ 2.664M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0.0552 </t>
    </r>
    <r>
      <rPr>
        <sz val="10"/>
        <rFont val="Noto Sans CJK SC"/>
        <family val="2"/>
        <charset val="1"/>
      </rPr>
      <t xml:space="preserve">取整；改公式會使值由 </t>
    </r>
    <r>
      <rPr>
        <sz val="10"/>
        <rFont val="Arial"/>
        <family val="0"/>
        <charset val="1"/>
      </rPr>
      <t xml:space="preserve">0.055 </t>
    </r>
    <r>
      <rPr>
        <sz val="10"/>
        <rFont val="Noto Sans CJK SC"/>
        <family val="2"/>
        <charset val="1"/>
      </rPr>
      <t xml:space="preserve">變 </t>
    </r>
    <r>
      <rPr>
        <sz val="10"/>
        <rFont val="Arial"/>
        <family val="0"/>
        <charset val="1"/>
      </rPr>
      <t xml:space="preserve">0.0552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Checks </t>
    </r>
    <r>
      <rPr>
        <sz val="10"/>
        <rFont val="Noto Sans CJK SC"/>
        <family val="2"/>
        <charset val="1"/>
      </rPr>
      <t xml:space="preserve">對照欄）</t>
    </r>
  </si>
  <si>
    <t xml:space="preserve">INV-176</t>
  </si>
  <si>
    <r>
      <rPr>
        <sz val="10"/>
        <rFont val="Arial"/>
        <family val="0"/>
        <charset val="1"/>
      </rPr>
      <t xml:space="preserve">Grok 4 RL ÷ </t>
    </r>
    <r>
      <rPr>
        <sz val="10"/>
        <rFont val="Noto Sans CJK SC"/>
        <family val="2"/>
        <charset val="1"/>
      </rPr>
      <t xml:space="preserve">預訓練（宣稱）</t>
    </r>
  </si>
  <si>
    <t xml:space="preserve">C45</t>
  </si>
  <si>
    <r>
      <rPr>
        <sz val="10"/>
        <rFont val="Noto Sans CJK SC"/>
        <family val="2"/>
        <charset val="1"/>
      </rPr>
      <t xml:space="preserve">「預訓練規模」量化為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  <charset val="1"/>
      </rPr>
      <t xml:space="preserve">屬解讀（</t>
    </r>
    <r>
      <rPr>
        <sz val="10"/>
        <rFont val="Arial"/>
        <family val="0"/>
        <charset val="1"/>
      </rPr>
      <t xml:space="preserve">S42 </t>
    </r>
    <r>
      <rPr>
        <sz val="10"/>
        <rFont val="Noto Sans CJK SC"/>
        <family val="2"/>
        <charset val="1"/>
      </rPr>
      <t xml:space="preserve">口徑不明）</t>
    </r>
  </si>
  <si>
    <t xml:space="preserve">INV-177</t>
  </si>
  <si>
    <t xml:space="preserve">前沿預訓練錨點 低</t>
  </si>
  <si>
    <t xml:space="preserve">C46</t>
  </si>
  <si>
    <r>
      <rPr>
        <sz val="10"/>
        <rFont val="Noto Sans CJK SC"/>
        <family val="2"/>
        <charset val="1"/>
      </rPr>
      <t xml:space="preserve">前沿錨點以 </t>
    </r>
    <r>
      <rPr>
        <sz val="10"/>
        <rFont val="Arial"/>
        <family val="0"/>
        <charset val="1"/>
      </rPr>
      <t xml:space="preserve">Epoch Grok-3 4.6e26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S39</t>
    </r>
    <r>
      <rPr>
        <sz val="10"/>
        <rFont val="Noto Sans CJK SC"/>
        <family val="2"/>
        <charset val="1"/>
      </rPr>
      <t xml:space="preserve">）為類比；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移入 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  <charset val="1"/>
      </rPr>
      <t xml:space="preserve">對照欄</t>
    </r>
  </si>
  <si>
    <t xml:space="preserve">INV-178</t>
  </si>
  <si>
    <t xml:space="preserve">前沿預訓練錨點 中</t>
  </si>
  <si>
    <t xml:space="preserve">C47</t>
  </si>
  <si>
    <t xml:space="preserve">INV-179</t>
  </si>
  <si>
    <t xml:space="preserve">前沿預訓練錨點 高</t>
  </si>
  <si>
    <t xml:space="preserve">C48</t>
  </si>
  <si>
    <t xml:space="preserve">INV-180</t>
  </si>
  <si>
    <t xml:space="preserve">Perf_Batch</t>
  </si>
  <si>
    <r>
      <rPr>
        <sz val="10"/>
        <rFont val="Arial"/>
        <family val="0"/>
        <charset val="1"/>
      </rPr>
      <t xml:space="preserve">C6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P6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Q6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S6</t>
    </r>
  </si>
  <si>
    <t xml:space="preserve">INV-181</t>
  </si>
  <si>
    <r>
      <rPr>
        <sz val="10"/>
        <rFont val="Arial"/>
        <family val="0"/>
        <charset val="1"/>
      </rPr>
      <t xml:space="preserve">C7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O7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P7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Q7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S7</t>
    </r>
  </si>
  <si>
    <t xml:space="preserve">INV-182</t>
  </si>
  <si>
    <r>
      <rPr>
        <sz val="10"/>
        <rFont val="Noto Sans CJK SC"/>
        <family val="2"/>
        <charset val="1"/>
      </rPr>
      <t xml:space="preserve">專家權重 </t>
    </r>
    <r>
      <rPr>
        <sz val="10"/>
        <rFont val="Arial"/>
        <family val="0"/>
        <charset val="1"/>
      </rPr>
      <t xml:space="preserve">bytes/param</t>
    </r>
    <r>
      <rPr>
        <sz val="10"/>
        <rFont val="Noto Sans CJK SC"/>
        <family val="2"/>
        <charset val="1"/>
      </rPr>
      <t xml:space="preserve">（含 </t>
    </r>
    <r>
      <rPr>
        <sz val="10"/>
        <rFont val="Arial"/>
        <family val="0"/>
        <charset val="1"/>
      </rPr>
      <t xml:space="preserve">H_WB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</si>
  <si>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R19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S19</t>
    </r>
  </si>
  <si>
    <r>
      <rPr>
        <sz val="10"/>
        <rFont val="Arial"/>
        <family val="0"/>
        <charset val="1"/>
      </rPr>
      <t xml:space="preserve">R:S </t>
    </r>
    <r>
      <rPr>
        <sz val="10"/>
        <rFont val="Noto Sans CJK SC"/>
        <family val="2"/>
        <charset val="1"/>
      </rPr>
      <t xml:space="preserve">欄為 </t>
    </r>
    <r>
      <rPr>
        <sz val="10"/>
        <rFont val="Arial"/>
        <family val="0"/>
        <charset val="1"/>
      </rPr>
      <t xml:space="preserve">FP8 rollout </t>
    </r>
    <r>
      <rPr>
        <sz val="10"/>
        <rFont val="Noto Sans CJK SC"/>
        <family val="2"/>
        <charset val="1"/>
      </rPr>
      <t xml:space="preserve">情境（</t>
    </r>
    <r>
      <rPr>
        <sz val="10"/>
        <rFont val="Arial"/>
        <family val="0"/>
        <charset val="1"/>
      </rPr>
      <t xml:space="preserve">J12 </t>
    </r>
    <r>
      <rPr>
        <sz val="10"/>
        <rFont val="Noto Sans CJK SC"/>
        <family val="2"/>
        <charset val="1"/>
      </rPr>
      <t xml:space="preserve">替代）的 </t>
    </r>
    <r>
      <rPr>
        <sz val="10"/>
        <rFont val="Arial"/>
        <family val="0"/>
        <charset val="1"/>
      </rPr>
      <t xml:space="preserve">bytes/param</t>
    </r>
  </si>
  <si>
    <t xml:space="preserve">INV-183</t>
  </si>
  <si>
    <r>
      <rPr>
        <sz val="10"/>
        <rFont val="Noto Sans CJK SC"/>
        <family val="2"/>
        <charset val="1"/>
      </rPr>
      <t xml:space="preserve">非專家權重 </t>
    </r>
    <r>
      <rPr>
        <sz val="10"/>
        <rFont val="Arial"/>
        <family val="0"/>
        <charset val="1"/>
      </rPr>
      <t xml:space="preserve">bytes/param</t>
    </r>
    <r>
      <rPr>
        <sz val="10"/>
        <rFont val="Noto Sans CJK SC"/>
        <family val="2"/>
        <charset val="1"/>
      </rPr>
      <t xml:space="preserve">（含 </t>
    </r>
    <r>
      <rPr>
        <sz val="10"/>
        <rFont val="Arial"/>
        <family val="0"/>
        <charset val="1"/>
      </rPr>
      <t xml:space="preserve">H_WB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</si>
  <si>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R20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S20</t>
    </r>
  </si>
  <si>
    <t xml:space="preserve">INV-184</t>
  </si>
  <si>
    <t xml:space="preserve">Training</t>
  </si>
  <si>
    <t xml:space="preserve">INV-185</t>
  </si>
  <si>
    <t xml:space="preserve">INV-186</t>
  </si>
  <si>
    <t xml:space="preserve">Sens_Train</t>
  </si>
  <si>
    <t xml:space="preserve">INV-187</t>
  </si>
  <si>
    <t xml:space="preserve">INV-188</t>
  </si>
  <si>
    <r>
      <rPr>
        <sz val="10"/>
        <rFont val="Noto Sans CJK SC"/>
        <family val="2"/>
        <charset val="1"/>
      </rPr>
      <t xml:space="preserve">預訓練 </t>
    </r>
    <r>
      <rPr>
        <sz val="10"/>
        <rFont val="Arial"/>
        <family val="0"/>
        <charset val="1"/>
      </rPr>
      <t xml:space="preserve">MFU </t>
    </r>
    <r>
      <rPr>
        <sz val="10"/>
        <rFont val="Noto Sans CJK SC"/>
        <family val="2"/>
        <charset val="1"/>
      </rPr>
      <t xml:space="preserve">基準</t>
    </r>
  </si>
  <si>
    <r>
      <rPr>
        <sz val="10"/>
        <rFont val="Arial"/>
        <family val="0"/>
        <charset val="1"/>
      </rPr>
      <t xml:space="preserve">E13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H13</t>
    </r>
  </si>
  <si>
    <t xml:space="preserve">INV-189</t>
  </si>
  <si>
    <t xml:space="preserve">goodput</t>
  </si>
  <si>
    <r>
      <rPr>
        <sz val="10"/>
        <rFont val="Arial"/>
        <family val="0"/>
        <charset val="1"/>
      </rPr>
      <t xml:space="preserve">AG17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AH17</t>
    </r>
  </si>
  <si>
    <t xml:space="preserve">INV-190</t>
  </si>
  <si>
    <r>
      <rPr>
        <sz val="10"/>
        <rFont val="Noto Sans CJK SC"/>
        <family val="2"/>
        <charset val="1"/>
      </rPr>
      <t xml:space="preserve">所需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  <charset val="1"/>
      </rPr>
      <t xml:space="preserve">倍數（</t>
    </r>
    <r>
      <rPr>
        <sz val="10"/>
        <rFont val="Arial"/>
        <family val="0"/>
        <charset val="1"/>
      </rPr>
      <t xml:space="preserve">H_TOK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</si>
  <si>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K30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N30</t>
    </r>
  </si>
  <si>
    <t xml:space="preserve">INV-191</t>
  </si>
  <si>
    <r>
      <rPr>
        <sz val="10"/>
        <rFont val="Arial"/>
        <family val="0"/>
        <charset val="1"/>
      </rPr>
      <t xml:space="preserve">rollout </t>
    </r>
    <r>
      <rPr>
        <sz val="10"/>
        <rFont val="Noto Sans CJK SC"/>
        <family val="2"/>
        <charset val="1"/>
      </rPr>
      <t xml:space="preserve">效率（採用）</t>
    </r>
  </si>
  <si>
    <r>
      <rPr>
        <sz val="10"/>
        <rFont val="Arial"/>
        <family val="0"/>
        <charset val="1"/>
      </rPr>
      <t xml:space="preserve">S64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T64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U64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V64</t>
    </r>
  </si>
  <si>
    <t xml:space="preserve">INV-192</t>
  </si>
  <si>
    <r>
      <rPr>
        <sz val="10"/>
        <rFont val="Noto Sans CJK SC"/>
        <family val="2"/>
        <charset val="1"/>
      </rPr>
      <t xml:space="preserve">合成資料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</si>
  <si>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Y93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Z93</t>
    </r>
  </si>
  <si>
    <t xml:space="preserve">INV-193</t>
  </si>
  <si>
    <t xml:space="preserve">研發倍數</t>
  </si>
  <si>
    <r>
      <rPr>
        <sz val="10"/>
        <rFont val="Arial"/>
        <family val="0"/>
        <charset val="1"/>
      </rPr>
      <t xml:space="preserve">AC119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AD119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AE119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AF119</t>
    </r>
  </si>
  <si>
    <t xml:space="preserve">INV-194</t>
  </si>
  <si>
    <t xml:space="preserve">Cap_In</t>
  </si>
  <si>
    <t xml:space="preserve">新鮮輸入</t>
  </si>
  <si>
    <r>
      <rPr>
        <sz val="10"/>
        <rFont val="Arial"/>
        <family val="0"/>
        <charset val="1"/>
      </rPr>
      <t xml:space="preserve">S50 </t>
    </r>
    <r>
      <rPr>
        <sz val="10"/>
        <rFont val="Noto Sans CJK SC"/>
        <family val="2"/>
        <charset val="1"/>
      </rPr>
      <t xml:space="preserve">牌價</t>
    </r>
  </si>
  <si>
    <r>
      <rPr>
        <sz val="10"/>
        <rFont val="Arial"/>
        <family val="0"/>
        <charset val="1"/>
      </rPr>
      <t xml:space="preserve">SRC_PRC_003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SRC_PRC_009</t>
    </r>
  </si>
  <si>
    <t xml:space="preserve">INV-195</t>
  </si>
  <si>
    <t xml:space="preserve">快取輸入</t>
  </si>
  <si>
    <r>
      <rPr>
        <sz val="10"/>
        <rFont val="Arial"/>
        <family val="0"/>
        <charset val="1"/>
      </rPr>
      <t xml:space="preserve">SRC_PRC_004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SRC_PRC_010</t>
    </r>
  </si>
  <si>
    <t xml:space="preserve">INV-196</t>
  </si>
  <si>
    <r>
      <rPr>
        <sz val="10"/>
        <rFont val="Noto Sans CJK SC"/>
        <family val="2"/>
        <charset val="1"/>
      </rPr>
      <t xml:space="preserve">輸出（含思考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</si>
  <si>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S54</t>
    </r>
  </si>
  <si>
    <r>
      <rPr>
        <sz val="10"/>
        <rFont val="Arial"/>
        <family val="0"/>
        <charset val="1"/>
      </rPr>
      <t xml:space="preserve">SRC_PRC_005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SRC_PRC_011</t>
    </r>
  </si>
  <si>
    <t xml:space="preserve">INV-197</t>
  </si>
  <si>
    <r>
      <rPr>
        <sz val="10"/>
        <rFont val="Noto Sans CJK SC"/>
        <family val="2"/>
        <charset val="1"/>
      </rPr>
      <t xml:space="preserve">有效折扣（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  <charset val="1"/>
      </rPr>
      <t xml:space="preserve">半價＋企業議價，加權）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</si>
  <si>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</si>
  <si>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Noto Sans CJK SC"/>
        <family val="2"/>
        <charset val="1"/>
      </rPr>
      <t xml:space="preserve">有效折扣 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  <charset val="1"/>
      </rPr>
      <t xml:space="preserve">為加權假設；</t>
    </r>
    <r>
      <rPr>
        <sz val="10"/>
        <rFont val="Arial"/>
        <family val="0"/>
        <charset val="1"/>
      </rPr>
      <t xml:space="preserve">Batch </t>
    </r>
    <r>
      <rPr>
        <sz val="10"/>
        <rFont val="Noto Sans CJK SC"/>
        <family val="2"/>
        <charset val="1"/>
      </rPr>
      <t xml:space="preserve">半價為事實但未登錄來源</t>
    </r>
  </si>
  <si>
    <t xml:space="preserve">INV-198</t>
  </si>
  <si>
    <r>
      <rPr>
        <sz val="10"/>
        <rFont val="Noto Sans CJK SC"/>
        <family val="2"/>
        <charset val="1"/>
      </rPr>
      <t xml:space="preserve">參考請求快取命中率 </t>
    </r>
    <r>
      <rPr>
        <sz val="10"/>
        <rFont val="Arial"/>
        <family val="0"/>
        <charset val="1"/>
      </rPr>
      <t xml:space="preserve">χ</t>
    </r>
    <r>
      <rPr>
        <sz val="10"/>
        <rFont val="Noto Sans CJK SC"/>
        <family val="2"/>
        <charset val="1"/>
      </rPr>
      <t xml:space="preserve">（輸入中屬快取命中的比例）</t>
    </r>
  </si>
  <si>
    <t xml:space="preserve">INV-199</t>
  </si>
  <si>
    <r>
      <rPr>
        <sz val="10"/>
        <rFont val="Noto Sans CJK SC"/>
        <family val="2"/>
        <charset val="1"/>
      </rPr>
      <t xml:space="preserve">能力 → 單價彈性 </t>
    </r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  <charset val="1"/>
      </rPr>
      <t xml:space="preserve">（單價 ∝ 有效算力倍數</t>
    </r>
    <r>
      <rPr>
        <sz val="10"/>
        <rFont val="Arial"/>
        <family val="0"/>
        <charset val="1"/>
      </rPr>
      <t xml:space="preserve">^ε</t>
    </r>
    <r>
      <rPr>
        <sz val="10"/>
        <rFont val="Noto Sans CJK SC"/>
        <family val="2"/>
        <charset val="1"/>
      </rPr>
      <t xml:space="preserve">）</t>
    </r>
  </si>
  <si>
    <t xml:space="preserve">INV-200</t>
  </si>
  <si>
    <r>
      <rPr>
        <sz val="10"/>
        <rFont val="Noto Sans CJK SC"/>
        <family val="2"/>
        <charset val="1"/>
      </rPr>
      <t xml:space="preserve">有效訓練算力倍數（相對 </t>
    </r>
    <r>
      <rPr>
        <sz val="10"/>
        <rFont val="Arial"/>
        <family val="0"/>
        <charset val="1"/>
      </rPr>
      <t xml:space="preserve">Block 3 </t>
    </r>
    <r>
      <rPr>
        <sz val="10"/>
        <rFont val="Noto Sans CJK SC"/>
        <family val="2"/>
        <charset val="1"/>
      </rPr>
      <t xml:space="preserve">基準；情境用）</t>
    </r>
  </si>
  <si>
    <t xml:space="preserve">INV-201</t>
  </si>
  <si>
    <r>
      <rPr>
        <sz val="10"/>
        <rFont val="Noto Sans CJK SC"/>
        <family val="2"/>
        <charset val="1"/>
      </rPr>
      <t xml:space="preserve">尖峰／離峰口徑（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＝尖峰價；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＝依時數加權）</t>
    </r>
  </si>
  <si>
    <t xml:space="preserve">INV-202</t>
  </si>
  <si>
    <t xml:space="preserve">尖峰時數（每週）</t>
  </si>
  <si>
    <t xml:space="preserve">hr</t>
  </si>
  <si>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S52 </t>
    </r>
    <r>
      <rPr>
        <sz val="10"/>
        <rFont val="Noto Sans CJK SC"/>
        <family val="2"/>
        <charset val="1"/>
      </rPr>
      <t xml:space="preserve">公告時段 </t>
    </r>
    <r>
      <rPr>
        <sz val="10"/>
        <rFont val="Arial"/>
        <family val="0"/>
        <charset val="1"/>
      </rPr>
      <t xml:space="preserve">7 hr × 5</t>
    </r>
    <r>
      <rPr>
        <sz val="10"/>
        <rFont val="Noto Sans CJK SC"/>
        <family val="2"/>
        <charset val="1"/>
      </rPr>
      <t xml:space="preserve">（簡單計算，視同原始）</t>
    </r>
  </si>
  <si>
    <t xml:space="preserve">INV-203</t>
  </si>
  <si>
    <r>
      <rPr>
        <sz val="10"/>
        <rFont val="Noto Sans CJK SC"/>
        <family val="2"/>
        <charset val="1"/>
      </rPr>
      <t xml:space="preserve">離峰價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  <charset val="1"/>
      </rPr>
      <t xml:space="preserve">尖峰價</t>
    </r>
  </si>
  <si>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S52</t>
    </r>
  </si>
  <si>
    <t xml:space="preserve">INV-204</t>
  </si>
  <si>
    <t xml:space="preserve">商業壽命 基準</t>
  </si>
  <si>
    <t xml:space="preserve">月</t>
  </si>
  <si>
    <t xml:space="preserve">INV-205</t>
  </si>
  <si>
    <t xml:space="preserve">商業壽命 低</t>
  </si>
  <si>
    <t xml:space="preserve">INV-206</t>
  </si>
  <si>
    <t xml:space="preserve">商業壽命 高</t>
  </si>
  <si>
    <t xml:space="preserve">INV-207</t>
  </si>
  <si>
    <t xml:space="preserve">對外服務占機隊</t>
  </si>
  <si>
    <r>
      <rPr>
        <sz val="10"/>
        <rFont val="Arial"/>
        <family val="0"/>
        <charset val="1"/>
      </rPr>
      <t xml:space="preserve">0.41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8.4 ÷ 20.4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0.4118 </t>
    </r>
    <r>
      <rPr>
        <sz val="10"/>
        <rFont val="Noto Sans CJK SC"/>
        <family val="2"/>
        <charset val="1"/>
      </rPr>
      <t xml:space="preserve">取整；改公式會改變值；低／高 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0.6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</si>
  <si>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SRC_DEM_004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SRC_DEM_006</t>
    </r>
  </si>
  <si>
    <t xml:space="preserve">INV-208</t>
  </si>
  <si>
    <t xml:space="preserve">其中免費服務占服務</t>
  </si>
  <si>
    <r>
      <rPr>
        <sz val="10"/>
        <rFont val="Arial"/>
        <family val="0"/>
        <charset val="1"/>
      </rPr>
      <t xml:space="preserve">0.46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3.9 ÷ 8.4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0.4643 </t>
    </r>
    <r>
      <rPr>
        <sz val="10"/>
        <rFont val="Noto Sans CJK SC"/>
        <family val="2"/>
        <charset val="1"/>
      </rPr>
      <t xml:space="preserve">取整；改公式會改變值；低／高為 </t>
    </r>
    <r>
      <rPr>
        <sz val="10"/>
        <rFont val="Arial"/>
        <family val="0"/>
        <charset val="1"/>
      </rPr>
      <t xml:space="preserve">Assumed</t>
    </r>
  </si>
  <si>
    <t xml:space="preserve">INV-209</t>
  </si>
  <si>
    <r>
      <rPr>
        <sz val="10"/>
        <rFont val="Noto Sans CJK SC"/>
        <family val="2"/>
        <charset val="1"/>
      </rPr>
      <t xml:space="preserve">付費服務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  <charset val="1"/>
      </rPr>
      <t xml:space="preserve">層級組合</t>
    </r>
  </si>
  <si>
    <t xml:space="preserve">INV-210</t>
  </si>
  <si>
    <r>
      <rPr>
        <sz val="10"/>
        <rFont val="Noto Sans CJK SC"/>
        <family val="2"/>
        <charset val="1"/>
      </rPr>
      <t xml:space="preserve">免費服務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  <charset val="1"/>
      </rPr>
      <t xml:space="preserve">層級組合</t>
    </r>
  </si>
  <si>
    <t xml:space="preserve">INV-211</t>
  </si>
  <si>
    <r>
      <rPr>
        <sz val="10"/>
        <rFont val="Noto Sans CJK SC"/>
        <family val="2"/>
        <charset val="1"/>
      </rPr>
      <t xml:space="preserve">儲存層（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SSD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DRAM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HBM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</si>
  <si>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S51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</si>
  <si>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INV-212</t>
  </si>
  <si>
    <t xml:space="preserve">保留時間</t>
  </si>
  <si>
    <t xml:space="preserve">INV-213</t>
  </si>
  <si>
    <t xml:space="preserve">每次寫入在保留期內的平均命中次數</t>
  </si>
  <si>
    <t xml:space="preserve">次</t>
  </si>
  <si>
    <t xml:space="preserve">INV-214</t>
  </si>
  <si>
    <r>
      <rPr>
        <sz val="10"/>
        <rFont val="Arial"/>
        <family val="0"/>
        <charset val="1"/>
      </rPr>
      <t xml:space="preserve">DRAM </t>
    </r>
    <r>
      <rPr>
        <sz val="10"/>
        <rFont val="Noto Sans CJK SC"/>
        <family val="2"/>
        <charset val="1"/>
      </rPr>
      <t xml:space="preserve">取得成本</t>
    </r>
  </si>
  <si>
    <t xml:space="preserve">$/GB</t>
  </si>
  <si>
    <r>
      <rPr>
        <sz val="10"/>
        <rFont val="Arial"/>
        <family val="0"/>
        <charset val="1"/>
      </rPr>
      <t xml:space="preserve">C39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E39</t>
    </r>
  </si>
  <si>
    <t xml:space="preserve">INV-215</t>
  </si>
  <si>
    <r>
      <rPr>
        <sz val="10"/>
        <rFont val="Arial"/>
        <family val="0"/>
        <charset val="1"/>
      </rPr>
      <t xml:space="preserve">DRAM </t>
    </r>
    <r>
      <rPr>
        <sz val="10"/>
        <rFont val="Noto Sans CJK SC"/>
        <family val="2"/>
        <charset val="1"/>
      </rPr>
      <t xml:space="preserve">折舊年限</t>
    </r>
  </si>
  <si>
    <r>
      <rPr>
        <sz val="10"/>
        <rFont val="Arial"/>
        <family val="0"/>
        <charset val="1"/>
      </rPr>
      <t xml:space="preserve">C40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E40</t>
    </r>
  </si>
  <si>
    <t xml:space="preserve">INV-216</t>
  </si>
  <si>
    <r>
      <rPr>
        <sz val="10"/>
        <rFont val="Arial"/>
        <family val="0"/>
        <charset val="1"/>
      </rPr>
      <t xml:space="preserve">SSD </t>
    </r>
    <r>
      <rPr>
        <sz val="10"/>
        <rFont val="Noto Sans CJK SC"/>
        <family val="2"/>
        <charset val="1"/>
      </rPr>
      <t xml:space="preserve">取得成本</t>
    </r>
  </si>
  <si>
    <r>
      <rPr>
        <sz val="10"/>
        <rFont val="Arial"/>
        <family val="0"/>
        <charset val="1"/>
      </rPr>
      <t xml:space="preserve">C41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E41</t>
    </r>
  </si>
  <si>
    <t xml:space="preserve">INV-217</t>
  </si>
  <si>
    <r>
      <rPr>
        <sz val="10"/>
        <rFont val="Arial"/>
        <family val="0"/>
        <charset val="1"/>
      </rPr>
      <t xml:space="preserve">SSD </t>
    </r>
    <r>
      <rPr>
        <sz val="10"/>
        <rFont val="Noto Sans CJK SC"/>
        <family val="2"/>
        <charset val="1"/>
      </rPr>
      <t xml:space="preserve">折舊年限</t>
    </r>
  </si>
  <si>
    <r>
      <rPr>
        <sz val="10"/>
        <rFont val="Arial"/>
        <family val="0"/>
        <charset val="1"/>
      </rPr>
      <t xml:space="preserve">C42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E42</t>
    </r>
  </si>
  <si>
    <t xml:space="preserve">INV-218</t>
  </si>
  <si>
    <r>
      <rPr>
        <sz val="10"/>
        <rFont val="Arial"/>
        <family val="0"/>
        <charset val="1"/>
      </rPr>
      <t xml:space="preserve">A46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L46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N46</t>
    </r>
  </si>
  <si>
    <r>
      <rPr>
        <sz val="10"/>
        <rFont val="Arial"/>
        <family val="0"/>
        <charset val="1"/>
      </rPr>
      <t xml:space="preserve">S50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S56</t>
    </r>
  </si>
  <si>
    <r>
      <rPr>
        <sz val="10"/>
        <rFont val="Arial"/>
        <family val="0"/>
        <charset val="1"/>
      </rPr>
      <t xml:space="preserve">SRC_Price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SRC_Cap</t>
    </r>
  </si>
  <si>
    <r>
      <rPr>
        <sz val="10"/>
        <rFont val="Noto Sans CJK SC"/>
        <family val="2"/>
        <charset val="1"/>
      </rPr>
      <t xml:space="preserve">價格、指數為原始（</t>
    </r>
    <r>
      <rPr>
        <sz val="10"/>
        <rFont val="Arial"/>
        <family val="0"/>
        <charset val="1"/>
      </rPr>
      <t xml:space="preserve">S50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S56</t>
    </r>
    <r>
      <rPr>
        <sz val="10"/>
        <rFont val="Noto Sans CJK SC"/>
        <family val="2"/>
        <charset val="1"/>
      </rPr>
      <t xml:space="preserve">）；廠商、國別、開放權重為屬性欄；指數版本 </t>
    </r>
    <r>
      <rPr>
        <sz val="10"/>
        <rFont val="Arial"/>
        <family val="0"/>
        <charset val="1"/>
      </rPr>
      <t xml:space="preserve">v4.3.2 </t>
    </r>
    <r>
      <rPr>
        <sz val="10"/>
        <rFont val="Noto Sans CJK SC"/>
        <family val="2"/>
        <charset val="1"/>
      </rPr>
      <t xml:space="preserve">與 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  <charset val="1"/>
      </rPr>
      <t xml:space="preserve">列的 </t>
    </r>
    <r>
      <rPr>
        <sz val="10"/>
        <rFont val="Arial"/>
        <family val="0"/>
        <charset val="1"/>
      </rPr>
      <t xml:space="preserve">v4.3 </t>
    </r>
    <r>
      <rPr>
        <sz val="10"/>
        <rFont val="Noto Sans CJK SC"/>
        <family val="2"/>
        <charset val="1"/>
      </rPr>
      <t xml:space="preserve">不同口徑</t>
    </r>
  </si>
  <si>
    <r>
      <rPr>
        <sz val="10"/>
        <rFont val="Arial"/>
        <family val="0"/>
        <charset val="1"/>
      </rPr>
      <t xml:space="preserve">SRC_CAP_009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SRC_PRC_005</t>
    </r>
  </si>
  <si>
    <t xml:space="preserve">INV-219</t>
  </si>
  <si>
    <r>
      <rPr>
        <sz val="10"/>
        <rFont val="Arial"/>
        <family val="0"/>
        <charset val="1"/>
      </rPr>
      <t xml:space="preserve">A47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L47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N47</t>
    </r>
  </si>
  <si>
    <r>
      <rPr>
        <sz val="10"/>
        <rFont val="Noto Sans CJK SC"/>
        <family val="2"/>
        <charset val="1"/>
      </rPr>
      <t xml:space="preserve">同上（</t>
    </r>
    <r>
      <rPr>
        <sz val="10"/>
        <rFont val="Arial"/>
        <family val="0"/>
        <charset val="1"/>
      </rPr>
      <t xml:space="preserve">v4.3.2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</si>
  <si>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SRC_CAP_008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SRC_PRC_008</t>
    </r>
  </si>
  <si>
    <t xml:space="preserve">INV-220</t>
  </si>
  <si>
    <r>
      <rPr>
        <sz val="10"/>
        <rFont val="Arial"/>
        <family val="0"/>
        <charset val="1"/>
      </rPr>
      <t xml:space="preserve">A48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N48</t>
    </r>
  </si>
  <si>
    <r>
      <rPr>
        <sz val="10"/>
        <rFont val="Arial"/>
        <family val="0"/>
        <charset val="1"/>
      </rPr>
      <t xml:space="preserve">S50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S55</t>
    </r>
  </si>
  <si>
    <r>
      <rPr>
        <sz val="10"/>
        <rFont val="Noto Sans CJK SC"/>
        <family val="2"/>
        <charset val="1"/>
      </rPr>
      <t xml:space="preserve">同上（</t>
    </r>
    <r>
      <rPr>
        <sz val="10"/>
        <rFont val="Arial"/>
        <family val="0"/>
        <charset val="1"/>
      </rPr>
      <t xml:space="preserve">v4.3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</si>
  <si>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SRC_CAP_001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SRC_PRC_009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SRC_PRC_011</t>
    </r>
  </si>
  <si>
    <t xml:space="preserve">INV-221</t>
  </si>
  <si>
    <r>
      <rPr>
        <sz val="10"/>
        <rFont val="Arial"/>
        <family val="0"/>
        <charset val="1"/>
      </rPr>
      <t xml:space="preserve">A49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N49</t>
    </r>
  </si>
  <si>
    <r>
      <rPr>
        <sz val="10"/>
        <rFont val="Arial"/>
        <family val="0"/>
        <charset val="1"/>
      </rPr>
      <t xml:space="preserve">S51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S55</t>
    </r>
  </si>
  <si>
    <r>
      <rPr>
        <sz val="10"/>
        <rFont val="Noto Sans CJK SC"/>
        <family val="2"/>
        <charset val="1"/>
      </rPr>
      <t xml:space="preserve">快取讀取 </t>
    </r>
    <r>
      <rPr>
        <sz val="10"/>
        <rFont val="Arial"/>
        <family val="0"/>
        <charset val="1"/>
      </rPr>
      <t xml:space="preserve">0.25 </t>
    </r>
    <r>
      <rPr>
        <sz val="10"/>
        <rFont val="Noto Sans CJK SC"/>
        <family val="2"/>
        <charset val="1"/>
      </rPr>
      <t xml:space="preserve">僅單一二手來源</t>
    </r>
  </si>
  <si>
    <r>
      <rPr>
        <sz val="10"/>
        <rFont val="Arial"/>
        <family val="0"/>
        <charset val="1"/>
      </rPr>
      <t xml:space="preserve">SRC_CAP_002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SRC_PRC_014</t>
    </r>
  </si>
  <si>
    <t xml:space="preserve">INV-222</t>
  </si>
  <si>
    <r>
      <rPr>
        <sz val="10"/>
        <rFont val="Arial"/>
        <family val="0"/>
        <charset val="1"/>
      </rPr>
      <t xml:space="preserve">A50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N50</t>
    </r>
  </si>
  <si>
    <r>
      <rPr>
        <sz val="10"/>
        <rFont val="Noto Sans CJK SC"/>
        <family val="2"/>
        <charset val="1"/>
      </rPr>
      <t xml:space="preserve">快取 </t>
    </r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  <charset val="1"/>
      </rPr>
      <t xml:space="preserve">無來源（推測為輸入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  <charset val="1"/>
      </rPr>
      <t xml:space="preserve">）→ 該格為 </t>
    </r>
    <r>
      <rPr>
        <sz val="10"/>
        <rFont val="Arial"/>
        <family val="0"/>
        <charset val="1"/>
      </rPr>
      <t xml:space="preserve">Assumed</t>
    </r>
  </si>
  <si>
    <r>
      <rPr>
        <sz val="10"/>
        <rFont val="Arial"/>
        <family val="0"/>
        <charset val="1"/>
      </rPr>
      <t xml:space="preserve">SRC_CAP_003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SRC_PRC_016</t>
    </r>
  </si>
  <si>
    <t xml:space="preserve">INV-223</t>
  </si>
  <si>
    <r>
      <rPr>
        <sz val="10"/>
        <rFont val="Arial"/>
        <family val="0"/>
        <charset val="1"/>
      </rPr>
      <t xml:space="preserve">A51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N51</t>
    </r>
  </si>
  <si>
    <r>
      <rPr>
        <sz val="10"/>
        <rFont val="Noto Sans CJK SC"/>
        <family val="2"/>
        <charset val="1"/>
      </rPr>
      <t xml:space="preserve">快取 </t>
    </r>
    <r>
      <rPr>
        <sz val="10"/>
        <rFont val="Arial"/>
        <family val="0"/>
        <charset val="1"/>
      </rPr>
      <t xml:space="preserve">0.2 </t>
    </r>
    <r>
      <rPr>
        <sz val="10"/>
        <rFont val="Noto Sans CJK SC"/>
        <family val="2"/>
        <charset val="1"/>
      </rPr>
      <t xml:space="preserve">無來源 →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；指數未取得</t>
    </r>
  </si>
  <si>
    <r>
      <rPr>
        <sz val="10"/>
        <rFont val="Arial"/>
        <family val="0"/>
        <charset val="1"/>
      </rPr>
      <t xml:space="preserve">SRC_PRC_017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SRC_PRC_018</t>
    </r>
  </si>
  <si>
    <t xml:space="preserve">INV-224</t>
  </si>
  <si>
    <r>
      <rPr>
        <sz val="10"/>
        <rFont val="Arial"/>
        <family val="0"/>
        <charset val="1"/>
      </rPr>
      <t xml:space="preserve">A52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N52</t>
    </r>
  </si>
  <si>
    <r>
      <rPr>
        <sz val="10"/>
        <rFont val="Arial"/>
        <family val="0"/>
        <charset val="1"/>
      </rPr>
      <t xml:space="preserve">S52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S56</t>
    </r>
  </si>
  <si>
    <r>
      <rPr>
        <sz val="10"/>
        <rFont val="Arial"/>
        <family val="0"/>
        <charset val="1"/>
      </rPr>
      <t xml:space="preserve">SRC_CAP_010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SRC_PRC_023</t>
    </r>
  </si>
  <si>
    <t xml:space="preserve">INV-225</t>
  </si>
  <si>
    <r>
      <rPr>
        <sz val="10"/>
        <rFont val="Arial"/>
        <family val="0"/>
        <charset val="1"/>
      </rPr>
      <t xml:space="preserve">A53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N53</t>
    </r>
  </si>
  <si>
    <r>
      <rPr>
        <sz val="10"/>
        <rFont val="Arial"/>
        <family val="0"/>
        <charset val="1"/>
      </rPr>
      <t xml:space="preserve">S52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S55</t>
    </r>
  </si>
  <si>
    <r>
      <rPr>
        <sz val="10"/>
        <rFont val="Noto Sans CJK SC"/>
        <family val="2"/>
        <charset val="1"/>
      </rPr>
      <t xml:space="preserve">指數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  <charset val="1"/>
      </rPr>
      <t xml:space="preserve">為「</t>
    </r>
    <r>
      <rPr>
        <sz val="10"/>
        <rFont val="Arial"/>
        <family val="0"/>
        <charset val="1"/>
      </rPr>
      <t xml:space="preserve">DeepSeek V4 Pro</t>
    </r>
    <r>
      <rPr>
        <sz val="10"/>
        <rFont val="Noto Sans CJK SC"/>
        <family val="2"/>
        <charset val="1"/>
      </rPr>
      <t xml:space="preserve">」，與 </t>
    </r>
    <r>
      <rPr>
        <sz val="10"/>
        <rFont val="Arial"/>
        <family val="0"/>
        <charset val="1"/>
      </rPr>
      <t xml:space="preserve">V4-Pro-0813 </t>
    </r>
    <r>
      <rPr>
        <sz val="10"/>
        <rFont val="Noto Sans CJK SC"/>
        <family val="2"/>
        <charset val="1"/>
      </rPr>
      <t xml:space="preserve">是否同版待查</t>
    </r>
  </si>
  <si>
    <r>
      <rPr>
        <sz val="10"/>
        <rFont val="Arial"/>
        <family val="0"/>
        <charset val="1"/>
      </rPr>
      <t xml:space="preserve">SRC_CAP_007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SRC_PRC_026</t>
    </r>
  </si>
  <si>
    <t xml:space="preserve">INV-226</t>
  </si>
  <si>
    <r>
      <rPr>
        <sz val="10"/>
        <rFont val="Arial"/>
        <family val="0"/>
        <charset val="1"/>
      </rPr>
      <t xml:space="preserve">A54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N54</t>
    </r>
  </si>
  <si>
    <r>
      <rPr>
        <sz val="10"/>
        <rFont val="Arial"/>
        <family val="0"/>
        <charset val="1"/>
      </rPr>
      <t xml:space="preserve">S53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S56</t>
    </r>
  </si>
  <si>
    <r>
      <rPr>
        <sz val="10"/>
        <rFont val="Arial"/>
        <family val="0"/>
        <charset val="1"/>
      </rPr>
      <t xml:space="preserve">SRC_CAP_011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SRC_PRC_031</t>
    </r>
  </si>
  <si>
    <t xml:space="preserve">INV-227</t>
  </si>
  <si>
    <r>
      <rPr>
        <sz val="10"/>
        <rFont val="Arial"/>
        <family val="0"/>
        <charset val="1"/>
      </rPr>
      <t xml:space="preserve">A55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N55</t>
    </r>
  </si>
  <si>
    <r>
      <rPr>
        <sz val="10"/>
        <rFont val="Arial"/>
        <family val="0"/>
        <charset val="1"/>
      </rPr>
      <t xml:space="preserve">S53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S55</t>
    </r>
  </si>
  <si>
    <r>
      <rPr>
        <sz val="10"/>
        <rFont val="Arial"/>
        <family val="0"/>
        <charset val="1"/>
      </rPr>
      <t xml:space="preserve">SRC_CAP_005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SRC_PRC_034</t>
    </r>
  </si>
  <si>
    <t xml:space="preserve">INV-228</t>
  </si>
  <si>
    <t xml:space="preserve">Alibaba</t>
  </si>
  <si>
    <r>
      <rPr>
        <sz val="10"/>
        <rFont val="Arial"/>
        <family val="0"/>
        <charset val="1"/>
      </rPr>
      <t xml:space="preserve">A56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L56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N56</t>
    </r>
  </si>
  <si>
    <r>
      <rPr>
        <sz val="10"/>
        <rFont val="Arial"/>
        <family val="0"/>
        <charset val="1"/>
      </rPr>
      <t xml:space="preserve">S54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S55</t>
    </r>
  </si>
  <si>
    <r>
      <rPr>
        <sz val="10"/>
        <rFont val="Noto Sans CJK SC"/>
        <family val="2"/>
        <charset val="1"/>
      </rPr>
      <t xml:space="preserve">指數 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  <charset val="1"/>
      </rPr>
      <t xml:space="preserve">為「</t>
    </r>
    <r>
      <rPr>
        <sz val="10"/>
        <rFont val="Arial"/>
        <family val="0"/>
        <charset val="1"/>
      </rPr>
      <t xml:space="preserve">Qwen3.8 2.4T</t>
    </r>
    <r>
      <rPr>
        <sz val="10"/>
        <rFont val="Noto Sans CJK SC"/>
        <family val="2"/>
        <charset val="1"/>
      </rPr>
      <t xml:space="preserve">」，與 </t>
    </r>
    <r>
      <rPr>
        <sz val="10"/>
        <rFont val="Arial"/>
        <family val="0"/>
        <charset val="1"/>
      </rPr>
      <t xml:space="preserve">Qwen3.8-Max </t>
    </r>
    <r>
      <rPr>
        <sz val="10"/>
        <rFont val="Noto Sans CJK SC"/>
        <family val="2"/>
        <charset val="1"/>
      </rPr>
      <t xml:space="preserve">是否同一模型待查</t>
    </r>
  </si>
  <si>
    <r>
      <rPr>
        <sz val="10"/>
        <rFont val="Arial"/>
        <family val="0"/>
        <charset val="1"/>
      </rPr>
      <t xml:space="preserve">SRC_CAP_006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SRC_PRC_040</t>
    </r>
  </si>
  <si>
    <t xml:space="preserve">INV-229</t>
  </si>
  <si>
    <r>
      <rPr>
        <sz val="10"/>
        <rFont val="Arial"/>
        <family val="0"/>
        <charset val="1"/>
      </rPr>
      <t xml:space="preserve">A57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N57</t>
    </r>
  </si>
  <si>
    <r>
      <rPr>
        <sz val="10"/>
        <rFont val="Noto Sans CJK SC"/>
        <family val="2"/>
        <charset val="1"/>
      </rPr>
      <t xml:space="preserve">開放權重有爭議（</t>
    </r>
    <r>
      <rPr>
        <sz val="10"/>
        <rFont val="Arial"/>
        <family val="0"/>
        <charset val="1"/>
      </rPr>
      <t xml:space="preserve">E015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</si>
  <si>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SRC_PRC_035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SRC_PRC_037</t>
    </r>
  </si>
  <si>
    <t xml:space="preserve">INV-230</t>
  </si>
  <si>
    <r>
      <rPr>
        <sz val="10"/>
        <rFont val="Arial"/>
        <family val="0"/>
        <charset val="1"/>
      </rPr>
      <t xml:space="preserve">A58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L58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N58</t>
    </r>
  </si>
  <si>
    <t xml:space="preserve">快取價未取得</t>
  </si>
  <si>
    <r>
      <rPr>
        <sz val="10"/>
        <rFont val="Arial"/>
        <family val="0"/>
        <charset val="1"/>
      </rPr>
      <t xml:space="preserve">SRC_PRC_043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SRC_PRC_044</t>
    </r>
  </si>
  <si>
    <t xml:space="preserve">INV-231</t>
  </si>
  <si>
    <t xml:space="preserve">Sens_Rev</t>
  </si>
  <si>
    <r>
      <rPr>
        <sz val="10"/>
        <rFont val="Noto Sans CJK SC"/>
        <family val="2"/>
        <charset val="1"/>
      </rPr>
      <t xml:space="preserve">利用率 </t>
    </r>
    <r>
      <rPr>
        <sz val="10"/>
        <rFont val="Arial"/>
        <family val="0"/>
        <charset val="1"/>
      </rPr>
      <t xml:space="preserve">40%</t>
    </r>
  </si>
  <si>
    <t xml:space="preserve">0.4</t>
  </si>
  <si>
    <t xml:space="preserve">B6</t>
  </si>
  <si>
    <t xml:space="preserve">INV-232</t>
  </si>
  <si>
    <r>
      <rPr>
        <sz val="10"/>
        <rFont val="Noto Sans CJK SC"/>
        <family val="2"/>
        <charset val="1"/>
      </rPr>
      <t xml:space="preserve">利用率 </t>
    </r>
    <r>
      <rPr>
        <sz val="10"/>
        <rFont val="Arial"/>
        <family val="0"/>
        <charset val="1"/>
      </rPr>
      <t xml:space="preserve">80%</t>
    </r>
  </si>
  <si>
    <t xml:space="preserve">0.8</t>
  </si>
  <si>
    <t xml:space="preserve">B7</t>
  </si>
  <si>
    <t xml:space="preserve">INV-233</t>
  </si>
  <si>
    <r>
      <rPr>
        <sz val="10"/>
        <rFont val="Noto Sans CJK SC"/>
        <family val="2"/>
        <charset val="1"/>
      </rPr>
      <t xml:space="preserve">折扣 </t>
    </r>
    <r>
      <rPr>
        <sz val="10"/>
        <rFont val="Arial"/>
        <family val="0"/>
        <charset val="1"/>
      </rPr>
      <t xml:space="preserve">10%</t>
    </r>
  </si>
  <si>
    <t xml:space="preserve">0.1</t>
  </si>
  <si>
    <t xml:space="preserve">B8</t>
  </si>
  <si>
    <t xml:space="preserve">INV-234</t>
  </si>
  <si>
    <r>
      <rPr>
        <sz val="10"/>
        <rFont val="Noto Sans CJK SC"/>
        <family val="2"/>
        <charset val="1"/>
      </rPr>
      <t xml:space="preserve">折扣 </t>
    </r>
    <r>
      <rPr>
        <sz val="10"/>
        <rFont val="Arial"/>
        <family val="0"/>
        <charset val="1"/>
      </rPr>
      <t xml:space="preserve">30%</t>
    </r>
  </si>
  <si>
    <t xml:space="preserve">0.3</t>
  </si>
  <si>
    <t xml:space="preserve">B9</t>
  </si>
  <si>
    <t xml:space="preserve">INV-235</t>
  </si>
  <si>
    <r>
      <rPr>
        <sz val="10"/>
        <rFont val="Noto Sans CJK SC"/>
        <family val="2"/>
        <charset val="1"/>
      </rPr>
      <t xml:space="preserve">快取命中 </t>
    </r>
    <r>
      <rPr>
        <sz val="10"/>
        <rFont val="Arial"/>
        <family val="0"/>
        <charset val="1"/>
      </rPr>
      <t xml:space="preserve">χ 30%</t>
    </r>
  </si>
  <si>
    <t xml:space="preserve">B10</t>
  </si>
  <si>
    <t xml:space="preserve">INV-236</t>
  </si>
  <si>
    <r>
      <rPr>
        <sz val="10"/>
        <rFont val="Noto Sans CJK SC"/>
        <family val="2"/>
        <charset val="1"/>
      </rPr>
      <t xml:space="preserve">快取命中 </t>
    </r>
    <r>
      <rPr>
        <sz val="10"/>
        <rFont val="Arial"/>
        <family val="0"/>
        <charset val="1"/>
      </rPr>
      <t xml:space="preserve">χ 75%</t>
    </r>
  </si>
  <si>
    <t xml:space="preserve">0.75</t>
  </si>
  <si>
    <t xml:space="preserve">B11</t>
  </si>
  <si>
    <t xml:space="preserve">INV-237</t>
  </si>
  <si>
    <r>
      <rPr>
        <sz val="10"/>
        <rFont val="Noto Sans CJK SC"/>
        <family val="2"/>
        <charset val="1"/>
      </rPr>
      <t xml:space="preserve">對外服務占機隊 </t>
    </r>
    <r>
      <rPr>
        <sz val="10"/>
        <rFont val="Arial"/>
        <family val="0"/>
        <charset val="1"/>
      </rPr>
      <t xml:space="preserve">30%</t>
    </r>
  </si>
  <si>
    <t xml:space="preserve">B12</t>
  </si>
  <si>
    <t xml:space="preserve">INV-238</t>
  </si>
  <si>
    <r>
      <rPr>
        <sz val="10"/>
        <rFont val="Noto Sans CJK SC"/>
        <family val="2"/>
        <charset val="1"/>
      </rPr>
      <t xml:space="preserve">對外服務占機隊 </t>
    </r>
    <r>
      <rPr>
        <sz val="10"/>
        <rFont val="Arial"/>
        <family val="0"/>
        <charset val="1"/>
      </rPr>
      <t xml:space="preserve">60%</t>
    </r>
  </si>
  <si>
    <t xml:space="preserve">0.6</t>
  </si>
  <si>
    <t xml:space="preserve">B13</t>
  </si>
  <si>
    <t xml:space="preserve">INV-239</t>
  </si>
  <si>
    <r>
      <rPr>
        <sz val="10"/>
        <rFont val="Noto Sans CJK SC"/>
        <family val="2"/>
        <charset val="1"/>
      </rPr>
      <t xml:space="preserve">免費占服務 </t>
    </r>
    <r>
      <rPr>
        <sz val="10"/>
        <rFont val="Arial"/>
        <family val="0"/>
        <charset val="1"/>
      </rPr>
      <t xml:space="preserve">35%</t>
    </r>
  </si>
  <si>
    <t xml:space="preserve">0.35</t>
  </si>
  <si>
    <t xml:space="preserve">B14</t>
  </si>
  <si>
    <t xml:space="preserve">INV-240</t>
  </si>
  <si>
    <r>
      <rPr>
        <sz val="10"/>
        <rFont val="Noto Sans CJK SC"/>
        <family val="2"/>
        <charset val="1"/>
      </rPr>
      <t xml:space="preserve">免費占服務 </t>
    </r>
    <r>
      <rPr>
        <sz val="10"/>
        <rFont val="Arial"/>
        <family val="0"/>
        <charset val="1"/>
      </rPr>
      <t xml:space="preserve">60%</t>
    </r>
  </si>
  <si>
    <t xml:space="preserve">B15</t>
  </si>
  <si>
    <t xml:space="preserve">INV-241</t>
  </si>
  <si>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  <charset val="1"/>
      </rPr>
      <t xml:space="preserve">、有效算力 </t>
    </r>
    <r>
      <rPr>
        <sz val="10"/>
        <rFont val="Arial"/>
        <family val="0"/>
        <charset val="1"/>
      </rPr>
      <t xml:space="preserve">×7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J8 </t>
    </r>
    <r>
      <rPr>
        <sz val="10"/>
        <rFont val="Noto Sans CJK SC"/>
        <family val="2"/>
        <charset val="1"/>
      </rPr>
      <t xml:space="preserve">缺口全數轉為能力）</t>
    </r>
  </si>
  <si>
    <t xml:space="preserve">7</t>
  </si>
  <si>
    <t xml:space="preserve">B17</t>
  </si>
  <si>
    <t xml:space="preserve">INV-242</t>
  </si>
  <si>
    <r>
      <rPr>
        <sz val="10"/>
        <rFont val="Noto Sans CJK SC"/>
        <family val="2"/>
        <charset val="1"/>
      </rPr>
      <t xml:space="preserve">壽命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  <charset val="1"/>
      </rPr>
      <t xml:space="preserve">個月</t>
    </r>
  </si>
  <si>
    <t xml:space="preserve">6</t>
  </si>
  <si>
    <t xml:space="preserve">B20</t>
  </si>
  <si>
    <t xml:space="preserve">INV-243</t>
  </si>
  <si>
    <r>
      <rPr>
        <sz val="10"/>
        <rFont val="Noto Sans CJK SC"/>
        <family val="2"/>
        <charset val="1"/>
      </rPr>
      <t xml:space="preserve">壽命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  <charset val="1"/>
      </rPr>
      <t xml:space="preserve">個月</t>
    </r>
  </si>
  <si>
    <t xml:space="preserve">24</t>
  </si>
  <si>
    <t xml:space="preserve">B21</t>
  </si>
  <si>
    <t xml:space="preserve">INV-244</t>
  </si>
  <si>
    <t xml:space="preserve">Har_In</t>
  </si>
  <si>
    <r>
      <rPr>
        <sz val="10"/>
        <rFont val="Noto Sans CJK SC"/>
        <family val="2"/>
        <charset val="1"/>
      </rPr>
      <t xml:space="preserve">情境檔案（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＝供應商原生增強；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＝多代理編排）</t>
    </r>
  </si>
  <si>
    <t xml:space="preserve">INV-245</t>
  </si>
  <si>
    <r>
      <rPr>
        <sz val="10"/>
        <rFont val="Noto Sans CJK SC"/>
        <family val="2"/>
        <charset val="1"/>
      </rPr>
      <t xml:space="preserve">可靠度下限 </t>
    </r>
    <r>
      <rPr>
        <sz val="10"/>
        <rFont val="Arial"/>
        <family val="0"/>
        <charset val="1"/>
      </rPr>
      <t xml:space="preserve">p_min</t>
    </r>
    <r>
      <rPr>
        <sz val="10"/>
        <rFont val="Noto Sans CJK SC"/>
        <family val="2"/>
        <charset val="1"/>
      </rPr>
      <t xml:space="preserve">（成功任務成本前緣只比較 </t>
    </r>
    <r>
      <rPr>
        <sz val="10"/>
        <rFont val="Arial"/>
        <family val="0"/>
        <charset val="1"/>
      </rPr>
      <t xml:space="preserve">p ≥ </t>
    </r>
    <r>
      <rPr>
        <sz val="10"/>
        <rFont val="Noto Sans CJK SC"/>
        <family val="2"/>
        <charset val="1"/>
      </rPr>
      <t xml:space="preserve">此值者）</t>
    </r>
  </si>
  <si>
    <t xml:space="preserve">INV-246</t>
  </si>
  <si>
    <t xml:space="preserve">輪數倍數</t>
  </si>
  <si>
    <t xml:space="preserve">INV-247</t>
  </si>
  <si>
    <r>
      <rPr>
        <sz val="10"/>
        <rFont val="Noto Sans CJK SC"/>
        <family val="2"/>
        <charset val="1"/>
      </rPr>
      <t xml:space="preserve">思考保留 </t>
    </r>
    <r>
      <rPr>
        <sz val="10"/>
        <rFont val="Arial"/>
        <family val="0"/>
        <charset val="1"/>
      </rPr>
      <t xml:space="preserve">ρ</t>
    </r>
  </si>
  <si>
    <r>
      <rPr>
        <sz val="10"/>
        <rFont val="Noto Sans CJK SC"/>
        <family val="2"/>
        <charset val="1"/>
      </rPr>
      <t xml:space="preserve">保留不透明推理狀態為事實（</t>
    </r>
    <r>
      <rPr>
        <sz val="10"/>
        <rFont val="Arial"/>
        <family val="0"/>
        <charset val="1"/>
      </rPr>
      <t xml:space="preserve">S58</t>
    </r>
    <r>
      <rPr>
        <sz val="10"/>
        <rFont val="Noto Sans CJK SC"/>
        <family val="2"/>
        <charset val="1"/>
      </rPr>
      <t xml:space="preserve">，機制），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  <charset val="1"/>
      </rPr>
      <t xml:space="preserve">的數值為參數設定</t>
    </r>
  </si>
  <si>
    <t xml:space="preserve">INV-248</t>
  </si>
  <si>
    <t xml:space="preserve">每輪思考倍數</t>
  </si>
  <si>
    <t xml:space="preserve">INV-249</t>
  </si>
  <si>
    <r>
      <rPr>
        <sz val="10"/>
        <rFont val="Noto Sans CJK SC"/>
        <family val="2"/>
        <charset val="1"/>
      </rPr>
      <t xml:space="preserve">歷史保留比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  <charset val="1"/>
      </rPr>
      <t xml:space="preserve">（壓縮後）</t>
    </r>
  </si>
  <si>
    <r>
      <rPr>
        <sz val="10"/>
        <rFont val="Arial"/>
        <family val="0"/>
        <charset val="1"/>
      </rPr>
      <t xml:space="preserve">C15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G15</t>
    </r>
  </si>
  <si>
    <t xml:space="preserve">INV-250</t>
  </si>
  <si>
    <t xml:space="preserve">快取命中變動</t>
  </si>
  <si>
    <t xml:space="preserve">百分點</t>
  </si>
  <si>
    <r>
      <rPr>
        <sz val="10"/>
        <rFont val="Arial"/>
        <family val="0"/>
        <charset val="1"/>
      </rPr>
      <t xml:space="preserve">C16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G16</t>
    </r>
  </si>
  <si>
    <t xml:space="preserve">INV-251</t>
  </si>
  <si>
    <t xml:space="preserve">子代理數增量</t>
  </si>
  <si>
    <r>
      <rPr>
        <sz val="10"/>
        <rFont val="Arial"/>
        <family val="0"/>
        <charset val="1"/>
      </rPr>
      <t xml:space="preserve">C17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G17</t>
    </r>
  </si>
  <si>
    <t xml:space="preserve">INV-252</t>
  </si>
  <si>
    <t xml:space="preserve">狀態保留時間</t>
  </si>
  <si>
    <r>
      <rPr>
        <sz val="10"/>
        <rFont val="Arial"/>
        <family val="0"/>
        <charset val="1"/>
      </rPr>
      <t xml:space="preserve">C18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G18</t>
    </r>
  </si>
  <si>
    <t xml:space="preserve">INV-253</t>
  </si>
  <si>
    <t xml:space="preserve">時間範圍倍數（本任務）</t>
  </si>
  <si>
    <r>
      <rPr>
        <sz val="10"/>
        <rFont val="Arial"/>
        <family val="0"/>
        <charset val="1"/>
      </rPr>
      <t xml:space="preserve">C19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G19</t>
    </r>
  </si>
  <si>
    <t xml:space="preserve">INV-254</t>
  </si>
  <si>
    <r>
      <rPr>
        <sz val="10"/>
        <rFont val="Noto Sans CJK SC"/>
        <family val="2"/>
        <charset val="1"/>
      </rPr>
      <t xml:space="preserve">供應商專屬（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＝是）</t>
    </r>
  </si>
  <si>
    <t xml:space="preserve">旗標</t>
  </si>
  <si>
    <r>
      <rPr>
        <sz val="10"/>
        <rFont val="Arial"/>
        <family val="0"/>
        <charset val="1"/>
      </rPr>
      <t xml:space="preserve">C20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G20</t>
    </r>
  </si>
  <si>
    <t xml:space="preserve">供應商專屬旗標屬定義</t>
  </si>
  <si>
    <t xml:space="preserve">INV-255</t>
  </si>
  <si>
    <t xml:space="preserve">INV-256</t>
  </si>
  <si>
    <t xml:space="preserve">INV-257</t>
  </si>
  <si>
    <t xml:space="preserve">INV-258</t>
  </si>
  <si>
    <t xml:space="preserve">INV-259</t>
  </si>
  <si>
    <t xml:space="preserve">INV-260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</si>
  <si>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Analogy</t>
    </r>
  </si>
  <si>
    <r>
      <rPr>
        <sz val="10"/>
        <rFont val="Noto Sans CJK SC"/>
        <family val="2"/>
        <charset val="1"/>
      </rPr>
      <t xml:space="preserve">子代理數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以 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  <charset val="1"/>
      </rPr>
      <t xml:space="preserve">多代理系統（</t>
    </r>
    <r>
      <rPr>
        <sz val="10"/>
        <rFont val="Arial"/>
        <family val="0"/>
        <charset val="1"/>
      </rPr>
      <t xml:space="preserve">S25</t>
    </r>
    <r>
      <rPr>
        <sz val="10"/>
        <rFont val="Noto Sans CJK SC"/>
        <family val="2"/>
        <charset val="1"/>
      </rPr>
      <t xml:space="preserve">）類比</t>
    </r>
  </si>
  <si>
    <t xml:space="preserve">INV-261</t>
  </si>
  <si>
    <t xml:space="preserve">INV-262</t>
  </si>
  <si>
    <t xml:space="preserve">INV-263</t>
  </si>
  <si>
    <t xml:space="preserve">INV-264</t>
  </si>
  <si>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  <charset val="1"/>
      </rPr>
      <t xml:space="preserve">時間範圍 基準</t>
    </r>
  </si>
  <si>
    <r>
      <rPr>
        <sz val="10"/>
        <rFont val="Arial"/>
        <family val="0"/>
        <charset val="1"/>
      </rPr>
      <t xml:space="preserve">C48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E48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</si>
  <si>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S59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</si>
  <si>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INV-265</t>
  </si>
  <si>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  <charset val="1"/>
      </rPr>
      <t xml:space="preserve">時間範圍 低</t>
    </r>
  </si>
  <si>
    <r>
      <rPr>
        <sz val="10"/>
        <rFont val="Arial"/>
        <family val="0"/>
        <charset val="1"/>
      </rPr>
      <t xml:space="preserve">C49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E49</t>
    </r>
  </si>
  <si>
    <t xml:space="preserve">INV-266</t>
  </si>
  <si>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  <charset val="1"/>
      </rPr>
      <t xml:space="preserve">時間範圍 高</t>
    </r>
  </si>
  <si>
    <r>
      <rPr>
        <sz val="10"/>
        <rFont val="Arial"/>
        <family val="0"/>
        <charset val="1"/>
      </rPr>
      <t xml:space="preserve">C50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E50</t>
    </r>
  </si>
  <si>
    <t xml:space="preserve">INV-267</t>
  </si>
  <si>
    <r>
      <rPr>
        <sz val="10"/>
        <rFont val="Noto Sans CJK SC"/>
        <family val="2"/>
        <charset val="1"/>
      </rPr>
      <t xml:space="preserve">斜率 </t>
    </r>
    <r>
      <rPr>
        <sz val="10"/>
        <rFont val="Arial"/>
        <family val="0"/>
        <charset val="1"/>
      </rPr>
      <t xml:space="preserve">β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  <charset val="1"/>
      </rPr>
      <t xml:space="preserve">＝基準、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  <charset val="1"/>
      </rPr>
      <t xml:space="preserve">＝低、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  <charset val="1"/>
      </rPr>
      <t xml:space="preserve">＝高）</t>
    </r>
  </si>
  <si>
    <r>
      <rPr>
        <sz val="10"/>
        <rFont val="Arial"/>
        <family val="0"/>
        <charset val="1"/>
      </rPr>
      <t xml:space="preserve">C51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E51</t>
    </r>
  </si>
  <si>
    <r>
      <rPr>
        <sz val="10"/>
        <rFont val="Arial"/>
        <family val="0"/>
        <charset val="1"/>
      </rPr>
      <t xml:space="preserve">β </t>
    </r>
    <r>
      <rPr>
        <sz val="10"/>
        <rFont val="Noto Sans CJK SC"/>
        <family val="2"/>
        <charset val="1"/>
      </rPr>
      <t xml:space="preserve">由 </t>
    </r>
    <r>
      <rPr>
        <sz val="10"/>
        <rFont val="Arial"/>
        <family val="0"/>
        <charset val="1"/>
      </rPr>
      <t xml:space="preserve">METR 50%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80% </t>
    </r>
    <r>
      <rPr>
        <sz val="10"/>
        <rFont val="Noto Sans CJK SC"/>
        <family val="2"/>
        <charset val="1"/>
      </rPr>
      <t xml:space="preserve">比反推（</t>
    </r>
    <r>
      <rPr>
        <sz val="10"/>
        <rFont val="Arial"/>
        <family val="0"/>
        <charset val="1"/>
      </rPr>
      <t xml:space="preserve">S59 </t>
    </r>
    <r>
      <rPr>
        <sz val="10"/>
        <rFont val="Noto Sans CJK SC"/>
        <family val="2"/>
        <charset val="1"/>
      </rPr>
      <t xml:space="preserve">四個模型約 </t>
    </r>
    <r>
      <rPr>
        <sz val="10"/>
        <rFont val="Arial"/>
        <family val="0"/>
        <charset val="1"/>
      </rPr>
      <t xml:space="preserve">0.70–1.0</t>
    </r>
    <r>
      <rPr>
        <sz val="10"/>
        <rFont val="Noto Sans CJK SC"/>
        <family val="2"/>
        <charset val="1"/>
      </rPr>
      <t xml:space="preserve">）後選 </t>
    </r>
    <r>
      <rPr>
        <sz val="10"/>
        <rFont val="Arial"/>
        <family val="0"/>
        <charset val="1"/>
      </rPr>
      <t xml:space="preserve">0.75</t>
    </r>
    <r>
      <rPr>
        <sz val="10"/>
        <rFont val="Noto Sans CJK SC"/>
        <family val="2"/>
        <charset val="1"/>
      </rPr>
      <t xml:space="preserve">；選取屬判斷，非純計算</t>
    </r>
  </si>
  <si>
    <t xml:space="preserve">INV-268</t>
  </si>
  <si>
    <t xml:space="preserve">任務長度（人類完成時間）</t>
  </si>
  <si>
    <r>
      <rPr>
        <sz val="10"/>
        <rFont val="Arial"/>
        <family val="0"/>
        <charset val="1"/>
      </rPr>
      <t xml:space="preserve">C53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G53</t>
    </r>
  </si>
  <si>
    <t xml:space="preserve">INV-269</t>
  </si>
  <si>
    <t xml:space="preserve">任務期程類別</t>
  </si>
  <si>
    <r>
      <rPr>
        <sz val="10"/>
        <rFont val="Arial"/>
        <family val="0"/>
        <charset val="1"/>
      </rPr>
      <t xml:space="preserve">C54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G54</t>
    </r>
  </si>
  <si>
    <r>
      <rPr>
        <sz val="10"/>
        <rFont val="Noto Sans CJK SC"/>
        <family val="2"/>
        <charset val="1"/>
      </rPr>
      <t xml:space="preserve">任務期程分類（≥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  <charset val="1"/>
      </rPr>
      <t xml:space="preserve">小時為長程）屬定義</t>
    </r>
  </si>
  <si>
    <t xml:space="preserve">INV-270</t>
  </si>
  <si>
    <r>
      <rPr>
        <sz val="10"/>
        <rFont val="Arial"/>
        <family val="0"/>
        <charset val="1"/>
      </rPr>
      <t xml:space="preserve">C61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D61</t>
    </r>
  </si>
  <si>
    <t xml:space="preserve">INV-271</t>
  </si>
  <si>
    <r>
      <rPr>
        <sz val="10"/>
        <rFont val="Arial"/>
        <family val="0"/>
        <charset val="1"/>
      </rPr>
      <t xml:space="preserve">C62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D62</t>
    </r>
  </si>
  <si>
    <t xml:space="preserve">INV-272</t>
  </si>
  <si>
    <r>
      <rPr>
        <sz val="10"/>
        <rFont val="Arial"/>
        <family val="0"/>
        <charset val="1"/>
      </rPr>
      <t xml:space="preserve">C63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D63</t>
    </r>
  </si>
  <si>
    <t xml:space="preserve">INV-273</t>
  </si>
  <si>
    <r>
      <rPr>
        <sz val="10"/>
        <rFont val="Noto Sans CJK SC"/>
        <family val="2"/>
        <charset val="1"/>
      </rPr>
      <t xml:space="preserve">歷史保留比 </t>
    </r>
    <r>
      <rPr>
        <sz val="10"/>
        <rFont val="Arial"/>
        <family val="0"/>
        <charset val="1"/>
      </rPr>
      <t xml:space="preserve">c</t>
    </r>
  </si>
  <si>
    <r>
      <rPr>
        <sz val="10"/>
        <rFont val="Arial"/>
        <family val="0"/>
        <charset val="1"/>
      </rPr>
      <t xml:space="preserve">C64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D64</t>
    </r>
  </si>
  <si>
    <t xml:space="preserve">INV-274</t>
  </si>
  <si>
    <t xml:space="preserve">時間範圍倍數（長程）</t>
  </si>
  <si>
    <r>
      <rPr>
        <sz val="10"/>
        <rFont val="Arial"/>
        <family val="0"/>
        <charset val="1"/>
      </rPr>
      <t xml:space="preserve">C65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D65</t>
    </r>
  </si>
  <si>
    <t xml:space="preserve">INV-275</t>
  </si>
  <si>
    <r>
      <rPr>
        <sz val="10"/>
        <rFont val="Arial"/>
        <family val="0"/>
        <charset val="1"/>
      </rPr>
      <t xml:space="preserve">C66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D66</t>
    </r>
  </si>
  <si>
    <t xml:space="preserve">INV-276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</si>
  <si>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GPT-6 Astra </t>
    </r>
    <r>
      <rPr>
        <sz val="10"/>
        <rFont val="Noto Sans CJK SC"/>
        <family val="2"/>
        <charset val="1"/>
      </rPr>
      <t xml:space="preserve">標準 </t>
    </r>
    <r>
      <rPr>
        <sz val="10"/>
        <rFont val="Arial"/>
        <family val="0"/>
        <charset val="1"/>
      </rPr>
      <t xml:space="preserve">harness</t>
    </r>
    <r>
      <rPr>
        <sz val="10"/>
        <rFont val="Noto Sans CJK SC"/>
        <family val="2"/>
        <charset val="1"/>
      </rPr>
      <t xml:space="preserve">（最高推理）</t>
    </r>
  </si>
  <si>
    <r>
      <rPr>
        <sz val="10"/>
        <rFont val="Arial"/>
        <family val="0"/>
        <charset val="1"/>
      </rPr>
      <t xml:space="preserve">C70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D70</t>
    </r>
  </si>
  <si>
    <r>
      <rPr>
        <sz val="10"/>
        <rFont val="Arial"/>
        <family val="0"/>
        <charset val="1"/>
      </rPr>
      <t xml:space="preserve">SRC_HAR_003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SRC_HAR_004</t>
    </r>
  </si>
  <si>
    <t xml:space="preserve">INV-277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</si>
  <si>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GPT-6 Astra Provider Adapter</t>
    </r>
    <r>
      <rPr>
        <sz val="10"/>
        <rFont val="Noto Sans CJK SC"/>
        <family val="2"/>
        <charset val="1"/>
      </rPr>
      <t xml:space="preserve">（最高推理，同檔）</t>
    </r>
  </si>
  <si>
    <r>
      <rPr>
        <sz val="10"/>
        <rFont val="Arial"/>
        <family val="0"/>
        <charset val="1"/>
      </rPr>
      <t xml:space="preserve">C71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D71</t>
    </r>
  </si>
  <si>
    <r>
      <rPr>
        <sz val="10"/>
        <rFont val="Arial"/>
        <family val="0"/>
        <charset val="1"/>
      </rPr>
      <t xml:space="preserve">SRC_HAR_005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SRC_HAR_006</t>
    </r>
  </si>
  <si>
    <t xml:space="preserve">INV-278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</si>
  <si>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GPT-6 Astra Provider Adapter</t>
    </r>
    <r>
      <rPr>
        <sz val="10"/>
        <rFont val="Noto Sans CJK SC"/>
        <family val="2"/>
        <charset val="1"/>
      </rPr>
      <t xml:space="preserve">（高推理）</t>
    </r>
  </si>
  <si>
    <r>
      <rPr>
        <sz val="10"/>
        <rFont val="Arial"/>
        <family val="0"/>
        <charset val="1"/>
      </rPr>
      <t xml:space="preserve">C72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E72</t>
    </r>
  </si>
  <si>
    <r>
      <rPr>
        <sz val="10"/>
        <rFont val="Arial"/>
        <family val="0"/>
        <charset val="1"/>
      </rPr>
      <t xml:space="preserve">S58</t>
    </r>
    <r>
      <rPr>
        <sz val="10"/>
        <rFont val="Noto Sans CJK SC"/>
        <family val="2"/>
        <charset val="1"/>
      </rPr>
      <t xml:space="preserve">；成本另有 </t>
    </r>
    <r>
      <rPr>
        <sz val="10"/>
        <rFont val="Arial"/>
        <family val="0"/>
        <charset val="1"/>
      </rPr>
      <t xml:space="preserve">$19,302 </t>
    </r>
    <r>
      <rPr>
        <sz val="10"/>
        <rFont val="Noto Sans CJK SC"/>
        <family val="2"/>
        <charset val="1"/>
      </rPr>
      <t xml:space="preserve">衝突記載（</t>
    </r>
    <r>
      <rPr>
        <sz val="10"/>
        <rFont val="Arial"/>
        <family val="0"/>
        <charset val="1"/>
      </rPr>
      <t xml:space="preserve">Alt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</si>
  <si>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SRC_HAR_007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SRC_HAR_008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SRC_HAR_010</t>
    </r>
  </si>
  <si>
    <t xml:space="preserve">INV-279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</si>
  <si>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Claude Opus 5 </t>
    </r>
    <r>
      <rPr>
        <sz val="10"/>
        <rFont val="Noto Sans CJK SC"/>
        <family val="2"/>
        <charset val="1"/>
      </rPr>
      <t xml:space="preserve">標準 </t>
    </r>
    <r>
      <rPr>
        <sz val="10"/>
        <rFont val="Arial"/>
        <family val="0"/>
        <charset val="1"/>
      </rPr>
      <t xml:space="preserve">harness</t>
    </r>
  </si>
  <si>
    <t xml:space="preserve">C73</t>
  </si>
  <si>
    <t xml:space="preserve">INV-280</t>
  </si>
  <si>
    <r>
      <rPr>
        <sz val="10"/>
        <rFont val="Arial"/>
        <family val="0"/>
        <charset val="1"/>
      </rPr>
      <t xml:space="preserve">ARC-AGI-3</t>
    </r>
    <r>
      <rPr>
        <sz val="10"/>
        <rFont val="Noto Sans CJK SC"/>
        <family val="2"/>
        <charset val="1"/>
      </rPr>
      <t xml:space="preserve">：</t>
    </r>
    <r>
      <rPr>
        <sz val="10"/>
        <rFont val="Arial"/>
        <family val="0"/>
        <charset val="1"/>
      </rPr>
      <t xml:space="preserve">Claude Opus 5 + Nvidia </t>
    </r>
    <r>
      <rPr>
        <sz val="10"/>
        <rFont val="Noto Sans CJK SC"/>
        <family val="2"/>
        <charset val="1"/>
      </rPr>
      <t xml:space="preserve">所建 </t>
    </r>
    <r>
      <rPr>
        <sz val="10"/>
        <rFont val="Arial"/>
        <family val="0"/>
        <charset val="1"/>
      </rPr>
      <t xml:space="preserve">harness</t>
    </r>
  </si>
  <si>
    <t xml:space="preserve">C74</t>
  </si>
  <si>
    <r>
      <rPr>
        <sz val="10"/>
        <rFont val="Arial"/>
        <family val="0"/>
        <charset val="1"/>
      </rPr>
      <t xml:space="preserve">S61</t>
    </r>
    <r>
      <rPr>
        <sz val="10"/>
        <rFont val="Noto Sans CJK SC"/>
        <family val="2"/>
        <charset val="1"/>
      </rPr>
      <t xml:space="preserve">；歸屬待核</t>
    </r>
  </si>
  <si>
    <t xml:space="preserve">INV-281</t>
  </si>
  <si>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  <charset val="1"/>
      </rPr>
      <t xml:space="preserve">多代理研究系統（相對單代理）</t>
    </r>
  </si>
  <si>
    <t xml:space="preserve">E75</t>
  </si>
  <si>
    <r>
      <rPr>
        <sz val="10"/>
        <rFont val="Arial"/>
        <family val="0"/>
        <charset val="1"/>
      </rPr>
      <t xml:space="preserve">3.75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15 ÷ 4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S25 </t>
    </r>
    <r>
      <rPr>
        <sz val="10"/>
        <rFont val="Noto Sans CJK SC"/>
        <family val="2"/>
        <charset val="1"/>
      </rPr>
      <t xml:space="preserve">兩筆紀錄），改公式值不變</t>
    </r>
  </si>
  <si>
    <t xml:space="preserve">INV-282</t>
  </si>
  <si>
    <r>
      <rPr>
        <sz val="10"/>
        <rFont val="Arial"/>
        <family val="0"/>
        <charset val="1"/>
      </rPr>
      <t xml:space="preserve">C77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D77</t>
    </r>
  </si>
  <si>
    <r>
      <rPr>
        <sz val="10"/>
        <rFont val="Arial"/>
        <family val="0"/>
        <charset val="1"/>
      </rPr>
      <t xml:space="preserve">SRC_CAP_012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SRC_CAP_013</t>
    </r>
  </si>
  <si>
    <t xml:space="preserve">INV-283</t>
  </si>
  <si>
    <r>
      <rPr>
        <sz val="10"/>
        <rFont val="Arial"/>
        <family val="0"/>
        <charset val="1"/>
      </rPr>
      <t xml:space="preserve">GPT-5.2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high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</si>
  <si>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C78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D78</t>
    </r>
  </si>
  <si>
    <r>
      <rPr>
        <sz val="10"/>
        <rFont val="Arial"/>
        <family val="0"/>
        <charset val="1"/>
      </rPr>
      <t xml:space="preserve">SRC_CAP_014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SRC_CAP_015</t>
    </r>
  </si>
  <si>
    <t xml:space="preserve">INV-284</t>
  </si>
  <si>
    <r>
      <rPr>
        <sz val="10"/>
        <rFont val="Arial"/>
        <family val="0"/>
        <charset val="1"/>
      </rPr>
      <t xml:space="preserve">GPT-5.4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xhigh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</si>
  <si>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C79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D79</t>
    </r>
  </si>
  <si>
    <r>
      <rPr>
        <sz val="10"/>
        <rFont val="Arial"/>
        <family val="0"/>
        <charset val="1"/>
      </rPr>
      <t xml:space="preserve">SRC_CAP_016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SRC_CAP_017</t>
    </r>
  </si>
  <si>
    <t xml:space="preserve">INV-285</t>
  </si>
  <si>
    <r>
      <rPr>
        <sz val="10"/>
        <rFont val="Arial"/>
        <family val="0"/>
        <charset val="1"/>
      </rPr>
      <t xml:space="preserve">C80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D80</t>
    </r>
  </si>
  <si>
    <r>
      <rPr>
        <sz val="10"/>
        <rFont val="Arial"/>
        <family val="0"/>
        <charset val="1"/>
      </rPr>
      <t xml:space="preserve">SRC_CAP_018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SRC_CAP_019</t>
    </r>
  </si>
  <si>
    <t xml:space="preserve">INV-286</t>
  </si>
  <si>
    <t xml:space="preserve">Energy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</si>
  <si>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功率中可歸於運算的比例</t>
    </r>
  </si>
  <si>
    <t xml:space="preserve">INV-287</t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</si>
  <si>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  <charset val="1"/>
      </rPr>
      <t xml:space="preserve">通訊能量 </t>
    </r>
    <r>
      <rPr>
        <sz val="10"/>
        <rFont val="Arial"/>
        <family val="0"/>
        <charset val="1"/>
      </rPr>
      <t xml:space="preserve">NVLink</t>
    </r>
  </si>
  <si>
    <t xml:space="preserve">pJ/byte</t>
  </si>
  <si>
    <t xml:space="preserve">INV-288</t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</si>
  <si>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  <charset val="1"/>
      </rPr>
      <t xml:space="preserve">通訊能量 </t>
    </r>
    <r>
      <rPr>
        <sz val="10"/>
        <rFont val="Arial"/>
        <family val="0"/>
        <charset val="1"/>
      </rPr>
      <t xml:space="preserve">IB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  <charset val="1"/>
      </rPr>
      <t xml:space="preserve">）</t>
    </r>
  </si>
  <si>
    <t xml:space="preserve">INV-289</t>
  </si>
  <si>
    <t xml:space="preserve">NonNV</t>
  </si>
  <si>
    <r>
      <rPr>
        <sz val="10"/>
        <rFont val="Arial"/>
        <family val="0"/>
        <charset val="1"/>
      </rPr>
      <t xml:space="preserve">AMD MI455X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  <charset val="1"/>
      </rPr>
      <t xml:space="preserve">）</t>
    </r>
  </si>
  <si>
    <t xml:space="preserve">0.5</t>
  </si>
  <si>
    <r>
      <rPr>
        <sz val="10"/>
        <rFont val="Arial"/>
        <family val="0"/>
        <charset val="1"/>
      </rPr>
      <t xml:space="preserve">B5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</t>
    </r>
  </si>
  <si>
    <r>
      <rPr>
        <sz val="10"/>
        <rFont val="Noto Sans CJK SC"/>
        <family val="2"/>
        <charset val="1"/>
      </rPr>
      <t xml:space="preserve">同意規則分類（未逐列判讀）；說明文字引 </t>
    </r>
    <r>
      <rPr>
        <sz val="10"/>
        <rFont val="Arial"/>
        <family val="0"/>
        <charset val="1"/>
      </rPr>
      <t xml:space="preserve">S20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補可比對象 </t>
    </r>
    <r>
      <rPr>
        <sz val="10"/>
        <rFont val="Arial"/>
        <family val="0"/>
        <charset val="1"/>
      </rPr>
      <t xml:space="preserve">SRC_ID</t>
    </r>
  </si>
  <si>
    <t xml:space="preserve">INV-290</t>
  </si>
  <si>
    <t xml:space="preserve">Google TPU v7 Ironwood</t>
  </si>
  <si>
    <r>
      <rPr>
        <sz val="10"/>
        <rFont val="Arial"/>
        <family val="0"/>
        <charset val="1"/>
      </rPr>
      <t xml:space="preserve">B6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G6</t>
    </r>
  </si>
  <si>
    <t xml:space="preserve">INV-291</t>
  </si>
  <si>
    <t xml:space="preserve">AWS Trainium3</t>
  </si>
  <si>
    <r>
      <rPr>
        <sz val="10"/>
        <rFont val="Arial"/>
        <family val="0"/>
        <charset val="1"/>
      </rPr>
      <t xml:space="preserve">B7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G7</t>
    </r>
  </si>
  <si>
    <t xml:space="preserve">INV-292</t>
  </si>
  <si>
    <t xml:space="preserve">Cerebras WSE-3</t>
  </si>
  <si>
    <t xml:space="preserve">0.2</t>
  </si>
  <si>
    <r>
      <rPr>
        <sz val="10"/>
        <rFont val="Arial"/>
        <family val="0"/>
        <charset val="1"/>
      </rPr>
      <t xml:space="preserve">B8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G8</t>
    </r>
  </si>
  <si>
    <t xml:space="preserve">INV-293</t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</si>
  <si>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Broadcom </t>
    </r>
    <r>
      <rPr>
        <sz val="10"/>
        <rFont val="Noto Sans CJK SC"/>
        <family val="2"/>
        <charset val="1"/>
      </rPr>
      <t xml:space="preserve">客製</t>
    </r>
  </si>
  <si>
    <r>
      <rPr>
        <sz val="10"/>
        <rFont val="Arial"/>
        <family val="0"/>
        <charset val="1"/>
      </rPr>
      <t xml:space="preserve">B9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G9</t>
    </r>
  </si>
  <si>
    <t xml:space="preserve">INV-294</t>
  </si>
  <si>
    <t xml:space="preserve">Checks</t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</si>
  <si>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總資本支出</t>
    </r>
  </si>
  <si>
    <t xml:space="preserve">C4</t>
  </si>
  <si>
    <r>
      <rPr>
        <sz val="10"/>
        <rFont val="Arial"/>
        <family val="0"/>
        <charset val="1"/>
      </rPr>
      <t xml:space="preserve">Checks </t>
    </r>
    <r>
      <rPr>
        <sz val="10"/>
        <rFont val="Noto Sans CJK SC"/>
        <family val="2"/>
        <charset val="1"/>
      </rPr>
      <t xml:space="preserve">外部參照</t>
    </r>
  </si>
  <si>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移入 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  <charset val="1"/>
      </rPr>
      <t xml:space="preserve">外部對照欄（</t>
    </r>
    <r>
      <rPr>
        <sz val="10"/>
        <rFont val="Arial"/>
        <family val="0"/>
        <charset val="1"/>
      </rPr>
      <t xml:space="preserve">G9</t>
    </r>
    <r>
      <rPr>
        <sz val="10"/>
        <rFont val="Noto Sans CJK SC"/>
        <family val="2"/>
        <charset val="1"/>
      </rPr>
      <t xml:space="preserve">）</t>
    </r>
  </si>
  <si>
    <t xml:space="preserve">INV-295</t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</si>
  <si>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Noto Sans CJK SC"/>
        <family val="2"/>
        <charset val="1"/>
      </rPr>
      <t xml:space="preserve">內容（機架）</t>
    </r>
  </si>
  <si>
    <t xml:space="preserve">INV-296</t>
  </si>
  <si>
    <r>
      <rPr>
        <sz val="10"/>
        <rFont val="Noto Sans CJK SC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  <charset val="1"/>
      </rPr>
      <t xml:space="preserve">廠房資本支出</t>
    </r>
  </si>
  <si>
    <t xml:space="preserve">INV-297</t>
  </si>
  <si>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  <charset val="1"/>
      </rPr>
      <t xml:space="preserve">經濟口徑 </t>
    </r>
    <r>
      <rPr>
        <sz val="10"/>
        <rFont val="Arial"/>
        <family val="0"/>
        <charset val="1"/>
      </rPr>
      <t xml:space="preserve">$/GPU-hr</t>
    </r>
  </si>
  <si>
    <t xml:space="preserve">INV-298</t>
  </si>
  <si>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  <charset val="1"/>
      </rPr>
      <t xml:space="preserve">經濟口徑 </t>
    </r>
    <r>
      <rPr>
        <sz val="10"/>
        <rFont val="Arial"/>
        <family val="0"/>
        <charset val="1"/>
      </rPr>
      <t xml:space="preserve">$/GPU-hr</t>
    </r>
  </si>
  <si>
    <t xml:space="preserve">INV-299</t>
  </si>
  <si>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  <charset val="1"/>
      </rPr>
      <t xml:space="preserve">市場牌價對照</t>
    </r>
  </si>
  <si>
    <t xml:space="preserve">INV-300</t>
  </si>
  <si>
    <t xml:space="preserve">新雲損益兩平參照</t>
  </si>
  <si>
    <t xml:space="preserve">INV-301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</si>
  <si>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  <charset val="1"/>
      </rPr>
      <t xml:space="preserve">對帳：機隊付費營收（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  <charset val="1"/>
      </rPr>
      <t xml:space="preserve">加權、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  <charset val="1"/>
      </rPr>
      <t xml:space="preserve">有效單價）</t>
    </r>
  </si>
  <si>
    <t xml:space="preserve">I43</t>
  </si>
  <si>
    <t xml:space="preserve">E010</t>
  </si>
  <si>
    <t xml:space="preserve">INV-302</t>
  </si>
  <si>
    <r>
      <rPr>
        <sz val="10"/>
        <rFont val="Arial"/>
        <family val="0"/>
        <charset val="1"/>
      </rPr>
      <t xml:space="preserve">DeepSeek V4-Pro </t>
    </r>
    <r>
      <rPr>
        <sz val="10"/>
        <rFont val="Noto Sans CJK SC"/>
        <family val="2"/>
        <charset val="1"/>
      </rPr>
      <t xml:space="preserve">尖峰輸出價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  <charset val="1"/>
      </rPr>
      <t xml:space="preserve">本模型 </t>
    </r>
    <r>
      <rPr>
        <sz val="10"/>
        <rFont val="Arial"/>
        <family val="0"/>
        <charset val="1"/>
      </rPr>
      <t xml:space="preserve">Hopper Sol decode </t>
    </r>
    <r>
      <rPr>
        <sz val="10"/>
        <rFont val="Noto Sans CJK SC"/>
        <family val="2"/>
        <charset val="1"/>
      </rPr>
      <t xml:space="preserve">成本（基準利用率）</t>
    </r>
  </si>
  <si>
    <t xml:space="preserve">I44</t>
  </si>
  <si>
    <r>
      <rPr>
        <sz val="10"/>
        <rFont val="Arial"/>
        <family val="0"/>
        <charset val="1"/>
      </rPr>
      <t xml:space="preserve">S52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E011</t>
    </r>
  </si>
  <si>
    <t xml:space="preserve">INV-303</t>
  </si>
  <si>
    <r>
      <rPr>
        <sz val="10"/>
        <rFont val="Arial"/>
        <family val="0"/>
        <charset val="1"/>
      </rPr>
      <t xml:space="preserve">DeepSeek V4-Pro </t>
    </r>
    <r>
      <rPr>
        <sz val="10"/>
        <rFont val="Noto Sans CJK SC"/>
        <family val="2"/>
        <charset val="1"/>
      </rPr>
      <t xml:space="preserve">離峰輸出價 </t>
    </r>
    <r>
      <rPr>
        <sz val="10"/>
        <rFont val="Arial"/>
        <family val="0"/>
        <charset val="1"/>
      </rPr>
      <t xml:space="preserve">÷ Hopper Sol decode </t>
    </r>
    <r>
      <rPr>
        <sz val="10"/>
        <rFont val="Noto Sans CJK SC"/>
        <family val="2"/>
        <charset val="1"/>
      </rPr>
      <t xml:space="preserve">成本（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  <charset val="1"/>
      </rPr>
      <t xml:space="preserve">）</t>
    </r>
  </si>
  <si>
    <t xml:space="preserve">I45</t>
  </si>
  <si>
    <t xml:space="preserve">INV-304</t>
  </si>
  <si>
    <r>
      <rPr>
        <sz val="10"/>
        <rFont val="Arial"/>
        <family val="0"/>
        <charset val="1"/>
      </rPr>
      <t xml:space="preserve">DeepSeek V4.1-Flash </t>
    </r>
    <r>
      <rPr>
        <sz val="10"/>
        <rFont val="Noto Sans CJK SC"/>
        <family val="2"/>
        <charset val="1"/>
      </rPr>
      <t xml:space="preserve">尖峰輸出價 </t>
    </r>
    <r>
      <rPr>
        <sz val="10"/>
        <rFont val="Arial"/>
        <family val="0"/>
        <charset val="1"/>
      </rPr>
      <t xml:space="preserve">÷ Hopper Luna decode </t>
    </r>
    <r>
      <rPr>
        <sz val="10"/>
        <rFont val="Noto Sans CJK SC"/>
        <family val="2"/>
        <charset val="1"/>
      </rPr>
      <t xml:space="preserve">成本（基準利用率）</t>
    </r>
  </si>
  <si>
    <t xml:space="preserve">I46</t>
  </si>
  <si>
    <t xml:space="preserve">INV-305</t>
  </si>
  <si>
    <t xml:space="preserve">DB_Evidence</t>
  </si>
  <si>
    <r>
      <rPr>
        <sz val="10"/>
        <rFont val="Arial"/>
        <family val="0"/>
        <charset val="1"/>
      </rPr>
      <t xml:space="preserve">A5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K5</t>
    </r>
  </si>
  <si>
    <r>
      <rPr>
        <sz val="10"/>
        <rFont val="Arial"/>
        <family val="0"/>
        <charset val="1"/>
      </rPr>
      <t xml:space="preserve">S30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S36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E001</t>
    </r>
  </si>
  <si>
    <r>
      <rPr>
        <sz val="10"/>
        <rFont val="Arial"/>
        <family val="0"/>
        <charset val="1"/>
      </rPr>
      <t xml:space="preserve">Evidence </t>
    </r>
    <r>
      <rPr>
        <sz val="10"/>
        <rFont val="Noto Sans CJK SC"/>
        <family val="2"/>
        <charset val="1"/>
      </rPr>
      <t xml:space="preserve">登錄（非輸入）</t>
    </r>
  </si>
  <si>
    <r>
      <rPr>
        <sz val="10"/>
        <rFont val="Arial"/>
        <family val="0"/>
        <charset val="1"/>
      </rPr>
      <t xml:space="preserve">DB_Evidence </t>
    </r>
    <r>
      <rPr>
        <sz val="10"/>
        <rFont val="Noto Sans CJK SC"/>
        <family val="2"/>
        <charset val="1"/>
      </rPr>
      <t xml:space="preserve">紀錄，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升級欄位並補 </t>
    </r>
    <r>
      <rPr>
        <sz val="10"/>
        <rFont val="Arial"/>
        <family val="0"/>
        <charset val="1"/>
      </rPr>
      <t xml:space="preserve">SRC_ID</t>
    </r>
  </si>
  <si>
    <t xml:space="preserve">INV-306</t>
  </si>
  <si>
    <t xml:space="preserve">E002</t>
  </si>
  <si>
    <r>
      <rPr>
        <sz val="10"/>
        <rFont val="Arial"/>
        <family val="0"/>
        <charset val="1"/>
      </rPr>
      <t xml:space="preserve">A6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J6</t>
    </r>
  </si>
  <si>
    <r>
      <rPr>
        <sz val="10"/>
        <rFont val="Arial"/>
        <family val="0"/>
        <charset val="1"/>
      </rPr>
      <t xml:space="preserve">S35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E002</t>
    </r>
  </si>
  <si>
    <t xml:space="preserve">INV-307</t>
  </si>
  <si>
    <t xml:space="preserve">E003</t>
  </si>
  <si>
    <r>
      <rPr>
        <sz val="10"/>
        <rFont val="Arial"/>
        <family val="0"/>
        <charset val="1"/>
      </rPr>
      <t xml:space="preserve">A7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J7</t>
    </r>
  </si>
  <si>
    <r>
      <rPr>
        <sz val="10"/>
        <rFont val="Arial"/>
        <family val="0"/>
        <charset val="1"/>
      </rPr>
      <t xml:space="preserve">S36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E003</t>
    </r>
  </si>
  <si>
    <t xml:space="preserve">INV-308</t>
  </si>
  <si>
    <t xml:space="preserve">E004</t>
  </si>
  <si>
    <r>
      <rPr>
        <sz val="10"/>
        <rFont val="Arial"/>
        <family val="0"/>
        <charset val="1"/>
      </rPr>
      <t xml:space="preserve">A8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K8</t>
    </r>
  </si>
  <si>
    <r>
      <rPr>
        <sz val="10"/>
        <rFont val="Arial"/>
        <family val="0"/>
        <charset val="1"/>
      </rPr>
      <t xml:space="preserve">S38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E004</t>
    </r>
  </si>
  <si>
    <t xml:space="preserve">INV-309</t>
  </si>
  <si>
    <t xml:space="preserve">E005</t>
  </si>
  <si>
    <r>
      <rPr>
        <sz val="10"/>
        <rFont val="Arial"/>
        <family val="0"/>
        <charset val="1"/>
      </rPr>
      <t xml:space="preserve">A9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K9</t>
    </r>
  </si>
  <si>
    <r>
      <rPr>
        <sz val="10"/>
        <rFont val="Arial"/>
        <family val="0"/>
        <charset val="1"/>
      </rPr>
      <t xml:space="preserve">S42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E005</t>
    </r>
  </si>
  <si>
    <t xml:space="preserve">INV-310</t>
  </si>
  <si>
    <t xml:space="preserve">E006</t>
  </si>
  <si>
    <r>
      <rPr>
        <sz val="10"/>
        <rFont val="Arial"/>
        <family val="0"/>
        <charset val="1"/>
      </rPr>
      <t xml:space="preserve">A10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K10</t>
    </r>
  </si>
  <si>
    <r>
      <rPr>
        <sz val="10"/>
        <rFont val="Arial"/>
        <family val="0"/>
        <charset val="1"/>
      </rPr>
      <t xml:space="preserve">S39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E006</t>
    </r>
  </si>
  <si>
    <t xml:space="preserve">INV-311</t>
  </si>
  <si>
    <t xml:space="preserve">E007</t>
  </si>
  <si>
    <r>
      <rPr>
        <sz val="10"/>
        <rFont val="Arial"/>
        <family val="0"/>
        <charset val="1"/>
      </rPr>
      <t xml:space="preserve">A11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K11</t>
    </r>
  </si>
  <si>
    <r>
      <rPr>
        <sz val="10"/>
        <rFont val="Arial"/>
        <family val="0"/>
        <charset val="1"/>
      </rPr>
      <t xml:space="preserve">S45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S48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E007</t>
    </r>
  </si>
  <si>
    <t xml:space="preserve">INV-312</t>
  </si>
  <si>
    <t xml:space="preserve">E008</t>
  </si>
  <si>
    <r>
      <rPr>
        <sz val="10"/>
        <rFont val="Arial"/>
        <family val="0"/>
        <charset val="1"/>
      </rPr>
      <t xml:space="preserve">A12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K12</t>
    </r>
  </si>
  <si>
    <r>
      <rPr>
        <sz val="10"/>
        <rFont val="Arial"/>
        <family val="0"/>
        <charset val="1"/>
      </rPr>
      <t xml:space="preserve">S43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E008</t>
    </r>
  </si>
  <si>
    <t xml:space="preserve">INV-313</t>
  </si>
  <si>
    <t xml:space="preserve">E009</t>
  </si>
  <si>
    <r>
      <rPr>
        <sz val="10"/>
        <rFont val="Arial"/>
        <family val="0"/>
        <charset val="1"/>
      </rPr>
      <t xml:space="preserve">A13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K13</t>
    </r>
  </si>
  <si>
    <r>
      <rPr>
        <sz val="10"/>
        <rFont val="Arial"/>
        <family val="0"/>
        <charset val="1"/>
      </rPr>
      <t xml:space="preserve">S49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E009</t>
    </r>
  </si>
  <si>
    <t xml:space="preserve">INV-314</t>
  </si>
  <si>
    <r>
      <rPr>
        <sz val="10"/>
        <rFont val="Arial"/>
        <family val="0"/>
        <charset val="1"/>
      </rPr>
      <t xml:space="preserve">A14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K14</t>
    </r>
  </si>
  <si>
    <r>
      <rPr>
        <sz val="10"/>
        <rFont val="Arial"/>
        <family val="0"/>
        <charset val="1"/>
      </rPr>
      <t xml:space="preserve">S57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E010</t>
    </r>
  </si>
  <si>
    <t xml:space="preserve">INV-315</t>
  </si>
  <si>
    <t xml:space="preserve">E011</t>
  </si>
  <si>
    <r>
      <rPr>
        <sz val="10"/>
        <rFont val="Arial"/>
        <family val="0"/>
        <charset val="1"/>
      </rPr>
      <t xml:space="preserve">A15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K15</t>
    </r>
  </si>
  <si>
    <t xml:space="preserve">INV-316</t>
  </si>
  <si>
    <t xml:space="preserve">E012</t>
  </si>
  <si>
    <r>
      <rPr>
        <sz val="10"/>
        <rFont val="Arial"/>
        <family val="0"/>
        <charset val="1"/>
      </rPr>
      <t xml:space="preserve">A16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K16</t>
    </r>
  </si>
  <si>
    <r>
      <rPr>
        <sz val="10"/>
        <rFont val="Arial"/>
        <family val="0"/>
        <charset val="1"/>
      </rPr>
      <t xml:space="preserve">S52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E012</t>
    </r>
  </si>
  <si>
    <t xml:space="preserve">INV-317</t>
  </si>
  <si>
    <t xml:space="preserve">E013</t>
  </si>
  <si>
    <r>
      <rPr>
        <sz val="10"/>
        <rFont val="Arial"/>
        <family val="0"/>
        <charset val="1"/>
      </rPr>
      <t xml:space="preserve">A17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K17</t>
    </r>
  </si>
  <si>
    <r>
      <rPr>
        <sz val="10"/>
        <rFont val="Arial"/>
        <family val="0"/>
        <charset val="1"/>
      </rPr>
      <t xml:space="preserve">S55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E013</t>
    </r>
  </si>
  <si>
    <t xml:space="preserve">INV-318</t>
  </si>
  <si>
    <t xml:space="preserve">E014</t>
  </si>
  <si>
    <r>
      <rPr>
        <sz val="10"/>
        <rFont val="Arial"/>
        <family val="0"/>
        <charset val="1"/>
      </rPr>
      <t xml:space="preserve">A18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K18</t>
    </r>
  </si>
  <si>
    <r>
      <rPr>
        <sz val="10"/>
        <rFont val="Arial"/>
        <family val="0"/>
        <charset val="1"/>
      </rPr>
      <t xml:space="preserve">S51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E014</t>
    </r>
  </si>
  <si>
    <t xml:space="preserve">INV-319</t>
  </si>
  <si>
    <t xml:space="preserve">E015</t>
  </si>
  <si>
    <r>
      <rPr>
        <sz val="10"/>
        <rFont val="Arial"/>
        <family val="0"/>
        <charset val="1"/>
      </rPr>
      <t xml:space="preserve">A19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I19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J19</t>
    </r>
  </si>
  <si>
    <r>
      <rPr>
        <sz val="10"/>
        <rFont val="Arial"/>
        <family val="0"/>
        <charset val="1"/>
      </rPr>
      <t xml:space="preserve">S54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E015</t>
    </r>
  </si>
  <si>
    <t xml:space="preserve">INV-320</t>
  </si>
  <si>
    <t xml:space="preserve">E016</t>
  </si>
  <si>
    <r>
      <rPr>
        <sz val="10"/>
        <rFont val="Arial"/>
        <family val="0"/>
        <charset val="1"/>
      </rPr>
      <t xml:space="preserve">A20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J20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K20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</si>
  <si>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Interested-party</t>
    </r>
  </si>
  <si>
    <r>
      <rPr>
        <sz val="10"/>
        <rFont val="Arial"/>
        <family val="0"/>
        <charset val="1"/>
      </rPr>
      <t xml:space="preserve">S58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E016</t>
    </r>
  </si>
  <si>
    <t xml:space="preserve">INV-321</t>
  </si>
  <si>
    <t xml:space="preserve">E017</t>
  </si>
  <si>
    <r>
      <rPr>
        <sz val="10"/>
        <rFont val="Arial"/>
        <family val="0"/>
        <charset val="1"/>
      </rPr>
      <t xml:space="preserve">A21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J21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K21</t>
    </r>
  </si>
  <si>
    <r>
      <rPr>
        <sz val="10"/>
        <rFont val="Arial"/>
        <family val="0"/>
        <charset val="1"/>
      </rPr>
      <t xml:space="preserve">S25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E017</t>
    </r>
  </si>
  <si>
    <t xml:space="preserve">INV-322</t>
  </si>
  <si>
    <t xml:space="preserve">E018</t>
  </si>
  <si>
    <r>
      <rPr>
        <sz val="10"/>
        <rFont val="Arial"/>
        <family val="0"/>
        <charset val="1"/>
      </rPr>
      <t xml:space="preserve">A22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J22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K22</t>
    </r>
  </si>
  <si>
    <r>
      <rPr>
        <sz val="10"/>
        <rFont val="Arial"/>
        <family val="0"/>
        <charset val="1"/>
      </rPr>
      <t xml:space="preserve">S59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E018</t>
    </r>
  </si>
  <si>
    <t xml:space="preserve">INV-323</t>
  </si>
  <si>
    <t xml:space="preserve">E019</t>
  </si>
  <si>
    <r>
      <rPr>
        <sz val="10"/>
        <rFont val="Arial"/>
        <family val="0"/>
        <charset val="1"/>
      </rPr>
      <t xml:space="preserve">A23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J23</t>
    </r>
  </si>
  <si>
    <r>
      <rPr>
        <sz val="10"/>
        <rFont val="Arial"/>
        <family val="0"/>
        <charset val="1"/>
      </rPr>
      <t xml:space="preserve">S59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E019</t>
    </r>
  </si>
  <si>
    <t xml:space="preserve">INV-324</t>
  </si>
  <si>
    <t xml:space="preserve">E020</t>
  </si>
  <si>
    <r>
      <rPr>
        <sz val="10"/>
        <rFont val="Arial"/>
        <family val="0"/>
        <charset val="1"/>
      </rPr>
      <t xml:space="preserve">A24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B24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F24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I24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J24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K24</t>
    </r>
  </si>
  <si>
    <r>
      <rPr>
        <sz val="10"/>
        <rFont val="Arial"/>
        <family val="0"/>
        <charset val="1"/>
      </rPr>
      <t xml:space="preserve">S61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E020</t>
    </r>
  </si>
  <si>
    <t xml:space="preserve">模型格</t>
  </si>
  <si>
    <t xml:space="preserve">模型格值</t>
  </si>
  <si>
    <t xml:space="preserve">SRC_ID</t>
  </si>
  <si>
    <t xml:space="preserve">關係</t>
  </si>
  <si>
    <r>
      <rPr>
        <b val="true"/>
        <sz val="10"/>
        <color rgb="FFFFFFFF"/>
        <rFont val="Arial"/>
        <family val="0"/>
        <charset val="1"/>
      </rPr>
      <t xml:space="preserve">SRC </t>
    </r>
    <r>
      <rPr>
        <b val="true"/>
        <sz val="10"/>
        <color rgb="FFFFFFFF"/>
        <rFont val="Noto Sans CJK SC"/>
        <family val="2"/>
        <charset val="1"/>
      </rPr>
      <t xml:space="preserve">數值</t>
    </r>
  </si>
  <si>
    <r>
      <rPr>
        <b val="true"/>
        <sz val="10"/>
        <color rgb="FFFFFFFF"/>
        <rFont val="Arial"/>
        <family val="0"/>
        <charset val="1"/>
      </rPr>
      <t xml:space="preserve">SRC </t>
    </r>
    <r>
      <rPr>
        <b val="true"/>
        <sz val="10"/>
        <color rgb="FFFFFFFF"/>
        <rFont val="Noto Sans CJK SC"/>
        <family val="2"/>
        <charset val="1"/>
      </rPr>
      <t xml:space="preserve">低</t>
    </r>
  </si>
  <si>
    <r>
      <rPr>
        <b val="true"/>
        <sz val="10"/>
        <color rgb="FFFFFFFF"/>
        <rFont val="Arial"/>
        <family val="0"/>
        <charset val="1"/>
      </rPr>
      <t xml:space="preserve">SRC </t>
    </r>
    <r>
      <rPr>
        <b val="true"/>
        <sz val="10"/>
        <color rgb="FFFFFFFF"/>
        <rFont val="Noto Sans CJK SC"/>
        <family val="2"/>
        <charset val="1"/>
      </rPr>
      <t xml:space="preserve">高</t>
    </r>
  </si>
  <si>
    <r>
      <rPr>
        <b val="true"/>
        <sz val="10"/>
        <color rgb="FFFFFFFF"/>
        <rFont val="Arial"/>
        <family val="0"/>
        <charset val="1"/>
      </rPr>
      <t xml:space="preserve">SRC </t>
    </r>
    <r>
      <rPr>
        <b val="true"/>
        <sz val="10"/>
        <color rgb="FFFFFFFF"/>
        <rFont val="Noto Sans CJK SC"/>
        <family val="2"/>
        <charset val="1"/>
      </rPr>
      <t xml:space="preserve">狀態</t>
    </r>
  </si>
  <si>
    <t xml:space="preserve">一致性</t>
  </si>
  <si>
    <t xml:space="preserve">Arch!C11</t>
  </si>
  <si>
    <t xml:space="preserve">直接</t>
  </si>
  <si>
    <t xml:space="preserve">Arch!C12</t>
  </si>
  <si>
    <t xml:space="preserve">Arch!C13</t>
  </si>
  <si>
    <t xml:space="preserve">Arch!C14</t>
  </si>
  <si>
    <t xml:space="preserve">Arch!C15</t>
  </si>
  <si>
    <t xml:space="preserve">Arch!C16</t>
  </si>
  <si>
    <t xml:space="preserve">Arch!C17</t>
  </si>
  <si>
    <t xml:space="preserve">換算</t>
  </si>
  <si>
    <t xml:space="preserve">Arch!C18</t>
  </si>
  <si>
    <t xml:space="preserve">Arch!C19</t>
  </si>
  <si>
    <t xml:space="preserve">Arch!C6</t>
  </si>
  <si>
    <t xml:space="preserve">Arch!C7</t>
  </si>
  <si>
    <t xml:space="preserve">Arch!C8</t>
  </si>
  <si>
    <t xml:space="preserve">Arch!D10</t>
  </si>
  <si>
    <t xml:space="preserve">Arch!D11</t>
  </si>
  <si>
    <t xml:space="preserve">Arch!D12</t>
  </si>
  <si>
    <t xml:space="preserve">Arch!D13</t>
  </si>
  <si>
    <t xml:space="preserve">Arch!D14</t>
  </si>
  <si>
    <t xml:space="preserve">Arch!D15</t>
  </si>
  <si>
    <t xml:space="preserve">Arch!D16</t>
  </si>
  <si>
    <t xml:space="preserve">Arch!D18</t>
  </si>
  <si>
    <t xml:space="preserve">Arch!D19</t>
  </si>
  <si>
    <t xml:space="preserve">Arch!D6</t>
  </si>
  <si>
    <t xml:space="preserve">Arch!D7</t>
  </si>
  <si>
    <t xml:space="preserve">Arch!D8</t>
  </si>
  <si>
    <t xml:space="preserve">Arch!D9</t>
  </si>
  <si>
    <t xml:space="preserve">Calib!C100</t>
  </si>
  <si>
    <t xml:space="preserve">Calib!C101</t>
  </si>
  <si>
    <t xml:space="preserve">Calib!C102</t>
  </si>
  <si>
    <t xml:space="preserve">Calib!C103</t>
  </si>
  <si>
    <t xml:space="preserve">Calib!C104</t>
  </si>
  <si>
    <t xml:space="preserve">Calib!C105</t>
  </si>
  <si>
    <t xml:space="preserve">Calib!C106</t>
  </si>
  <si>
    <t xml:space="preserve">Calib!C107</t>
  </si>
  <si>
    <t xml:space="preserve">Calib!C108</t>
  </si>
  <si>
    <t xml:space="preserve">Calib!C110</t>
  </si>
  <si>
    <t xml:space="preserve">Calib!C111</t>
  </si>
  <si>
    <t xml:space="preserve">Calib!C118</t>
  </si>
  <si>
    <t xml:space="preserve">Calib!C119</t>
  </si>
  <si>
    <t xml:space="preserve">Calib!C120</t>
  </si>
  <si>
    <t xml:space="preserve">Calib!C17</t>
  </si>
  <si>
    <t xml:space="preserve">Calib!D120</t>
  </si>
  <si>
    <t xml:space="preserve">Calib!D17</t>
  </si>
  <si>
    <t xml:space="preserve">Calib!E120</t>
  </si>
  <si>
    <t xml:space="preserve">Calib!E17</t>
  </si>
  <si>
    <t xml:space="preserve">Calib!F118</t>
  </si>
  <si>
    <t xml:space="preserve">Calib!F120</t>
  </si>
  <si>
    <t xml:space="preserve">Calib!F17</t>
  </si>
  <si>
    <t xml:space="preserve">Calib!G17</t>
  </si>
  <si>
    <t xml:space="preserve">Calib!H17</t>
  </si>
  <si>
    <t xml:space="preserve">Calib!I17</t>
  </si>
  <si>
    <t xml:space="preserve">Cap_In!C17</t>
  </si>
  <si>
    <t xml:space="preserve">Cap_In!C18</t>
  </si>
  <si>
    <t xml:space="preserve">Cap_In!C28</t>
  </si>
  <si>
    <t xml:space="preserve">Cap_In!C29</t>
  </si>
  <si>
    <t xml:space="preserve">Cap_In!C6</t>
  </si>
  <si>
    <t xml:space="preserve">Cap_In!C7</t>
  </si>
  <si>
    <t xml:space="preserve">Cap_In!C8</t>
  </si>
  <si>
    <t xml:space="preserve">Cap_In!D6</t>
  </si>
  <si>
    <t xml:space="preserve">Cap_In!D7</t>
  </si>
  <si>
    <t xml:space="preserve">Cap_In!D8</t>
  </si>
  <si>
    <t xml:space="preserve">Cap_In!E46</t>
  </si>
  <si>
    <t xml:space="preserve">Cap_In!E47</t>
  </si>
  <si>
    <t xml:space="preserve">Cap_In!E48</t>
  </si>
  <si>
    <t xml:space="preserve">Cap_In!E49</t>
  </si>
  <si>
    <t xml:space="preserve">Cap_In!E50</t>
  </si>
  <si>
    <t xml:space="preserve">Cap_In!E51</t>
  </si>
  <si>
    <t xml:space="preserve">Cap_In!E52</t>
  </si>
  <si>
    <t xml:space="preserve">Cap_In!E53</t>
  </si>
  <si>
    <t xml:space="preserve">Cap_In!E54</t>
  </si>
  <si>
    <t xml:space="preserve">Cap_In!E55</t>
  </si>
  <si>
    <t xml:space="preserve">Cap_In!E56</t>
  </si>
  <si>
    <t xml:space="preserve">Cap_In!E57</t>
  </si>
  <si>
    <t xml:space="preserve">Cap_In!E58</t>
  </si>
  <si>
    <t xml:space="preserve">Cap_In!E6</t>
  </si>
  <si>
    <t xml:space="preserve">Cap_In!E7</t>
  </si>
  <si>
    <t xml:space="preserve">Cap_In!E8</t>
  </si>
  <si>
    <t xml:space="preserve">Cap_In!F46</t>
  </si>
  <si>
    <t xml:space="preserve">Cap_In!F47</t>
  </si>
  <si>
    <t xml:space="preserve">Cap_In!F48</t>
  </si>
  <si>
    <t xml:space="preserve">Cap_In!F49</t>
  </si>
  <si>
    <t xml:space="preserve">Cap_In!F52</t>
  </si>
  <si>
    <t xml:space="preserve">Cap_In!F53</t>
  </si>
  <si>
    <t xml:space="preserve">Cap_In!F54</t>
  </si>
  <si>
    <t xml:space="preserve">Cap_In!F55</t>
  </si>
  <si>
    <t xml:space="preserve">Cap_In!F56</t>
  </si>
  <si>
    <t xml:space="preserve">Cap_In!F57</t>
  </si>
  <si>
    <t xml:space="preserve">Cap_In!G46</t>
  </si>
  <si>
    <t xml:space="preserve">Cap_In!G47</t>
  </si>
  <si>
    <t xml:space="preserve">Cap_In!G48</t>
  </si>
  <si>
    <t xml:space="preserve">Cap_In!G49</t>
  </si>
  <si>
    <t xml:space="preserve">Cap_In!G50</t>
  </si>
  <si>
    <t xml:space="preserve">Cap_In!G51</t>
  </si>
  <si>
    <t xml:space="preserve">Cap_In!G52</t>
  </si>
  <si>
    <t xml:space="preserve">Cap_In!G53</t>
  </si>
  <si>
    <t xml:space="preserve">Cap_In!G54</t>
  </si>
  <si>
    <t xml:space="preserve">Cap_In!G55</t>
  </si>
  <si>
    <t xml:space="preserve">Cap_In!G56</t>
  </si>
  <si>
    <t xml:space="preserve">Cap_In!G57</t>
  </si>
  <si>
    <t xml:space="preserve">Cap_In!G58</t>
  </si>
  <si>
    <t xml:space="preserve">Cap_In!I46</t>
  </si>
  <si>
    <t xml:space="preserve">Cap_In!I47</t>
  </si>
  <si>
    <t xml:space="preserve">Cap_In!I48</t>
  </si>
  <si>
    <t xml:space="preserve">Cap_In!I49</t>
  </si>
  <si>
    <t xml:space="preserve">Cap_In!I50</t>
  </si>
  <si>
    <t xml:space="preserve">Cap_In!I52</t>
  </si>
  <si>
    <t xml:space="preserve">Cap_In!I53</t>
  </si>
  <si>
    <t xml:space="preserve">選取</t>
  </si>
  <si>
    <t xml:space="preserve">Cap_In!I54</t>
  </si>
  <si>
    <t xml:space="preserve">Cap_In!I55</t>
  </si>
  <si>
    <t xml:space="preserve">Cap_In!I56</t>
  </si>
  <si>
    <t xml:space="preserve">Checks!C10</t>
  </si>
  <si>
    <t xml:space="preserve">對照</t>
  </si>
  <si>
    <t xml:space="preserve">Checks!C19</t>
  </si>
  <si>
    <t xml:space="preserve">0.078</t>
  </si>
  <si>
    <t xml:space="preserve">Checks!C37</t>
  </si>
  <si>
    <t xml:space="preserve">9.6%–22.6%</t>
  </si>
  <si>
    <t xml:space="preserve">Checks!C4</t>
  </si>
  <si>
    <t xml:space="preserve">50–60</t>
  </si>
  <si>
    <t xml:space="preserve">Checks!C43</t>
  </si>
  <si>
    <t xml:space="preserve">Checks!C5</t>
  </si>
  <si>
    <t xml:space="preserve">Checks!C6</t>
  </si>
  <si>
    <t xml:space="preserve">11.3 × 1.07–1.10</t>
  </si>
  <si>
    <t xml:space="preserve">Checks!C62</t>
  </si>
  <si>
    <t xml:space="preserve">Checks!C7</t>
  </si>
  <si>
    <t xml:space="preserve">Checks!C8</t>
  </si>
  <si>
    <t xml:space="preserve">Checks!C9</t>
  </si>
  <si>
    <t xml:space="preserve">Har_In!C70</t>
  </si>
  <si>
    <t xml:space="preserve">Har_In!C71</t>
  </si>
  <si>
    <t xml:space="preserve">Har_In!C72</t>
  </si>
  <si>
    <t xml:space="preserve">Har_In!C73</t>
  </si>
  <si>
    <t xml:space="preserve">Har_In!C74</t>
  </si>
  <si>
    <t xml:space="preserve">Har_In!C77</t>
  </si>
  <si>
    <t xml:space="preserve">Har_In!C78</t>
  </si>
  <si>
    <t xml:space="preserve">Har_In!C79</t>
  </si>
  <si>
    <t xml:space="preserve">Har_In!C80</t>
  </si>
  <si>
    <t xml:space="preserve">Har_In!D70</t>
  </si>
  <si>
    <t xml:space="preserve">Har_In!D71</t>
  </si>
  <si>
    <t xml:space="preserve">Har_In!D72</t>
  </si>
  <si>
    <t xml:space="preserve">Har_In!D77</t>
  </si>
  <si>
    <t xml:space="preserve">Har_In!D78</t>
  </si>
  <si>
    <t xml:space="preserve">Har_In!D79</t>
  </si>
  <si>
    <t xml:space="preserve">Har_In!D80</t>
  </si>
  <si>
    <t xml:space="preserve">Har_In!E72</t>
  </si>
  <si>
    <t xml:space="preserve">Har_In!E75</t>
  </si>
  <si>
    <t xml:space="preserve">Inputs!E11</t>
  </si>
  <si>
    <t xml:space="preserve">Inputs!E13</t>
  </si>
  <si>
    <t xml:space="preserve">Inputs!E23</t>
  </si>
  <si>
    <t xml:space="preserve">Inputs!F13</t>
  </si>
  <si>
    <t xml:space="preserve">Inputs!F23</t>
  </si>
  <si>
    <t xml:space="preserve">Serving!C21</t>
  </si>
  <si>
    <t xml:space="preserve">Serving!C7</t>
  </si>
  <si>
    <t xml:space="preserve">Serving!D21</t>
  </si>
  <si>
    <t xml:space="preserve">Serving!E21</t>
  </si>
  <si>
    <t xml:space="preserve">Spec_Rack!C11</t>
  </si>
  <si>
    <t xml:space="preserve">取整</t>
  </si>
  <si>
    <t xml:space="preserve">Spec_Rack!C13</t>
  </si>
  <si>
    <t xml:space="preserve">Spec_Rack!C23</t>
  </si>
  <si>
    <t xml:space="preserve">Spec_Rack!C25</t>
  </si>
  <si>
    <t xml:space="preserve">Spec_Rack!C26</t>
  </si>
  <si>
    <t xml:space="preserve">Spec_Rack!C34</t>
  </si>
  <si>
    <t xml:space="preserve">Spec_Rack!C39</t>
  </si>
  <si>
    <t xml:space="preserve">Spec_Rack!C40</t>
  </si>
  <si>
    <t xml:space="preserve">Spec_Rack!C9</t>
  </si>
  <si>
    <t xml:space="preserve">Spec_Rack!D11</t>
  </si>
  <si>
    <t xml:space="preserve">Spec_Rack!D12</t>
  </si>
  <si>
    <t xml:space="preserve">Spec_Rack!D13</t>
  </si>
  <si>
    <t xml:space="preserve">Spec_Rack!D23</t>
  </si>
  <si>
    <t xml:space="preserve">Spec_Rack!D24</t>
  </si>
  <si>
    <t xml:space="preserve">Spec_Rack!D25</t>
  </si>
  <si>
    <t xml:space="preserve">Spec_Rack!D26</t>
  </si>
  <si>
    <t xml:space="preserve">Spec_Rack!D27</t>
  </si>
  <si>
    <t xml:space="preserve">Spec_Rack!D28</t>
  </si>
  <si>
    <t xml:space="preserve">Spec_Rack!D30</t>
  </si>
  <si>
    <t xml:space="preserve">Spec_Rack!D34</t>
  </si>
  <si>
    <t xml:space="preserve">Spec_Rack!D39</t>
  </si>
  <si>
    <t xml:space="preserve">Spec_Rack!D40</t>
  </si>
  <si>
    <t xml:space="preserve">Spec_Rack!D6</t>
  </si>
  <si>
    <t xml:space="preserve">Spec_Rack!D8</t>
  </si>
  <si>
    <t xml:space="preserve">Spec_Rack!D9</t>
  </si>
  <si>
    <t xml:space="preserve">Spec_Rack!E10</t>
  </si>
  <si>
    <t xml:space="preserve">Spec_Rack!E11</t>
  </si>
  <si>
    <t xml:space="preserve">Spec_Rack!E12</t>
  </si>
  <si>
    <t xml:space="preserve">Spec_Rack!E13</t>
  </si>
  <si>
    <t xml:space="preserve">Spec_Rack!E23</t>
  </si>
  <si>
    <t xml:space="preserve">Spec_Rack!E24</t>
  </si>
  <si>
    <t xml:space="preserve">Spec_Rack!E25</t>
  </si>
  <si>
    <t xml:space="preserve">Spec_Rack!E27</t>
  </si>
  <si>
    <t xml:space="preserve">Spec_Rack!E28</t>
  </si>
  <si>
    <t xml:space="preserve">Spec_Rack!E29</t>
  </si>
  <si>
    <t xml:space="preserve">Spec_Rack!E30</t>
  </si>
  <si>
    <t xml:space="preserve">Spec_Rack!E32</t>
  </si>
  <si>
    <t xml:space="preserve">Spec_Rack!E34</t>
  </si>
  <si>
    <t xml:space="preserve">Spec_Rack!E39</t>
  </si>
  <si>
    <t xml:space="preserve">Spec_Rack!E40</t>
  </si>
  <si>
    <t xml:space="preserve">Spec_Rack!E6</t>
  </si>
  <si>
    <t xml:space="preserve">Spec_Rack!E8</t>
  </si>
  <si>
    <t xml:space="preserve">Spec_Rack!E9</t>
  </si>
  <si>
    <t xml:space="preserve">Spec_Rack!F10</t>
  </si>
  <si>
    <t xml:space="preserve">Spec_Rack!F11</t>
  </si>
  <si>
    <t xml:space="preserve">Spec_Rack!F12</t>
  </si>
  <si>
    <t xml:space="preserve">Spec_Rack!F13</t>
  </si>
  <si>
    <t xml:space="preserve">Spec_Rack!F23</t>
  </si>
  <si>
    <t xml:space="preserve">Spec_Rack!F24</t>
  </si>
  <si>
    <t xml:space="preserve">Spec_Rack!F25</t>
  </si>
  <si>
    <t xml:space="preserve">Spec_Rack!F26</t>
  </si>
  <si>
    <t xml:space="preserve">Spec_Rack!F27</t>
  </si>
  <si>
    <t xml:space="preserve">Spec_Rack!F28</t>
  </si>
  <si>
    <t xml:space="preserve">Spec_Rack!F30</t>
  </si>
  <si>
    <t xml:space="preserve">Spec_Rack!F33</t>
  </si>
  <si>
    <t xml:space="preserve">Spec_Rack!F34</t>
  </si>
  <si>
    <t xml:space="preserve">Spec_Rack!F39</t>
  </si>
  <si>
    <t xml:space="preserve">Spec_Rack!F40</t>
  </si>
  <si>
    <t xml:space="preserve">Spec_Rack!F41</t>
  </si>
  <si>
    <t xml:space="preserve">Spec_Rack!F6</t>
  </si>
  <si>
    <t xml:space="preserve">Spec_Rack!F8</t>
  </si>
  <si>
    <t xml:space="preserve">Spec_Rack!F9</t>
  </si>
  <si>
    <t xml:space="preserve">Spec_Rack!G24</t>
  </si>
  <si>
    <t xml:space="preserve">Spec_Rack!G26</t>
  </si>
  <si>
    <t xml:space="preserve">Spec_Rack!G30</t>
  </si>
  <si>
    <t xml:space="preserve">Spec_Rack!G40</t>
  </si>
  <si>
    <t xml:space="preserve">Spec_Rack!G9</t>
  </si>
  <si>
    <t xml:space="preserve">Tech_Registry!J14</t>
  </si>
  <si>
    <t xml:space="preserve">Train_In!C25</t>
  </si>
  <si>
    <t xml:space="preserve">Train_In!C26</t>
  </si>
  <si>
    <t xml:space="preserve">Train_In!C41</t>
  </si>
  <si>
    <t xml:space="preserve">Train_In!C42</t>
  </si>
  <si>
    <t xml:space="preserve">Train_In!C43</t>
  </si>
  <si>
    <t xml:space="preserve">Train_In!C44</t>
  </si>
  <si>
    <t xml:space="preserve">Train_In!C45</t>
  </si>
  <si>
    <t xml:space="preserve">Train_In!C46</t>
  </si>
  <si>
    <t xml:space="preserve">Train_In!C47</t>
  </si>
  <si>
    <t xml:space="preserve">Train_In!C48</t>
  </si>
  <si>
    <t xml:space="preserve">Train_In!C7</t>
  </si>
  <si>
    <t xml:space="preserve">Train_In!D25</t>
  </si>
  <si>
    <t xml:space="preserve">Train_In!D26</t>
  </si>
  <si>
    <t xml:space="preserve">Workload!E40</t>
  </si>
  <si>
    <t xml:space="preserve">Workload!F40</t>
  </si>
  <si>
    <t xml:space="preserve">主題</t>
  </si>
  <si>
    <t xml:space="preserve">內容</t>
  </si>
  <si>
    <t xml:space="preserve">位置</t>
  </si>
  <si>
    <r>
      <rPr>
        <b val="true"/>
        <sz val="10"/>
        <color rgb="FFFFFFFF"/>
        <rFont val="Noto Sans CJK SC"/>
        <family val="2"/>
        <charset val="1"/>
      </rPr>
      <t xml:space="preserve">對應 </t>
    </r>
    <r>
      <rPr>
        <b val="true"/>
        <sz val="10"/>
        <color rgb="FFFFFFFF"/>
        <rFont val="Arial"/>
        <family val="0"/>
        <charset val="1"/>
      </rPr>
      <t xml:space="preserve">Gate 0</t>
    </r>
  </si>
  <si>
    <t xml:space="preserve">F01</t>
  </si>
  <si>
    <t xml:space="preserve">標記位置</t>
  </si>
  <si>
    <r>
      <rPr>
        <sz val="10"/>
        <rFont val="Arial"/>
        <family val="0"/>
        <charset val="1"/>
      </rPr>
      <t xml:space="preserve">Spec_Rack </t>
    </r>
    <r>
      <rPr>
        <sz val="10"/>
        <rFont val="Noto Sans CJK SC"/>
        <family val="2"/>
        <charset val="1"/>
      </rPr>
      <t xml:space="preserve">的來源標記是「逐欄」寫在第 </t>
    </r>
    <r>
      <rPr>
        <sz val="10"/>
        <rFont val="Arial"/>
        <family val="0"/>
        <charset val="1"/>
      </rPr>
      <t xml:space="preserve">17 </t>
    </r>
    <r>
      <rPr>
        <sz val="10"/>
        <rFont val="Noto Sans CJK SC"/>
        <family val="2"/>
        <charset val="1"/>
      </rPr>
      <t xml:space="preserve">列（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），不是逐列；列層級分類因此把第 </t>
    </r>
    <r>
      <rPr>
        <sz val="10"/>
        <rFont val="Arial"/>
        <family val="0"/>
        <charset val="1"/>
      </rPr>
      <t xml:space="preserve">8–13 </t>
    </r>
    <r>
      <rPr>
        <sz val="10"/>
        <rFont val="Noto Sans CJK SC"/>
        <family val="2"/>
        <charset val="1"/>
      </rPr>
      <t xml:space="preserve">列判為「待分類」。</t>
    </r>
    <r>
      <rPr>
        <sz val="10"/>
        <rFont val="Arial"/>
        <family val="0"/>
        <charset val="1"/>
      </rPr>
      <t xml:space="preserve">Stage 1 </t>
    </r>
    <r>
      <rPr>
        <sz val="10"/>
        <rFont val="Noto Sans CJK SC"/>
        <family val="2"/>
        <charset val="1"/>
      </rPr>
      <t xml:space="preserve">必須逐格處理。</t>
    </r>
  </si>
  <si>
    <r>
      <rPr>
        <sz val="10"/>
        <rFont val="Arial"/>
        <family val="0"/>
        <charset val="1"/>
      </rPr>
      <t xml:space="preserve">Spec_Rack </t>
    </r>
    <r>
      <rPr>
        <sz val="10"/>
        <rFont val="Noto Sans CJK SC"/>
        <family val="2"/>
        <charset val="1"/>
      </rPr>
      <t xml:space="preserve">第 </t>
    </r>
    <r>
      <rPr>
        <sz val="10"/>
        <rFont val="Arial"/>
        <family val="0"/>
        <charset val="1"/>
      </rPr>
      <t xml:space="preserve">8–13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17 </t>
    </r>
    <r>
      <rPr>
        <sz val="10"/>
        <rFont val="Noto Sans CJK SC"/>
        <family val="2"/>
        <charset val="1"/>
      </rPr>
      <t xml:space="preserve">列</t>
    </r>
  </si>
  <si>
    <t xml:space="preserve">F02</t>
  </si>
  <si>
    <t xml:space="preserve">一列多類</t>
  </si>
  <si>
    <r>
      <rPr>
        <sz val="10"/>
        <rFont val="Arial"/>
        <family val="0"/>
        <charset val="1"/>
      </rPr>
      <t xml:space="preserve">Arch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  <charset val="1"/>
      </rPr>
      <t xml:space="preserve">＝真實模型的原始參數；</t>
    </r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Spec_Rack</t>
    </r>
    <r>
      <rPr>
        <sz val="10"/>
        <rFont val="Noto Sans CJK SC"/>
        <family val="2"/>
        <charset val="1"/>
      </rPr>
      <t xml:space="preserve">（各世代來源不同）、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  <charset val="1"/>
      </rPr>
      <t xml:space="preserve">市場表（價格、指數為原始；屬性欄非數值）都是同一列內混合不同類別。</t>
    </r>
  </si>
  <si>
    <t xml:space="preserve">見盤點複核「混合（逐格）」</t>
  </si>
  <si>
    <t xml:space="preserve">F03</t>
  </si>
  <si>
    <t xml:space="preserve">公式內嵌原始數據</t>
  </si>
  <si>
    <r>
      <rPr>
        <sz val="10"/>
        <rFont val="Arial"/>
        <family val="0"/>
        <charset val="1"/>
      </rPr>
      <t xml:space="preserve">Calib C118:F118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=1000/15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=1000/80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TPOT </t>
    </r>
    <r>
      <rPr>
        <sz val="10"/>
        <rFont val="Noto Sans CJK SC"/>
        <family val="2"/>
        <charset val="1"/>
      </rPr>
      <t xml:space="preserve">上限）、</t>
    </r>
    <r>
      <rPr>
        <sz val="10"/>
        <rFont val="Arial"/>
        <family val="0"/>
        <charset val="1"/>
      </rPr>
      <t xml:space="preserve">Calib C120:E120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=253506/72 </t>
    </r>
    <r>
      <rPr>
        <sz val="10"/>
        <rFont val="Noto Sans CJK SC"/>
        <family val="2"/>
        <charset val="1"/>
      </rPr>
      <t xml:space="preserve">等，</t>
    </r>
    <r>
      <rPr>
        <sz val="10"/>
        <rFont val="Arial"/>
        <family val="0"/>
        <charset val="1"/>
      </rPr>
      <t xml:space="preserve">MLPerf </t>
    </r>
    <r>
      <rPr>
        <sz val="10"/>
        <rFont val="Noto Sans CJK SC"/>
        <family val="2"/>
        <charset val="1"/>
      </rPr>
      <t xml:space="preserve">總量）把原始數據寫在公式裡；</t>
    </r>
    <r>
      <rPr>
        <sz val="10"/>
        <rFont val="Arial"/>
        <family val="0"/>
        <charset val="1"/>
      </rPr>
      <t xml:space="preserve">Checks </t>
    </r>
    <r>
      <rPr>
        <sz val="10"/>
        <rFont val="Noto Sans CJK SC"/>
        <family val="2"/>
        <charset val="1"/>
      </rPr>
      <t xml:space="preserve">判讀公式含 </t>
    </r>
    <r>
      <rPr>
        <sz val="10"/>
        <rFont val="Arial"/>
        <family val="0"/>
        <charset val="1"/>
      </rPr>
      <t xml:space="preserve">11.3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1.07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60 </t>
    </r>
    <r>
      <rPr>
        <sz val="10"/>
        <rFont val="Noto Sans CJK SC"/>
        <family val="2"/>
        <charset val="1"/>
      </rPr>
      <t xml:space="preserve">等外部參照常數；</t>
    </r>
    <r>
      <rPr>
        <sz val="10"/>
        <rFont val="Arial"/>
        <family val="0"/>
        <charset val="1"/>
      </rPr>
      <t xml:space="preserve">Sensitivity X8:Y8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=0.05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=0.12</t>
    </r>
    <r>
      <rPr>
        <sz val="10"/>
        <rFont val="Noto Sans CJK SC"/>
        <family val="2"/>
        <charset val="1"/>
      </rPr>
      <t xml:space="preserve">。這些不是藍字，</t>
    </r>
    <r>
      <rPr>
        <sz val="10"/>
        <rFont val="Arial"/>
        <family val="0"/>
        <charset val="1"/>
      </rPr>
      <t xml:space="preserve">CC </t>
    </r>
    <r>
      <rPr>
        <sz val="10"/>
        <rFont val="Noto Sans CJK SC"/>
        <family val="2"/>
        <charset val="1"/>
      </rPr>
      <t xml:space="preserve">盤點不會列入，但 </t>
    </r>
    <r>
      <rPr>
        <sz val="10"/>
        <rFont val="Arial"/>
        <family val="0"/>
        <charset val="1"/>
      </rPr>
      <t xml:space="preserve">Gate 1</t>
    </r>
    <r>
      <rPr>
        <sz val="10"/>
        <rFont val="Noto Sans CJK SC"/>
        <family val="2"/>
        <charset val="1"/>
      </rPr>
      <t xml:space="preserve">「原始數據寫死在模型頁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  <charset val="1"/>
      </rPr>
      <t xml:space="preserve">格」必須涵蓋。</t>
    </r>
  </si>
  <si>
    <r>
      <rPr>
        <sz val="10"/>
        <rFont val="Arial"/>
        <family val="0"/>
        <charset val="1"/>
      </rPr>
      <t xml:space="preserve">Calib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Checks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Sensitivity</t>
    </r>
  </si>
  <si>
    <t xml:space="preserve">F04</t>
  </si>
  <si>
    <t xml:space="preserve">藍字但其實是推導值</t>
  </si>
  <si>
    <r>
      <rPr>
        <sz val="10"/>
        <rFont val="Arial"/>
        <family val="0"/>
        <charset val="1"/>
      </rPr>
      <t xml:space="preserve">Arch 17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Arch 21–23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Calib 108–109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Har_In 75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Train_In 44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Cap_In 28–29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Spec_Rack G </t>
    </r>
    <r>
      <rPr>
        <sz val="10"/>
        <rFont val="Noto Sans CJK SC"/>
        <family val="2"/>
        <charset val="1"/>
      </rPr>
      <t xml:space="preserve">欄（</t>
    </r>
    <r>
      <rPr>
        <sz val="10"/>
        <rFont val="Arial"/>
        <family val="0"/>
        <charset val="1"/>
      </rPr>
      <t xml:space="preserve">RU</t>
    </r>
    <r>
      <rPr>
        <sz val="10"/>
        <rFont val="Noto Sans CJK SC"/>
        <family val="2"/>
        <charset val="1"/>
      </rPr>
      <t xml:space="preserve">）多格，數值是由其他數字算出後手填。前五者改公式後數值不變；</t>
    </r>
    <r>
      <rPr>
        <sz val="10"/>
        <rFont val="Arial"/>
        <family val="0"/>
        <charset val="1"/>
      </rPr>
      <t xml:space="preserve">Train_In 44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0.055→0.0552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Cap_In 28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0.41→0.4118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Cap_In 29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0.46→0.4643</t>
    </r>
    <r>
      <rPr>
        <sz val="10"/>
        <rFont val="Noto Sans CJK SC"/>
        <family val="2"/>
        <charset val="1"/>
      </rPr>
      <t xml:space="preserve">）改公式會改變數值。</t>
    </r>
  </si>
  <si>
    <r>
      <rPr>
        <sz val="10"/>
        <rFont val="Noto Sans CJK SC"/>
        <family val="2"/>
        <charset val="1"/>
      </rPr>
      <t xml:space="preserve">見盤點複核「</t>
    </r>
    <r>
      <rPr>
        <sz val="10"/>
        <rFont val="Arial"/>
        <family val="0"/>
        <charset val="1"/>
      </rPr>
      <t xml:space="preserve">Derived→</t>
    </r>
    <r>
      <rPr>
        <sz val="10"/>
        <rFont val="Noto Sans CJK SC"/>
        <family val="2"/>
        <charset val="1"/>
      </rPr>
      <t xml:space="preserve">改公式」</t>
    </r>
  </si>
  <si>
    <t xml:space="preserve">F05</t>
  </si>
  <si>
    <r>
      <rPr>
        <sz val="10"/>
        <rFont val="Arial"/>
        <family val="0"/>
        <charset val="1"/>
      </rPr>
      <t xml:space="preserve">Tech_Registry </t>
    </r>
    <r>
      <rPr>
        <sz val="10"/>
        <rFont val="Noto Sans CJK SC"/>
        <family val="2"/>
        <charset val="1"/>
      </rPr>
      <t xml:space="preserve">的標記意義不同</t>
    </r>
  </si>
  <si>
    <r>
      <rPr>
        <sz val="10"/>
        <rFont val="Arial"/>
        <family val="0"/>
        <charset val="1"/>
      </rPr>
      <t xml:space="preserve">Tech_Registry </t>
    </r>
    <r>
      <rPr>
        <sz val="10"/>
        <rFont val="Noto Sans CJK SC"/>
        <family val="2"/>
        <charset val="1"/>
      </rPr>
      <t xml:space="preserve">列內的 </t>
    </r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IP </t>
    </r>
    <r>
      <rPr>
        <sz val="10"/>
        <rFont val="Noto Sans CJK SC"/>
        <family val="2"/>
        <charset val="1"/>
      </rPr>
      <t xml:space="preserve">指「採用證據」的性質，不是該列倍數的性質；</t>
    </r>
    <r>
      <rPr>
        <sz val="10"/>
        <rFont val="Arial"/>
        <family val="0"/>
        <charset val="1"/>
      </rPr>
      <t xml:space="preserve">CC </t>
    </r>
    <r>
      <rPr>
        <sz val="10"/>
        <rFont val="Noto Sans CJK SC"/>
        <family val="2"/>
        <charset val="1"/>
      </rPr>
      <t xml:space="preserve">規則會把 </t>
    </r>
    <r>
      <rPr>
        <sz val="10"/>
        <rFont val="Arial"/>
        <family val="0"/>
        <charset val="1"/>
      </rPr>
      <t xml:space="preserve">T01–T06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T10 </t>
    </r>
    <r>
      <rPr>
        <sz val="10"/>
        <rFont val="Noto Sans CJK SC"/>
        <family val="2"/>
        <charset val="1"/>
      </rPr>
      <t xml:space="preserve">判成原始數據。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  <charset val="1"/>
      </rPr>
      <t xml:space="preserve">改判為「</t>
    </r>
    <r>
      <rPr>
        <sz val="10"/>
        <rFont val="Arial"/>
        <family val="0"/>
        <charset val="1"/>
      </rPr>
      <t xml:space="preserve">Tech_Registry </t>
    </r>
    <r>
      <rPr>
        <sz val="10"/>
        <rFont val="Noto Sans CJK SC"/>
        <family val="2"/>
        <charset val="1"/>
      </rPr>
      <t xml:space="preserve">登錄」。</t>
    </r>
  </si>
  <si>
    <r>
      <rPr>
        <sz val="10"/>
        <rFont val="Arial"/>
        <family val="0"/>
        <charset val="1"/>
      </rPr>
      <t xml:space="preserve">Tech_Registry </t>
    </r>
    <r>
      <rPr>
        <sz val="10"/>
        <rFont val="Noto Sans CJK SC"/>
        <family val="2"/>
        <charset val="1"/>
      </rPr>
      <t xml:space="preserve">第 </t>
    </r>
    <r>
      <rPr>
        <sz val="10"/>
        <rFont val="Arial"/>
        <family val="0"/>
        <charset val="1"/>
      </rPr>
      <t xml:space="preserve">5–14 </t>
    </r>
    <r>
      <rPr>
        <sz val="10"/>
        <rFont val="Noto Sans CJK SC"/>
        <family val="2"/>
        <charset val="1"/>
      </rPr>
      <t xml:space="preserve">列</t>
    </r>
  </si>
  <si>
    <t xml:space="preserve">F06</t>
  </si>
  <si>
    <r>
      <rPr>
        <sz val="10"/>
        <rFont val="Noto Sans CJK SC"/>
        <family val="2"/>
        <charset val="1"/>
      </rPr>
      <t xml:space="preserve">模型頁說明文字引用、但 </t>
    </r>
    <r>
      <rPr>
        <sz val="10"/>
        <rFont val="Arial"/>
        <family val="0"/>
        <charset val="1"/>
      </rPr>
      <t xml:space="preserve">Sources </t>
    </r>
    <r>
      <rPr>
        <sz val="10"/>
        <rFont val="Noto Sans CJK SC"/>
        <family val="2"/>
        <charset val="1"/>
      </rPr>
      <t xml:space="preserve">沒有的數值出處：</t>
    </r>
    <r>
      <rPr>
        <sz val="10"/>
        <rFont val="Arial"/>
        <family val="0"/>
        <charset val="1"/>
      </rPr>
      <t xml:space="preserve">Barron's GB200 </t>
    </r>
    <r>
      <rPr>
        <sz val="10"/>
        <rFont val="Noto Sans CJK SC"/>
        <family val="2"/>
        <charset val="1"/>
      </rPr>
      <t xml:space="preserve">約 </t>
    </r>
    <r>
      <rPr>
        <sz val="10"/>
        <rFont val="Arial"/>
        <family val="0"/>
        <charset val="1"/>
      </rPr>
      <t xml:space="preserve">$3M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Morgan Stanley GB300 </t>
    </r>
    <r>
      <rPr>
        <sz val="10"/>
        <rFont val="Noto Sans CJK SC"/>
        <family val="2"/>
        <charset val="1"/>
      </rPr>
      <t xml:space="preserve">約 </t>
    </r>
    <r>
      <rPr>
        <sz val="10"/>
        <rFont val="Arial"/>
        <family val="0"/>
        <charset val="1"/>
      </rPr>
      <t xml:space="preserve">$4M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GB200 NVL72 13.4 TB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RU 4.6 PB/s </t>
    </r>
    <r>
      <rPr>
        <sz val="10"/>
        <rFont val="Noto Sans CJK SC"/>
        <family val="2"/>
        <charset val="1"/>
      </rPr>
      <t xml:space="preserve">與 </t>
    </r>
    <r>
      <rPr>
        <sz val="10"/>
        <rFont val="Arial"/>
        <family val="0"/>
        <charset val="1"/>
      </rPr>
      <t xml:space="preserve">5 EF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Rubin 1.8 kW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NVLink </t>
    </r>
    <r>
      <rPr>
        <sz val="10"/>
        <rFont val="Noto Sans CJK SC"/>
        <family val="2"/>
        <charset val="1"/>
      </rPr>
      <t xml:space="preserve">頻寬、</t>
    </r>
    <r>
      <rPr>
        <sz val="10"/>
        <rFont val="Arial"/>
        <family val="0"/>
        <charset val="1"/>
      </rPr>
      <t xml:space="preserve">DeepSeek V3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V4 </t>
    </r>
    <r>
      <rPr>
        <sz val="10"/>
        <rFont val="Noto Sans CJK SC"/>
        <family val="2"/>
        <charset val="1"/>
      </rPr>
      <t xml:space="preserve">架構參數（</t>
    </r>
    <r>
      <rPr>
        <sz val="10"/>
        <rFont val="Arial"/>
        <family val="0"/>
        <charset val="1"/>
      </rPr>
      <t xml:space="preserve">Arch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Calib H </t>
    </r>
    <r>
      <rPr>
        <sz val="10"/>
        <rFont val="Noto Sans CJK SC"/>
        <family val="2"/>
        <charset val="1"/>
      </rPr>
      <t xml:space="preserve">節，標 </t>
    </r>
    <r>
      <rPr>
        <sz val="10"/>
        <rFont val="Arial"/>
        <family val="0"/>
        <charset val="1"/>
      </rPr>
      <t xml:space="preserve">Verified </t>
    </r>
    <r>
      <rPr>
        <sz val="10"/>
        <rFont val="Noto Sans CJK SC"/>
        <family val="2"/>
        <charset val="1"/>
      </rPr>
      <t xml:space="preserve">但無 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  <charset val="1"/>
      </rPr>
      <t xml:space="preserve">編號）。已以 </t>
    </r>
    <r>
      <rPr>
        <sz val="10"/>
        <rFont val="Arial"/>
        <family val="0"/>
        <charset val="1"/>
      </rPr>
      <t xml:space="preserve">U-NV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U-PR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U-DS </t>
    </r>
    <r>
      <rPr>
        <sz val="10"/>
        <rFont val="Noto Sans CJK SC"/>
        <family val="2"/>
        <charset val="1"/>
      </rPr>
      <t xml:space="preserve">新增候選紀錄，等級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。</t>
    </r>
  </si>
  <si>
    <r>
      <rPr>
        <sz val="10"/>
        <rFont val="Arial"/>
        <family val="0"/>
        <charset val="1"/>
      </rPr>
      <t xml:space="preserve">SRC_</t>
    </r>
    <r>
      <rPr>
        <sz val="10"/>
        <rFont val="Noto Sans CJK SC"/>
        <family val="2"/>
        <charset val="1"/>
      </rPr>
      <t xml:space="preserve">候選 原 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  <charset val="1"/>
      </rPr>
      <t xml:space="preserve">編號＝</t>
    </r>
    <r>
      <rPr>
        <sz val="10"/>
        <rFont val="Arial"/>
        <family val="0"/>
        <charset val="1"/>
      </rPr>
      <t xml:space="preserve">U-*</t>
    </r>
  </si>
  <si>
    <t xml:space="preserve">F07</t>
  </si>
  <si>
    <r>
      <rPr>
        <sz val="10"/>
        <rFont val="Arial"/>
        <family val="0"/>
        <charset val="1"/>
      </rPr>
      <t xml:space="preserve">S28 </t>
    </r>
    <r>
      <rPr>
        <sz val="10"/>
        <rFont val="Noto Sans CJK SC"/>
        <family val="2"/>
        <charset val="1"/>
      </rPr>
      <t xml:space="preserve">的錯誤標示</t>
    </r>
  </si>
  <si>
    <r>
      <rPr>
        <sz val="10"/>
        <rFont val="Arial"/>
        <family val="0"/>
        <charset val="1"/>
      </rPr>
      <t xml:space="preserve">S28 </t>
    </r>
    <r>
      <rPr>
        <sz val="10"/>
        <rFont val="Noto Sans CJK SC"/>
        <family val="2"/>
        <charset val="1"/>
      </rPr>
      <t xml:space="preserve">寫「</t>
    </r>
    <r>
      <rPr>
        <sz val="10"/>
        <rFont val="Arial"/>
        <family val="0"/>
        <charset val="1"/>
      </rPr>
      <t xml:space="preserve">H100 FP8 989 TF</t>
    </r>
    <r>
      <rPr>
        <sz val="10"/>
        <rFont val="Noto Sans CJK SC"/>
        <family val="2"/>
        <charset val="1"/>
      </rPr>
      <t xml:space="preserve">」，</t>
    </r>
    <r>
      <rPr>
        <sz val="10"/>
        <rFont val="Arial"/>
        <family val="0"/>
        <charset val="1"/>
      </rPr>
      <t xml:space="preserve">989 </t>
    </r>
    <r>
      <rPr>
        <sz val="10"/>
        <rFont val="Noto Sans CJK SC"/>
        <family val="2"/>
        <charset val="1"/>
      </rPr>
      <t xml:space="preserve">實為 </t>
    </r>
    <r>
      <rPr>
        <sz val="10"/>
        <rFont val="Arial"/>
        <family val="0"/>
        <charset val="1"/>
      </rPr>
      <t xml:space="preserve">BF16 dense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E001 </t>
    </r>
    <r>
      <rPr>
        <sz val="10"/>
        <rFont val="Noto Sans CJK SC"/>
        <family val="2"/>
        <charset val="1"/>
      </rPr>
      <t xml:space="preserve">已更正 </t>
    </r>
    <r>
      <rPr>
        <sz val="10"/>
        <rFont val="Arial"/>
        <family val="0"/>
        <charset val="1"/>
      </rPr>
      <t xml:space="preserve">FP8 </t>
    </r>
    <r>
      <rPr>
        <sz val="10"/>
        <rFont val="Noto Sans CJK SC"/>
        <family val="2"/>
        <charset val="1"/>
      </rPr>
      <t xml:space="preserve">為 </t>
    </r>
    <r>
      <rPr>
        <sz val="10"/>
        <rFont val="Arial"/>
        <family val="0"/>
        <charset val="1"/>
      </rPr>
      <t xml:space="preserve">1,979</t>
    </r>
    <r>
      <rPr>
        <sz val="10"/>
        <rFont val="Noto Sans CJK SC"/>
        <family val="2"/>
        <charset val="1"/>
      </rPr>
      <t xml:space="preserve">）。拆成兩筆：</t>
    </r>
    <r>
      <rPr>
        <sz val="10"/>
        <rFont val="Arial"/>
        <family val="0"/>
        <charset val="1"/>
      </rPr>
      <t xml:space="preserve">H100 BF16 0.989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S28</t>
    </r>
    <r>
      <rPr>
        <sz val="10"/>
        <rFont val="Noto Sans CJK SC"/>
        <family val="2"/>
        <charset val="1"/>
      </rPr>
      <t xml:space="preserve">）與 </t>
    </r>
    <r>
      <rPr>
        <sz val="10"/>
        <rFont val="Arial"/>
        <family val="0"/>
        <charset val="1"/>
      </rPr>
      <t xml:space="preserve">H100 FP8 1.979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E001</t>
    </r>
    <r>
      <rPr>
        <sz val="10"/>
        <rFont val="Noto Sans CJK SC"/>
        <family val="2"/>
        <charset val="1"/>
      </rPr>
      <t xml:space="preserve">），兩者皆 </t>
    </r>
    <r>
      <rPr>
        <sz val="10"/>
        <rFont val="Arial"/>
        <family val="0"/>
        <charset val="1"/>
      </rPr>
      <t xml:space="preserve">Active</t>
    </r>
    <r>
      <rPr>
        <sz val="10"/>
        <rFont val="Noto Sans CJK SC"/>
        <family val="2"/>
        <charset val="1"/>
      </rPr>
      <t xml:space="preserve">，無取代關係。</t>
    </r>
  </si>
  <si>
    <t xml:space="preserve">F08</t>
  </si>
  <si>
    <t xml:space="preserve">能力指數版本混用</t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</si>
  <si>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  <charset val="1"/>
      </rPr>
      <t xml:space="preserve">市場表同時使用 </t>
    </r>
    <r>
      <rPr>
        <sz val="10"/>
        <rFont val="Arial"/>
        <family val="0"/>
        <charset val="1"/>
      </rPr>
      <t xml:space="preserve">AA Index v4.3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V4-Pro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GLM-Flash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Qwen</t>
    </r>
    <r>
      <rPr>
        <sz val="10"/>
        <rFont val="Noto Sans CJK SC"/>
        <family val="2"/>
        <charset val="1"/>
      </rPr>
      <t xml:space="preserve">）與 </t>
    </r>
    <r>
      <rPr>
        <sz val="10"/>
        <rFont val="Arial"/>
        <family val="0"/>
        <charset val="1"/>
      </rPr>
      <t xml:space="preserve">v4.3.2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V4.1-Flash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GLM-5.3</t>
    </r>
    <r>
      <rPr>
        <sz val="10"/>
        <rFont val="Noto Sans CJK SC"/>
        <family val="2"/>
        <charset val="1"/>
      </rPr>
      <t xml:space="preserve">）。</t>
    </r>
    <r>
      <rPr>
        <sz val="10"/>
        <rFont val="Arial"/>
        <family val="0"/>
        <charset val="1"/>
      </rPr>
      <t xml:space="preserve">K3 </t>
    </r>
    <r>
      <rPr>
        <sz val="10"/>
        <rFont val="Noto Sans CJK SC"/>
        <family val="2"/>
        <charset val="1"/>
      </rPr>
      <t xml:space="preserve">寫「全表固定同一版本」，</t>
    </r>
    <r>
      <rPr>
        <sz val="10"/>
        <rFont val="Arial"/>
        <family val="0"/>
        <charset val="1"/>
      </rPr>
      <t xml:space="preserve">G4 </t>
    </r>
    <r>
      <rPr>
        <sz val="10"/>
        <rFont val="Noto Sans CJK SC"/>
        <family val="2"/>
        <charset val="1"/>
      </rPr>
      <t xml:space="preserve">規定只比同口徑；兩版混用會影響 </t>
    </r>
    <r>
      <rPr>
        <sz val="10"/>
        <rFont val="Arial"/>
        <family val="0"/>
        <charset val="1"/>
      </rPr>
      <t xml:space="preserve">K2 </t>
    </r>
    <r>
      <rPr>
        <sz val="10"/>
        <rFont val="Noto Sans CJK SC"/>
        <family val="2"/>
        <charset val="1"/>
      </rPr>
      <t xml:space="preserve">前緣判定。</t>
    </r>
  </si>
  <si>
    <r>
      <rPr>
        <sz val="10"/>
        <rFont val="Arial"/>
        <family val="0"/>
        <charset val="1"/>
      </rPr>
      <t xml:space="preserve">Cap_In I </t>
    </r>
    <r>
      <rPr>
        <sz val="10"/>
        <rFont val="Noto Sans CJK SC"/>
        <family val="2"/>
        <charset val="1"/>
      </rPr>
      <t xml:space="preserve">欄</t>
    </r>
  </si>
  <si>
    <t xml:space="preserve">F09</t>
  </si>
  <si>
    <t xml:space="preserve">模型名稱對應待查</t>
  </si>
  <si>
    <r>
      <rPr>
        <sz val="10"/>
        <rFont val="Noto Sans CJK SC"/>
        <family val="2"/>
        <charset val="1"/>
      </rPr>
      <t xml:space="preserve">指數 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  <charset val="1"/>
      </rPr>
      <t xml:space="preserve">來自「</t>
    </r>
    <r>
      <rPr>
        <sz val="10"/>
        <rFont val="Arial"/>
        <family val="0"/>
        <charset val="1"/>
      </rPr>
      <t xml:space="preserve">Qwen3.8 2.4T</t>
    </r>
    <r>
      <rPr>
        <sz val="10"/>
        <rFont val="Noto Sans CJK SC"/>
        <family val="2"/>
        <charset val="1"/>
      </rPr>
      <t xml:space="preserve">」，模型用於 </t>
    </r>
    <r>
      <rPr>
        <sz val="10"/>
        <rFont val="Arial"/>
        <family val="0"/>
        <charset val="1"/>
      </rPr>
      <t xml:space="preserve">Qwen3.8-Max</t>
    </r>
    <r>
      <rPr>
        <sz val="10"/>
        <rFont val="Noto Sans CJK SC"/>
        <family val="2"/>
        <charset val="1"/>
      </rPr>
      <t xml:space="preserve">；指數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  <charset val="1"/>
      </rPr>
      <t xml:space="preserve">來自「</t>
    </r>
    <r>
      <rPr>
        <sz val="10"/>
        <rFont val="Arial"/>
        <family val="0"/>
        <charset val="1"/>
      </rPr>
      <t xml:space="preserve">DeepSeek V4 Pro</t>
    </r>
    <r>
      <rPr>
        <sz val="10"/>
        <rFont val="Noto Sans CJK SC"/>
        <family val="2"/>
        <charset val="1"/>
      </rPr>
      <t xml:space="preserve">」，模型用於 </t>
    </r>
    <r>
      <rPr>
        <sz val="10"/>
        <rFont val="Arial"/>
        <family val="0"/>
        <charset val="1"/>
      </rPr>
      <t xml:space="preserve">V4-Pro-0813</t>
    </r>
    <r>
      <rPr>
        <sz val="10"/>
        <rFont val="Noto Sans CJK SC"/>
        <family val="2"/>
        <charset val="1"/>
      </rPr>
      <t xml:space="preserve">。是否同一模型、同一版本未確認。</t>
    </r>
  </si>
  <si>
    <r>
      <rPr>
        <sz val="10"/>
        <rFont val="Arial"/>
        <family val="0"/>
        <charset val="1"/>
      </rPr>
      <t xml:space="preserve">Cap_In 53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56</t>
    </r>
  </si>
  <si>
    <t xml:space="preserve">F10</t>
  </si>
  <si>
    <r>
      <rPr>
        <sz val="10"/>
        <rFont val="Arial"/>
        <family val="0"/>
        <charset val="1"/>
      </rPr>
      <t xml:space="preserve">J3 </t>
    </r>
    <r>
      <rPr>
        <sz val="10"/>
        <rFont val="Noto Sans CJK SC"/>
        <family val="2"/>
        <charset val="1"/>
      </rPr>
      <t xml:space="preserve">與來源不一致</t>
    </r>
  </si>
  <si>
    <r>
      <rPr>
        <sz val="10"/>
        <rFont val="Arial"/>
        <family val="0"/>
        <charset val="1"/>
      </rPr>
      <t xml:space="preserve">S26 </t>
    </r>
    <r>
      <rPr>
        <sz val="10"/>
        <rFont val="Noto Sans CJK SC"/>
        <family val="2"/>
        <charset val="1"/>
      </rPr>
      <t xml:space="preserve">記 </t>
    </r>
    <r>
      <rPr>
        <sz val="10"/>
        <rFont val="Arial"/>
        <family val="0"/>
        <charset val="1"/>
      </rPr>
      <t xml:space="preserve">GPT-5.6 Sol </t>
    </r>
    <r>
      <rPr>
        <sz val="10"/>
        <rFont val="Noto Sans CJK SC"/>
        <family val="2"/>
        <charset val="1"/>
      </rPr>
      <t xml:space="preserve">約 </t>
    </r>
    <r>
      <rPr>
        <sz val="10"/>
        <rFont val="Arial"/>
        <family val="0"/>
        <charset val="1"/>
      </rPr>
      <t xml:space="preserve">68 tok/s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J3 </t>
    </r>
    <r>
      <rPr>
        <sz val="10"/>
        <rFont val="Noto Sans CJK SC"/>
        <family val="2"/>
        <charset val="1"/>
      </rPr>
      <t xml:space="preserve">與 </t>
    </r>
    <r>
      <rPr>
        <sz val="10"/>
        <rFont val="Arial"/>
        <family val="0"/>
        <charset val="1"/>
      </rPr>
      <t xml:space="preserve">Serving!D21 </t>
    </r>
    <r>
      <rPr>
        <sz val="10"/>
        <rFont val="Noto Sans CJK SC"/>
        <family val="2"/>
        <charset val="1"/>
      </rPr>
      <t xml:space="preserve">用 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  <charset val="1"/>
      </rPr>
      <t xml:space="preserve">。可能是刻意取整或筆誤。</t>
    </r>
  </si>
  <si>
    <t xml:space="preserve">Serving 21</t>
  </si>
  <si>
    <t xml:space="preserve">F11</t>
  </si>
  <si>
    <r>
      <rPr>
        <sz val="10"/>
        <rFont val="Arial"/>
        <family val="0"/>
        <charset val="1"/>
      </rPr>
      <t xml:space="preserve">InferenceX </t>
    </r>
    <r>
      <rPr>
        <sz val="10"/>
        <rFont val="Noto Sans CJK SC"/>
        <family val="2"/>
        <charset val="1"/>
      </rPr>
      <t xml:space="preserve">單一平台</t>
    </r>
  </si>
  <si>
    <r>
      <rPr>
        <sz val="10"/>
        <rFont val="Arial"/>
        <family val="0"/>
        <charset val="1"/>
      </rPr>
      <t xml:space="preserve">Calib </t>
    </r>
    <r>
      <rPr>
        <sz val="10"/>
        <rFont val="Noto Sans CJK SC"/>
        <family val="2"/>
        <charset val="1"/>
      </rPr>
      <t xml:space="preserve">七個錨點全部來自 </t>
    </r>
    <r>
      <rPr>
        <sz val="10"/>
        <rFont val="Arial"/>
        <family val="0"/>
        <charset val="1"/>
      </rPr>
      <t xml:space="preserve">InferenceX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SemiAnalysis</t>
    </r>
    <r>
      <rPr>
        <sz val="10"/>
        <rFont val="Noto Sans CJK SC"/>
        <family val="2"/>
        <charset val="1"/>
      </rPr>
      <t xml:space="preserve">），</t>
    </r>
    <r>
      <rPr>
        <sz val="10"/>
        <rFont val="Arial"/>
        <family val="0"/>
        <charset val="1"/>
      </rPr>
      <t xml:space="preserve">S22 </t>
    </r>
    <r>
      <rPr>
        <sz val="10"/>
        <rFont val="Noto Sans CJK SC"/>
        <family val="2"/>
        <charset val="1"/>
      </rPr>
      <t xml:space="preserve">兩個擬合點只見搜尋摘錄（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級）。依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  <charset val="1"/>
      </rPr>
      <t xml:space="preserve">的 </t>
    </r>
    <r>
      <rPr>
        <sz val="10"/>
        <rFont val="Arial"/>
        <family val="0"/>
        <charset val="1"/>
      </rPr>
      <t xml:space="preserve">SemiAnalysis </t>
    </r>
    <r>
      <rPr>
        <sz val="10"/>
        <rFont val="Noto Sans CJK SC"/>
        <family val="2"/>
        <charset val="1"/>
      </rPr>
      <t xml:space="preserve">規則須第二來源；</t>
    </r>
    <r>
      <rPr>
        <sz val="10"/>
        <rFont val="Arial"/>
        <family val="0"/>
        <charset val="1"/>
      </rPr>
      <t xml:space="preserve">MLPerf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S31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S32</t>
    </r>
    <r>
      <rPr>
        <sz val="10"/>
        <rFont val="Noto Sans CJK SC"/>
        <family val="2"/>
        <charset val="1"/>
      </rPr>
      <t xml:space="preserve">）是現有的第二來源，但量測口徑不同。</t>
    </r>
  </si>
  <si>
    <r>
      <rPr>
        <sz val="10"/>
        <rFont val="Arial"/>
        <family val="0"/>
        <charset val="1"/>
      </rPr>
      <t xml:space="preserve">Calib </t>
    </r>
    <r>
      <rPr>
        <sz val="10"/>
        <rFont val="Noto Sans CJK SC"/>
        <family val="2"/>
        <charset val="1"/>
      </rPr>
      <t xml:space="preserve">第 </t>
    </r>
    <r>
      <rPr>
        <sz val="10"/>
        <rFont val="Arial"/>
        <family val="0"/>
        <charset val="1"/>
      </rPr>
      <t xml:space="preserve">17 </t>
    </r>
    <r>
      <rPr>
        <sz val="10"/>
        <rFont val="Noto Sans CJK SC"/>
        <family val="2"/>
        <charset val="1"/>
      </rPr>
      <t xml:space="preserve">列</t>
    </r>
  </si>
  <si>
    <t xml:space="preserve">F12</t>
  </si>
  <si>
    <t xml:space="preserve">來源等級分布偏低</t>
  </si>
  <si>
    <r>
      <rPr>
        <sz val="10"/>
        <rFont val="Noto Sans CJK SC"/>
        <family val="2"/>
        <charset val="1"/>
      </rPr>
      <t xml:space="preserve">見說明頁統計。</t>
    </r>
    <r>
      <rPr>
        <sz val="10"/>
        <rFont val="Arial"/>
        <family val="0"/>
        <charset val="1"/>
      </rPr>
      <t xml:space="preserve">Block 1 </t>
    </r>
    <r>
      <rPr>
        <sz val="10"/>
        <rFont val="Noto Sans CJK SC"/>
        <family val="2"/>
        <charset val="1"/>
      </rPr>
      <t xml:space="preserve">的機架功率與價格（模型中影響每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  <charset val="1"/>
      </rPr>
      <t xml:space="preserve">成本最大的輸入）全部為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  <charset val="1"/>
      </rPr>
      <t xml:space="preserve">級：皆來自轉述或只見摘要。</t>
    </r>
    <r>
      <rPr>
        <sz val="10"/>
        <rFont val="Arial"/>
        <family val="0"/>
        <charset val="1"/>
      </rPr>
      <t xml:space="preserve">Stage 2 </t>
    </r>
    <r>
      <rPr>
        <sz val="10"/>
        <rFont val="Noto Sans CJK SC"/>
        <family val="2"/>
        <charset val="1"/>
      </rPr>
      <t xml:space="preserve">依 </t>
    </r>
    <r>
      <rPr>
        <sz val="10"/>
        <rFont val="Arial"/>
        <family val="0"/>
        <charset val="1"/>
      </rPr>
      <t xml:space="preserve">CC </t>
    </r>
    <r>
      <rPr>
        <sz val="10"/>
        <rFont val="Noto Sans CJK SC"/>
        <family val="2"/>
        <charset val="1"/>
      </rPr>
      <t xml:space="preserve">敏感度排序，這一組很可能排在最前面。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</si>
</sst>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10"/>
  </cols>
  <sheetData>
    <row r="1" customFormat="false" ht="21.6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29.8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5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29.85" hidden="false" customHeight="false" outlineLevel="0" collapsed="false">
      <c r="A9" s="3" t="s">
        <v>13</v>
      </c>
      <c r="B9" s="4" t="s">
        <v>14</v>
      </c>
    </row>
    <row r="11" customFormat="false" ht="15" hidden="false" customHeight="false" outlineLevel="0" collapsed="false">
      <c r="A11" s="3" t="s">
        <v>15</v>
      </c>
    </row>
    <row r="12" customFormat="false" ht="15" hidden="false" customHeight="false" outlineLevel="0" collapsed="false">
      <c r="A12" s="6" t="s">
        <v>16</v>
      </c>
      <c r="B12" s="7" t="n">
        <f aca="false">COUNTA(SRC_候選!A2:A243)</f>
        <v>242</v>
      </c>
    </row>
    <row r="13" customFormat="false" ht="15" hidden="false" customHeight="false" outlineLevel="0" collapsed="false">
      <c r="A13" s="8" t="s">
        <v>17</v>
      </c>
      <c r="B13" s="7" t="n">
        <f aca="false">COUNTIF(SRC_候選!P2:P243,"Active")</f>
        <v>233</v>
      </c>
    </row>
    <row r="14" customFormat="false" ht="15" hidden="false" customHeight="false" outlineLevel="0" collapsed="false">
      <c r="A14" s="8" t="s">
        <v>18</v>
      </c>
      <c r="B14" s="7" t="n">
        <f aca="false">COUNTIF(SRC_候選!P2:P243,"Alt")</f>
        <v>8</v>
      </c>
    </row>
    <row r="15" customFormat="false" ht="15" hidden="false" customHeight="false" outlineLevel="0" collapsed="false">
      <c r="A15" s="8" t="s">
        <v>19</v>
      </c>
      <c r="B15" s="7" t="n">
        <f aca="false">COUNTIF(SRC_候選!P2:P243,"Superseded")</f>
        <v>1</v>
      </c>
    </row>
    <row r="16" customFormat="false" ht="15" hidden="false" customHeight="false" outlineLevel="0" collapsed="false">
      <c r="A16" s="8" t="s">
        <v>20</v>
      </c>
      <c r="B16" s="7" t="n">
        <f aca="false">COUNTIF(SRC_候選!L2:L243,1)</f>
        <v>65</v>
      </c>
    </row>
    <row r="17" customFormat="false" ht="15" hidden="false" customHeight="false" outlineLevel="0" collapsed="false">
      <c r="A17" s="8" t="s">
        <v>21</v>
      </c>
      <c r="B17" s="7" t="n">
        <f aca="false">COUNTIF(SRC_候選!L2:L243,2)</f>
        <v>78</v>
      </c>
    </row>
    <row r="18" customFormat="false" ht="15" hidden="false" customHeight="false" outlineLevel="0" collapsed="false">
      <c r="A18" s="8" t="s">
        <v>22</v>
      </c>
      <c r="B18" s="7" t="n">
        <f aca="false">COUNTIF(SRC_候選!L2:L243,3)</f>
        <v>99</v>
      </c>
    </row>
    <row r="19" customFormat="false" ht="15" hidden="false" customHeight="false" outlineLevel="0" collapsed="false">
      <c r="A19" s="8" t="s">
        <v>23</v>
      </c>
      <c r="B19" s="7" t="n">
        <f aca="false">COUNTIF(SRC_候選!M2:M243,"利害關係方")</f>
        <v>189</v>
      </c>
    </row>
    <row r="20" customFormat="false" ht="15" hidden="false" customHeight="false" outlineLevel="0" collapsed="false">
      <c r="A20" s="8" t="s">
        <v>24</v>
      </c>
      <c r="B20" s="7" t="n">
        <f aca="false">COUNTIF(SRC_候選!M2:M243,"中立")</f>
        <v>53</v>
      </c>
    </row>
    <row r="21" customFormat="false" ht="15" hidden="false" customHeight="false" outlineLevel="0" collapsed="false">
      <c r="A21" s="8" t="s">
        <v>25</v>
      </c>
      <c r="B21" s="7" t="n">
        <f aca="false">COUNTIF(SRC_候選!R2:R243,"&lt;&gt;未使用")</f>
        <v>199</v>
      </c>
    </row>
    <row r="22" customFormat="false" ht="15" hidden="false" customHeight="false" outlineLevel="0" collapsed="false">
      <c r="A22" s="8" t="s">
        <v>26</v>
      </c>
      <c r="B22" s="7" t="n">
        <f aca="false">COUNTIF(SRC_候選!R2:R243,"一致")</f>
        <v>145</v>
      </c>
    </row>
    <row r="23" customFormat="false" ht="15" hidden="false" customHeight="false" outlineLevel="0" collapsed="false">
      <c r="A23" s="8" t="s">
        <v>27</v>
      </c>
      <c r="B23" s="7" t="n">
        <f aca="false">COUNTIF(SRC_候選!R2:R243,"不一致")</f>
        <v>0</v>
      </c>
    </row>
    <row r="24" customFormat="false" ht="15" hidden="false" customHeight="false" outlineLevel="0" collapsed="false">
      <c r="A24" s="8" t="s">
        <v>28</v>
      </c>
      <c r="B24" s="7" t="n">
        <f aca="false">COUNTA(盤點複核!A2:A325)</f>
        <v>324</v>
      </c>
    </row>
    <row r="25" customFormat="false" ht="15" hidden="false" customHeight="false" outlineLevel="0" collapsed="false">
      <c r="A25" s="6" t="s">
        <v>29</v>
      </c>
      <c r="B25" s="7" t="n">
        <f aca="false">COUNTIF(盤點複核!N2:N325,"否")</f>
        <v>128</v>
      </c>
    </row>
    <row r="26" customFormat="false" ht="15" hidden="false" customHeight="false" outlineLevel="0" collapsed="false">
      <c r="A26" s="6" t="s">
        <v>30</v>
      </c>
      <c r="B26" s="7" t="n">
        <f aca="false">COUNTIF(盤點複核!T2:T325,"是")</f>
        <v>21</v>
      </c>
    </row>
    <row r="27" customFormat="false" ht="15" hidden="false" customHeight="false" outlineLevel="0" collapsed="false">
      <c r="A27" s="8" t="s">
        <v>31</v>
      </c>
      <c r="B27" s="7" t="n">
        <f aca="false">SUM(盤點複核!Q2:Q325)</f>
        <v>177</v>
      </c>
    </row>
    <row r="28" customFormat="false" ht="15" hidden="false" customHeight="false" outlineLevel="0" collapsed="false">
      <c r="A28" s="8" t="s">
        <v>32</v>
      </c>
      <c r="B28" s="7" t="n">
        <f aca="false">SUM(盤點複核!R2:R325)</f>
        <v>38</v>
      </c>
    </row>
    <row r="30" customFormat="false" ht="15" hidden="false" customHeight="false" outlineLevel="0" collapsed="false">
      <c r="A30" s="9" t="s">
        <v>33</v>
      </c>
    </row>
    <row r="31" customFormat="false" ht="15" hidden="false" customHeight="false" outlineLevel="0" collapsed="false">
      <c r="A31" s="8" t="s">
        <v>34</v>
      </c>
      <c r="B31" s="7" t="n">
        <f aca="false">COUNTIF(盤點複核!M2:M325,"原始數據→SRC")</f>
        <v>38</v>
      </c>
    </row>
    <row r="32" customFormat="false" ht="15" hidden="false" customHeight="false" outlineLevel="0" collapsed="false">
      <c r="A32" s="8" t="s">
        <v>35</v>
      </c>
      <c r="B32" s="7" t="n">
        <f aca="false">COUNTIF(盤點複核!M2:M325,"混合（逐格）")</f>
        <v>45</v>
      </c>
    </row>
    <row r="33" customFormat="false" ht="15" hidden="false" customHeight="false" outlineLevel="0" collapsed="false">
      <c r="A33" s="6" t="s">
        <v>36</v>
      </c>
      <c r="B33" s="7" t="n">
        <f aca="false">COUNTIF(盤點複核!M2:M325,"Derived→改公式")</f>
        <v>10</v>
      </c>
    </row>
    <row r="34" customFormat="false" ht="15" hidden="false" customHeight="false" outlineLevel="0" collapsed="false">
      <c r="A34" s="6" t="s">
        <v>37</v>
      </c>
      <c r="B34" s="7" t="n">
        <f aca="false">COUNTIF(盤點複核!M2:M325,"Analogy")</f>
        <v>36</v>
      </c>
    </row>
    <row r="35" customFormat="false" ht="15" hidden="false" customHeight="false" outlineLevel="0" collapsed="false">
      <c r="A35" s="6" t="s">
        <v>38</v>
      </c>
      <c r="B35" s="7" t="n">
        <f aca="false">COUNTIF(盤點複核!M2:M325,"Assumed")</f>
        <v>96</v>
      </c>
    </row>
    <row r="36" customFormat="false" ht="15" hidden="false" customHeight="false" outlineLevel="0" collapsed="false">
      <c r="A36" s="6" t="s">
        <v>39</v>
      </c>
      <c r="B36" s="7" t="n">
        <f aca="false">COUNTIF(盤點複核!M2:M325,"Decision")</f>
        <v>18</v>
      </c>
    </row>
    <row r="37" customFormat="false" ht="15" hidden="false" customHeight="false" outlineLevel="0" collapsed="false">
      <c r="A37" s="8" t="s">
        <v>40</v>
      </c>
      <c r="B37" s="7" t="n">
        <f aca="false">COUNTIF(盤點複核!M2:M325,"情境選擇")</f>
        <v>13</v>
      </c>
    </row>
    <row r="38" customFormat="false" ht="15" hidden="false" customHeight="false" outlineLevel="0" collapsed="false">
      <c r="A38" s="8" t="s">
        <v>41</v>
      </c>
      <c r="B38" s="7" t="n">
        <f aca="false">COUNTIF(盤點複核!M2:M325,"情境值")</f>
        <v>29</v>
      </c>
    </row>
    <row r="39" customFormat="false" ht="15" hidden="false" customHeight="false" outlineLevel="0" collapsed="false">
      <c r="A39" s="6" t="s">
        <v>42</v>
      </c>
      <c r="B39" s="7" t="n">
        <f aca="false">COUNTIF(盤點複核!M2:M325,"Tech_Registry 登錄")</f>
        <v>8</v>
      </c>
    </row>
    <row r="40" customFormat="false" ht="15" hidden="false" customHeight="false" outlineLevel="0" collapsed="false">
      <c r="A40" s="6" t="s">
        <v>43</v>
      </c>
      <c r="B40" s="7" t="n">
        <f aca="false">COUNTIF(盤點複核!M2:M325,"Checks→L1 對照")</f>
        <v>11</v>
      </c>
    </row>
    <row r="41" customFormat="false" ht="15" hidden="false" customHeight="false" outlineLevel="0" collapsed="false">
      <c r="A41" s="6" t="s">
        <v>44</v>
      </c>
      <c r="B41" s="7" t="n">
        <f aca="false">COUNTIF(盤點複核!M2:M325,"Evidence（不遷移）")</f>
        <v>20</v>
      </c>
    </row>
    <row r="42" customFormat="false" ht="15" hidden="false" customHeight="false" outlineLevel="0" collapsed="false">
      <c r="A42" s="3" t="s">
        <v>45</v>
      </c>
      <c r="B42" s="3" t="n">
        <f aca="false">SUM(B31:B41)</f>
        <v>324</v>
      </c>
    </row>
    <row r="44" customFormat="false" ht="15" hidden="false" customHeight="false" outlineLevel="0" collapsed="false">
      <c r="A44" s="9" t="s">
        <v>46</v>
      </c>
    </row>
    <row r="45" customFormat="false" ht="15" hidden="false" customHeight="false" outlineLevel="0" collapsed="false">
      <c r="A45" s="6" t="s">
        <v>47</v>
      </c>
      <c r="B45" s="7" t="n">
        <f aca="false">COUNTIF(SRC_候選!B2:B243,"SRC_HW")</f>
        <v>52</v>
      </c>
    </row>
    <row r="46" customFormat="false" ht="15" hidden="false" customHeight="false" outlineLevel="0" collapsed="false">
      <c r="A46" s="6" t="s">
        <v>48</v>
      </c>
      <c r="B46" s="7" t="n">
        <f aca="false">COUNTIF(SRC_候選!B2:B243,"SRC_DC")</f>
        <v>13</v>
      </c>
    </row>
    <row r="47" customFormat="false" ht="15" hidden="false" customHeight="false" outlineLevel="0" collapsed="false">
      <c r="A47" s="6" t="s">
        <v>49</v>
      </c>
      <c r="B47" s="7" t="n">
        <f aca="false">COUNTIF(SRC_候選!B2:B243,"SRC_Model")</f>
        <v>48</v>
      </c>
    </row>
    <row r="48" customFormat="false" ht="15" hidden="false" customHeight="false" outlineLevel="0" collapsed="false">
      <c r="A48" s="6" t="s">
        <v>50</v>
      </c>
      <c r="B48" s="7" t="n">
        <f aca="false">COUNTIF(SRC_候選!B2:B243,"SRC_Perf")</f>
        <v>40</v>
      </c>
    </row>
    <row r="49" customFormat="false" ht="15" hidden="false" customHeight="false" outlineLevel="0" collapsed="false">
      <c r="A49" s="6" t="s">
        <v>51</v>
      </c>
      <c r="B49" s="7" t="n">
        <f aca="false">COUNTIF(SRC_候選!B2:B243,"SRC_Price")</f>
        <v>44</v>
      </c>
    </row>
    <row r="50" customFormat="false" ht="15" hidden="false" customHeight="false" outlineLevel="0" collapsed="false">
      <c r="A50" s="6" t="s">
        <v>52</v>
      </c>
      <c r="B50" s="7" t="n">
        <f aca="false">COUNTIF(SRC_候選!B2:B243,"SRC_Cap")</f>
        <v>21</v>
      </c>
    </row>
    <row r="51" customFormat="false" ht="15" hidden="false" customHeight="false" outlineLevel="0" collapsed="false">
      <c r="A51" s="6" t="s">
        <v>53</v>
      </c>
      <c r="B51" s="7" t="n">
        <f aca="false">COUNTIF(SRC_候選!B2:B243,"SRC_Demand")</f>
        <v>9</v>
      </c>
    </row>
    <row r="52" customFormat="false" ht="15" hidden="false" customHeight="false" outlineLevel="0" collapsed="false">
      <c r="A52" s="6" t="s">
        <v>54</v>
      </c>
      <c r="B52" s="7" t="n">
        <f aca="false">COUNTIF(SRC_候選!B2:B243,"SRC_Harness")</f>
        <v>15</v>
      </c>
    </row>
    <row r="54" customFormat="false" ht="15" hidden="false" customHeight="false" outlineLevel="0" collapsed="false">
      <c r="A54" s="3" t="s">
        <v>55</v>
      </c>
    </row>
    <row r="55" customFormat="false" ht="15" hidden="false" customHeight="false" outlineLevel="0" collapsed="false">
      <c r="A55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50"/>
    <col collapsed="false" customWidth="true" hidden="false" outlineLevel="0" max="4" min="4" style="1" width="56"/>
    <col collapsed="false" customWidth="true" hidden="false" outlineLevel="0" max="5" min="5" style="1" width="18"/>
    <col collapsed="false" customWidth="true" hidden="false" outlineLevel="0" max="6" min="6" style="1" width="8"/>
    <col collapsed="false" customWidth="true" hidden="false" outlineLevel="0" max="7" min="7" style="1" width="24"/>
  </cols>
  <sheetData>
    <row r="1" customFormat="false" ht="15" hidden="false" customHeight="false" outlineLevel="0" collapsed="false">
      <c r="A1" s="10" t="s">
        <v>57</v>
      </c>
      <c r="B1" s="10" t="s">
        <v>58</v>
      </c>
      <c r="C1" s="10" t="s">
        <v>59</v>
      </c>
      <c r="D1" s="10" t="s">
        <v>60</v>
      </c>
      <c r="E1" s="10" t="s">
        <v>61</v>
      </c>
      <c r="F1" s="10" t="s">
        <v>62</v>
      </c>
      <c r="G1" s="11" t="s">
        <v>63</v>
      </c>
    </row>
    <row r="2" customFormat="false" ht="29.85" hidden="false" customHeight="false" outlineLevel="0" collapsed="false">
      <c r="A2" s="4" t="s">
        <v>64</v>
      </c>
      <c r="B2" s="5" t="s">
        <v>65</v>
      </c>
      <c r="C2" s="5" t="s">
        <v>66</v>
      </c>
      <c r="D2" s="4" t="s">
        <v>67</v>
      </c>
      <c r="E2" s="5" t="s">
        <v>68</v>
      </c>
      <c r="F2" s="5" t="s">
        <v>69</v>
      </c>
      <c r="G2" s="12"/>
    </row>
    <row r="3" customFormat="false" ht="58.2" hidden="false" customHeight="false" outlineLevel="0" collapsed="false">
      <c r="A3" s="4" t="s">
        <v>70</v>
      </c>
      <c r="B3" s="4" t="s">
        <v>71</v>
      </c>
      <c r="C3" s="5" t="s">
        <v>72</v>
      </c>
      <c r="D3" s="4" t="s">
        <v>73</v>
      </c>
      <c r="E3" s="5" t="s">
        <v>74</v>
      </c>
      <c r="F3" s="5" t="s">
        <v>75</v>
      </c>
      <c r="G3" s="12"/>
    </row>
    <row r="4" customFormat="false" ht="29.85" hidden="false" customHeight="false" outlineLevel="0" collapsed="false">
      <c r="A4" s="4" t="s">
        <v>76</v>
      </c>
      <c r="B4" s="4" t="s">
        <v>77</v>
      </c>
      <c r="C4" s="4" t="s">
        <v>78</v>
      </c>
      <c r="D4" s="5" t="s">
        <v>79</v>
      </c>
      <c r="E4" s="5" t="s">
        <v>80</v>
      </c>
      <c r="F4" s="5" t="s">
        <v>75</v>
      </c>
      <c r="G4" s="12"/>
    </row>
    <row r="5" customFormat="false" ht="29.85" hidden="false" customHeight="false" outlineLevel="0" collapsed="false">
      <c r="A5" s="4" t="s">
        <v>81</v>
      </c>
      <c r="B5" s="5" t="s">
        <v>82</v>
      </c>
      <c r="C5" s="5" t="s">
        <v>83</v>
      </c>
      <c r="D5" s="4" t="s">
        <v>84</v>
      </c>
      <c r="E5" s="5" t="s">
        <v>80</v>
      </c>
      <c r="F5" s="5" t="s">
        <v>75</v>
      </c>
      <c r="G5" s="12"/>
    </row>
    <row r="6" customFormat="false" ht="29.85" hidden="false" customHeight="false" outlineLevel="0" collapsed="false">
      <c r="A6" s="4" t="s">
        <v>85</v>
      </c>
      <c r="B6" s="5" t="s">
        <v>86</v>
      </c>
      <c r="C6" s="5" t="s">
        <v>87</v>
      </c>
      <c r="D6" s="4" t="s">
        <v>88</v>
      </c>
      <c r="E6" s="5" t="s">
        <v>68</v>
      </c>
      <c r="F6" s="5" t="s">
        <v>69</v>
      </c>
      <c r="G6" s="12"/>
    </row>
    <row r="7" customFormat="false" ht="29.85" hidden="false" customHeight="false" outlineLevel="0" collapsed="false">
      <c r="A7" s="4" t="s">
        <v>89</v>
      </c>
      <c r="B7" s="4" t="s">
        <v>90</v>
      </c>
      <c r="C7" s="4" t="s">
        <v>91</v>
      </c>
      <c r="D7" s="4" t="s">
        <v>92</v>
      </c>
      <c r="E7" s="5" t="s">
        <v>93</v>
      </c>
      <c r="F7" s="5" t="s">
        <v>75</v>
      </c>
      <c r="G7" s="12"/>
    </row>
    <row r="8" customFormat="false" ht="29.85" hidden="false" customHeight="false" outlineLevel="0" collapsed="false">
      <c r="A8" s="4" t="s">
        <v>94</v>
      </c>
      <c r="B8" s="5" t="s">
        <v>95</v>
      </c>
      <c r="C8" s="4" t="s">
        <v>96</v>
      </c>
      <c r="D8" s="5" t="s">
        <v>97</v>
      </c>
      <c r="E8" s="5" t="s">
        <v>98</v>
      </c>
      <c r="F8" s="5" t="s">
        <v>75</v>
      </c>
      <c r="G8" s="12"/>
    </row>
    <row r="9" customFormat="false" ht="44" hidden="false" customHeight="false" outlineLevel="0" collapsed="false">
      <c r="A9" s="4" t="s">
        <v>99</v>
      </c>
      <c r="B9" s="5" t="s">
        <v>100</v>
      </c>
      <c r="C9" s="5" t="s">
        <v>101</v>
      </c>
      <c r="D9" s="4" t="s">
        <v>102</v>
      </c>
      <c r="E9" s="5" t="s">
        <v>103</v>
      </c>
      <c r="F9" s="5" t="s">
        <v>75</v>
      </c>
      <c r="G9" s="12"/>
    </row>
    <row r="10" customFormat="false" ht="44" hidden="false" customHeight="false" outlineLevel="0" collapsed="false">
      <c r="A10" s="4" t="s">
        <v>104</v>
      </c>
      <c r="B10" s="5" t="s">
        <v>105</v>
      </c>
      <c r="C10" s="4" t="s">
        <v>106</v>
      </c>
      <c r="D10" s="4" t="s">
        <v>107</v>
      </c>
      <c r="E10" s="5" t="s">
        <v>108</v>
      </c>
      <c r="F10" s="5" t="s">
        <v>69</v>
      </c>
      <c r="G10" s="12"/>
    </row>
    <row r="11" customFormat="false" ht="29.85" hidden="false" customHeight="false" outlineLevel="0" collapsed="false">
      <c r="A11" s="4" t="s">
        <v>109</v>
      </c>
      <c r="B11" s="5" t="s">
        <v>110</v>
      </c>
      <c r="C11" s="5" t="s">
        <v>111</v>
      </c>
      <c r="D11" s="4" t="s">
        <v>112</v>
      </c>
      <c r="E11" s="5" t="s">
        <v>113</v>
      </c>
      <c r="F11" s="5" t="s">
        <v>69</v>
      </c>
      <c r="G11" s="12"/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1"/>
    <col collapsed="false" customWidth="true" hidden="false" outlineLevel="0" max="3" min="3" style="1" width="8"/>
    <col collapsed="false" customWidth="true" hidden="false" outlineLevel="0" max="4" min="4" style="1" width="38"/>
    <col collapsed="false" customWidth="true" hidden="false" outlineLevel="0" max="5" min="5" style="1" width="11"/>
    <col collapsed="false" customWidth="true" hidden="false" outlineLevel="0" max="7" min="6" style="1" width="9"/>
    <col collapsed="false" customWidth="true" hidden="false" outlineLevel="0" max="8" min="8" style="1" width="14"/>
    <col collapsed="false" customWidth="true" hidden="false" outlineLevel="0" max="10" min="9" style="1" width="20"/>
    <col collapsed="false" customWidth="true" hidden="false" outlineLevel="0" max="11" min="11" style="1" width="11"/>
    <col collapsed="false" customWidth="true" hidden="false" outlineLevel="0" max="12" min="12" style="1" width="8"/>
    <col collapsed="false" customWidth="true" hidden="false" outlineLevel="0" max="13" min="13" style="1" width="9"/>
    <col collapsed="false" customWidth="true" hidden="false" outlineLevel="0" max="14" min="14" style="1" width="36"/>
    <col collapsed="false" customWidth="true" hidden="false" outlineLevel="0" max="15" min="15" style="1" width="13"/>
    <col collapsed="false" customWidth="true" hidden="false" outlineLevel="0" max="16" min="16" style="1" width="10"/>
    <col collapsed="false" customWidth="true" hidden="false" outlineLevel="0" max="17" min="17" style="1" width="34"/>
    <col collapsed="false" customWidth="true" hidden="false" outlineLevel="0" max="18" min="18" style="1" width="10"/>
    <col collapsed="false" customWidth="true" hidden="false" outlineLevel="0" max="19" min="19" style="1" width="40"/>
  </cols>
  <sheetData>
    <row r="1" customFormat="false" ht="44" hidden="false" customHeight="false" outlineLevel="0" collapsed="false">
      <c r="A1" s="11" t="s">
        <v>114</v>
      </c>
      <c r="B1" s="10" t="s">
        <v>115</v>
      </c>
      <c r="C1" s="10" t="s">
        <v>116</v>
      </c>
      <c r="D1" s="10" t="s">
        <v>117</v>
      </c>
      <c r="E1" s="10" t="s">
        <v>118</v>
      </c>
      <c r="F1" s="10" t="s">
        <v>119</v>
      </c>
      <c r="G1" s="10" t="s">
        <v>120</v>
      </c>
      <c r="H1" s="10" t="s">
        <v>121</v>
      </c>
      <c r="I1" s="10" t="s">
        <v>122</v>
      </c>
      <c r="J1" s="10" t="s">
        <v>123</v>
      </c>
      <c r="K1" s="10" t="s">
        <v>1</v>
      </c>
      <c r="L1" s="10" t="s">
        <v>124</v>
      </c>
      <c r="M1" s="10" t="s">
        <v>125</v>
      </c>
      <c r="N1" s="10" t="s">
        <v>126</v>
      </c>
      <c r="O1" s="10" t="s">
        <v>127</v>
      </c>
      <c r="P1" s="10" t="s">
        <v>62</v>
      </c>
      <c r="Q1" s="10" t="s">
        <v>128</v>
      </c>
      <c r="R1" s="10" t="s">
        <v>129</v>
      </c>
      <c r="S1" s="10" t="s">
        <v>130</v>
      </c>
    </row>
    <row r="2" customFormat="false" ht="29.85" hidden="false" customHeight="false" outlineLevel="0" collapsed="false">
      <c r="A2" s="4" t="s">
        <v>131</v>
      </c>
      <c r="B2" s="4" t="s">
        <v>47</v>
      </c>
      <c r="C2" s="4" t="s">
        <v>132</v>
      </c>
      <c r="D2" s="4" t="s">
        <v>133</v>
      </c>
      <c r="E2" s="4" t="n">
        <v>10.2</v>
      </c>
      <c r="F2" s="4"/>
      <c r="G2" s="4"/>
      <c r="H2" s="4" t="s">
        <v>134</v>
      </c>
      <c r="I2" s="5" t="s">
        <v>135</v>
      </c>
      <c r="J2" s="4" t="s">
        <v>136</v>
      </c>
      <c r="K2" s="4" t="s">
        <v>137</v>
      </c>
      <c r="L2" s="4" t="n">
        <v>3</v>
      </c>
      <c r="M2" s="5" t="s">
        <v>138</v>
      </c>
      <c r="N2" s="4" t="s">
        <v>139</v>
      </c>
      <c r="O2" s="5" t="s">
        <v>140</v>
      </c>
      <c r="P2" s="4" t="s">
        <v>141</v>
      </c>
      <c r="Q2" s="4" t="s">
        <v>142</v>
      </c>
      <c r="R2" s="4" t="s">
        <v>143</v>
      </c>
      <c r="S2" s="4" t="s">
        <v>144</v>
      </c>
    </row>
    <row r="3" customFormat="false" ht="29.85" hidden="false" customHeight="false" outlineLevel="0" collapsed="false">
      <c r="A3" s="4" t="s">
        <v>145</v>
      </c>
      <c r="B3" s="4" t="s">
        <v>47</v>
      </c>
      <c r="C3" s="4" t="s">
        <v>146</v>
      </c>
      <c r="D3" s="4" t="s">
        <v>147</v>
      </c>
      <c r="E3" s="4" t="n">
        <v>30000</v>
      </c>
      <c r="F3" s="4"/>
      <c r="G3" s="4"/>
      <c r="H3" s="4" t="s">
        <v>148</v>
      </c>
      <c r="I3" s="5" t="s">
        <v>149</v>
      </c>
      <c r="J3" s="4" t="s">
        <v>150</v>
      </c>
      <c r="K3" s="4" t="s">
        <v>151</v>
      </c>
      <c r="L3" s="4" t="n">
        <v>3</v>
      </c>
      <c r="M3" s="5" t="s">
        <v>138</v>
      </c>
      <c r="N3" s="4" t="s">
        <v>152</v>
      </c>
      <c r="O3" s="5" t="s">
        <v>153</v>
      </c>
      <c r="P3" s="4" t="s">
        <v>141</v>
      </c>
      <c r="Q3" s="4"/>
      <c r="R3" s="5" t="s">
        <v>154</v>
      </c>
      <c r="S3" s="4"/>
    </row>
    <row r="4" customFormat="false" ht="29.85" hidden="false" customHeight="false" outlineLevel="0" collapsed="false">
      <c r="A4" s="4" t="s">
        <v>155</v>
      </c>
      <c r="B4" s="4" t="s">
        <v>47</v>
      </c>
      <c r="C4" s="4" t="s">
        <v>146</v>
      </c>
      <c r="D4" s="4" t="s">
        <v>156</v>
      </c>
      <c r="E4" s="4"/>
      <c r="F4" s="4" t="n">
        <v>220000</v>
      </c>
      <c r="G4" s="4" t="n">
        <v>320000</v>
      </c>
      <c r="H4" s="4" t="s">
        <v>157</v>
      </c>
      <c r="I4" s="5" t="s">
        <v>158</v>
      </c>
      <c r="J4" s="4" t="s">
        <v>150</v>
      </c>
      <c r="K4" s="4" t="s">
        <v>151</v>
      </c>
      <c r="L4" s="4" t="n">
        <v>3</v>
      </c>
      <c r="M4" s="5" t="s">
        <v>138</v>
      </c>
      <c r="N4" s="4" t="s">
        <v>152</v>
      </c>
      <c r="O4" s="5" t="s">
        <v>153</v>
      </c>
      <c r="P4" s="4" t="s">
        <v>141</v>
      </c>
      <c r="Q4" s="4" t="s">
        <v>159</v>
      </c>
      <c r="R4" s="4" t="s">
        <v>143</v>
      </c>
      <c r="S4" s="4" t="s">
        <v>160</v>
      </c>
    </row>
    <row r="5" customFormat="false" ht="29.85" hidden="false" customHeight="false" outlineLevel="0" collapsed="false">
      <c r="A5" s="4" t="s">
        <v>161</v>
      </c>
      <c r="B5" s="4" t="s">
        <v>47</v>
      </c>
      <c r="C5" s="4" t="s">
        <v>162</v>
      </c>
      <c r="D5" s="4" t="s">
        <v>163</v>
      </c>
      <c r="E5" s="4"/>
      <c r="F5" s="4" t="n">
        <v>120</v>
      </c>
      <c r="G5" s="4" t="n">
        <v>130</v>
      </c>
      <c r="H5" s="4" t="s">
        <v>164</v>
      </c>
      <c r="I5" s="5" t="s">
        <v>165</v>
      </c>
      <c r="J5" s="4" t="s">
        <v>166</v>
      </c>
      <c r="K5" s="4" t="s">
        <v>167</v>
      </c>
      <c r="L5" s="4" t="n">
        <v>3</v>
      </c>
      <c r="M5" s="5" t="s">
        <v>138</v>
      </c>
      <c r="N5" s="4" t="s">
        <v>168</v>
      </c>
      <c r="O5" s="5" t="s">
        <v>153</v>
      </c>
      <c r="P5" s="4" t="s">
        <v>141</v>
      </c>
      <c r="Q5" s="4" t="s">
        <v>169</v>
      </c>
      <c r="R5" s="5" t="s">
        <v>170</v>
      </c>
      <c r="S5" s="5" t="s">
        <v>171</v>
      </c>
    </row>
    <row r="6" customFormat="false" ht="29.85" hidden="false" customHeight="false" outlineLevel="0" collapsed="false">
      <c r="A6" s="4" t="s">
        <v>172</v>
      </c>
      <c r="B6" s="4" t="s">
        <v>47</v>
      </c>
      <c r="C6" s="4" t="s">
        <v>162</v>
      </c>
      <c r="D6" s="4" t="s">
        <v>173</v>
      </c>
      <c r="E6" s="4"/>
      <c r="F6" s="4" t="n">
        <v>132</v>
      </c>
      <c r="G6" s="4" t="n">
        <v>142</v>
      </c>
      <c r="H6" s="4" t="s">
        <v>164</v>
      </c>
      <c r="I6" s="5" t="s">
        <v>174</v>
      </c>
      <c r="J6" s="4" t="s">
        <v>175</v>
      </c>
      <c r="K6" s="4" t="s">
        <v>167</v>
      </c>
      <c r="L6" s="4" t="n">
        <v>3</v>
      </c>
      <c r="M6" s="5" t="s">
        <v>138</v>
      </c>
      <c r="N6" s="4" t="s">
        <v>168</v>
      </c>
      <c r="O6" s="5" t="s">
        <v>153</v>
      </c>
      <c r="P6" s="4" t="s">
        <v>141</v>
      </c>
      <c r="Q6" s="4" t="s">
        <v>176</v>
      </c>
      <c r="R6" s="5" t="s">
        <v>170</v>
      </c>
      <c r="S6" s="5" t="s">
        <v>177</v>
      </c>
    </row>
    <row r="7" customFormat="false" ht="29.85" hidden="false" customHeight="false" outlineLevel="0" collapsed="false">
      <c r="A7" s="4" t="s">
        <v>178</v>
      </c>
      <c r="B7" s="4" t="s">
        <v>47</v>
      </c>
      <c r="C7" s="4" t="s">
        <v>179</v>
      </c>
      <c r="D7" s="4" t="s">
        <v>180</v>
      </c>
      <c r="E7" s="4"/>
      <c r="F7" s="4" t="n">
        <v>2.8</v>
      </c>
      <c r="G7" s="4" t="n">
        <v>3.4</v>
      </c>
      <c r="H7" s="4" t="s">
        <v>181</v>
      </c>
      <c r="I7" s="5" t="s">
        <v>182</v>
      </c>
      <c r="J7" s="4" t="s">
        <v>166</v>
      </c>
      <c r="K7" s="4" t="s">
        <v>183</v>
      </c>
      <c r="L7" s="4" t="n">
        <v>3</v>
      </c>
      <c r="M7" s="5" t="s">
        <v>138</v>
      </c>
      <c r="N7" s="5" t="s">
        <v>184</v>
      </c>
      <c r="O7" s="5" t="s">
        <v>153</v>
      </c>
      <c r="P7" s="4" t="s">
        <v>141</v>
      </c>
      <c r="Q7" s="4" t="s">
        <v>185</v>
      </c>
      <c r="R7" s="5" t="s">
        <v>170</v>
      </c>
      <c r="S7" s="5" t="s">
        <v>186</v>
      </c>
    </row>
    <row r="8" customFormat="false" ht="29.85" hidden="false" customHeight="false" outlineLevel="0" collapsed="false">
      <c r="A8" s="4" t="s">
        <v>187</v>
      </c>
      <c r="B8" s="4" t="s">
        <v>47</v>
      </c>
      <c r="C8" s="4" t="s">
        <v>179</v>
      </c>
      <c r="D8" s="4" t="s">
        <v>188</v>
      </c>
      <c r="E8" s="4"/>
      <c r="F8" s="4" t="n">
        <v>6</v>
      </c>
      <c r="G8" s="4" t="n">
        <v>6.5</v>
      </c>
      <c r="H8" s="4" t="s">
        <v>181</v>
      </c>
      <c r="I8" s="5" t="s">
        <v>182</v>
      </c>
      <c r="J8" s="4" t="s">
        <v>175</v>
      </c>
      <c r="K8" s="4" t="s">
        <v>183</v>
      </c>
      <c r="L8" s="4" t="n">
        <v>3</v>
      </c>
      <c r="M8" s="5" t="s">
        <v>138</v>
      </c>
      <c r="N8" s="5" t="s">
        <v>184</v>
      </c>
      <c r="O8" s="5" t="s">
        <v>153</v>
      </c>
      <c r="P8" s="4" t="s">
        <v>141</v>
      </c>
      <c r="Q8" s="4" t="s">
        <v>189</v>
      </c>
      <c r="R8" s="5" t="s">
        <v>170</v>
      </c>
      <c r="S8" s="4"/>
    </row>
    <row r="9" customFormat="false" ht="29.85" hidden="false" customHeight="false" outlineLevel="0" collapsed="false">
      <c r="A9" s="4" t="s">
        <v>190</v>
      </c>
      <c r="B9" s="4" t="s">
        <v>47</v>
      </c>
      <c r="C9" s="4" t="s">
        <v>179</v>
      </c>
      <c r="D9" s="4" t="s">
        <v>191</v>
      </c>
      <c r="E9" s="4"/>
      <c r="F9" s="4" t="n">
        <v>5</v>
      </c>
      <c r="G9" s="4" t="n">
        <v>7</v>
      </c>
      <c r="H9" s="4" t="s">
        <v>181</v>
      </c>
      <c r="I9" s="5" t="s">
        <v>182</v>
      </c>
      <c r="J9" s="4" t="s">
        <v>192</v>
      </c>
      <c r="K9" s="4" t="s">
        <v>183</v>
      </c>
      <c r="L9" s="4" t="n">
        <v>3</v>
      </c>
      <c r="M9" s="5" t="s">
        <v>138</v>
      </c>
      <c r="N9" s="5" t="s">
        <v>184</v>
      </c>
      <c r="O9" s="5" t="s">
        <v>153</v>
      </c>
      <c r="P9" s="4" t="s">
        <v>193</v>
      </c>
      <c r="Q9" s="4"/>
      <c r="R9" s="5" t="s">
        <v>154</v>
      </c>
      <c r="S9" s="5" t="s">
        <v>194</v>
      </c>
    </row>
    <row r="10" customFormat="false" ht="29.85" hidden="false" customHeight="false" outlineLevel="0" collapsed="false">
      <c r="A10" s="4" t="s">
        <v>195</v>
      </c>
      <c r="B10" s="4" t="s">
        <v>47</v>
      </c>
      <c r="C10" s="4" t="s">
        <v>196</v>
      </c>
      <c r="D10" s="4" t="s">
        <v>197</v>
      </c>
      <c r="E10" s="4"/>
      <c r="F10" s="4" t="n">
        <v>132</v>
      </c>
      <c r="G10" s="4" t="n">
        <v>140</v>
      </c>
      <c r="H10" s="4" t="s">
        <v>164</v>
      </c>
      <c r="I10" s="5" t="s">
        <v>198</v>
      </c>
      <c r="J10" s="4" t="s">
        <v>175</v>
      </c>
      <c r="K10" s="4" t="s">
        <v>199</v>
      </c>
      <c r="L10" s="4" t="n">
        <v>3</v>
      </c>
      <c r="M10" s="5" t="s">
        <v>138</v>
      </c>
      <c r="N10" s="4" t="s">
        <v>200</v>
      </c>
      <c r="O10" s="5" t="s">
        <v>153</v>
      </c>
      <c r="P10" s="4" t="s">
        <v>141</v>
      </c>
      <c r="Q10" s="4" t="s">
        <v>201</v>
      </c>
      <c r="R10" s="5" t="s">
        <v>170</v>
      </c>
      <c r="S10" s="4"/>
    </row>
    <row r="11" customFormat="false" ht="29.85" hidden="false" customHeight="false" outlineLevel="0" collapsed="false">
      <c r="A11" s="4" t="s">
        <v>202</v>
      </c>
      <c r="B11" s="4" t="s">
        <v>47</v>
      </c>
      <c r="C11" s="4" t="s">
        <v>203</v>
      </c>
      <c r="D11" s="4" t="s">
        <v>204</v>
      </c>
      <c r="E11" s="4" t="n">
        <v>5</v>
      </c>
      <c r="F11" s="4"/>
      <c r="G11" s="4"/>
      <c r="H11" s="4" t="s">
        <v>181</v>
      </c>
      <c r="I11" s="5" t="s">
        <v>205</v>
      </c>
      <c r="J11" s="4" t="s">
        <v>175</v>
      </c>
      <c r="K11" s="4" t="s">
        <v>199</v>
      </c>
      <c r="L11" s="4" t="n">
        <v>3</v>
      </c>
      <c r="M11" s="5" t="s">
        <v>138</v>
      </c>
      <c r="N11" s="5" t="s">
        <v>206</v>
      </c>
      <c r="O11" s="5" t="s">
        <v>153</v>
      </c>
      <c r="P11" s="4" t="s">
        <v>141</v>
      </c>
      <c r="Q11" s="4" t="s">
        <v>207</v>
      </c>
      <c r="R11" s="5" t="s">
        <v>170</v>
      </c>
      <c r="S11" s="4"/>
    </row>
    <row r="12" customFormat="false" ht="29.85" hidden="false" customHeight="false" outlineLevel="0" collapsed="false">
      <c r="A12" s="4" t="s">
        <v>208</v>
      </c>
      <c r="B12" s="4" t="s">
        <v>47</v>
      </c>
      <c r="C12" s="4" t="s">
        <v>209</v>
      </c>
      <c r="D12" s="4" t="s">
        <v>210</v>
      </c>
      <c r="E12" s="4" t="n">
        <v>190</v>
      </c>
      <c r="F12" s="4"/>
      <c r="G12" s="4"/>
      <c r="H12" s="4" t="s">
        <v>164</v>
      </c>
      <c r="I12" s="5" t="s">
        <v>211</v>
      </c>
      <c r="J12" s="4" t="s">
        <v>192</v>
      </c>
      <c r="K12" s="4" t="s">
        <v>151</v>
      </c>
      <c r="L12" s="4" t="n">
        <v>3</v>
      </c>
      <c r="M12" s="5" t="s">
        <v>138</v>
      </c>
      <c r="N12" s="5" t="s">
        <v>212</v>
      </c>
      <c r="O12" s="5" t="s">
        <v>153</v>
      </c>
      <c r="P12" s="4" t="s">
        <v>141</v>
      </c>
      <c r="Q12" s="4" t="s">
        <v>213</v>
      </c>
      <c r="R12" s="5" t="s">
        <v>170</v>
      </c>
      <c r="S12" s="4" t="s">
        <v>214</v>
      </c>
    </row>
    <row r="13" customFormat="false" ht="29.85" hidden="false" customHeight="false" outlineLevel="0" collapsed="false">
      <c r="A13" s="4" t="s">
        <v>215</v>
      </c>
      <c r="B13" s="4" t="s">
        <v>47</v>
      </c>
      <c r="C13" s="4" t="s">
        <v>209</v>
      </c>
      <c r="D13" s="4" t="s">
        <v>216</v>
      </c>
      <c r="E13" s="4" t="n">
        <v>230</v>
      </c>
      <c r="F13" s="4"/>
      <c r="G13" s="4"/>
      <c r="H13" s="4" t="s">
        <v>164</v>
      </c>
      <c r="I13" s="5" t="s">
        <v>217</v>
      </c>
      <c r="J13" s="4" t="s">
        <v>192</v>
      </c>
      <c r="K13" s="4" t="s">
        <v>151</v>
      </c>
      <c r="L13" s="4" t="n">
        <v>3</v>
      </c>
      <c r="M13" s="5" t="s">
        <v>138</v>
      </c>
      <c r="N13" s="5" t="s">
        <v>212</v>
      </c>
      <c r="O13" s="5" t="s">
        <v>153</v>
      </c>
      <c r="P13" s="4" t="s">
        <v>141</v>
      </c>
      <c r="Q13" s="4" t="s">
        <v>218</v>
      </c>
      <c r="R13" s="5" t="s">
        <v>170</v>
      </c>
      <c r="S13" s="4" t="s">
        <v>214</v>
      </c>
    </row>
    <row r="14" customFormat="false" ht="29.85" hidden="false" customHeight="false" outlineLevel="0" collapsed="false">
      <c r="A14" s="4" t="s">
        <v>219</v>
      </c>
      <c r="B14" s="4" t="s">
        <v>47</v>
      </c>
      <c r="C14" s="4" t="s">
        <v>209</v>
      </c>
      <c r="D14" s="4" t="s">
        <v>220</v>
      </c>
      <c r="E14" s="4" t="n">
        <v>600</v>
      </c>
      <c r="F14" s="4"/>
      <c r="G14" s="4"/>
      <c r="H14" s="4" t="s">
        <v>164</v>
      </c>
      <c r="I14" s="5" t="s">
        <v>221</v>
      </c>
      <c r="J14" s="4" t="s">
        <v>222</v>
      </c>
      <c r="K14" s="4" t="s">
        <v>151</v>
      </c>
      <c r="L14" s="4" t="n">
        <v>3</v>
      </c>
      <c r="M14" s="5" t="s">
        <v>138</v>
      </c>
      <c r="N14" s="5" t="s">
        <v>212</v>
      </c>
      <c r="O14" s="5" t="s">
        <v>153</v>
      </c>
      <c r="P14" s="4" t="s">
        <v>141</v>
      </c>
      <c r="Q14" s="4" t="s">
        <v>223</v>
      </c>
      <c r="R14" s="5" t="s">
        <v>170</v>
      </c>
      <c r="S14" s="5" t="s">
        <v>224</v>
      </c>
    </row>
    <row r="15" customFormat="false" ht="29.85" hidden="false" customHeight="false" outlineLevel="0" collapsed="false">
      <c r="A15" s="4" t="s">
        <v>225</v>
      </c>
      <c r="B15" s="4" t="s">
        <v>47</v>
      </c>
      <c r="C15" s="4" t="s">
        <v>226</v>
      </c>
      <c r="D15" s="4" t="s">
        <v>227</v>
      </c>
      <c r="E15" s="4" t="n">
        <v>227</v>
      </c>
      <c r="F15" s="4"/>
      <c r="G15" s="4"/>
      <c r="H15" s="4" t="s">
        <v>164</v>
      </c>
      <c r="I15" s="4" t="s">
        <v>228</v>
      </c>
      <c r="J15" s="4" t="s">
        <v>192</v>
      </c>
      <c r="K15" s="4" t="s">
        <v>229</v>
      </c>
      <c r="L15" s="4" t="n">
        <v>3</v>
      </c>
      <c r="M15" s="5" t="s">
        <v>138</v>
      </c>
      <c r="N15" s="4" t="s">
        <v>230</v>
      </c>
      <c r="O15" s="5" t="s">
        <v>153</v>
      </c>
      <c r="P15" s="4" t="s">
        <v>141</v>
      </c>
      <c r="Q15" s="4" t="s">
        <v>231</v>
      </c>
      <c r="R15" s="5" t="s">
        <v>170</v>
      </c>
      <c r="S15" s="4" t="s">
        <v>232</v>
      </c>
    </row>
    <row r="16" customFormat="false" ht="29.85" hidden="false" customHeight="false" outlineLevel="0" collapsed="false">
      <c r="A16" s="4" t="s">
        <v>233</v>
      </c>
      <c r="B16" s="4" t="s">
        <v>47</v>
      </c>
      <c r="C16" s="4" t="s">
        <v>234</v>
      </c>
      <c r="D16" s="4" t="s">
        <v>235</v>
      </c>
      <c r="E16" s="4" t="n">
        <v>7.8</v>
      </c>
      <c r="F16" s="4"/>
      <c r="G16" s="4"/>
      <c r="H16" s="4" t="s">
        <v>181</v>
      </c>
      <c r="I16" s="5" t="s">
        <v>236</v>
      </c>
      <c r="J16" s="4" t="s">
        <v>192</v>
      </c>
      <c r="K16" s="4" t="s">
        <v>237</v>
      </c>
      <c r="L16" s="4" t="n">
        <v>3</v>
      </c>
      <c r="M16" s="5" t="s">
        <v>238</v>
      </c>
      <c r="N16" s="4" t="s">
        <v>239</v>
      </c>
      <c r="O16" s="5" t="s">
        <v>153</v>
      </c>
      <c r="P16" s="4" t="s">
        <v>141</v>
      </c>
      <c r="Q16" s="4" t="s">
        <v>240</v>
      </c>
      <c r="R16" s="5" t="s">
        <v>170</v>
      </c>
      <c r="S16" s="4"/>
    </row>
    <row r="17" customFormat="false" ht="29.85" hidden="false" customHeight="false" outlineLevel="0" collapsed="false">
      <c r="A17" s="4" t="s">
        <v>241</v>
      </c>
      <c r="B17" s="4" t="s">
        <v>47</v>
      </c>
      <c r="C17" s="4" t="s">
        <v>234</v>
      </c>
      <c r="D17" s="4" t="s">
        <v>242</v>
      </c>
      <c r="E17" s="4" t="n">
        <v>6.7</v>
      </c>
      <c r="F17" s="4"/>
      <c r="G17" s="4"/>
      <c r="H17" s="4" t="s">
        <v>181</v>
      </c>
      <c r="I17" s="5" t="s">
        <v>243</v>
      </c>
      <c r="J17" s="4" t="s">
        <v>192</v>
      </c>
      <c r="K17" s="4" t="s">
        <v>237</v>
      </c>
      <c r="L17" s="4" t="n">
        <v>3</v>
      </c>
      <c r="M17" s="5" t="s">
        <v>238</v>
      </c>
      <c r="N17" s="4" t="s">
        <v>239</v>
      </c>
      <c r="O17" s="5" t="s">
        <v>153</v>
      </c>
      <c r="P17" s="4" t="s">
        <v>193</v>
      </c>
      <c r="Q17" s="4" t="s">
        <v>244</v>
      </c>
      <c r="R17" s="5" t="s">
        <v>170</v>
      </c>
      <c r="S17" s="5" t="s">
        <v>245</v>
      </c>
    </row>
    <row r="18" customFormat="false" ht="29.85" hidden="false" customHeight="false" outlineLevel="0" collapsed="false">
      <c r="A18" s="4" t="s">
        <v>246</v>
      </c>
      <c r="B18" s="4" t="s">
        <v>47</v>
      </c>
      <c r="C18" s="4" t="s">
        <v>234</v>
      </c>
      <c r="D18" s="4" t="s">
        <v>247</v>
      </c>
      <c r="E18" s="4" t="n">
        <v>9.09</v>
      </c>
      <c r="F18" s="4"/>
      <c r="G18" s="4"/>
      <c r="H18" s="4" t="s">
        <v>181</v>
      </c>
      <c r="I18" s="5" t="s">
        <v>236</v>
      </c>
      <c r="J18" s="4" t="s">
        <v>192</v>
      </c>
      <c r="K18" s="4" t="s">
        <v>167</v>
      </c>
      <c r="L18" s="4" t="n">
        <v>3</v>
      </c>
      <c r="M18" s="5" t="s">
        <v>238</v>
      </c>
      <c r="N18" s="4" t="s">
        <v>239</v>
      </c>
      <c r="O18" s="5" t="s">
        <v>153</v>
      </c>
      <c r="P18" s="4" t="s">
        <v>193</v>
      </c>
      <c r="Q18" s="4" t="s">
        <v>248</v>
      </c>
      <c r="R18" s="4" t="s">
        <v>143</v>
      </c>
      <c r="S18" s="5" t="s">
        <v>249</v>
      </c>
    </row>
    <row r="19" customFormat="false" ht="29.85" hidden="false" customHeight="false" outlineLevel="0" collapsed="false">
      <c r="A19" s="4" t="s">
        <v>250</v>
      </c>
      <c r="B19" s="4" t="s">
        <v>47</v>
      </c>
      <c r="C19" s="4" t="s">
        <v>251</v>
      </c>
      <c r="D19" s="4" t="s">
        <v>252</v>
      </c>
      <c r="E19" s="4" t="n">
        <v>1</v>
      </c>
      <c r="F19" s="4"/>
      <c r="G19" s="4"/>
      <c r="H19" s="4" t="s">
        <v>181</v>
      </c>
      <c r="I19" s="5" t="s">
        <v>221</v>
      </c>
      <c r="J19" s="4" t="s">
        <v>192</v>
      </c>
      <c r="K19" s="4" t="s">
        <v>151</v>
      </c>
      <c r="L19" s="4" t="n">
        <v>3</v>
      </c>
      <c r="M19" s="5" t="s">
        <v>138</v>
      </c>
      <c r="N19" s="4" t="s">
        <v>253</v>
      </c>
      <c r="O19" s="5" t="s">
        <v>153</v>
      </c>
      <c r="P19" s="4" t="s">
        <v>193</v>
      </c>
      <c r="Q19" s="4"/>
      <c r="R19" s="5" t="s">
        <v>154</v>
      </c>
      <c r="S19" s="5" t="s">
        <v>254</v>
      </c>
    </row>
    <row r="20" customFormat="false" ht="29.85" hidden="false" customHeight="false" outlineLevel="0" collapsed="false">
      <c r="A20" s="4" t="s">
        <v>255</v>
      </c>
      <c r="B20" s="4" t="s">
        <v>47</v>
      </c>
      <c r="C20" s="4" t="s">
        <v>256</v>
      </c>
      <c r="D20" s="4" t="s">
        <v>257</v>
      </c>
      <c r="E20" s="4" t="n">
        <v>0.989</v>
      </c>
      <c r="F20" s="4"/>
      <c r="G20" s="4"/>
      <c r="H20" s="4" t="s">
        <v>258</v>
      </c>
      <c r="I20" s="4" t="s">
        <v>259</v>
      </c>
      <c r="J20" s="4" t="s">
        <v>150</v>
      </c>
      <c r="K20" s="4" t="s">
        <v>260</v>
      </c>
      <c r="L20" s="4" t="n">
        <v>3</v>
      </c>
      <c r="M20" s="5" t="s">
        <v>138</v>
      </c>
      <c r="N20" s="4" t="s">
        <v>261</v>
      </c>
      <c r="O20" s="5" t="s">
        <v>140</v>
      </c>
      <c r="P20" s="4" t="s">
        <v>141</v>
      </c>
      <c r="Q20" s="4" t="s">
        <v>262</v>
      </c>
      <c r="R20" s="5" t="s">
        <v>170</v>
      </c>
      <c r="S20" s="4" t="s">
        <v>263</v>
      </c>
    </row>
    <row r="21" customFormat="false" ht="29.85" hidden="false" customHeight="false" outlineLevel="0" collapsed="false">
      <c r="A21" s="4" t="s">
        <v>264</v>
      </c>
      <c r="B21" s="4" t="s">
        <v>47</v>
      </c>
      <c r="C21" s="4" t="s">
        <v>256</v>
      </c>
      <c r="D21" s="4" t="s">
        <v>265</v>
      </c>
      <c r="E21" s="4" t="n">
        <v>80</v>
      </c>
      <c r="F21" s="4"/>
      <c r="G21" s="4"/>
      <c r="H21" s="4" t="s">
        <v>266</v>
      </c>
      <c r="I21" s="4"/>
      <c r="J21" s="4" t="s">
        <v>150</v>
      </c>
      <c r="K21" s="4" t="s">
        <v>260</v>
      </c>
      <c r="L21" s="4" t="n">
        <v>3</v>
      </c>
      <c r="M21" s="5" t="s">
        <v>138</v>
      </c>
      <c r="N21" s="4" t="s">
        <v>261</v>
      </c>
      <c r="O21" s="5" t="s">
        <v>140</v>
      </c>
      <c r="P21" s="4" t="s">
        <v>141</v>
      </c>
      <c r="Q21" s="4" t="s">
        <v>267</v>
      </c>
      <c r="R21" s="5" t="s">
        <v>170</v>
      </c>
      <c r="S21" s="4"/>
    </row>
    <row r="22" customFormat="false" ht="29.85" hidden="false" customHeight="false" outlineLevel="0" collapsed="false">
      <c r="A22" s="4" t="s">
        <v>268</v>
      </c>
      <c r="B22" s="4" t="s">
        <v>47</v>
      </c>
      <c r="C22" s="4" t="s">
        <v>256</v>
      </c>
      <c r="D22" s="4" t="s">
        <v>269</v>
      </c>
      <c r="E22" s="4" t="n">
        <v>3.35</v>
      </c>
      <c r="F22" s="4"/>
      <c r="G22" s="4"/>
      <c r="H22" s="4" t="s">
        <v>270</v>
      </c>
      <c r="I22" s="4"/>
      <c r="J22" s="4" t="s">
        <v>150</v>
      </c>
      <c r="K22" s="4" t="s">
        <v>260</v>
      </c>
      <c r="L22" s="4" t="n">
        <v>3</v>
      </c>
      <c r="M22" s="5" t="s">
        <v>138</v>
      </c>
      <c r="N22" s="4" t="s">
        <v>261</v>
      </c>
      <c r="O22" s="5" t="s">
        <v>140</v>
      </c>
      <c r="P22" s="4" t="s">
        <v>141</v>
      </c>
      <c r="Q22" s="4" t="s">
        <v>271</v>
      </c>
      <c r="R22" s="5" t="s">
        <v>170</v>
      </c>
      <c r="S22" s="4"/>
    </row>
    <row r="23" customFormat="false" ht="29.85" hidden="false" customHeight="false" outlineLevel="0" collapsed="false">
      <c r="A23" s="4" t="s">
        <v>272</v>
      </c>
      <c r="B23" s="4" t="s">
        <v>47</v>
      </c>
      <c r="C23" s="4" t="s">
        <v>256</v>
      </c>
      <c r="D23" s="4" t="s">
        <v>273</v>
      </c>
      <c r="E23" s="4" t="n">
        <v>10</v>
      </c>
      <c r="F23" s="4"/>
      <c r="G23" s="4"/>
      <c r="H23" s="4" t="s">
        <v>258</v>
      </c>
      <c r="I23" s="4" t="s">
        <v>259</v>
      </c>
      <c r="J23" s="4" t="s">
        <v>166</v>
      </c>
      <c r="K23" s="4" t="s">
        <v>260</v>
      </c>
      <c r="L23" s="4" t="n">
        <v>3</v>
      </c>
      <c r="M23" s="5" t="s">
        <v>138</v>
      </c>
      <c r="N23" s="4" t="s">
        <v>261</v>
      </c>
      <c r="O23" s="5" t="s">
        <v>140</v>
      </c>
      <c r="P23" s="4" t="s">
        <v>141</v>
      </c>
      <c r="Q23" s="4" t="s">
        <v>274</v>
      </c>
      <c r="R23" s="5" t="s">
        <v>170</v>
      </c>
      <c r="S23" s="5" t="s">
        <v>275</v>
      </c>
    </row>
    <row r="24" customFormat="false" ht="29.85" hidden="false" customHeight="false" outlineLevel="0" collapsed="false">
      <c r="A24" s="4" t="s">
        <v>276</v>
      </c>
      <c r="B24" s="4" t="s">
        <v>47</v>
      </c>
      <c r="C24" s="4" t="s">
        <v>256</v>
      </c>
      <c r="D24" s="4" t="s">
        <v>277</v>
      </c>
      <c r="E24" s="4" t="n">
        <v>8</v>
      </c>
      <c r="F24" s="4"/>
      <c r="G24" s="4"/>
      <c r="H24" s="4" t="s">
        <v>270</v>
      </c>
      <c r="I24" s="4"/>
      <c r="J24" s="4" t="s">
        <v>166</v>
      </c>
      <c r="K24" s="4" t="s">
        <v>260</v>
      </c>
      <c r="L24" s="4" t="n">
        <v>3</v>
      </c>
      <c r="M24" s="5" t="s">
        <v>138</v>
      </c>
      <c r="N24" s="4" t="s">
        <v>261</v>
      </c>
      <c r="O24" s="5" t="s">
        <v>140</v>
      </c>
      <c r="P24" s="4" t="s">
        <v>141</v>
      </c>
      <c r="Q24" s="4" t="s">
        <v>278</v>
      </c>
      <c r="R24" s="5" t="s">
        <v>170</v>
      </c>
      <c r="S24" s="4"/>
    </row>
    <row r="25" customFormat="false" ht="29.85" hidden="false" customHeight="false" outlineLevel="0" collapsed="false">
      <c r="A25" s="4" t="s">
        <v>279</v>
      </c>
      <c r="B25" s="4" t="s">
        <v>47</v>
      </c>
      <c r="C25" s="4" t="s">
        <v>256</v>
      </c>
      <c r="D25" s="4" t="s">
        <v>280</v>
      </c>
      <c r="E25" s="4" t="n">
        <v>186</v>
      </c>
      <c r="F25" s="4"/>
      <c r="G25" s="4"/>
      <c r="H25" s="4" t="s">
        <v>266</v>
      </c>
      <c r="I25" s="4"/>
      <c r="J25" s="4" t="s">
        <v>166</v>
      </c>
      <c r="K25" s="4" t="s">
        <v>260</v>
      </c>
      <c r="L25" s="4" t="n">
        <v>3</v>
      </c>
      <c r="M25" s="5" t="s">
        <v>138</v>
      </c>
      <c r="N25" s="4" t="s">
        <v>261</v>
      </c>
      <c r="O25" s="5" t="s">
        <v>140</v>
      </c>
      <c r="P25" s="4" t="s">
        <v>193</v>
      </c>
      <c r="Q25" s="4"/>
      <c r="R25" s="5" t="s">
        <v>154</v>
      </c>
      <c r="S25" s="5" t="s">
        <v>281</v>
      </c>
    </row>
    <row r="26" customFormat="false" ht="29.85" hidden="false" customHeight="false" outlineLevel="0" collapsed="false">
      <c r="A26" s="4" t="s">
        <v>282</v>
      </c>
      <c r="B26" s="4" t="s">
        <v>47</v>
      </c>
      <c r="C26" s="4" t="s">
        <v>256</v>
      </c>
      <c r="D26" s="4" t="s">
        <v>283</v>
      </c>
      <c r="E26" s="4" t="n">
        <v>15</v>
      </c>
      <c r="F26" s="4"/>
      <c r="G26" s="4"/>
      <c r="H26" s="4" t="s">
        <v>258</v>
      </c>
      <c r="I26" s="4" t="s">
        <v>259</v>
      </c>
      <c r="J26" s="4" t="s">
        <v>175</v>
      </c>
      <c r="K26" s="4" t="s">
        <v>260</v>
      </c>
      <c r="L26" s="4" t="n">
        <v>3</v>
      </c>
      <c r="M26" s="5" t="s">
        <v>138</v>
      </c>
      <c r="N26" s="4" t="s">
        <v>261</v>
      </c>
      <c r="O26" s="5" t="s">
        <v>140</v>
      </c>
      <c r="P26" s="4" t="s">
        <v>141</v>
      </c>
      <c r="Q26" s="4" t="s">
        <v>284</v>
      </c>
      <c r="R26" s="5" t="s">
        <v>170</v>
      </c>
      <c r="S26" s="4"/>
    </row>
    <row r="27" customFormat="false" ht="29.85" hidden="false" customHeight="false" outlineLevel="0" collapsed="false">
      <c r="A27" s="4" t="s">
        <v>285</v>
      </c>
      <c r="B27" s="4" t="s">
        <v>47</v>
      </c>
      <c r="C27" s="4" t="s">
        <v>256</v>
      </c>
      <c r="D27" s="4" t="s">
        <v>286</v>
      </c>
      <c r="E27" s="4" t="n">
        <v>288</v>
      </c>
      <c r="F27" s="4"/>
      <c r="G27" s="4"/>
      <c r="H27" s="4" t="s">
        <v>266</v>
      </c>
      <c r="I27" s="4"/>
      <c r="J27" s="4" t="s">
        <v>175</v>
      </c>
      <c r="K27" s="4" t="s">
        <v>260</v>
      </c>
      <c r="L27" s="4" t="n">
        <v>3</v>
      </c>
      <c r="M27" s="5" t="s">
        <v>138</v>
      </c>
      <c r="N27" s="4" t="s">
        <v>261</v>
      </c>
      <c r="O27" s="5" t="s">
        <v>140</v>
      </c>
      <c r="P27" s="4" t="s">
        <v>141</v>
      </c>
      <c r="Q27" s="4" t="s">
        <v>287</v>
      </c>
      <c r="R27" s="5" t="s">
        <v>170</v>
      </c>
      <c r="S27" s="4"/>
    </row>
    <row r="28" customFormat="false" ht="29.85" hidden="false" customHeight="false" outlineLevel="0" collapsed="false">
      <c r="A28" s="4" t="s">
        <v>288</v>
      </c>
      <c r="B28" s="4" t="s">
        <v>47</v>
      </c>
      <c r="C28" s="4" t="s">
        <v>256</v>
      </c>
      <c r="D28" s="4" t="s">
        <v>289</v>
      </c>
      <c r="E28" s="4" t="n">
        <v>50</v>
      </c>
      <c r="F28" s="4"/>
      <c r="G28" s="4"/>
      <c r="H28" s="4" t="s">
        <v>258</v>
      </c>
      <c r="I28" s="5" t="s">
        <v>290</v>
      </c>
      <c r="J28" s="4" t="s">
        <v>192</v>
      </c>
      <c r="K28" s="4" t="s">
        <v>260</v>
      </c>
      <c r="L28" s="4" t="n">
        <v>3</v>
      </c>
      <c r="M28" s="5" t="s">
        <v>138</v>
      </c>
      <c r="N28" s="4" t="s">
        <v>261</v>
      </c>
      <c r="O28" s="5" t="s">
        <v>140</v>
      </c>
      <c r="P28" s="4" t="s">
        <v>141</v>
      </c>
      <c r="Q28" s="4" t="s">
        <v>291</v>
      </c>
      <c r="R28" s="5" t="s">
        <v>170</v>
      </c>
      <c r="S28" s="4" t="s">
        <v>292</v>
      </c>
    </row>
    <row r="29" customFormat="false" ht="29.85" hidden="false" customHeight="false" outlineLevel="0" collapsed="false">
      <c r="A29" s="4" t="s">
        <v>293</v>
      </c>
      <c r="B29" s="4" t="s">
        <v>47</v>
      </c>
      <c r="C29" s="4" t="s">
        <v>256</v>
      </c>
      <c r="D29" s="4" t="s">
        <v>294</v>
      </c>
      <c r="E29" s="4" t="n">
        <v>35</v>
      </c>
      <c r="F29" s="4"/>
      <c r="G29" s="4"/>
      <c r="H29" s="4" t="s">
        <v>258</v>
      </c>
      <c r="I29" s="4" t="s">
        <v>259</v>
      </c>
      <c r="J29" s="4" t="s">
        <v>192</v>
      </c>
      <c r="K29" s="4" t="s">
        <v>260</v>
      </c>
      <c r="L29" s="4" t="n">
        <v>3</v>
      </c>
      <c r="M29" s="5" t="s">
        <v>138</v>
      </c>
      <c r="N29" s="4" t="s">
        <v>261</v>
      </c>
      <c r="O29" s="5" t="s">
        <v>140</v>
      </c>
      <c r="P29" s="4" t="s">
        <v>141</v>
      </c>
      <c r="Q29" s="4" t="s">
        <v>295</v>
      </c>
      <c r="R29" s="5" t="s">
        <v>170</v>
      </c>
      <c r="S29" s="5" t="s">
        <v>296</v>
      </c>
    </row>
    <row r="30" customFormat="false" ht="29.85" hidden="false" customHeight="false" outlineLevel="0" collapsed="false">
      <c r="A30" s="4" t="s">
        <v>297</v>
      </c>
      <c r="B30" s="4" t="s">
        <v>47</v>
      </c>
      <c r="C30" s="4" t="s">
        <v>256</v>
      </c>
      <c r="D30" s="4" t="s">
        <v>298</v>
      </c>
      <c r="E30" s="4" t="n">
        <v>288</v>
      </c>
      <c r="F30" s="4"/>
      <c r="G30" s="4"/>
      <c r="H30" s="4" t="s">
        <v>266</v>
      </c>
      <c r="I30" s="4"/>
      <c r="J30" s="4" t="s">
        <v>192</v>
      </c>
      <c r="K30" s="4" t="s">
        <v>260</v>
      </c>
      <c r="L30" s="4" t="n">
        <v>3</v>
      </c>
      <c r="M30" s="5" t="s">
        <v>138</v>
      </c>
      <c r="N30" s="4" t="s">
        <v>261</v>
      </c>
      <c r="O30" s="5" t="s">
        <v>140</v>
      </c>
      <c r="P30" s="4" t="s">
        <v>141</v>
      </c>
      <c r="Q30" s="4" t="s">
        <v>299</v>
      </c>
      <c r="R30" s="5" t="s">
        <v>170</v>
      </c>
      <c r="S30" s="4"/>
    </row>
    <row r="31" customFormat="false" ht="29.85" hidden="false" customHeight="false" outlineLevel="0" collapsed="false">
      <c r="A31" s="4" t="s">
        <v>300</v>
      </c>
      <c r="B31" s="4" t="s">
        <v>47</v>
      </c>
      <c r="C31" s="4" t="s">
        <v>256</v>
      </c>
      <c r="D31" s="4" t="s">
        <v>301</v>
      </c>
      <c r="E31" s="4" t="n">
        <v>22</v>
      </c>
      <c r="F31" s="4"/>
      <c r="G31" s="4"/>
      <c r="H31" s="4" t="s">
        <v>270</v>
      </c>
      <c r="I31" s="4" t="s">
        <v>302</v>
      </c>
      <c r="J31" s="4" t="s">
        <v>192</v>
      </c>
      <c r="K31" s="4" t="s">
        <v>260</v>
      </c>
      <c r="L31" s="4" t="n">
        <v>3</v>
      </c>
      <c r="M31" s="5" t="s">
        <v>138</v>
      </c>
      <c r="N31" s="4" t="s">
        <v>261</v>
      </c>
      <c r="O31" s="5" t="s">
        <v>140</v>
      </c>
      <c r="P31" s="4" t="s">
        <v>141</v>
      </c>
      <c r="Q31" s="4" t="s">
        <v>303</v>
      </c>
      <c r="R31" s="5" t="s">
        <v>170</v>
      </c>
      <c r="S31" s="4"/>
    </row>
    <row r="32" customFormat="false" ht="29.85" hidden="false" customHeight="false" outlineLevel="0" collapsed="false">
      <c r="A32" s="4" t="s">
        <v>304</v>
      </c>
      <c r="B32" s="4" t="s">
        <v>47</v>
      </c>
      <c r="C32" s="4" t="s">
        <v>256</v>
      </c>
      <c r="D32" s="4" t="s">
        <v>305</v>
      </c>
      <c r="E32" s="4" t="n">
        <v>15000</v>
      </c>
      <c r="F32" s="4"/>
      <c r="G32" s="4"/>
      <c r="H32" s="4" t="s">
        <v>306</v>
      </c>
      <c r="I32" s="4" t="s">
        <v>307</v>
      </c>
      <c r="J32" s="4" t="s">
        <v>222</v>
      </c>
      <c r="K32" s="4" t="s">
        <v>260</v>
      </c>
      <c r="L32" s="4" t="n">
        <v>3</v>
      </c>
      <c r="M32" s="5" t="s">
        <v>138</v>
      </c>
      <c r="N32" s="4" t="s">
        <v>261</v>
      </c>
      <c r="O32" s="5" t="s">
        <v>140</v>
      </c>
      <c r="P32" s="4" t="s">
        <v>141</v>
      </c>
      <c r="Q32" s="4" t="s">
        <v>308</v>
      </c>
      <c r="R32" s="4" t="s">
        <v>143</v>
      </c>
      <c r="S32" s="4" t="s">
        <v>309</v>
      </c>
    </row>
    <row r="33" customFormat="false" ht="15" hidden="false" customHeight="false" outlineLevel="0" collapsed="false">
      <c r="A33" s="4" t="s">
        <v>310</v>
      </c>
      <c r="B33" s="4" t="s">
        <v>47</v>
      </c>
      <c r="C33" s="4" t="s">
        <v>311</v>
      </c>
      <c r="D33" s="4" t="s">
        <v>312</v>
      </c>
      <c r="E33" s="4" t="n">
        <v>3.9</v>
      </c>
      <c r="F33" s="4"/>
      <c r="G33" s="4"/>
      <c r="H33" s="4" t="s">
        <v>313</v>
      </c>
      <c r="I33" s="5" t="s">
        <v>314</v>
      </c>
      <c r="J33" s="4" t="s">
        <v>315</v>
      </c>
      <c r="K33" s="4" t="s">
        <v>143</v>
      </c>
      <c r="L33" s="4" t="n">
        <v>3</v>
      </c>
      <c r="M33" s="5" t="s">
        <v>238</v>
      </c>
      <c r="N33" s="5" t="s">
        <v>316</v>
      </c>
      <c r="O33" s="4" t="s">
        <v>143</v>
      </c>
      <c r="P33" s="4" t="s">
        <v>141</v>
      </c>
      <c r="Q33" s="4" t="s">
        <v>317</v>
      </c>
      <c r="R33" s="4" t="s">
        <v>143</v>
      </c>
      <c r="S33" s="4" t="s">
        <v>318</v>
      </c>
    </row>
    <row r="34" customFormat="false" ht="29.85" hidden="false" customHeight="false" outlineLevel="0" collapsed="false">
      <c r="A34" s="4" t="s">
        <v>319</v>
      </c>
      <c r="B34" s="4" t="s">
        <v>47</v>
      </c>
      <c r="C34" s="4" t="s">
        <v>311</v>
      </c>
      <c r="D34" s="4" t="s">
        <v>320</v>
      </c>
      <c r="E34" s="4" t="n">
        <v>3</v>
      </c>
      <c r="F34" s="4"/>
      <c r="G34" s="4"/>
      <c r="H34" s="4" t="s">
        <v>313</v>
      </c>
      <c r="I34" s="5" t="s">
        <v>314</v>
      </c>
      <c r="J34" s="4" t="s">
        <v>321</v>
      </c>
      <c r="K34" s="4" t="s">
        <v>143</v>
      </c>
      <c r="L34" s="4" t="n">
        <v>3</v>
      </c>
      <c r="M34" s="5" t="s">
        <v>238</v>
      </c>
      <c r="N34" s="5" t="s">
        <v>316</v>
      </c>
      <c r="O34" s="4" t="s">
        <v>143</v>
      </c>
      <c r="P34" s="4" t="s">
        <v>141</v>
      </c>
      <c r="Q34" s="4" t="s">
        <v>322</v>
      </c>
      <c r="R34" s="4" t="s">
        <v>143</v>
      </c>
      <c r="S34" s="4" t="s">
        <v>323</v>
      </c>
    </row>
    <row r="35" customFormat="false" ht="15" hidden="false" customHeight="false" outlineLevel="0" collapsed="false">
      <c r="A35" s="4" t="s">
        <v>324</v>
      </c>
      <c r="B35" s="4" t="s">
        <v>47</v>
      </c>
      <c r="C35" s="4" t="s">
        <v>311</v>
      </c>
      <c r="D35" s="4" t="s">
        <v>325</v>
      </c>
      <c r="E35" s="4" t="n">
        <v>2.5</v>
      </c>
      <c r="F35" s="4"/>
      <c r="G35" s="4"/>
      <c r="H35" s="4" t="s">
        <v>313</v>
      </c>
      <c r="I35" s="5" t="s">
        <v>314</v>
      </c>
      <c r="J35" s="4" t="s">
        <v>326</v>
      </c>
      <c r="K35" s="4" t="s">
        <v>143</v>
      </c>
      <c r="L35" s="4" t="n">
        <v>3</v>
      </c>
      <c r="M35" s="5" t="s">
        <v>238</v>
      </c>
      <c r="N35" s="5" t="s">
        <v>316</v>
      </c>
      <c r="O35" s="4" t="s">
        <v>143</v>
      </c>
      <c r="P35" s="4" t="s">
        <v>141</v>
      </c>
      <c r="Q35" s="4" t="s">
        <v>327</v>
      </c>
      <c r="R35" s="4" t="s">
        <v>143</v>
      </c>
      <c r="S35" s="4" t="s">
        <v>328</v>
      </c>
    </row>
    <row r="36" customFormat="false" ht="15" hidden="false" customHeight="false" outlineLevel="0" collapsed="false">
      <c r="A36" s="4" t="s">
        <v>329</v>
      </c>
      <c r="B36" s="4" t="s">
        <v>47</v>
      </c>
      <c r="C36" s="4" t="s">
        <v>311</v>
      </c>
      <c r="D36" s="4" t="s">
        <v>330</v>
      </c>
      <c r="E36" s="4"/>
      <c r="F36" s="4" t="n">
        <v>1</v>
      </c>
      <c r="G36" s="4" t="n">
        <v>2</v>
      </c>
      <c r="H36" s="4" t="s">
        <v>313</v>
      </c>
      <c r="I36" s="5" t="s">
        <v>314</v>
      </c>
      <c r="J36" s="4" t="s">
        <v>143</v>
      </c>
      <c r="K36" s="4" t="s">
        <v>143</v>
      </c>
      <c r="L36" s="4" t="n">
        <v>3</v>
      </c>
      <c r="M36" s="5" t="s">
        <v>238</v>
      </c>
      <c r="N36" s="5" t="s">
        <v>316</v>
      </c>
      <c r="O36" s="4" t="s">
        <v>143</v>
      </c>
      <c r="P36" s="4" t="s">
        <v>141</v>
      </c>
      <c r="Q36" s="4"/>
      <c r="R36" s="5" t="s">
        <v>154</v>
      </c>
      <c r="S36" s="4"/>
    </row>
    <row r="37" customFormat="false" ht="29.85" hidden="false" customHeight="false" outlineLevel="0" collapsed="false">
      <c r="A37" s="4" t="s">
        <v>331</v>
      </c>
      <c r="B37" s="4" t="s">
        <v>47</v>
      </c>
      <c r="C37" s="4" t="s">
        <v>332</v>
      </c>
      <c r="D37" s="4" t="s">
        <v>333</v>
      </c>
      <c r="E37" s="4" t="n">
        <v>3600</v>
      </c>
      <c r="F37" s="4"/>
      <c r="G37" s="4"/>
      <c r="H37" s="4" t="s">
        <v>306</v>
      </c>
      <c r="I37" s="4" t="s">
        <v>334</v>
      </c>
      <c r="J37" s="4" t="s">
        <v>192</v>
      </c>
      <c r="K37" s="4" t="s">
        <v>151</v>
      </c>
      <c r="L37" s="4" t="n">
        <v>2</v>
      </c>
      <c r="M37" s="5" t="s">
        <v>138</v>
      </c>
      <c r="N37" s="4" t="s">
        <v>335</v>
      </c>
      <c r="O37" s="5" t="s">
        <v>336</v>
      </c>
      <c r="P37" s="4" t="s">
        <v>141</v>
      </c>
      <c r="Q37" s="4" t="s">
        <v>337</v>
      </c>
      <c r="R37" s="4" t="s">
        <v>143</v>
      </c>
      <c r="S37" s="4" t="s">
        <v>338</v>
      </c>
    </row>
    <row r="38" customFormat="false" ht="29.85" hidden="false" customHeight="false" outlineLevel="0" collapsed="false">
      <c r="A38" s="4" t="s">
        <v>339</v>
      </c>
      <c r="B38" s="4" t="s">
        <v>47</v>
      </c>
      <c r="C38" s="4" t="s">
        <v>332</v>
      </c>
      <c r="D38" s="4" t="s">
        <v>340</v>
      </c>
      <c r="E38" s="4" t="n">
        <v>2520</v>
      </c>
      <c r="F38" s="4"/>
      <c r="G38" s="4"/>
      <c r="H38" s="4" t="s">
        <v>306</v>
      </c>
      <c r="I38" s="4" t="s">
        <v>334</v>
      </c>
      <c r="J38" s="4" t="s">
        <v>192</v>
      </c>
      <c r="K38" s="4" t="s">
        <v>151</v>
      </c>
      <c r="L38" s="4" t="n">
        <v>2</v>
      </c>
      <c r="M38" s="5" t="s">
        <v>138</v>
      </c>
      <c r="N38" s="4" t="s">
        <v>335</v>
      </c>
      <c r="O38" s="5" t="s">
        <v>336</v>
      </c>
      <c r="P38" s="4" t="s">
        <v>141</v>
      </c>
      <c r="Q38" s="4" t="s">
        <v>341</v>
      </c>
      <c r="R38" s="4" t="s">
        <v>143</v>
      </c>
      <c r="S38" s="4" t="s">
        <v>342</v>
      </c>
    </row>
    <row r="39" customFormat="false" ht="29.85" hidden="false" customHeight="false" outlineLevel="0" collapsed="false">
      <c r="A39" s="4" t="s">
        <v>343</v>
      </c>
      <c r="B39" s="4" t="s">
        <v>47</v>
      </c>
      <c r="C39" s="4" t="s">
        <v>332</v>
      </c>
      <c r="D39" s="4" t="s">
        <v>344</v>
      </c>
      <c r="E39" s="4" t="n">
        <v>1260</v>
      </c>
      <c r="F39" s="4"/>
      <c r="G39" s="4"/>
      <c r="H39" s="4" t="s">
        <v>306</v>
      </c>
      <c r="I39" s="4" t="s">
        <v>334</v>
      </c>
      <c r="J39" s="4" t="s">
        <v>192</v>
      </c>
      <c r="K39" s="4" t="s">
        <v>151</v>
      </c>
      <c r="L39" s="4" t="n">
        <v>2</v>
      </c>
      <c r="M39" s="5" t="s">
        <v>138</v>
      </c>
      <c r="N39" s="4" t="s">
        <v>335</v>
      </c>
      <c r="O39" s="5" t="s">
        <v>336</v>
      </c>
      <c r="P39" s="4" t="s">
        <v>141</v>
      </c>
      <c r="Q39" s="4" t="s">
        <v>345</v>
      </c>
      <c r="R39" s="4" t="s">
        <v>143</v>
      </c>
      <c r="S39" s="4" t="s">
        <v>346</v>
      </c>
    </row>
    <row r="40" customFormat="false" ht="29.85" hidden="false" customHeight="false" outlineLevel="0" collapsed="false">
      <c r="A40" s="4" t="s">
        <v>347</v>
      </c>
      <c r="B40" s="4" t="s">
        <v>47</v>
      </c>
      <c r="C40" s="4" t="s">
        <v>332</v>
      </c>
      <c r="D40" s="4" t="s">
        <v>348</v>
      </c>
      <c r="E40" s="4" t="n">
        <v>288</v>
      </c>
      <c r="F40" s="4"/>
      <c r="G40" s="4"/>
      <c r="H40" s="4" t="s">
        <v>306</v>
      </c>
      <c r="I40" s="4" t="s">
        <v>334</v>
      </c>
      <c r="J40" s="4" t="s">
        <v>192</v>
      </c>
      <c r="K40" s="4" t="s">
        <v>151</v>
      </c>
      <c r="L40" s="4" t="n">
        <v>2</v>
      </c>
      <c r="M40" s="5" t="s">
        <v>138</v>
      </c>
      <c r="N40" s="4" t="s">
        <v>335</v>
      </c>
      <c r="O40" s="5" t="s">
        <v>336</v>
      </c>
      <c r="P40" s="4" t="s">
        <v>141</v>
      </c>
      <c r="Q40" s="4" t="s">
        <v>349</v>
      </c>
      <c r="R40" s="4" t="s">
        <v>143</v>
      </c>
      <c r="S40" s="4" t="s">
        <v>350</v>
      </c>
    </row>
    <row r="41" customFormat="false" ht="29.85" hidden="false" customHeight="false" outlineLevel="0" collapsed="false">
      <c r="A41" s="4" t="s">
        <v>351</v>
      </c>
      <c r="B41" s="4" t="s">
        <v>47</v>
      </c>
      <c r="C41" s="4" t="s">
        <v>352</v>
      </c>
      <c r="D41" s="4" t="s">
        <v>353</v>
      </c>
      <c r="E41" s="4" t="n">
        <v>1.979</v>
      </c>
      <c r="F41" s="4"/>
      <c r="G41" s="4"/>
      <c r="H41" s="4" t="s">
        <v>258</v>
      </c>
      <c r="I41" s="4" t="s">
        <v>259</v>
      </c>
      <c r="J41" s="4" t="s">
        <v>150</v>
      </c>
      <c r="K41" s="4" t="s">
        <v>354</v>
      </c>
      <c r="L41" s="4" t="n">
        <v>3</v>
      </c>
      <c r="M41" s="5" t="s">
        <v>138</v>
      </c>
      <c r="N41" s="4" t="s">
        <v>355</v>
      </c>
      <c r="O41" s="5" t="s">
        <v>140</v>
      </c>
      <c r="P41" s="4" t="s">
        <v>141</v>
      </c>
      <c r="Q41" s="4" t="s">
        <v>356</v>
      </c>
      <c r="R41" s="5" t="s">
        <v>170</v>
      </c>
      <c r="S41" s="5" t="s">
        <v>357</v>
      </c>
    </row>
    <row r="42" customFormat="false" ht="29.85" hidden="false" customHeight="false" outlineLevel="0" collapsed="false">
      <c r="A42" s="4" t="s">
        <v>358</v>
      </c>
      <c r="B42" s="4" t="s">
        <v>47</v>
      </c>
      <c r="C42" s="4" t="s">
        <v>359</v>
      </c>
      <c r="D42" s="4" t="s">
        <v>360</v>
      </c>
      <c r="E42" s="4" t="n">
        <v>13.4</v>
      </c>
      <c r="F42" s="4"/>
      <c r="G42" s="4"/>
      <c r="H42" s="4" t="s">
        <v>361</v>
      </c>
      <c r="I42" s="4" t="s">
        <v>334</v>
      </c>
      <c r="J42" s="4" t="s">
        <v>166</v>
      </c>
      <c r="K42" s="4" t="s">
        <v>143</v>
      </c>
      <c r="L42" s="4" t="n">
        <v>3</v>
      </c>
      <c r="M42" s="5" t="s">
        <v>138</v>
      </c>
      <c r="N42" s="4" t="s">
        <v>362</v>
      </c>
      <c r="O42" s="5" t="s">
        <v>140</v>
      </c>
      <c r="P42" s="4" t="s">
        <v>141</v>
      </c>
      <c r="Q42" s="4" t="s">
        <v>363</v>
      </c>
      <c r="R42" s="4" t="s">
        <v>143</v>
      </c>
      <c r="S42" s="4" t="s">
        <v>364</v>
      </c>
    </row>
    <row r="43" customFormat="false" ht="29.85" hidden="false" customHeight="false" outlineLevel="0" collapsed="false">
      <c r="A43" s="4" t="s">
        <v>365</v>
      </c>
      <c r="B43" s="4" t="s">
        <v>47</v>
      </c>
      <c r="C43" s="4" t="s">
        <v>359</v>
      </c>
      <c r="D43" s="4" t="s">
        <v>366</v>
      </c>
      <c r="E43" s="4" t="n">
        <v>2.5</v>
      </c>
      <c r="F43" s="4"/>
      <c r="G43" s="4"/>
      <c r="H43" s="4" t="s">
        <v>258</v>
      </c>
      <c r="I43" s="4" t="s">
        <v>259</v>
      </c>
      <c r="J43" s="4" t="s">
        <v>367</v>
      </c>
      <c r="K43" s="4" t="s">
        <v>143</v>
      </c>
      <c r="L43" s="4" t="n">
        <v>3</v>
      </c>
      <c r="M43" s="5" t="s">
        <v>138</v>
      </c>
      <c r="N43" s="4" t="s">
        <v>362</v>
      </c>
      <c r="O43" s="5" t="s">
        <v>140</v>
      </c>
      <c r="P43" s="4" t="s">
        <v>141</v>
      </c>
      <c r="Q43" s="4" t="s">
        <v>368</v>
      </c>
      <c r="R43" s="5" t="s">
        <v>170</v>
      </c>
      <c r="S43" s="4"/>
    </row>
    <row r="44" customFormat="false" ht="29.85" hidden="false" customHeight="false" outlineLevel="0" collapsed="false">
      <c r="A44" s="4" t="s">
        <v>369</v>
      </c>
      <c r="B44" s="4" t="s">
        <v>47</v>
      </c>
      <c r="C44" s="4" t="s">
        <v>359</v>
      </c>
      <c r="D44" s="4" t="s">
        <v>370</v>
      </c>
      <c r="E44" s="4" t="n">
        <v>5</v>
      </c>
      <c r="F44" s="4"/>
      <c r="G44" s="4"/>
      <c r="H44" s="4" t="s">
        <v>258</v>
      </c>
      <c r="I44" s="4" t="s">
        <v>371</v>
      </c>
      <c r="J44" s="4" t="s">
        <v>367</v>
      </c>
      <c r="K44" s="4" t="s">
        <v>143</v>
      </c>
      <c r="L44" s="4" t="n">
        <v>3</v>
      </c>
      <c r="M44" s="5" t="s">
        <v>138</v>
      </c>
      <c r="N44" s="4" t="s">
        <v>362</v>
      </c>
      <c r="O44" s="5" t="s">
        <v>140</v>
      </c>
      <c r="P44" s="4" t="s">
        <v>141</v>
      </c>
      <c r="Q44" s="4" t="s">
        <v>372</v>
      </c>
      <c r="R44" s="5" t="s">
        <v>170</v>
      </c>
      <c r="S44" s="4"/>
    </row>
    <row r="45" customFormat="false" ht="29.85" hidden="false" customHeight="false" outlineLevel="0" collapsed="false">
      <c r="A45" s="4" t="s">
        <v>373</v>
      </c>
      <c r="B45" s="4" t="s">
        <v>47</v>
      </c>
      <c r="C45" s="4" t="s">
        <v>359</v>
      </c>
      <c r="D45" s="4" t="s">
        <v>374</v>
      </c>
      <c r="E45" s="4" t="n">
        <v>4600</v>
      </c>
      <c r="F45" s="4"/>
      <c r="G45" s="4"/>
      <c r="H45" s="4" t="s">
        <v>375</v>
      </c>
      <c r="I45" s="4" t="s">
        <v>307</v>
      </c>
      <c r="J45" s="4" t="s">
        <v>222</v>
      </c>
      <c r="K45" s="4" t="s">
        <v>143</v>
      </c>
      <c r="L45" s="4" t="n">
        <v>3</v>
      </c>
      <c r="M45" s="5" t="s">
        <v>138</v>
      </c>
      <c r="N45" s="4" t="s">
        <v>362</v>
      </c>
      <c r="O45" s="5" t="s">
        <v>140</v>
      </c>
      <c r="P45" s="4" t="s">
        <v>141</v>
      </c>
      <c r="Q45" s="4" t="s">
        <v>376</v>
      </c>
      <c r="R45" s="4" t="s">
        <v>143</v>
      </c>
      <c r="S45" s="4" t="s">
        <v>377</v>
      </c>
    </row>
    <row r="46" customFormat="false" ht="29.85" hidden="false" customHeight="false" outlineLevel="0" collapsed="false">
      <c r="A46" s="4" t="s">
        <v>378</v>
      </c>
      <c r="B46" s="4" t="s">
        <v>47</v>
      </c>
      <c r="C46" s="4" t="s">
        <v>359</v>
      </c>
      <c r="D46" s="4" t="s">
        <v>379</v>
      </c>
      <c r="E46" s="4" t="n">
        <v>5000</v>
      </c>
      <c r="F46" s="4"/>
      <c r="G46" s="4"/>
      <c r="H46" s="4" t="s">
        <v>306</v>
      </c>
      <c r="I46" s="4" t="s">
        <v>307</v>
      </c>
      <c r="J46" s="4" t="s">
        <v>222</v>
      </c>
      <c r="K46" s="4" t="s">
        <v>143</v>
      </c>
      <c r="L46" s="4" t="n">
        <v>3</v>
      </c>
      <c r="M46" s="5" t="s">
        <v>138</v>
      </c>
      <c r="N46" s="4" t="s">
        <v>362</v>
      </c>
      <c r="O46" s="5" t="s">
        <v>140</v>
      </c>
      <c r="P46" s="4" t="s">
        <v>141</v>
      </c>
      <c r="Q46" s="4" t="s">
        <v>380</v>
      </c>
      <c r="R46" s="4" t="s">
        <v>143</v>
      </c>
      <c r="S46" s="4" t="s">
        <v>381</v>
      </c>
    </row>
    <row r="47" customFormat="false" ht="29.85" hidden="false" customHeight="false" outlineLevel="0" collapsed="false">
      <c r="A47" s="4" t="s">
        <v>382</v>
      </c>
      <c r="B47" s="4" t="s">
        <v>47</v>
      </c>
      <c r="C47" s="4" t="s">
        <v>359</v>
      </c>
      <c r="D47" s="4" t="s">
        <v>383</v>
      </c>
      <c r="E47" s="4" t="n">
        <v>1.8</v>
      </c>
      <c r="F47" s="4"/>
      <c r="G47" s="4"/>
      <c r="H47" s="4" t="s">
        <v>384</v>
      </c>
      <c r="I47" s="5" t="s">
        <v>221</v>
      </c>
      <c r="J47" s="4" t="s">
        <v>385</v>
      </c>
      <c r="K47" s="4" t="s">
        <v>143</v>
      </c>
      <c r="L47" s="4" t="n">
        <v>3</v>
      </c>
      <c r="M47" s="5" t="s">
        <v>138</v>
      </c>
      <c r="N47" s="4" t="s">
        <v>362</v>
      </c>
      <c r="O47" s="5" t="s">
        <v>140</v>
      </c>
      <c r="P47" s="4" t="s">
        <v>141</v>
      </c>
      <c r="Q47" s="4" t="s">
        <v>386</v>
      </c>
      <c r="R47" s="4" t="s">
        <v>143</v>
      </c>
      <c r="S47" s="5" t="s">
        <v>387</v>
      </c>
    </row>
    <row r="48" customFormat="false" ht="58.2" hidden="false" customHeight="false" outlineLevel="0" collapsed="false">
      <c r="A48" s="4" t="s">
        <v>388</v>
      </c>
      <c r="B48" s="4" t="s">
        <v>47</v>
      </c>
      <c r="C48" s="4" t="s">
        <v>359</v>
      </c>
      <c r="D48" s="4" t="s">
        <v>389</v>
      </c>
      <c r="E48" s="4" t="n">
        <v>72</v>
      </c>
      <c r="F48" s="4"/>
      <c r="G48" s="4"/>
      <c r="H48" s="4" t="s">
        <v>390</v>
      </c>
      <c r="I48" s="4" t="s">
        <v>391</v>
      </c>
      <c r="J48" s="4" t="s">
        <v>392</v>
      </c>
      <c r="K48" s="4" t="s">
        <v>143</v>
      </c>
      <c r="L48" s="4" t="n">
        <v>3</v>
      </c>
      <c r="M48" s="5" t="s">
        <v>138</v>
      </c>
      <c r="N48" s="4" t="s">
        <v>362</v>
      </c>
      <c r="O48" s="5" t="s">
        <v>140</v>
      </c>
      <c r="P48" s="4" t="s">
        <v>141</v>
      </c>
      <c r="Q48" s="4" t="s">
        <v>393</v>
      </c>
      <c r="R48" s="5" t="s">
        <v>170</v>
      </c>
      <c r="S48" s="5" t="s">
        <v>394</v>
      </c>
    </row>
    <row r="49" customFormat="false" ht="29.85" hidden="false" customHeight="false" outlineLevel="0" collapsed="false">
      <c r="A49" s="4" t="s">
        <v>395</v>
      </c>
      <c r="B49" s="4" t="s">
        <v>47</v>
      </c>
      <c r="C49" s="4" t="s">
        <v>359</v>
      </c>
      <c r="D49" s="4" t="s">
        <v>396</v>
      </c>
      <c r="E49" s="4" t="n">
        <v>0.9</v>
      </c>
      <c r="F49" s="4"/>
      <c r="G49" s="4"/>
      <c r="H49" s="4" t="s">
        <v>270</v>
      </c>
      <c r="I49" s="5" t="s">
        <v>397</v>
      </c>
      <c r="J49" s="4" t="s">
        <v>367</v>
      </c>
      <c r="K49" s="4" t="s">
        <v>143</v>
      </c>
      <c r="L49" s="4" t="n">
        <v>3</v>
      </c>
      <c r="M49" s="5" t="s">
        <v>138</v>
      </c>
      <c r="N49" s="4" t="s">
        <v>362</v>
      </c>
      <c r="O49" s="5" t="s">
        <v>140</v>
      </c>
      <c r="P49" s="4" t="s">
        <v>141</v>
      </c>
      <c r="Q49" s="4" t="s">
        <v>398</v>
      </c>
      <c r="R49" s="5" t="s">
        <v>170</v>
      </c>
      <c r="S49" s="5" t="s">
        <v>399</v>
      </c>
    </row>
    <row r="50" customFormat="false" ht="29.85" hidden="false" customHeight="false" outlineLevel="0" collapsed="false">
      <c r="A50" s="4" t="s">
        <v>400</v>
      </c>
      <c r="B50" s="4" t="s">
        <v>47</v>
      </c>
      <c r="C50" s="4" t="s">
        <v>359</v>
      </c>
      <c r="D50" s="4" t="s">
        <v>401</v>
      </c>
      <c r="E50" s="4" t="n">
        <v>1.8</v>
      </c>
      <c r="F50" s="4"/>
      <c r="G50" s="4"/>
      <c r="H50" s="4" t="s">
        <v>270</v>
      </c>
      <c r="I50" s="5" t="s">
        <v>397</v>
      </c>
      <c r="J50" s="4" t="s">
        <v>385</v>
      </c>
      <c r="K50" s="4" t="s">
        <v>143</v>
      </c>
      <c r="L50" s="4" t="n">
        <v>3</v>
      </c>
      <c r="M50" s="5" t="s">
        <v>138</v>
      </c>
      <c r="N50" s="4" t="s">
        <v>362</v>
      </c>
      <c r="O50" s="5" t="s">
        <v>140</v>
      </c>
      <c r="P50" s="4" t="s">
        <v>141</v>
      </c>
      <c r="Q50" s="4" t="s">
        <v>402</v>
      </c>
      <c r="R50" s="5" t="s">
        <v>170</v>
      </c>
      <c r="S50" s="4"/>
    </row>
    <row r="51" customFormat="false" ht="44" hidden="false" customHeight="false" outlineLevel="0" collapsed="false">
      <c r="A51" s="4" t="s">
        <v>403</v>
      </c>
      <c r="B51" s="4" t="s">
        <v>47</v>
      </c>
      <c r="C51" s="4" t="s">
        <v>359</v>
      </c>
      <c r="D51" s="4" t="s">
        <v>404</v>
      </c>
      <c r="E51" s="4" t="n">
        <v>0.5625</v>
      </c>
      <c r="F51" s="4"/>
      <c r="G51" s="4"/>
      <c r="H51" s="4" t="s">
        <v>405</v>
      </c>
      <c r="I51" s="5" t="s">
        <v>406</v>
      </c>
      <c r="J51" s="4" t="s">
        <v>407</v>
      </c>
      <c r="K51" s="4" t="s">
        <v>143</v>
      </c>
      <c r="L51" s="4" t="n">
        <v>3</v>
      </c>
      <c r="M51" s="5" t="s">
        <v>138</v>
      </c>
      <c r="N51" s="4" t="s">
        <v>362</v>
      </c>
      <c r="O51" s="5" t="s">
        <v>140</v>
      </c>
      <c r="P51" s="4" t="s">
        <v>141</v>
      </c>
      <c r="Q51" s="4" t="s">
        <v>408</v>
      </c>
      <c r="R51" s="5" t="s">
        <v>170</v>
      </c>
      <c r="S51" s="4"/>
    </row>
    <row r="52" customFormat="false" ht="41" hidden="false" customHeight="false" outlineLevel="0" collapsed="false">
      <c r="A52" s="4" t="s">
        <v>409</v>
      </c>
      <c r="B52" s="4" t="s">
        <v>47</v>
      </c>
      <c r="C52" s="4" t="s">
        <v>410</v>
      </c>
      <c r="D52" s="4" t="s">
        <v>411</v>
      </c>
      <c r="E52" s="4" t="n">
        <v>3</v>
      </c>
      <c r="F52" s="4"/>
      <c r="G52" s="4"/>
      <c r="H52" s="4" t="s">
        <v>181</v>
      </c>
      <c r="I52" s="5" t="s">
        <v>221</v>
      </c>
      <c r="J52" s="4" t="s">
        <v>166</v>
      </c>
      <c r="K52" s="4" t="s">
        <v>143</v>
      </c>
      <c r="L52" s="4" t="n">
        <v>3</v>
      </c>
      <c r="M52" s="5" t="s">
        <v>238</v>
      </c>
      <c r="N52" s="4" t="s">
        <v>412</v>
      </c>
      <c r="O52" s="5" t="s">
        <v>153</v>
      </c>
      <c r="P52" s="4" t="s">
        <v>141</v>
      </c>
      <c r="Q52" s="4"/>
      <c r="R52" s="5" t="s">
        <v>154</v>
      </c>
      <c r="S52" s="5" t="s">
        <v>413</v>
      </c>
    </row>
    <row r="53" customFormat="false" ht="41" hidden="false" customHeight="false" outlineLevel="0" collapsed="false">
      <c r="A53" s="4" t="s">
        <v>414</v>
      </c>
      <c r="B53" s="4" t="s">
        <v>47</v>
      </c>
      <c r="C53" s="4" t="s">
        <v>410</v>
      </c>
      <c r="D53" s="4" t="s">
        <v>415</v>
      </c>
      <c r="E53" s="4" t="n">
        <v>4</v>
      </c>
      <c r="F53" s="4"/>
      <c r="G53" s="4"/>
      <c r="H53" s="4" t="s">
        <v>181</v>
      </c>
      <c r="I53" s="5" t="s">
        <v>236</v>
      </c>
      <c r="J53" s="4" t="s">
        <v>175</v>
      </c>
      <c r="K53" s="4" t="s">
        <v>143</v>
      </c>
      <c r="L53" s="4" t="n">
        <v>3</v>
      </c>
      <c r="M53" s="5" t="s">
        <v>238</v>
      </c>
      <c r="N53" s="4" t="s">
        <v>412</v>
      </c>
      <c r="O53" s="5" t="s">
        <v>153</v>
      </c>
      <c r="P53" s="4" t="s">
        <v>141</v>
      </c>
      <c r="Q53" s="4" t="s">
        <v>416</v>
      </c>
      <c r="R53" s="5" t="s">
        <v>170</v>
      </c>
      <c r="S53" s="5" t="s">
        <v>417</v>
      </c>
    </row>
    <row r="54" customFormat="false" ht="29.85" hidden="false" customHeight="false" outlineLevel="0" collapsed="false">
      <c r="A54" s="4" t="s">
        <v>418</v>
      </c>
      <c r="B54" s="4" t="s">
        <v>48</v>
      </c>
      <c r="C54" s="4" t="s">
        <v>419</v>
      </c>
      <c r="D54" s="4" t="s">
        <v>420</v>
      </c>
      <c r="E54" s="4"/>
      <c r="F54" s="4" t="n">
        <v>0.04</v>
      </c>
      <c r="G54" s="4" t="n">
        <v>0.08</v>
      </c>
      <c r="H54" s="4" t="s">
        <v>421</v>
      </c>
      <c r="I54" s="5" t="s">
        <v>422</v>
      </c>
      <c r="J54" s="4" t="s">
        <v>143</v>
      </c>
      <c r="K54" s="4" t="s">
        <v>151</v>
      </c>
      <c r="L54" s="4" t="n">
        <v>3</v>
      </c>
      <c r="M54" s="5" t="s">
        <v>138</v>
      </c>
      <c r="N54" s="4" t="s">
        <v>423</v>
      </c>
      <c r="O54" s="5" t="s">
        <v>153</v>
      </c>
      <c r="P54" s="4" t="s">
        <v>141</v>
      </c>
      <c r="Q54" s="4" t="s">
        <v>424</v>
      </c>
      <c r="R54" s="4" t="s">
        <v>143</v>
      </c>
      <c r="S54" s="5" t="s">
        <v>425</v>
      </c>
    </row>
    <row r="55" customFormat="false" ht="29.85" hidden="false" customHeight="false" outlineLevel="0" collapsed="false">
      <c r="A55" s="4" t="s">
        <v>426</v>
      </c>
      <c r="B55" s="4" t="s">
        <v>48</v>
      </c>
      <c r="C55" s="4" t="s">
        <v>419</v>
      </c>
      <c r="D55" s="5" t="s">
        <v>427</v>
      </c>
      <c r="E55" s="4" t="n">
        <v>0.15</v>
      </c>
      <c r="F55" s="4"/>
      <c r="G55" s="4"/>
      <c r="H55" s="4" t="s">
        <v>421</v>
      </c>
      <c r="I55" s="5" t="s">
        <v>428</v>
      </c>
      <c r="J55" s="4" t="s">
        <v>143</v>
      </c>
      <c r="K55" s="4" t="s">
        <v>151</v>
      </c>
      <c r="L55" s="4" t="n">
        <v>3</v>
      </c>
      <c r="M55" s="5" t="s">
        <v>138</v>
      </c>
      <c r="N55" s="4" t="s">
        <v>423</v>
      </c>
      <c r="O55" s="5" t="s">
        <v>153</v>
      </c>
      <c r="P55" s="4" t="s">
        <v>141</v>
      </c>
      <c r="Q55" s="4" t="s">
        <v>429</v>
      </c>
      <c r="R55" s="5" t="s">
        <v>170</v>
      </c>
      <c r="S55" s="4" t="s">
        <v>430</v>
      </c>
    </row>
    <row r="56" customFormat="false" ht="29.85" hidden="false" customHeight="false" outlineLevel="0" collapsed="false">
      <c r="A56" s="4" t="s">
        <v>431</v>
      </c>
      <c r="B56" s="4" t="s">
        <v>48</v>
      </c>
      <c r="C56" s="4" t="s">
        <v>432</v>
      </c>
      <c r="D56" s="5" t="s">
        <v>433</v>
      </c>
      <c r="E56" s="4" t="n">
        <v>11.3</v>
      </c>
      <c r="F56" s="4"/>
      <c r="G56" s="4"/>
      <c r="H56" s="4" t="s">
        <v>434</v>
      </c>
      <c r="I56" s="5" t="s">
        <v>435</v>
      </c>
      <c r="J56" s="5" t="s">
        <v>436</v>
      </c>
      <c r="K56" s="4" t="s">
        <v>151</v>
      </c>
      <c r="L56" s="4" t="n">
        <v>3</v>
      </c>
      <c r="M56" s="5" t="s">
        <v>238</v>
      </c>
      <c r="N56" s="4" t="s">
        <v>437</v>
      </c>
      <c r="O56" s="5" t="s">
        <v>153</v>
      </c>
      <c r="P56" s="4" t="s">
        <v>141</v>
      </c>
      <c r="Q56" s="4" t="s">
        <v>438</v>
      </c>
      <c r="R56" s="4" t="s">
        <v>143</v>
      </c>
      <c r="S56" s="4" t="s">
        <v>439</v>
      </c>
    </row>
    <row r="57" customFormat="false" ht="29.85" hidden="false" customHeight="false" outlineLevel="0" collapsed="false">
      <c r="A57" s="4" t="s">
        <v>440</v>
      </c>
      <c r="B57" s="4" t="s">
        <v>48</v>
      </c>
      <c r="C57" s="4" t="s">
        <v>432</v>
      </c>
      <c r="D57" s="5" t="s">
        <v>441</v>
      </c>
      <c r="E57" s="4"/>
      <c r="F57" s="4" t="n">
        <v>0.07</v>
      </c>
      <c r="G57" s="4" t="n">
        <v>0.1</v>
      </c>
      <c r="H57" s="4" t="s">
        <v>421</v>
      </c>
      <c r="I57" s="5" t="s">
        <v>442</v>
      </c>
      <c r="J57" s="5" t="s">
        <v>443</v>
      </c>
      <c r="K57" s="4" t="s">
        <v>151</v>
      </c>
      <c r="L57" s="4" t="n">
        <v>3</v>
      </c>
      <c r="M57" s="5" t="s">
        <v>238</v>
      </c>
      <c r="N57" s="4" t="s">
        <v>437</v>
      </c>
      <c r="O57" s="5" t="s">
        <v>153</v>
      </c>
      <c r="P57" s="4" t="s">
        <v>141</v>
      </c>
      <c r="Q57" s="4" t="s">
        <v>438</v>
      </c>
      <c r="R57" s="4" t="s">
        <v>143</v>
      </c>
      <c r="S57" s="4"/>
    </row>
    <row r="58" customFormat="false" ht="15" hidden="false" customHeight="false" outlineLevel="0" collapsed="false">
      <c r="A58" s="4" t="s">
        <v>444</v>
      </c>
      <c r="B58" s="4" t="s">
        <v>48</v>
      </c>
      <c r="C58" s="4" t="s">
        <v>445</v>
      </c>
      <c r="D58" s="5" t="s">
        <v>446</v>
      </c>
      <c r="E58" s="4" t="n">
        <v>0.0858</v>
      </c>
      <c r="F58" s="4"/>
      <c r="G58" s="4"/>
      <c r="H58" s="4" t="s">
        <v>447</v>
      </c>
      <c r="I58" s="5" t="s">
        <v>448</v>
      </c>
      <c r="J58" s="5" t="s">
        <v>449</v>
      </c>
      <c r="K58" s="4" t="s">
        <v>183</v>
      </c>
      <c r="L58" s="4" t="n">
        <v>2</v>
      </c>
      <c r="M58" s="5" t="s">
        <v>238</v>
      </c>
      <c r="N58" s="4" t="s">
        <v>450</v>
      </c>
      <c r="O58" s="5" t="s">
        <v>451</v>
      </c>
      <c r="P58" s="4" t="s">
        <v>141</v>
      </c>
      <c r="Q58" s="4"/>
      <c r="R58" s="5" t="s">
        <v>154</v>
      </c>
      <c r="S58" s="4"/>
    </row>
    <row r="59" customFormat="false" ht="15" hidden="false" customHeight="false" outlineLevel="0" collapsed="false">
      <c r="A59" s="4" t="s">
        <v>452</v>
      </c>
      <c r="B59" s="4" t="s">
        <v>48</v>
      </c>
      <c r="C59" s="4" t="s">
        <v>445</v>
      </c>
      <c r="D59" s="5" t="s">
        <v>453</v>
      </c>
      <c r="E59" s="4" t="n">
        <v>0.0871</v>
      </c>
      <c r="F59" s="4"/>
      <c r="G59" s="4"/>
      <c r="H59" s="4" t="s">
        <v>447</v>
      </c>
      <c r="I59" s="5" t="s">
        <v>448</v>
      </c>
      <c r="J59" s="5" t="s">
        <v>449</v>
      </c>
      <c r="K59" s="4" t="s">
        <v>237</v>
      </c>
      <c r="L59" s="4" t="n">
        <v>2</v>
      </c>
      <c r="M59" s="5" t="s">
        <v>238</v>
      </c>
      <c r="N59" s="4" t="s">
        <v>450</v>
      </c>
      <c r="O59" s="5" t="s">
        <v>451</v>
      </c>
      <c r="P59" s="4" t="s">
        <v>141</v>
      </c>
      <c r="Q59" s="4" t="s">
        <v>454</v>
      </c>
      <c r="R59" s="4" t="s">
        <v>143</v>
      </c>
      <c r="S59" s="5" t="s">
        <v>455</v>
      </c>
    </row>
    <row r="60" customFormat="false" ht="29.85" hidden="false" customHeight="false" outlineLevel="0" collapsed="false">
      <c r="A60" s="4" t="s">
        <v>456</v>
      </c>
      <c r="B60" s="4" t="s">
        <v>48</v>
      </c>
      <c r="C60" s="4" t="s">
        <v>457</v>
      </c>
      <c r="D60" s="4" t="s">
        <v>458</v>
      </c>
      <c r="E60" s="4" t="n">
        <v>6</v>
      </c>
      <c r="F60" s="4"/>
      <c r="G60" s="4"/>
      <c r="H60" s="5" t="s">
        <v>459</v>
      </c>
      <c r="I60" s="5" t="s">
        <v>460</v>
      </c>
      <c r="J60" s="4" t="s">
        <v>461</v>
      </c>
      <c r="K60" s="4" t="s">
        <v>260</v>
      </c>
      <c r="L60" s="4" t="n">
        <v>2</v>
      </c>
      <c r="M60" s="5" t="s">
        <v>138</v>
      </c>
      <c r="N60" s="5" t="s">
        <v>462</v>
      </c>
      <c r="O60" s="5" t="s">
        <v>153</v>
      </c>
      <c r="P60" s="4" t="s">
        <v>141</v>
      </c>
      <c r="Q60" s="4" t="s">
        <v>463</v>
      </c>
      <c r="R60" s="5" t="s">
        <v>170</v>
      </c>
      <c r="S60" s="4" t="s">
        <v>464</v>
      </c>
    </row>
    <row r="61" customFormat="false" ht="29.85" hidden="false" customHeight="false" outlineLevel="0" collapsed="false">
      <c r="A61" s="4" t="s">
        <v>465</v>
      </c>
      <c r="B61" s="4" t="s">
        <v>48</v>
      </c>
      <c r="C61" s="4" t="s">
        <v>457</v>
      </c>
      <c r="D61" s="4" t="s">
        <v>466</v>
      </c>
      <c r="E61" s="4" t="n">
        <v>4</v>
      </c>
      <c r="F61" s="4"/>
      <c r="G61" s="4"/>
      <c r="H61" s="5" t="s">
        <v>459</v>
      </c>
      <c r="I61" s="5" t="s">
        <v>460</v>
      </c>
      <c r="J61" s="4" t="s">
        <v>467</v>
      </c>
      <c r="K61" s="4" t="s">
        <v>260</v>
      </c>
      <c r="L61" s="4" t="n">
        <v>2</v>
      </c>
      <c r="M61" s="5" t="s">
        <v>138</v>
      </c>
      <c r="N61" s="5" t="s">
        <v>462</v>
      </c>
      <c r="O61" s="5" t="s">
        <v>153</v>
      </c>
      <c r="P61" s="4" t="s">
        <v>141</v>
      </c>
      <c r="Q61" s="4" t="s">
        <v>468</v>
      </c>
      <c r="R61" s="5" t="s">
        <v>170</v>
      </c>
      <c r="S61" s="4"/>
    </row>
    <row r="62" customFormat="false" ht="29.85" hidden="false" customHeight="false" outlineLevel="0" collapsed="false">
      <c r="A62" s="4" t="s">
        <v>469</v>
      </c>
      <c r="B62" s="4" t="s">
        <v>48</v>
      </c>
      <c r="C62" s="4" t="s">
        <v>457</v>
      </c>
      <c r="D62" s="4" t="s">
        <v>470</v>
      </c>
      <c r="E62" s="4" t="n">
        <v>5</v>
      </c>
      <c r="F62" s="4"/>
      <c r="G62" s="4"/>
      <c r="H62" s="5" t="s">
        <v>459</v>
      </c>
      <c r="I62" s="5" t="s">
        <v>460</v>
      </c>
      <c r="J62" s="4" t="s">
        <v>471</v>
      </c>
      <c r="K62" s="4" t="s">
        <v>260</v>
      </c>
      <c r="L62" s="4" t="n">
        <v>2</v>
      </c>
      <c r="M62" s="5" t="s">
        <v>138</v>
      </c>
      <c r="N62" s="5" t="s">
        <v>462</v>
      </c>
      <c r="O62" s="5" t="s">
        <v>153</v>
      </c>
      <c r="P62" s="4" t="s">
        <v>141</v>
      </c>
      <c r="Q62" s="4"/>
      <c r="R62" s="5" t="s">
        <v>154</v>
      </c>
      <c r="S62" s="4"/>
    </row>
    <row r="63" customFormat="false" ht="29.85" hidden="false" customHeight="false" outlineLevel="0" collapsed="false">
      <c r="A63" s="4" t="s">
        <v>472</v>
      </c>
      <c r="B63" s="4" t="s">
        <v>48</v>
      </c>
      <c r="C63" s="4" t="s">
        <v>473</v>
      </c>
      <c r="D63" s="5" t="s">
        <v>474</v>
      </c>
      <c r="E63" s="4"/>
      <c r="F63" s="4" t="n">
        <v>50</v>
      </c>
      <c r="G63" s="4" t="n">
        <v>60</v>
      </c>
      <c r="H63" s="4" t="s">
        <v>475</v>
      </c>
      <c r="I63" s="4" t="s">
        <v>476</v>
      </c>
      <c r="J63" s="4" t="s">
        <v>143</v>
      </c>
      <c r="K63" s="4" t="s">
        <v>477</v>
      </c>
      <c r="L63" s="4" t="n">
        <v>3</v>
      </c>
      <c r="M63" s="5" t="s">
        <v>138</v>
      </c>
      <c r="N63" s="4" t="s">
        <v>478</v>
      </c>
      <c r="O63" s="5" t="s">
        <v>153</v>
      </c>
      <c r="P63" s="4" t="s">
        <v>141</v>
      </c>
      <c r="Q63" s="4" t="s">
        <v>479</v>
      </c>
      <c r="R63" s="4" t="s">
        <v>143</v>
      </c>
      <c r="S63" s="4"/>
    </row>
    <row r="64" customFormat="false" ht="29.85" hidden="false" customHeight="false" outlineLevel="0" collapsed="false">
      <c r="A64" s="4" t="s">
        <v>480</v>
      </c>
      <c r="B64" s="4" t="s">
        <v>48</v>
      </c>
      <c r="C64" s="4" t="s">
        <v>473</v>
      </c>
      <c r="D64" s="5" t="s">
        <v>481</v>
      </c>
      <c r="E64" s="4" t="n">
        <v>35</v>
      </c>
      <c r="F64" s="4"/>
      <c r="G64" s="4"/>
      <c r="H64" s="4" t="s">
        <v>475</v>
      </c>
      <c r="I64" s="4" t="s">
        <v>476</v>
      </c>
      <c r="J64" s="4" t="s">
        <v>143</v>
      </c>
      <c r="K64" s="4" t="s">
        <v>477</v>
      </c>
      <c r="L64" s="4" t="n">
        <v>3</v>
      </c>
      <c r="M64" s="5" t="s">
        <v>138</v>
      </c>
      <c r="N64" s="4" t="s">
        <v>478</v>
      </c>
      <c r="O64" s="5" t="s">
        <v>153</v>
      </c>
      <c r="P64" s="4" t="s">
        <v>141</v>
      </c>
      <c r="Q64" s="4" t="s">
        <v>482</v>
      </c>
      <c r="R64" s="4" t="s">
        <v>143</v>
      </c>
      <c r="S64" s="4"/>
    </row>
    <row r="65" customFormat="false" ht="29.85" hidden="false" customHeight="false" outlineLevel="0" collapsed="false">
      <c r="A65" s="4" t="s">
        <v>483</v>
      </c>
      <c r="B65" s="4" t="s">
        <v>48</v>
      </c>
      <c r="C65" s="4" t="s">
        <v>484</v>
      </c>
      <c r="D65" s="4" t="s">
        <v>485</v>
      </c>
      <c r="E65" s="4" t="n">
        <v>2.21</v>
      </c>
      <c r="F65" s="4"/>
      <c r="G65" s="4"/>
      <c r="H65" s="4" t="s">
        <v>486</v>
      </c>
      <c r="I65" s="5" t="s">
        <v>487</v>
      </c>
      <c r="J65" s="4" t="s">
        <v>166</v>
      </c>
      <c r="K65" s="4" t="s">
        <v>237</v>
      </c>
      <c r="L65" s="4" t="n">
        <v>2</v>
      </c>
      <c r="M65" s="5" t="s">
        <v>138</v>
      </c>
      <c r="N65" s="4" t="s">
        <v>488</v>
      </c>
      <c r="O65" s="5" t="s">
        <v>489</v>
      </c>
      <c r="P65" s="4" t="s">
        <v>141</v>
      </c>
      <c r="Q65" s="4" t="s">
        <v>490</v>
      </c>
      <c r="R65" s="4" t="s">
        <v>143</v>
      </c>
      <c r="S65" s="5" t="s">
        <v>491</v>
      </c>
    </row>
    <row r="66" customFormat="false" ht="29.85" hidden="false" customHeight="false" outlineLevel="0" collapsed="false">
      <c r="A66" s="4" t="s">
        <v>492</v>
      </c>
      <c r="B66" s="4" t="s">
        <v>48</v>
      </c>
      <c r="C66" s="4" t="s">
        <v>484</v>
      </c>
      <c r="D66" s="4" t="s">
        <v>493</v>
      </c>
      <c r="E66" s="4" t="n">
        <v>2.65</v>
      </c>
      <c r="F66" s="4"/>
      <c r="G66" s="4"/>
      <c r="H66" s="4" t="s">
        <v>486</v>
      </c>
      <c r="I66" s="5" t="s">
        <v>487</v>
      </c>
      <c r="J66" s="4" t="s">
        <v>175</v>
      </c>
      <c r="K66" s="4" t="s">
        <v>237</v>
      </c>
      <c r="L66" s="4" t="n">
        <v>2</v>
      </c>
      <c r="M66" s="5" t="s">
        <v>138</v>
      </c>
      <c r="N66" s="4" t="s">
        <v>488</v>
      </c>
      <c r="O66" s="5" t="s">
        <v>489</v>
      </c>
      <c r="P66" s="4" t="s">
        <v>141</v>
      </c>
      <c r="Q66" s="4" t="s">
        <v>494</v>
      </c>
      <c r="R66" s="4" t="s">
        <v>143</v>
      </c>
      <c r="S66" s="5" t="s">
        <v>491</v>
      </c>
    </row>
    <row r="67" customFormat="false" ht="29.85" hidden="false" customHeight="false" outlineLevel="0" collapsed="false">
      <c r="A67" s="4" t="s">
        <v>495</v>
      </c>
      <c r="B67" s="4" t="s">
        <v>49</v>
      </c>
      <c r="C67" s="4" t="s">
        <v>496</v>
      </c>
      <c r="D67" s="4" t="s">
        <v>497</v>
      </c>
      <c r="E67" s="4" t="n">
        <v>1600</v>
      </c>
      <c r="F67" s="4"/>
      <c r="G67" s="4"/>
      <c r="H67" s="4" t="s">
        <v>498</v>
      </c>
      <c r="I67" s="4"/>
      <c r="J67" s="4" t="s">
        <v>499</v>
      </c>
      <c r="K67" s="4" t="s">
        <v>151</v>
      </c>
      <c r="L67" s="4" t="n">
        <v>3</v>
      </c>
      <c r="M67" s="5" t="s">
        <v>138</v>
      </c>
      <c r="N67" s="4" t="s">
        <v>500</v>
      </c>
      <c r="O67" s="5" t="s">
        <v>153</v>
      </c>
      <c r="P67" s="4" t="s">
        <v>141</v>
      </c>
      <c r="Q67" s="4" t="s">
        <v>501</v>
      </c>
      <c r="R67" s="5" t="s">
        <v>170</v>
      </c>
      <c r="S67" s="5" t="s">
        <v>502</v>
      </c>
    </row>
    <row r="68" customFormat="false" ht="29.85" hidden="false" customHeight="false" outlineLevel="0" collapsed="false">
      <c r="A68" s="4" t="s">
        <v>503</v>
      </c>
      <c r="B68" s="4" t="s">
        <v>49</v>
      </c>
      <c r="C68" s="4" t="s">
        <v>496</v>
      </c>
      <c r="D68" s="4" t="s">
        <v>504</v>
      </c>
      <c r="E68" s="4" t="n">
        <v>49</v>
      </c>
      <c r="F68" s="4"/>
      <c r="G68" s="4"/>
      <c r="H68" s="4" t="s">
        <v>498</v>
      </c>
      <c r="I68" s="4"/>
      <c r="J68" s="4" t="s">
        <v>499</v>
      </c>
      <c r="K68" s="4" t="s">
        <v>151</v>
      </c>
      <c r="L68" s="4" t="n">
        <v>3</v>
      </c>
      <c r="M68" s="5" t="s">
        <v>138</v>
      </c>
      <c r="N68" s="4" t="s">
        <v>500</v>
      </c>
      <c r="O68" s="5" t="s">
        <v>153</v>
      </c>
      <c r="P68" s="4" t="s">
        <v>141</v>
      </c>
      <c r="Q68" s="4" t="s">
        <v>505</v>
      </c>
      <c r="R68" s="5" t="s">
        <v>170</v>
      </c>
      <c r="S68" s="4"/>
    </row>
    <row r="69" customFormat="false" ht="29.85" hidden="false" customHeight="false" outlineLevel="0" collapsed="false">
      <c r="A69" s="4" t="s">
        <v>506</v>
      </c>
      <c r="B69" s="4" t="s">
        <v>49</v>
      </c>
      <c r="C69" s="4" t="s">
        <v>496</v>
      </c>
      <c r="D69" s="4" t="s">
        <v>507</v>
      </c>
      <c r="E69" s="4" t="n">
        <v>61</v>
      </c>
      <c r="F69" s="4"/>
      <c r="G69" s="4"/>
      <c r="H69" s="5" t="s">
        <v>508</v>
      </c>
      <c r="I69" s="4"/>
      <c r="J69" s="4" t="s">
        <v>499</v>
      </c>
      <c r="K69" s="4" t="s">
        <v>151</v>
      </c>
      <c r="L69" s="4" t="n">
        <v>3</v>
      </c>
      <c r="M69" s="5" t="s">
        <v>138</v>
      </c>
      <c r="N69" s="4" t="s">
        <v>500</v>
      </c>
      <c r="O69" s="5" t="s">
        <v>153</v>
      </c>
      <c r="P69" s="4" t="s">
        <v>141</v>
      </c>
      <c r="Q69" s="4" t="s">
        <v>509</v>
      </c>
      <c r="R69" s="5" t="s">
        <v>170</v>
      </c>
      <c r="S69" s="4"/>
    </row>
    <row r="70" customFormat="false" ht="29.85" hidden="false" customHeight="false" outlineLevel="0" collapsed="false">
      <c r="A70" s="4" t="s">
        <v>510</v>
      </c>
      <c r="B70" s="4" t="s">
        <v>49</v>
      </c>
      <c r="C70" s="4" t="s">
        <v>496</v>
      </c>
      <c r="D70" s="4" t="s">
        <v>511</v>
      </c>
      <c r="E70" s="4" t="n">
        <v>7168</v>
      </c>
      <c r="F70" s="4"/>
      <c r="G70" s="4"/>
      <c r="H70" s="5" t="s">
        <v>512</v>
      </c>
      <c r="I70" s="4"/>
      <c r="J70" s="4" t="s">
        <v>499</v>
      </c>
      <c r="K70" s="4" t="s">
        <v>151</v>
      </c>
      <c r="L70" s="4" t="n">
        <v>3</v>
      </c>
      <c r="M70" s="5" t="s">
        <v>138</v>
      </c>
      <c r="N70" s="4" t="s">
        <v>500</v>
      </c>
      <c r="O70" s="5" t="s">
        <v>153</v>
      </c>
      <c r="P70" s="4" t="s">
        <v>141</v>
      </c>
      <c r="Q70" s="4" t="s">
        <v>513</v>
      </c>
      <c r="R70" s="5" t="s">
        <v>170</v>
      </c>
      <c r="S70" s="4"/>
    </row>
    <row r="71" customFormat="false" ht="29.85" hidden="false" customHeight="false" outlineLevel="0" collapsed="false">
      <c r="A71" s="4" t="s">
        <v>514</v>
      </c>
      <c r="B71" s="4" t="s">
        <v>49</v>
      </c>
      <c r="C71" s="4" t="s">
        <v>496</v>
      </c>
      <c r="D71" s="4" t="s">
        <v>515</v>
      </c>
      <c r="E71" s="4" t="n">
        <v>284</v>
      </c>
      <c r="F71" s="4"/>
      <c r="G71" s="4"/>
      <c r="H71" s="4" t="s">
        <v>498</v>
      </c>
      <c r="I71" s="4"/>
      <c r="J71" s="4" t="s">
        <v>516</v>
      </c>
      <c r="K71" s="4" t="s">
        <v>151</v>
      </c>
      <c r="L71" s="4" t="n">
        <v>3</v>
      </c>
      <c r="M71" s="5" t="s">
        <v>138</v>
      </c>
      <c r="N71" s="4" t="s">
        <v>500</v>
      </c>
      <c r="O71" s="5" t="s">
        <v>153</v>
      </c>
      <c r="P71" s="4" t="s">
        <v>141</v>
      </c>
      <c r="Q71" s="4" t="s">
        <v>517</v>
      </c>
      <c r="R71" s="5" t="s">
        <v>170</v>
      </c>
      <c r="S71" s="4"/>
    </row>
    <row r="72" customFormat="false" ht="29.85" hidden="false" customHeight="false" outlineLevel="0" collapsed="false">
      <c r="A72" s="4" t="s">
        <v>518</v>
      </c>
      <c r="B72" s="4" t="s">
        <v>49</v>
      </c>
      <c r="C72" s="4" t="s">
        <v>496</v>
      </c>
      <c r="D72" s="4" t="s">
        <v>519</v>
      </c>
      <c r="E72" s="4" t="n">
        <v>13</v>
      </c>
      <c r="F72" s="4"/>
      <c r="G72" s="4"/>
      <c r="H72" s="4" t="s">
        <v>498</v>
      </c>
      <c r="I72" s="4"/>
      <c r="J72" s="4" t="s">
        <v>516</v>
      </c>
      <c r="K72" s="4" t="s">
        <v>151</v>
      </c>
      <c r="L72" s="4" t="n">
        <v>3</v>
      </c>
      <c r="M72" s="5" t="s">
        <v>138</v>
      </c>
      <c r="N72" s="4" t="s">
        <v>500</v>
      </c>
      <c r="O72" s="5" t="s">
        <v>153</v>
      </c>
      <c r="P72" s="4" t="s">
        <v>141</v>
      </c>
      <c r="Q72" s="4" t="s">
        <v>520</v>
      </c>
      <c r="R72" s="5" t="s">
        <v>170</v>
      </c>
      <c r="S72" s="4"/>
    </row>
    <row r="73" customFormat="false" ht="44" hidden="false" customHeight="false" outlineLevel="0" collapsed="false">
      <c r="A73" s="4" t="s">
        <v>521</v>
      </c>
      <c r="B73" s="4" t="s">
        <v>49</v>
      </c>
      <c r="C73" s="4" t="s">
        <v>522</v>
      </c>
      <c r="D73" s="4" t="s">
        <v>523</v>
      </c>
      <c r="E73" s="4" t="n">
        <v>43</v>
      </c>
      <c r="F73" s="4"/>
      <c r="G73" s="4"/>
      <c r="H73" s="5" t="s">
        <v>508</v>
      </c>
      <c r="I73" s="5" t="s">
        <v>153</v>
      </c>
      <c r="J73" s="4" t="s">
        <v>524</v>
      </c>
      <c r="K73" s="4" t="s">
        <v>143</v>
      </c>
      <c r="L73" s="4" t="n">
        <v>3</v>
      </c>
      <c r="M73" s="5" t="s">
        <v>138</v>
      </c>
      <c r="N73" s="4" t="s">
        <v>525</v>
      </c>
      <c r="O73" s="5" t="s">
        <v>140</v>
      </c>
      <c r="P73" s="4" t="s">
        <v>141</v>
      </c>
      <c r="Q73" s="4" t="s">
        <v>526</v>
      </c>
      <c r="R73" s="5" t="s">
        <v>170</v>
      </c>
      <c r="S73" s="4"/>
    </row>
    <row r="74" customFormat="false" ht="44" hidden="false" customHeight="false" outlineLevel="0" collapsed="false">
      <c r="A74" s="4" t="s">
        <v>527</v>
      </c>
      <c r="B74" s="4" t="s">
        <v>49</v>
      </c>
      <c r="C74" s="4" t="s">
        <v>522</v>
      </c>
      <c r="D74" s="4" t="s">
        <v>528</v>
      </c>
      <c r="E74" s="4" t="n">
        <v>128</v>
      </c>
      <c r="F74" s="4"/>
      <c r="G74" s="4"/>
      <c r="H74" s="5" t="s">
        <v>529</v>
      </c>
      <c r="I74" s="4"/>
      <c r="J74" s="4" t="s">
        <v>530</v>
      </c>
      <c r="K74" s="4" t="s">
        <v>143</v>
      </c>
      <c r="L74" s="4" t="n">
        <v>3</v>
      </c>
      <c r="M74" s="5" t="s">
        <v>138</v>
      </c>
      <c r="N74" s="4" t="s">
        <v>525</v>
      </c>
      <c r="O74" s="5" t="s">
        <v>140</v>
      </c>
      <c r="P74" s="4" t="s">
        <v>141</v>
      </c>
      <c r="Q74" s="4" t="s">
        <v>531</v>
      </c>
      <c r="R74" s="5" t="s">
        <v>170</v>
      </c>
      <c r="S74" s="4" t="s">
        <v>532</v>
      </c>
    </row>
    <row r="75" customFormat="false" ht="44" hidden="false" customHeight="false" outlineLevel="0" collapsed="false">
      <c r="A75" s="4" t="s">
        <v>533</v>
      </c>
      <c r="B75" s="4" t="s">
        <v>49</v>
      </c>
      <c r="C75" s="4" t="s">
        <v>522</v>
      </c>
      <c r="D75" s="4" t="s">
        <v>534</v>
      </c>
      <c r="E75" s="4" t="n">
        <v>512</v>
      </c>
      <c r="F75" s="4"/>
      <c r="G75" s="4"/>
      <c r="H75" s="5" t="s">
        <v>512</v>
      </c>
      <c r="I75" s="5" t="s">
        <v>535</v>
      </c>
      <c r="J75" s="4" t="s">
        <v>536</v>
      </c>
      <c r="K75" s="4" t="s">
        <v>143</v>
      </c>
      <c r="L75" s="4" t="n">
        <v>3</v>
      </c>
      <c r="M75" s="5" t="s">
        <v>138</v>
      </c>
      <c r="N75" s="4" t="s">
        <v>525</v>
      </c>
      <c r="O75" s="5" t="s">
        <v>140</v>
      </c>
      <c r="P75" s="4" t="s">
        <v>141</v>
      </c>
      <c r="Q75" s="4" t="s">
        <v>537</v>
      </c>
      <c r="R75" s="5" t="s">
        <v>170</v>
      </c>
      <c r="S75" s="4"/>
    </row>
    <row r="76" customFormat="false" ht="44" hidden="false" customHeight="false" outlineLevel="0" collapsed="false">
      <c r="A76" s="4" t="s">
        <v>538</v>
      </c>
      <c r="B76" s="4" t="s">
        <v>49</v>
      </c>
      <c r="C76" s="4" t="s">
        <v>522</v>
      </c>
      <c r="D76" s="4" t="s">
        <v>539</v>
      </c>
      <c r="E76" s="4" t="n">
        <v>256</v>
      </c>
      <c r="F76" s="4"/>
      <c r="G76" s="4"/>
      <c r="H76" s="5" t="s">
        <v>529</v>
      </c>
      <c r="I76" s="4"/>
      <c r="J76" s="4" t="s">
        <v>524</v>
      </c>
      <c r="K76" s="4" t="s">
        <v>143</v>
      </c>
      <c r="L76" s="4" t="n">
        <v>3</v>
      </c>
      <c r="M76" s="5" t="s">
        <v>138</v>
      </c>
      <c r="N76" s="4" t="s">
        <v>525</v>
      </c>
      <c r="O76" s="5" t="s">
        <v>140</v>
      </c>
      <c r="P76" s="4" t="s">
        <v>141</v>
      </c>
      <c r="Q76" s="4" t="s">
        <v>540</v>
      </c>
      <c r="R76" s="5" t="s">
        <v>170</v>
      </c>
      <c r="S76" s="4"/>
    </row>
    <row r="77" customFormat="false" ht="44" hidden="false" customHeight="false" outlineLevel="0" collapsed="false">
      <c r="A77" s="4" t="s">
        <v>541</v>
      </c>
      <c r="B77" s="4" t="s">
        <v>49</v>
      </c>
      <c r="C77" s="4" t="s">
        <v>522</v>
      </c>
      <c r="D77" s="4" t="s">
        <v>542</v>
      </c>
      <c r="E77" s="4" t="n">
        <v>384</v>
      </c>
      <c r="F77" s="4"/>
      <c r="G77" s="4"/>
      <c r="H77" s="5" t="s">
        <v>529</v>
      </c>
      <c r="I77" s="4"/>
      <c r="J77" s="4" t="s">
        <v>530</v>
      </c>
      <c r="K77" s="4" t="s">
        <v>143</v>
      </c>
      <c r="L77" s="4" t="n">
        <v>3</v>
      </c>
      <c r="M77" s="5" t="s">
        <v>138</v>
      </c>
      <c r="N77" s="4" t="s">
        <v>525</v>
      </c>
      <c r="O77" s="5" t="s">
        <v>140</v>
      </c>
      <c r="P77" s="4" t="s">
        <v>141</v>
      </c>
      <c r="Q77" s="4" t="s">
        <v>543</v>
      </c>
      <c r="R77" s="5" t="s">
        <v>170</v>
      </c>
      <c r="S77" s="4"/>
    </row>
    <row r="78" customFormat="false" ht="44" hidden="false" customHeight="false" outlineLevel="0" collapsed="false">
      <c r="A78" s="4" t="s">
        <v>544</v>
      </c>
      <c r="B78" s="4" t="s">
        <v>49</v>
      </c>
      <c r="C78" s="4" t="s">
        <v>522</v>
      </c>
      <c r="D78" s="4" t="s">
        <v>545</v>
      </c>
      <c r="E78" s="4" t="n">
        <v>6</v>
      </c>
      <c r="F78" s="4"/>
      <c r="G78" s="4"/>
      <c r="H78" s="5" t="s">
        <v>529</v>
      </c>
      <c r="I78" s="4"/>
      <c r="J78" s="4" t="s">
        <v>536</v>
      </c>
      <c r="K78" s="4" t="s">
        <v>143</v>
      </c>
      <c r="L78" s="4" t="n">
        <v>3</v>
      </c>
      <c r="M78" s="5" t="s">
        <v>138</v>
      </c>
      <c r="N78" s="4" t="s">
        <v>525</v>
      </c>
      <c r="O78" s="5" t="s">
        <v>140</v>
      </c>
      <c r="P78" s="4" t="s">
        <v>141</v>
      </c>
      <c r="Q78" s="4" t="s">
        <v>546</v>
      </c>
      <c r="R78" s="5" t="s">
        <v>170</v>
      </c>
      <c r="S78" s="4"/>
    </row>
    <row r="79" customFormat="false" ht="44" hidden="false" customHeight="false" outlineLevel="0" collapsed="false">
      <c r="A79" s="4" t="s">
        <v>547</v>
      </c>
      <c r="B79" s="4" t="s">
        <v>49</v>
      </c>
      <c r="C79" s="4" t="s">
        <v>522</v>
      </c>
      <c r="D79" s="4" t="s">
        <v>548</v>
      </c>
      <c r="E79" s="4" t="n">
        <v>1</v>
      </c>
      <c r="F79" s="4"/>
      <c r="G79" s="4"/>
      <c r="H79" s="5" t="s">
        <v>529</v>
      </c>
      <c r="I79" s="4"/>
      <c r="J79" s="4" t="s">
        <v>536</v>
      </c>
      <c r="K79" s="4" t="s">
        <v>143</v>
      </c>
      <c r="L79" s="4" t="n">
        <v>3</v>
      </c>
      <c r="M79" s="5" t="s">
        <v>138</v>
      </c>
      <c r="N79" s="4" t="s">
        <v>525</v>
      </c>
      <c r="O79" s="5" t="s">
        <v>140</v>
      </c>
      <c r="P79" s="4" t="s">
        <v>141</v>
      </c>
      <c r="Q79" s="4" t="s">
        <v>549</v>
      </c>
      <c r="R79" s="5" t="s">
        <v>170</v>
      </c>
      <c r="S79" s="4"/>
    </row>
    <row r="80" customFormat="false" ht="44" hidden="false" customHeight="false" outlineLevel="0" collapsed="false">
      <c r="A80" s="4" t="s">
        <v>550</v>
      </c>
      <c r="B80" s="4" t="s">
        <v>49</v>
      </c>
      <c r="C80" s="4" t="s">
        <v>522</v>
      </c>
      <c r="D80" s="4" t="s">
        <v>551</v>
      </c>
      <c r="E80" s="4" t="n">
        <v>129280</v>
      </c>
      <c r="F80" s="4"/>
      <c r="G80" s="4"/>
      <c r="H80" s="4" t="s">
        <v>552</v>
      </c>
      <c r="I80" s="4"/>
      <c r="J80" s="4" t="s">
        <v>536</v>
      </c>
      <c r="K80" s="4" t="s">
        <v>143</v>
      </c>
      <c r="L80" s="4" t="n">
        <v>3</v>
      </c>
      <c r="M80" s="5" t="s">
        <v>138</v>
      </c>
      <c r="N80" s="4" t="s">
        <v>525</v>
      </c>
      <c r="O80" s="5" t="s">
        <v>140</v>
      </c>
      <c r="P80" s="4" t="s">
        <v>141</v>
      </c>
      <c r="Q80" s="4" t="s">
        <v>553</v>
      </c>
      <c r="R80" s="5" t="s">
        <v>170</v>
      </c>
      <c r="S80" s="4"/>
    </row>
    <row r="81" customFormat="false" ht="44" hidden="false" customHeight="false" outlineLevel="0" collapsed="false">
      <c r="A81" s="4" t="s">
        <v>554</v>
      </c>
      <c r="B81" s="4" t="s">
        <v>49</v>
      </c>
      <c r="C81" s="4" t="s">
        <v>522</v>
      </c>
      <c r="D81" s="4" t="s">
        <v>555</v>
      </c>
      <c r="E81" s="4" t="n">
        <v>0.5</v>
      </c>
      <c r="F81" s="4"/>
      <c r="G81" s="4"/>
      <c r="H81" s="4" t="s">
        <v>421</v>
      </c>
      <c r="I81" s="5" t="s">
        <v>221</v>
      </c>
      <c r="J81" s="4" t="s">
        <v>536</v>
      </c>
      <c r="K81" s="4" t="s">
        <v>143</v>
      </c>
      <c r="L81" s="4" t="n">
        <v>3</v>
      </c>
      <c r="M81" s="5" t="s">
        <v>138</v>
      </c>
      <c r="N81" s="4" t="s">
        <v>525</v>
      </c>
      <c r="O81" s="5" t="s">
        <v>140</v>
      </c>
      <c r="P81" s="4" t="s">
        <v>141</v>
      </c>
      <c r="Q81" s="4" t="s">
        <v>556</v>
      </c>
      <c r="R81" s="5" t="s">
        <v>170</v>
      </c>
      <c r="S81" s="4"/>
    </row>
    <row r="82" customFormat="false" ht="44" hidden="false" customHeight="false" outlineLevel="0" collapsed="false">
      <c r="A82" s="4" t="s">
        <v>557</v>
      </c>
      <c r="B82" s="4" t="s">
        <v>49</v>
      </c>
      <c r="C82" s="4" t="s">
        <v>522</v>
      </c>
      <c r="D82" s="4" t="s">
        <v>558</v>
      </c>
      <c r="E82" s="4" t="n">
        <v>128</v>
      </c>
      <c r="F82" s="4"/>
      <c r="G82" s="4"/>
      <c r="H82" s="4" t="s">
        <v>559</v>
      </c>
      <c r="I82" s="4"/>
      <c r="J82" s="4" t="s">
        <v>536</v>
      </c>
      <c r="K82" s="4" t="s">
        <v>143</v>
      </c>
      <c r="L82" s="4" t="n">
        <v>3</v>
      </c>
      <c r="M82" s="5" t="s">
        <v>138</v>
      </c>
      <c r="N82" s="4" t="s">
        <v>525</v>
      </c>
      <c r="O82" s="5" t="s">
        <v>140</v>
      </c>
      <c r="P82" s="4" t="s">
        <v>141</v>
      </c>
      <c r="Q82" s="4" t="s">
        <v>560</v>
      </c>
      <c r="R82" s="5" t="s">
        <v>170</v>
      </c>
      <c r="S82" s="4"/>
    </row>
    <row r="83" customFormat="false" ht="44" hidden="false" customHeight="false" outlineLevel="0" collapsed="false">
      <c r="A83" s="4" t="s">
        <v>561</v>
      </c>
      <c r="B83" s="4" t="s">
        <v>49</v>
      </c>
      <c r="C83" s="4" t="s">
        <v>522</v>
      </c>
      <c r="D83" s="4" t="s">
        <v>562</v>
      </c>
      <c r="E83" s="4" t="n">
        <v>128</v>
      </c>
      <c r="F83" s="4"/>
      <c r="G83" s="4"/>
      <c r="H83" s="4" t="s">
        <v>563</v>
      </c>
      <c r="I83" s="4"/>
      <c r="J83" s="4" t="s">
        <v>536</v>
      </c>
      <c r="K83" s="4" t="s">
        <v>143</v>
      </c>
      <c r="L83" s="4" t="n">
        <v>3</v>
      </c>
      <c r="M83" s="5" t="s">
        <v>138</v>
      </c>
      <c r="N83" s="4" t="s">
        <v>525</v>
      </c>
      <c r="O83" s="5" t="s">
        <v>140</v>
      </c>
      <c r="P83" s="4" t="s">
        <v>141</v>
      </c>
      <c r="Q83" s="4" t="s">
        <v>564</v>
      </c>
      <c r="R83" s="5" t="s">
        <v>170</v>
      </c>
      <c r="S83" s="4"/>
    </row>
    <row r="84" customFormat="false" ht="44" hidden="false" customHeight="false" outlineLevel="0" collapsed="false">
      <c r="A84" s="4" t="s">
        <v>565</v>
      </c>
      <c r="B84" s="4" t="s">
        <v>49</v>
      </c>
      <c r="C84" s="4" t="s">
        <v>522</v>
      </c>
      <c r="D84" s="4" t="s">
        <v>566</v>
      </c>
      <c r="E84" s="4" t="n">
        <v>1024</v>
      </c>
      <c r="F84" s="4"/>
      <c r="G84" s="4"/>
      <c r="H84" s="5" t="s">
        <v>567</v>
      </c>
      <c r="I84" s="4"/>
      <c r="J84" s="4" t="s">
        <v>536</v>
      </c>
      <c r="K84" s="4" t="s">
        <v>143</v>
      </c>
      <c r="L84" s="4" t="n">
        <v>3</v>
      </c>
      <c r="M84" s="5" t="s">
        <v>138</v>
      </c>
      <c r="N84" s="4" t="s">
        <v>525</v>
      </c>
      <c r="O84" s="5" t="s">
        <v>140</v>
      </c>
      <c r="P84" s="4" t="s">
        <v>141</v>
      </c>
      <c r="Q84" s="4" t="s">
        <v>568</v>
      </c>
      <c r="R84" s="4" t="s">
        <v>143</v>
      </c>
      <c r="S84" s="4" t="s">
        <v>569</v>
      </c>
    </row>
    <row r="85" customFormat="false" ht="44" hidden="false" customHeight="false" outlineLevel="0" collapsed="false">
      <c r="A85" s="4" t="s">
        <v>570</v>
      </c>
      <c r="B85" s="4" t="s">
        <v>49</v>
      </c>
      <c r="C85" s="4" t="s">
        <v>522</v>
      </c>
      <c r="D85" s="4" t="s">
        <v>571</v>
      </c>
      <c r="E85" s="4" t="n">
        <v>4</v>
      </c>
      <c r="F85" s="4"/>
      <c r="G85" s="4"/>
      <c r="H85" s="4" t="s">
        <v>572</v>
      </c>
      <c r="I85" s="4"/>
      <c r="J85" s="4" t="s">
        <v>536</v>
      </c>
      <c r="K85" s="4" t="s">
        <v>143</v>
      </c>
      <c r="L85" s="4" t="n">
        <v>3</v>
      </c>
      <c r="M85" s="5" t="s">
        <v>138</v>
      </c>
      <c r="N85" s="4" t="s">
        <v>525</v>
      </c>
      <c r="O85" s="5" t="s">
        <v>140</v>
      </c>
      <c r="P85" s="4" t="s">
        <v>141</v>
      </c>
      <c r="Q85" s="4" t="s">
        <v>568</v>
      </c>
      <c r="R85" s="4" t="s">
        <v>143</v>
      </c>
      <c r="S85" s="4"/>
    </row>
    <row r="86" customFormat="false" ht="44" hidden="false" customHeight="false" outlineLevel="0" collapsed="false">
      <c r="A86" s="4" t="s">
        <v>573</v>
      </c>
      <c r="B86" s="4" t="s">
        <v>49</v>
      </c>
      <c r="C86" s="4" t="s">
        <v>522</v>
      </c>
      <c r="D86" s="4" t="s">
        <v>574</v>
      </c>
      <c r="E86" s="4" t="n">
        <v>671</v>
      </c>
      <c r="F86" s="4"/>
      <c r="G86" s="4"/>
      <c r="H86" s="4" t="s">
        <v>498</v>
      </c>
      <c r="I86" s="4"/>
      <c r="J86" s="4" t="s">
        <v>575</v>
      </c>
      <c r="K86" s="4" t="s">
        <v>143</v>
      </c>
      <c r="L86" s="4" t="n">
        <v>3</v>
      </c>
      <c r="M86" s="5" t="s">
        <v>138</v>
      </c>
      <c r="N86" s="4" t="s">
        <v>525</v>
      </c>
      <c r="O86" s="5" t="s">
        <v>140</v>
      </c>
      <c r="P86" s="4" t="s">
        <v>141</v>
      </c>
      <c r="Q86" s="4" t="s">
        <v>576</v>
      </c>
      <c r="R86" s="5" t="s">
        <v>170</v>
      </c>
      <c r="S86" s="4"/>
    </row>
    <row r="87" customFormat="false" ht="44" hidden="false" customHeight="false" outlineLevel="0" collapsed="false">
      <c r="A87" s="4" t="s">
        <v>577</v>
      </c>
      <c r="B87" s="4" t="s">
        <v>49</v>
      </c>
      <c r="C87" s="4" t="s">
        <v>522</v>
      </c>
      <c r="D87" s="4" t="s">
        <v>578</v>
      </c>
      <c r="E87" s="4" t="n">
        <v>37</v>
      </c>
      <c r="F87" s="4"/>
      <c r="G87" s="4"/>
      <c r="H87" s="4" t="s">
        <v>498</v>
      </c>
      <c r="I87" s="4"/>
      <c r="J87" s="4" t="s">
        <v>575</v>
      </c>
      <c r="K87" s="4" t="s">
        <v>143</v>
      </c>
      <c r="L87" s="4" t="n">
        <v>3</v>
      </c>
      <c r="M87" s="5" t="s">
        <v>138</v>
      </c>
      <c r="N87" s="4" t="s">
        <v>525</v>
      </c>
      <c r="O87" s="5" t="s">
        <v>140</v>
      </c>
      <c r="P87" s="4" t="s">
        <v>141</v>
      </c>
      <c r="Q87" s="4" t="s">
        <v>579</v>
      </c>
      <c r="R87" s="5" t="s">
        <v>170</v>
      </c>
      <c r="S87" s="4"/>
    </row>
    <row r="88" customFormat="false" ht="44" hidden="false" customHeight="false" outlineLevel="0" collapsed="false">
      <c r="A88" s="4" t="s">
        <v>580</v>
      </c>
      <c r="B88" s="4" t="s">
        <v>49</v>
      </c>
      <c r="C88" s="4" t="s">
        <v>522</v>
      </c>
      <c r="D88" s="4" t="s">
        <v>581</v>
      </c>
      <c r="E88" s="4" t="n">
        <v>61</v>
      </c>
      <c r="F88" s="4"/>
      <c r="G88" s="4"/>
      <c r="H88" s="5" t="s">
        <v>508</v>
      </c>
      <c r="I88" s="4"/>
      <c r="J88" s="4" t="s">
        <v>575</v>
      </c>
      <c r="K88" s="4" t="s">
        <v>143</v>
      </c>
      <c r="L88" s="4" t="n">
        <v>3</v>
      </c>
      <c r="M88" s="5" t="s">
        <v>138</v>
      </c>
      <c r="N88" s="4" t="s">
        <v>525</v>
      </c>
      <c r="O88" s="5" t="s">
        <v>140</v>
      </c>
      <c r="P88" s="4" t="s">
        <v>141</v>
      </c>
      <c r="Q88" s="4" t="s">
        <v>582</v>
      </c>
      <c r="R88" s="5" t="s">
        <v>170</v>
      </c>
      <c r="S88" s="4"/>
    </row>
    <row r="89" customFormat="false" ht="44" hidden="false" customHeight="false" outlineLevel="0" collapsed="false">
      <c r="A89" s="4" t="s">
        <v>583</v>
      </c>
      <c r="B89" s="4" t="s">
        <v>49</v>
      </c>
      <c r="C89" s="4" t="s">
        <v>522</v>
      </c>
      <c r="D89" s="4" t="s">
        <v>584</v>
      </c>
      <c r="E89" s="4" t="n">
        <v>7168</v>
      </c>
      <c r="F89" s="4"/>
      <c r="G89" s="4"/>
      <c r="H89" s="5" t="s">
        <v>512</v>
      </c>
      <c r="I89" s="4"/>
      <c r="J89" s="4" t="s">
        <v>575</v>
      </c>
      <c r="K89" s="4" t="s">
        <v>143</v>
      </c>
      <c r="L89" s="4" t="n">
        <v>3</v>
      </c>
      <c r="M89" s="5" t="s">
        <v>138</v>
      </c>
      <c r="N89" s="4" t="s">
        <v>525</v>
      </c>
      <c r="O89" s="5" t="s">
        <v>140</v>
      </c>
      <c r="P89" s="4" t="s">
        <v>141</v>
      </c>
      <c r="Q89" s="4" t="s">
        <v>585</v>
      </c>
      <c r="R89" s="5" t="s">
        <v>170</v>
      </c>
      <c r="S89" s="4"/>
    </row>
    <row r="90" customFormat="false" ht="44" hidden="false" customHeight="false" outlineLevel="0" collapsed="false">
      <c r="A90" s="4" t="s">
        <v>586</v>
      </c>
      <c r="B90" s="4" t="s">
        <v>49</v>
      </c>
      <c r="C90" s="4" t="s">
        <v>522</v>
      </c>
      <c r="D90" s="4" t="s">
        <v>587</v>
      </c>
      <c r="E90" s="4" t="n">
        <v>256</v>
      </c>
      <c r="F90" s="4"/>
      <c r="G90" s="4"/>
      <c r="H90" s="5" t="s">
        <v>529</v>
      </c>
      <c r="I90" s="4"/>
      <c r="J90" s="4" t="s">
        <v>575</v>
      </c>
      <c r="K90" s="4" t="s">
        <v>143</v>
      </c>
      <c r="L90" s="4" t="n">
        <v>3</v>
      </c>
      <c r="M90" s="5" t="s">
        <v>138</v>
      </c>
      <c r="N90" s="4" t="s">
        <v>525</v>
      </c>
      <c r="O90" s="5" t="s">
        <v>140</v>
      </c>
      <c r="P90" s="4" t="s">
        <v>141</v>
      </c>
      <c r="Q90" s="4" t="s">
        <v>588</v>
      </c>
      <c r="R90" s="5" t="s">
        <v>170</v>
      </c>
      <c r="S90" s="4"/>
    </row>
    <row r="91" customFormat="false" ht="44" hidden="false" customHeight="false" outlineLevel="0" collapsed="false">
      <c r="A91" s="4" t="s">
        <v>589</v>
      </c>
      <c r="B91" s="4" t="s">
        <v>49</v>
      </c>
      <c r="C91" s="4" t="s">
        <v>522</v>
      </c>
      <c r="D91" s="4" t="s">
        <v>590</v>
      </c>
      <c r="E91" s="4" t="n">
        <v>8</v>
      </c>
      <c r="F91" s="4"/>
      <c r="G91" s="4"/>
      <c r="H91" s="5" t="s">
        <v>529</v>
      </c>
      <c r="I91" s="4"/>
      <c r="J91" s="4" t="s">
        <v>575</v>
      </c>
      <c r="K91" s="4" t="s">
        <v>143</v>
      </c>
      <c r="L91" s="4" t="n">
        <v>3</v>
      </c>
      <c r="M91" s="5" t="s">
        <v>138</v>
      </c>
      <c r="N91" s="4" t="s">
        <v>525</v>
      </c>
      <c r="O91" s="5" t="s">
        <v>140</v>
      </c>
      <c r="P91" s="4" t="s">
        <v>141</v>
      </c>
      <c r="Q91" s="4" t="s">
        <v>591</v>
      </c>
      <c r="R91" s="5" t="s">
        <v>170</v>
      </c>
      <c r="S91" s="4"/>
    </row>
    <row r="92" customFormat="false" ht="44" hidden="false" customHeight="false" outlineLevel="0" collapsed="false">
      <c r="A92" s="4" t="s">
        <v>592</v>
      </c>
      <c r="B92" s="4" t="s">
        <v>49</v>
      </c>
      <c r="C92" s="4" t="s">
        <v>522</v>
      </c>
      <c r="D92" s="4" t="s">
        <v>593</v>
      </c>
      <c r="E92" s="4" t="n">
        <v>1</v>
      </c>
      <c r="F92" s="4"/>
      <c r="G92" s="4"/>
      <c r="H92" s="5" t="s">
        <v>529</v>
      </c>
      <c r="I92" s="4"/>
      <c r="J92" s="4" t="s">
        <v>575</v>
      </c>
      <c r="K92" s="4" t="s">
        <v>143</v>
      </c>
      <c r="L92" s="4" t="n">
        <v>3</v>
      </c>
      <c r="M92" s="5" t="s">
        <v>138</v>
      </c>
      <c r="N92" s="4" t="s">
        <v>525</v>
      </c>
      <c r="O92" s="5" t="s">
        <v>140</v>
      </c>
      <c r="P92" s="4" t="s">
        <v>141</v>
      </c>
      <c r="Q92" s="4" t="s">
        <v>594</v>
      </c>
      <c r="R92" s="5" t="s">
        <v>170</v>
      </c>
      <c r="S92" s="4"/>
    </row>
    <row r="93" customFormat="false" ht="44" hidden="false" customHeight="false" outlineLevel="0" collapsed="false">
      <c r="A93" s="4" t="s">
        <v>595</v>
      </c>
      <c r="B93" s="4" t="s">
        <v>49</v>
      </c>
      <c r="C93" s="4" t="s">
        <v>522</v>
      </c>
      <c r="D93" s="4" t="s">
        <v>596</v>
      </c>
      <c r="E93" s="4" t="n">
        <v>129280</v>
      </c>
      <c r="F93" s="4"/>
      <c r="G93" s="4"/>
      <c r="H93" s="4" t="s">
        <v>552</v>
      </c>
      <c r="I93" s="4"/>
      <c r="J93" s="4" t="s">
        <v>575</v>
      </c>
      <c r="K93" s="4" t="s">
        <v>143</v>
      </c>
      <c r="L93" s="4" t="n">
        <v>3</v>
      </c>
      <c r="M93" s="5" t="s">
        <v>138</v>
      </c>
      <c r="N93" s="4" t="s">
        <v>525</v>
      </c>
      <c r="O93" s="5" t="s">
        <v>140</v>
      </c>
      <c r="P93" s="4" t="s">
        <v>141</v>
      </c>
      <c r="Q93" s="4" t="s">
        <v>597</v>
      </c>
      <c r="R93" s="5" t="s">
        <v>170</v>
      </c>
      <c r="S93" s="4"/>
    </row>
    <row r="94" customFormat="false" ht="44" hidden="false" customHeight="false" outlineLevel="0" collapsed="false">
      <c r="A94" s="4" t="s">
        <v>598</v>
      </c>
      <c r="B94" s="4" t="s">
        <v>49</v>
      </c>
      <c r="C94" s="4" t="s">
        <v>522</v>
      </c>
      <c r="D94" s="4" t="s">
        <v>599</v>
      </c>
      <c r="E94" s="4" t="n">
        <v>576</v>
      </c>
      <c r="F94" s="4"/>
      <c r="G94" s="4"/>
      <c r="H94" s="5" t="s">
        <v>512</v>
      </c>
      <c r="I94" s="4" t="s">
        <v>600</v>
      </c>
      <c r="J94" s="4" t="s">
        <v>575</v>
      </c>
      <c r="K94" s="4" t="s">
        <v>143</v>
      </c>
      <c r="L94" s="4" t="n">
        <v>3</v>
      </c>
      <c r="M94" s="5" t="s">
        <v>138</v>
      </c>
      <c r="N94" s="4" t="s">
        <v>525</v>
      </c>
      <c r="O94" s="5" t="s">
        <v>140</v>
      </c>
      <c r="P94" s="4" t="s">
        <v>141</v>
      </c>
      <c r="Q94" s="4" t="s">
        <v>601</v>
      </c>
      <c r="R94" s="4" t="s">
        <v>143</v>
      </c>
      <c r="S94" s="4" t="s">
        <v>602</v>
      </c>
    </row>
    <row r="95" customFormat="false" ht="29.85" hidden="false" customHeight="false" outlineLevel="0" collapsed="false">
      <c r="A95" s="4" t="s">
        <v>603</v>
      </c>
      <c r="B95" s="4" t="s">
        <v>49</v>
      </c>
      <c r="C95" s="4" t="s">
        <v>604</v>
      </c>
      <c r="D95" s="4" t="s">
        <v>605</v>
      </c>
      <c r="E95" s="4" t="n">
        <v>32</v>
      </c>
      <c r="F95" s="4"/>
      <c r="G95" s="4"/>
      <c r="H95" s="4" t="s">
        <v>606</v>
      </c>
      <c r="I95" s="4"/>
      <c r="J95" s="4" t="s">
        <v>516</v>
      </c>
      <c r="K95" s="4" t="s">
        <v>167</v>
      </c>
      <c r="L95" s="4" t="n">
        <v>1</v>
      </c>
      <c r="M95" s="5" t="s">
        <v>138</v>
      </c>
      <c r="N95" s="4" t="s">
        <v>607</v>
      </c>
      <c r="O95" s="5" t="s">
        <v>608</v>
      </c>
      <c r="P95" s="4" t="s">
        <v>141</v>
      </c>
      <c r="Q95" s="4" t="s">
        <v>609</v>
      </c>
      <c r="R95" s="5" t="s">
        <v>170</v>
      </c>
      <c r="S95" s="4"/>
    </row>
    <row r="96" customFormat="false" ht="29.85" hidden="false" customHeight="false" outlineLevel="0" collapsed="false">
      <c r="A96" s="4" t="s">
        <v>610</v>
      </c>
      <c r="B96" s="4" t="s">
        <v>49</v>
      </c>
      <c r="C96" s="4" t="s">
        <v>604</v>
      </c>
      <c r="D96" s="4" t="s">
        <v>611</v>
      </c>
      <c r="E96" s="4" t="n">
        <v>33</v>
      </c>
      <c r="F96" s="4"/>
      <c r="G96" s="4"/>
      <c r="H96" s="4" t="s">
        <v>606</v>
      </c>
      <c r="I96" s="4"/>
      <c r="J96" s="4" t="s">
        <v>499</v>
      </c>
      <c r="K96" s="4" t="s">
        <v>167</v>
      </c>
      <c r="L96" s="4" t="n">
        <v>1</v>
      </c>
      <c r="M96" s="5" t="s">
        <v>138</v>
      </c>
      <c r="N96" s="4" t="s">
        <v>607</v>
      </c>
      <c r="O96" s="5" t="s">
        <v>608</v>
      </c>
      <c r="P96" s="4" t="s">
        <v>141</v>
      </c>
      <c r="Q96" s="4" t="s">
        <v>612</v>
      </c>
      <c r="R96" s="5" t="s">
        <v>170</v>
      </c>
      <c r="S96" s="4"/>
    </row>
    <row r="97" customFormat="false" ht="29.85" hidden="false" customHeight="false" outlineLevel="0" collapsed="false">
      <c r="A97" s="4" t="s">
        <v>613</v>
      </c>
      <c r="B97" s="4" t="s">
        <v>49</v>
      </c>
      <c r="C97" s="4" t="s">
        <v>604</v>
      </c>
      <c r="D97" s="4" t="s">
        <v>614</v>
      </c>
      <c r="E97" s="4" t="n">
        <v>4096</v>
      </c>
      <c r="F97" s="4"/>
      <c r="G97" s="4"/>
      <c r="H97" s="4" t="s">
        <v>563</v>
      </c>
      <c r="I97" s="4" t="s">
        <v>615</v>
      </c>
      <c r="J97" s="4" t="s">
        <v>536</v>
      </c>
      <c r="K97" s="4" t="s">
        <v>167</v>
      </c>
      <c r="L97" s="4" t="n">
        <v>1</v>
      </c>
      <c r="M97" s="5" t="s">
        <v>138</v>
      </c>
      <c r="N97" s="4" t="s">
        <v>607</v>
      </c>
      <c r="O97" s="5" t="s">
        <v>608</v>
      </c>
      <c r="P97" s="4" t="s">
        <v>141</v>
      </c>
      <c r="Q97" s="4" t="s">
        <v>616</v>
      </c>
      <c r="R97" s="5" t="s">
        <v>170</v>
      </c>
      <c r="S97" s="4"/>
    </row>
    <row r="98" customFormat="false" ht="29.85" hidden="false" customHeight="false" outlineLevel="0" collapsed="false">
      <c r="A98" s="4" t="s">
        <v>617</v>
      </c>
      <c r="B98" s="4" t="s">
        <v>49</v>
      </c>
      <c r="C98" s="4" t="s">
        <v>604</v>
      </c>
      <c r="D98" s="4" t="s">
        <v>618</v>
      </c>
      <c r="E98" s="4" t="n">
        <v>16384</v>
      </c>
      <c r="F98" s="4"/>
      <c r="G98" s="4"/>
      <c r="H98" s="4" t="s">
        <v>563</v>
      </c>
      <c r="I98" s="5" t="s">
        <v>619</v>
      </c>
      <c r="J98" s="4" t="s">
        <v>536</v>
      </c>
      <c r="K98" s="4" t="s">
        <v>167</v>
      </c>
      <c r="L98" s="4" t="n">
        <v>1</v>
      </c>
      <c r="M98" s="5" t="s">
        <v>138</v>
      </c>
      <c r="N98" s="4" t="s">
        <v>607</v>
      </c>
      <c r="O98" s="5" t="s">
        <v>608</v>
      </c>
      <c r="P98" s="4" t="s">
        <v>141</v>
      </c>
      <c r="Q98" s="4"/>
      <c r="R98" s="5" t="s">
        <v>154</v>
      </c>
      <c r="S98" s="4"/>
    </row>
    <row r="99" customFormat="false" ht="29.85" hidden="false" customHeight="false" outlineLevel="0" collapsed="false">
      <c r="A99" s="4" t="s">
        <v>620</v>
      </c>
      <c r="B99" s="4" t="s">
        <v>49</v>
      </c>
      <c r="C99" s="4" t="s">
        <v>621</v>
      </c>
      <c r="D99" s="4" t="s">
        <v>622</v>
      </c>
      <c r="E99" s="4" t="n">
        <v>4.6E+026</v>
      </c>
      <c r="F99" s="4"/>
      <c r="G99" s="4"/>
      <c r="H99" s="4" t="s">
        <v>623</v>
      </c>
      <c r="I99" s="5" t="s">
        <v>624</v>
      </c>
      <c r="J99" s="4" t="s">
        <v>625</v>
      </c>
      <c r="K99" s="4" t="s">
        <v>626</v>
      </c>
      <c r="L99" s="4" t="n">
        <v>1</v>
      </c>
      <c r="M99" s="5" t="s">
        <v>238</v>
      </c>
      <c r="N99" s="4" t="s">
        <v>627</v>
      </c>
      <c r="O99" s="5" t="s">
        <v>628</v>
      </c>
      <c r="P99" s="4" t="s">
        <v>141</v>
      </c>
      <c r="Q99" s="4" t="s">
        <v>629</v>
      </c>
      <c r="R99" s="4" t="s">
        <v>143</v>
      </c>
      <c r="S99" s="5" t="s">
        <v>630</v>
      </c>
    </row>
    <row r="100" customFormat="false" ht="29.85" hidden="false" customHeight="false" outlineLevel="0" collapsed="false">
      <c r="A100" s="4" t="s">
        <v>631</v>
      </c>
      <c r="B100" s="4" t="s">
        <v>49</v>
      </c>
      <c r="C100" s="4" t="s">
        <v>632</v>
      </c>
      <c r="D100" s="4" t="s">
        <v>633</v>
      </c>
      <c r="E100" s="4" t="n">
        <v>0.147</v>
      </c>
      <c r="F100" s="4"/>
      <c r="G100" s="4"/>
      <c r="H100" s="4" t="s">
        <v>634</v>
      </c>
      <c r="I100" s="4" t="s">
        <v>635</v>
      </c>
      <c r="J100" s="4" t="s">
        <v>636</v>
      </c>
      <c r="K100" s="4" t="s">
        <v>637</v>
      </c>
      <c r="L100" s="4" t="n">
        <v>2</v>
      </c>
      <c r="M100" s="5" t="s">
        <v>138</v>
      </c>
      <c r="N100" s="4" t="s">
        <v>638</v>
      </c>
      <c r="O100" s="5" t="s">
        <v>153</v>
      </c>
      <c r="P100" s="4" t="s">
        <v>141</v>
      </c>
      <c r="Q100" s="4" t="s">
        <v>639</v>
      </c>
      <c r="R100" s="4" t="s">
        <v>143</v>
      </c>
      <c r="S100" s="4" t="s">
        <v>640</v>
      </c>
    </row>
    <row r="101" customFormat="false" ht="29.85" hidden="false" customHeight="false" outlineLevel="0" collapsed="false">
      <c r="A101" s="4" t="s">
        <v>641</v>
      </c>
      <c r="B101" s="4" t="s">
        <v>49</v>
      </c>
      <c r="C101" s="4" t="s">
        <v>642</v>
      </c>
      <c r="D101" s="4" t="s">
        <v>643</v>
      </c>
      <c r="E101" s="4" t="n">
        <v>0.14</v>
      </c>
      <c r="F101" s="4"/>
      <c r="G101" s="4"/>
      <c r="H101" s="4" t="s">
        <v>644</v>
      </c>
      <c r="I101" s="5" t="s">
        <v>645</v>
      </c>
      <c r="J101" s="4" t="s">
        <v>646</v>
      </c>
      <c r="K101" s="4" t="s">
        <v>647</v>
      </c>
      <c r="L101" s="4" t="n">
        <v>2</v>
      </c>
      <c r="M101" s="5" t="s">
        <v>138</v>
      </c>
      <c r="N101" s="4" t="s">
        <v>648</v>
      </c>
      <c r="O101" s="5" t="s">
        <v>153</v>
      </c>
      <c r="P101" s="4" t="s">
        <v>141</v>
      </c>
      <c r="Q101" s="4"/>
      <c r="R101" s="5" t="s">
        <v>154</v>
      </c>
      <c r="S101" s="4"/>
    </row>
    <row r="102" customFormat="false" ht="29.85" hidden="false" customHeight="false" outlineLevel="0" collapsed="false">
      <c r="A102" s="4" t="s">
        <v>649</v>
      </c>
      <c r="B102" s="4" t="s">
        <v>49</v>
      </c>
      <c r="C102" s="4" t="s">
        <v>650</v>
      </c>
      <c r="D102" s="4" t="s">
        <v>651</v>
      </c>
      <c r="E102" s="4" t="n">
        <v>1</v>
      </c>
      <c r="F102" s="4"/>
      <c r="G102" s="4"/>
      <c r="H102" s="4" t="s">
        <v>559</v>
      </c>
      <c r="I102" s="5" t="s">
        <v>652</v>
      </c>
      <c r="J102" s="4" t="s">
        <v>653</v>
      </c>
      <c r="K102" s="4" t="s">
        <v>654</v>
      </c>
      <c r="L102" s="4" t="n">
        <v>1</v>
      </c>
      <c r="M102" s="5" t="s">
        <v>138</v>
      </c>
      <c r="N102" s="4" t="s">
        <v>655</v>
      </c>
      <c r="O102" s="5" t="s">
        <v>608</v>
      </c>
      <c r="P102" s="4" t="s">
        <v>141</v>
      </c>
      <c r="Q102" s="4" t="s">
        <v>656</v>
      </c>
      <c r="R102" s="5" t="s">
        <v>170</v>
      </c>
      <c r="S102" s="5" t="s">
        <v>657</v>
      </c>
    </row>
    <row r="103" customFormat="false" ht="29.85" hidden="false" customHeight="false" outlineLevel="0" collapsed="false">
      <c r="A103" s="4" t="s">
        <v>658</v>
      </c>
      <c r="B103" s="4" t="s">
        <v>49</v>
      </c>
      <c r="C103" s="4" t="s">
        <v>650</v>
      </c>
      <c r="D103" s="4" t="s">
        <v>659</v>
      </c>
      <c r="E103" s="4" t="n">
        <v>200000</v>
      </c>
      <c r="F103" s="4"/>
      <c r="G103" s="4"/>
      <c r="H103" s="4" t="s">
        <v>390</v>
      </c>
      <c r="I103" s="4"/>
      <c r="J103" s="4" t="s">
        <v>653</v>
      </c>
      <c r="K103" s="4" t="s">
        <v>654</v>
      </c>
      <c r="L103" s="4" t="n">
        <v>1</v>
      </c>
      <c r="M103" s="5" t="s">
        <v>138</v>
      </c>
      <c r="N103" s="4" t="s">
        <v>655</v>
      </c>
      <c r="O103" s="5" t="s">
        <v>608</v>
      </c>
      <c r="P103" s="4" t="s">
        <v>141</v>
      </c>
      <c r="Q103" s="4"/>
      <c r="R103" s="5" t="s">
        <v>154</v>
      </c>
      <c r="S103" s="4"/>
    </row>
    <row r="104" customFormat="false" ht="29.85" hidden="false" customHeight="false" outlineLevel="0" collapsed="false">
      <c r="A104" s="4" t="s">
        <v>660</v>
      </c>
      <c r="B104" s="4" t="s">
        <v>49</v>
      </c>
      <c r="C104" s="4" t="s">
        <v>650</v>
      </c>
      <c r="D104" s="4" t="s">
        <v>661</v>
      </c>
      <c r="E104" s="4" t="n">
        <v>10</v>
      </c>
      <c r="F104" s="4"/>
      <c r="G104" s="4"/>
      <c r="H104" s="4" t="s">
        <v>559</v>
      </c>
      <c r="I104" s="5" t="s">
        <v>662</v>
      </c>
      <c r="J104" s="4" t="s">
        <v>653</v>
      </c>
      <c r="K104" s="4" t="s">
        <v>654</v>
      </c>
      <c r="L104" s="4" t="n">
        <v>1</v>
      </c>
      <c r="M104" s="5" t="s">
        <v>138</v>
      </c>
      <c r="N104" s="4" t="s">
        <v>655</v>
      </c>
      <c r="O104" s="5" t="s">
        <v>608</v>
      </c>
      <c r="P104" s="4" t="s">
        <v>141</v>
      </c>
      <c r="Q104" s="4"/>
      <c r="R104" s="5" t="s">
        <v>154</v>
      </c>
      <c r="S104" s="4"/>
    </row>
    <row r="105" customFormat="false" ht="29.85" hidden="false" customHeight="false" outlineLevel="0" collapsed="false">
      <c r="A105" s="4" t="s">
        <v>663</v>
      </c>
      <c r="B105" s="4" t="s">
        <v>49</v>
      </c>
      <c r="C105" s="4" t="s">
        <v>664</v>
      </c>
      <c r="D105" s="4" t="s">
        <v>665</v>
      </c>
      <c r="E105" s="4" t="n">
        <v>14.8</v>
      </c>
      <c r="F105" s="4"/>
      <c r="G105" s="4"/>
      <c r="H105" s="4" t="s">
        <v>606</v>
      </c>
      <c r="I105" s="4"/>
      <c r="J105" s="4" t="s">
        <v>666</v>
      </c>
      <c r="K105" s="4" t="s">
        <v>667</v>
      </c>
      <c r="L105" s="4" t="n">
        <v>3</v>
      </c>
      <c r="M105" s="5" t="s">
        <v>138</v>
      </c>
      <c r="N105" s="4" t="s">
        <v>668</v>
      </c>
      <c r="O105" s="5" t="s">
        <v>140</v>
      </c>
      <c r="P105" s="4" t="s">
        <v>141</v>
      </c>
      <c r="Q105" s="4" t="s">
        <v>669</v>
      </c>
      <c r="R105" s="5" t="s">
        <v>170</v>
      </c>
      <c r="S105" s="4"/>
    </row>
    <row r="106" customFormat="false" ht="29.85" hidden="false" customHeight="false" outlineLevel="0" collapsed="false">
      <c r="A106" s="4" t="s">
        <v>670</v>
      </c>
      <c r="B106" s="4" t="s">
        <v>49</v>
      </c>
      <c r="C106" s="4" t="s">
        <v>664</v>
      </c>
      <c r="D106" s="4" t="s">
        <v>671</v>
      </c>
      <c r="E106" s="4" t="n">
        <v>2.664</v>
      </c>
      <c r="F106" s="4"/>
      <c r="G106" s="4"/>
      <c r="H106" s="4" t="s">
        <v>672</v>
      </c>
      <c r="I106" s="5" t="s">
        <v>673</v>
      </c>
      <c r="J106" s="4" t="s">
        <v>666</v>
      </c>
      <c r="K106" s="4" t="s">
        <v>667</v>
      </c>
      <c r="L106" s="4" t="n">
        <v>3</v>
      </c>
      <c r="M106" s="5" t="s">
        <v>138</v>
      </c>
      <c r="N106" s="4" t="s">
        <v>668</v>
      </c>
      <c r="O106" s="5" t="s">
        <v>140</v>
      </c>
      <c r="P106" s="4" t="s">
        <v>141</v>
      </c>
      <c r="Q106" s="4" t="s">
        <v>674</v>
      </c>
      <c r="R106" s="5" t="s">
        <v>170</v>
      </c>
      <c r="S106" s="4"/>
    </row>
    <row r="107" customFormat="false" ht="29.85" hidden="false" customHeight="false" outlineLevel="0" collapsed="false">
      <c r="A107" s="4" t="s">
        <v>675</v>
      </c>
      <c r="B107" s="4" t="s">
        <v>49</v>
      </c>
      <c r="C107" s="4" t="s">
        <v>664</v>
      </c>
      <c r="D107" s="4" t="s">
        <v>676</v>
      </c>
      <c r="E107" s="4" t="n">
        <v>2.788</v>
      </c>
      <c r="F107" s="4"/>
      <c r="G107" s="4"/>
      <c r="H107" s="4" t="s">
        <v>672</v>
      </c>
      <c r="I107" s="5" t="s">
        <v>677</v>
      </c>
      <c r="J107" s="4" t="s">
        <v>666</v>
      </c>
      <c r="K107" s="4" t="s">
        <v>667</v>
      </c>
      <c r="L107" s="4" t="n">
        <v>3</v>
      </c>
      <c r="M107" s="5" t="s">
        <v>138</v>
      </c>
      <c r="N107" s="4" t="s">
        <v>668</v>
      </c>
      <c r="O107" s="5" t="s">
        <v>140</v>
      </c>
      <c r="P107" s="4" t="s">
        <v>141</v>
      </c>
      <c r="Q107" s="4"/>
      <c r="R107" s="5" t="s">
        <v>154</v>
      </c>
      <c r="S107" s="4"/>
    </row>
    <row r="108" customFormat="false" ht="29.85" hidden="false" customHeight="false" outlineLevel="0" collapsed="false">
      <c r="A108" s="4" t="s">
        <v>678</v>
      </c>
      <c r="B108" s="4" t="s">
        <v>49</v>
      </c>
      <c r="C108" s="4" t="s">
        <v>664</v>
      </c>
      <c r="D108" s="4" t="s">
        <v>679</v>
      </c>
      <c r="E108" s="4" t="n">
        <v>4096</v>
      </c>
      <c r="F108" s="4"/>
      <c r="G108" s="4"/>
      <c r="H108" s="4" t="s">
        <v>563</v>
      </c>
      <c r="I108" s="4"/>
      <c r="J108" s="4" t="s">
        <v>666</v>
      </c>
      <c r="K108" s="4" t="s">
        <v>667</v>
      </c>
      <c r="L108" s="4" t="n">
        <v>3</v>
      </c>
      <c r="M108" s="5" t="s">
        <v>138</v>
      </c>
      <c r="N108" s="4" t="s">
        <v>668</v>
      </c>
      <c r="O108" s="5" t="s">
        <v>140</v>
      </c>
      <c r="P108" s="4" t="s">
        <v>141</v>
      </c>
      <c r="Q108" s="4" t="s">
        <v>680</v>
      </c>
      <c r="R108" s="5" t="s">
        <v>170</v>
      </c>
      <c r="S108" s="4"/>
    </row>
    <row r="109" customFormat="false" ht="29.85" hidden="false" customHeight="false" outlineLevel="0" collapsed="false">
      <c r="A109" s="4" t="s">
        <v>681</v>
      </c>
      <c r="B109" s="4" t="s">
        <v>49</v>
      </c>
      <c r="C109" s="4" t="s">
        <v>682</v>
      </c>
      <c r="D109" s="5" t="s">
        <v>683</v>
      </c>
      <c r="E109" s="4" t="n">
        <v>1</v>
      </c>
      <c r="F109" s="4"/>
      <c r="G109" s="4"/>
      <c r="H109" s="4" t="s">
        <v>684</v>
      </c>
      <c r="I109" s="5" t="s">
        <v>685</v>
      </c>
      <c r="J109" s="4" t="s">
        <v>686</v>
      </c>
      <c r="K109" s="4" t="s">
        <v>229</v>
      </c>
      <c r="L109" s="4" t="n">
        <v>1</v>
      </c>
      <c r="M109" s="5" t="s">
        <v>138</v>
      </c>
      <c r="N109" s="4" t="s">
        <v>607</v>
      </c>
      <c r="O109" s="5" t="s">
        <v>608</v>
      </c>
      <c r="P109" s="4" t="s">
        <v>141</v>
      </c>
      <c r="Q109" s="4" t="s">
        <v>687</v>
      </c>
      <c r="R109" s="4" t="s">
        <v>143</v>
      </c>
      <c r="S109" s="4" t="s">
        <v>688</v>
      </c>
    </row>
    <row r="110" customFormat="false" ht="29.85" hidden="false" customHeight="false" outlineLevel="0" collapsed="false">
      <c r="A110" s="4" t="s">
        <v>689</v>
      </c>
      <c r="B110" s="4" t="s">
        <v>49</v>
      </c>
      <c r="C110" s="4" t="s">
        <v>690</v>
      </c>
      <c r="D110" s="5" t="s">
        <v>691</v>
      </c>
      <c r="E110" s="4" t="n">
        <v>1</v>
      </c>
      <c r="F110" s="4"/>
      <c r="G110" s="4"/>
      <c r="H110" s="4" t="s">
        <v>684</v>
      </c>
      <c r="I110" s="5" t="s">
        <v>685</v>
      </c>
      <c r="J110" s="4" t="s">
        <v>692</v>
      </c>
      <c r="K110" s="4" t="s">
        <v>693</v>
      </c>
      <c r="L110" s="4" t="n">
        <v>1</v>
      </c>
      <c r="M110" s="5" t="s">
        <v>138</v>
      </c>
      <c r="N110" s="4" t="s">
        <v>694</v>
      </c>
      <c r="O110" s="5" t="s">
        <v>608</v>
      </c>
      <c r="P110" s="4" t="s">
        <v>141</v>
      </c>
      <c r="Q110" s="4" t="s">
        <v>687</v>
      </c>
      <c r="R110" s="4" t="s">
        <v>143</v>
      </c>
      <c r="S110" s="4"/>
    </row>
    <row r="111" customFormat="false" ht="29.85" hidden="false" customHeight="false" outlineLevel="0" collapsed="false">
      <c r="A111" s="4" t="s">
        <v>695</v>
      </c>
      <c r="B111" s="4" t="s">
        <v>49</v>
      </c>
      <c r="C111" s="4" t="s">
        <v>696</v>
      </c>
      <c r="D111" s="5" t="s">
        <v>697</v>
      </c>
      <c r="E111" s="4" t="n">
        <v>1</v>
      </c>
      <c r="F111" s="4"/>
      <c r="G111" s="4"/>
      <c r="H111" s="4" t="s">
        <v>684</v>
      </c>
      <c r="I111" s="5" t="s">
        <v>685</v>
      </c>
      <c r="J111" s="4" t="s">
        <v>698</v>
      </c>
      <c r="K111" s="4" t="s">
        <v>637</v>
      </c>
      <c r="L111" s="4" t="n">
        <v>2</v>
      </c>
      <c r="M111" s="5" t="s">
        <v>138</v>
      </c>
      <c r="N111" s="4" t="s">
        <v>699</v>
      </c>
      <c r="O111" s="5" t="s">
        <v>153</v>
      </c>
      <c r="P111" s="4" t="s">
        <v>141</v>
      </c>
      <c r="Q111" s="4" t="s">
        <v>687</v>
      </c>
      <c r="R111" s="4" t="s">
        <v>143</v>
      </c>
      <c r="S111" s="4"/>
    </row>
    <row r="112" customFormat="false" ht="29.85" hidden="false" customHeight="false" outlineLevel="0" collapsed="false">
      <c r="A112" s="4" t="s">
        <v>700</v>
      </c>
      <c r="B112" s="4" t="s">
        <v>49</v>
      </c>
      <c r="C112" s="4" t="s">
        <v>696</v>
      </c>
      <c r="D112" s="4" t="s">
        <v>701</v>
      </c>
      <c r="E112" s="4" t="n">
        <v>1.5</v>
      </c>
      <c r="F112" s="4"/>
      <c r="G112" s="4"/>
      <c r="H112" s="4" t="s">
        <v>559</v>
      </c>
      <c r="I112" s="5" t="s">
        <v>702</v>
      </c>
      <c r="J112" s="4" t="s">
        <v>698</v>
      </c>
      <c r="K112" s="4" t="s">
        <v>637</v>
      </c>
      <c r="L112" s="4" t="n">
        <v>2</v>
      </c>
      <c r="M112" s="5" t="s">
        <v>138</v>
      </c>
      <c r="N112" s="4" t="s">
        <v>699</v>
      </c>
      <c r="O112" s="5" t="s">
        <v>153</v>
      </c>
      <c r="P112" s="4" t="s">
        <v>141</v>
      </c>
      <c r="Q112" s="4"/>
      <c r="R112" s="5" t="s">
        <v>154</v>
      </c>
      <c r="S112" s="4"/>
    </row>
    <row r="113" customFormat="false" ht="29.85" hidden="false" customHeight="false" outlineLevel="0" collapsed="false">
      <c r="A113" s="4" t="s">
        <v>703</v>
      </c>
      <c r="B113" s="4" t="s">
        <v>49</v>
      </c>
      <c r="C113" s="4" t="s">
        <v>704</v>
      </c>
      <c r="D113" s="5" t="s">
        <v>705</v>
      </c>
      <c r="E113" s="4" t="n">
        <v>1</v>
      </c>
      <c r="F113" s="4"/>
      <c r="G113" s="4"/>
      <c r="H113" s="4" t="s">
        <v>684</v>
      </c>
      <c r="I113" s="5" t="s">
        <v>685</v>
      </c>
      <c r="J113" s="4" t="s">
        <v>706</v>
      </c>
      <c r="K113" s="4" t="s">
        <v>654</v>
      </c>
      <c r="L113" s="4" t="n">
        <v>1</v>
      </c>
      <c r="M113" s="5" t="s">
        <v>138</v>
      </c>
      <c r="N113" s="4" t="s">
        <v>707</v>
      </c>
      <c r="O113" s="5" t="s">
        <v>608</v>
      </c>
      <c r="P113" s="4" t="s">
        <v>141</v>
      </c>
      <c r="Q113" s="4" t="s">
        <v>687</v>
      </c>
      <c r="R113" s="4" t="s">
        <v>143</v>
      </c>
      <c r="S113" s="4"/>
    </row>
    <row r="114" customFormat="false" ht="29.85" hidden="false" customHeight="false" outlineLevel="0" collapsed="false">
      <c r="A114" s="4" t="s">
        <v>708</v>
      </c>
      <c r="B114" s="4" t="s">
        <v>49</v>
      </c>
      <c r="C114" s="4" t="s">
        <v>704</v>
      </c>
      <c r="D114" s="4" t="s">
        <v>709</v>
      </c>
      <c r="E114" s="4" t="n">
        <v>10.7</v>
      </c>
      <c r="F114" s="4"/>
      <c r="G114" s="4"/>
      <c r="H114" s="4" t="s">
        <v>559</v>
      </c>
      <c r="I114" s="5" t="s">
        <v>710</v>
      </c>
      <c r="J114" s="4" t="s">
        <v>706</v>
      </c>
      <c r="K114" s="4" t="s">
        <v>654</v>
      </c>
      <c r="L114" s="4" t="n">
        <v>1</v>
      </c>
      <c r="M114" s="5" t="s">
        <v>138</v>
      </c>
      <c r="N114" s="4" t="s">
        <v>707</v>
      </c>
      <c r="O114" s="5" t="s">
        <v>608</v>
      </c>
      <c r="P114" s="4" t="s">
        <v>141</v>
      </c>
      <c r="Q114" s="4"/>
      <c r="R114" s="5" t="s">
        <v>154</v>
      </c>
      <c r="S114" s="4"/>
    </row>
    <row r="115" customFormat="false" ht="29.85" hidden="false" customHeight="false" outlineLevel="0" collapsed="false">
      <c r="A115" s="4" t="s">
        <v>711</v>
      </c>
      <c r="B115" s="4" t="s">
        <v>50</v>
      </c>
      <c r="C115" s="4" t="s">
        <v>712</v>
      </c>
      <c r="D115" s="4" t="s">
        <v>713</v>
      </c>
      <c r="E115" s="4" t="n">
        <v>6182</v>
      </c>
      <c r="F115" s="4"/>
      <c r="G115" s="4"/>
      <c r="H115" s="4" t="s">
        <v>714</v>
      </c>
      <c r="I115" s="4" t="s">
        <v>715</v>
      </c>
      <c r="J115" s="4" t="s">
        <v>175</v>
      </c>
      <c r="K115" s="4" t="s">
        <v>716</v>
      </c>
      <c r="L115" s="4" t="n">
        <v>1</v>
      </c>
      <c r="M115" s="5" t="s">
        <v>138</v>
      </c>
      <c r="N115" s="4" t="s">
        <v>717</v>
      </c>
      <c r="O115" s="5" t="s">
        <v>608</v>
      </c>
      <c r="P115" s="4" t="s">
        <v>141</v>
      </c>
      <c r="Q115" s="4" t="s">
        <v>718</v>
      </c>
      <c r="R115" s="5" t="s">
        <v>170</v>
      </c>
      <c r="S115" s="5" t="s">
        <v>719</v>
      </c>
    </row>
    <row r="116" customFormat="false" ht="29.85" hidden="false" customHeight="false" outlineLevel="0" collapsed="false">
      <c r="A116" s="4" t="s">
        <v>720</v>
      </c>
      <c r="B116" s="4" t="s">
        <v>50</v>
      </c>
      <c r="C116" s="4" t="s">
        <v>712</v>
      </c>
      <c r="D116" s="4" t="s">
        <v>721</v>
      </c>
      <c r="E116" s="4" t="n">
        <v>2189</v>
      </c>
      <c r="F116" s="4"/>
      <c r="G116" s="4"/>
      <c r="H116" s="4" t="s">
        <v>714</v>
      </c>
      <c r="I116" s="4" t="s">
        <v>715</v>
      </c>
      <c r="J116" s="4" t="s">
        <v>166</v>
      </c>
      <c r="K116" s="4" t="s">
        <v>716</v>
      </c>
      <c r="L116" s="4" t="n">
        <v>1</v>
      </c>
      <c r="M116" s="5" t="s">
        <v>138</v>
      </c>
      <c r="N116" s="4" t="s">
        <v>717</v>
      </c>
      <c r="O116" s="5" t="s">
        <v>608</v>
      </c>
      <c r="P116" s="4" t="s">
        <v>141</v>
      </c>
      <c r="Q116" s="4" t="s">
        <v>722</v>
      </c>
      <c r="R116" s="5" t="s">
        <v>170</v>
      </c>
      <c r="S116" s="5" t="s">
        <v>723</v>
      </c>
    </row>
    <row r="117" customFormat="false" ht="29.85" hidden="false" customHeight="false" outlineLevel="0" collapsed="false">
      <c r="A117" s="4" t="s">
        <v>724</v>
      </c>
      <c r="B117" s="4" t="s">
        <v>50</v>
      </c>
      <c r="C117" s="4" t="s">
        <v>712</v>
      </c>
      <c r="D117" s="4" t="s">
        <v>725</v>
      </c>
      <c r="E117" s="4" t="n">
        <v>11056</v>
      </c>
      <c r="F117" s="4"/>
      <c r="G117" s="4"/>
      <c r="H117" s="4" t="s">
        <v>726</v>
      </c>
      <c r="I117" s="4"/>
      <c r="J117" s="4" t="s">
        <v>175</v>
      </c>
      <c r="K117" s="4" t="s">
        <v>716</v>
      </c>
      <c r="L117" s="4" t="n">
        <v>1</v>
      </c>
      <c r="M117" s="5" t="s">
        <v>138</v>
      </c>
      <c r="N117" s="4" t="s">
        <v>717</v>
      </c>
      <c r="O117" s="5" t="s">
        <v>608</v>
      </c>
      <c r="P117" s="4" t="s">
        <v>141</v>
      </c>
      <c r="Q117" s="4"/>
      <c r="R117" s="5" t="s">
        <v>154</v>
      </c>
      <c r="S117" s="4"/>
    </row>
    <row r="118" customFormat="false" ht="29.85" hidden="false" customHeight="false" outlineLevel="0" collapsed="false">
      <c r="A118" s="4" t="s">
        <v>727</v>
      </c>
      <c r="B118" s="4" t="s">
        <v>50</v>
      </c>
      <c r="C118" s="4" t="s">
        <v>728</v>
      </c>
      <c r="D118" s="4" t="s">
        <v>729</v>
      </c>
      <c r="E118" s="4" t="n">
        <v>11200</v>
      </c>
      <c r="F118" s="4"/>
      <c r="G118" s="4"/>
      <c r="H118" s="4" t="s">
        <v>714</v>
      </c>
      <c r="I118" s="4" t="s">
        <v>715</v>
      </c>
      <c r="J118" s="4" t="s">
        <v>175</v>
      </c>
      <c r="K118" s="4" t="s">
        <v>730</v>
      </c>
      <c r="L118" s="4" t="n">
        <v>1</v>
      </c>
      <c r="M118" s="5" t="s">
        <v>138</v>
      </c>
      <c r="N118" s="4" t="s">
        <v>731</v>
      </c>
      <c r="O118" s="5" t="s">
        <v>608</v>
      </c>
      <c r="P118" s="4" t="s">
        <v>141</v>
      </c>
      <c r="Q118" s="4" t="s">
        <v>732</v>
      </c>
      <c r="R118" s="5" t="s">
        <v>170</v>
      </c>
      <c r="S118" s="4"/>
    </row>
    <row r="119" customFormat="false" ht="29.85" hidden="false" customHeight="false" outlineLevel="0" collapsed="false">
      <c r="A119" s="4" t="s">
        <v>733</v>
      </c>
      <c r="B119" s="4" t="s">
        <v>50</v>
      </c>
      <c r="C119" s="4" t="s">
        <v>728</v>
      </c>
      <c r="D119" s="4" t="s">
        <v>734</v>
      </c>
      <c r="E119" s="4" t="n">
        <v>0.7</v>
      </c>
      <c r="F119" s="4"/>
      <c r="G119" s="4"/>
      <c r="H119" s="4" t="s">
        <v>421</v>
      </c>
      <c r="I119" s="4" t="s">
        <v>735</v>
      </c>
      <c r="J119" s="4" t="s">
        <v>536</v>
      </c>
      <c r="K119" s="4" t="s">
        <v>730</v>
      </c>
      <c r="L119" s="4" t="n">
        <v>1</v>
      </c>
      <c r="M119" s="5" t="s">
        <v>138</v>
      </c>
      <c r="N119" s="4" t="s">
        <v>731</v>
      </c>
      <c r="O119" s="5" t="s">
        <v>608</v>
      </c>
      <c r="P119" s="4" t="s">
        <v>141</v>
      </c>
      <c r="Q119" s="4" t="s">
        <v>736</v>
      </c>
      <c r="R119" s="5" t="s">
        <v>170</v>
      </c>
      <c r="S119" s="5" t="s">
        <v>737</v>
      </c>
    </row>
    <row r="120" customFormat="false" ht="29.85" hidden="false" customHeight="false" outlineLevel="0" collapsed="false">
      <c r="A120" s="4" t="s">
        <v>738</v>
      </c>
      <c r="B120" s="4" t="s">
        <v>50</v>
      </c>
      <c r="C120" s="4" t="s">
        <v>728</v>
      </c>
      <c r="D120" s="4" t="s">
        <v>739</v>
      </c>
      <c r="E120" s="4" t="n">
        <v>0.57</v>
      </c>
      <c r="F120" s="4"/>
      <c r="G120" s="4"/>
      <c r="H120" s="4" t="s">
        <v>421</v>
      </c>
      <c r="I120" s="4" t="s">
        <v>740</v>
      </c>
      <c r="J120" s="4" t="s">
        <v>536</v>
      </c>
      <c r="K120" s="4" t="s">
        <v>730</v>
      </c>
      <c r="L120" s="4" t="n">
        <v>1</v>
      </c>
      <c r="M120" s="5" t="s">
        <v>138</v>
      </c>
      <c r="N120" s="4" t="s">
        <v>731</v>
      </c>
      <c r="O120" s="5" t="s">
        <v>608</v>
      </c>
      <c r="P120" s="4" t="s">
        <v>741</v>
      </c>
      <c r="Q120" s="4"/>
      <c r="R120" s="5" t="s">
        <v>154</v>
      </c>
      <c r="S120" s="5" t="s">
        <v>742</v>
      </c>
    </row>
    <row r="121" customFormat="false" ht="29.85" hidden="false" customHeight="false" outlineLevel="0" collapsed="false">
      <c r="A121" s="4" t="s">
        <v>743</v>
      </c>
      <c r="B121" s="4" t="s">
        <v>50</v>
      </c>
      <c r="C121" s="4" t="s">
        <v>728</v>
      </c>
      <c r="D121" s="4" t="s">
        <v>744</v>
      </c>
      <c r="E121" s="4" t="n">
        <v>4</v>
      </c>
      <c r="F121" s="4"/>
      <c r="G121" s="4"/>
      <c r="H121" s="4" t="s">
        <v>390</v>
      </c>
      <c r="I121" s="4" t="s">
        <v>745</v>
      </c>
      <c r="J121" s="4" t="s">
        <v>175</v>
      </c>
      <c r="K121" s="4" t="s">
        <v>730</v>
      </c>
      <c r="L121" s="4" t="n">
        <v>1</v>
      </c>
      <c r="M121" s="5" t="s">
        <v>138</v>
      </c>
      <c r="N121" s="4" t="s">
        <v>731</v>
      </c>
      <c r="O121" s="5" t="s">
        <v>608</v>
      </c>
      <c r="P121" s="4" t="s">
        <v>141</v>
      </c>
      <c r="Q121" s="4" t="s">
        <v>746</v>
      </c>
      <c r="R121" s="5" t="s">
        <v>170</v>
      </c>
      <c r="S121" s="4" t="s">
        <v>747</v>
      </c>
    </row>
    <row r="122" customFormat="false" ht="29.85" hidden="false" customHeight="false" outlineLevel="0" collapsed="false">
      <c r="A122" s="4" t="s">
        <v>748</v>
      </c>
      <c r="B122" s="4" t="s">
        <v>50</v>
      </c>
      <c r="C122" s="4" t="s">
        <v>728</v>
      </c>
      <c r="D122" s="4" t="s">
        <v>749</v>
      </c>
      <c r="E122" s="4" t="n">
        <v>32</v>
      </c>
      <c r="F122" s="4"/>
      <c r="G122" s="4"/>
      <c r="H122" s="4" t="s">
        <v>390</v>
      </c>
      <c r="I122" s="4" t="s">
        <v>750</v>
      </c>
      <c r="J122" s="4" t="s">
        <v>175</v>
      </c>
      <c r="K122" s="4" t="s">
        <v>730</v>
      </c>
      <c r="L122" s="4" t="n">
        <v>1</v>
      </c>
      <c r="M122" s="5" t="s">
        <v>138</v>
      </c>
      <c r="N122" s="4" t="s">
        <v>731</v>
      </c>
      <c r="O122" s="5" t="s">
        <v>608</v>
      </c>
      <c r="P122" s="4" t="s">
        <v>141</v>
      </c>
      <c r="Q122" s="4" t="s">
        <v>751</v>
      </c>
      <c r="R122" s="5" t="s">
        <v>170</v>
      </c>
      <c r="S122" s="4" t="s">
        <v>747</v>
      </c>
    </row>
    <row r="123" customFormat="false" ht="29.85" hidden="false" customHeight="false" outlineLevel="0" collapsed="false">
      <c r="A123" s="4" t="s">
        <v>752</v>
      </c>
      <c r="B123" s="4" t="s">
        <v>50</v>
      </c>
      <c r="C123" s="4" t="s">
        <v>753</v>
      </c>
      <c r="D123" s="4" t="s">
        <v>754</v>
      </c>
      <c r="E123" s="4" t="n">
        <v>9384.4</v>
      </c>
      <c r="F123" s="4"/>
      <c r="G123" s="4"/>
      <c r="H123" s="4" t="s">
        <v>714</v>
      </c>
      <c r="I123" s="4" t="s">
        <v>755</v>
      </c>
      <c r="J123" s="4" t="s">
        <v>175</v>
      </c>
      <c r="K123" s="5" t="s">
        <v>756</v>
      </c>
      <c r="L123" s="4" t="n">
        <v>3</v>
      </c>
      <c r="M123" s="5" t="s">
        <v>138</v>
      </c>
      <c r="N123" s="4" t="s">
        <v>757</v>
      </c>
      <c r="O123" s="5" t="s">
        <v>758</v>
      </c>
      <c r="P123" s="4" t="s">
        <v>141</v>
      </c>
      <c r="Q123" s="4" t="s">
        <v>759</v>
      </c>
      <c r="R123" s="5" t="s">
        <v>170</v>
      </c>
      <c r="S123" s="5" t="s">
        <v>760</v>
      </c>
    </row>
    <row r="124" customFormat="false" ht="29.85" hidden="false" customHeight="false" outlineLevel="0" collapsed="false">
      <c r="A124" s="4" t="s">
        <v>761</v>
      </c>
      <c r="B124" s="4" t="s">
        <v>50</v>
      </c>
      <c r="C124" s="4" t="s">
        <v>753</v>
      </c>
      <c r="D124" s="4" t="s">
        <v>762</v>
      </c>
      <c r="E124" s="4" t="n">
        <v>3473.9</v>
      </c>
      <c r="F124" s="4"/>
      <c r="G124" s="4"/>
      <c r="H124" s="4" t="s">
        <v>714</v>
      </c>
      <c r="I124" s="4" t="s">
        <v>755</v>
      </c>
      <c r="J124" s="4" t="s">
        <v>175</v>
      </c>
      <c r="K124" s="5" t="s">
        <v>756</v>
      </c>
      <c r="L124" s="4" t="n">
        <v>3</v>
      </c>
      <c r="M124" s="5" t="s">
        <v>138</v>
      </c>
      <c r="N124" s="4" t="s">
        <v>757</v>
      </c>
      <c r="O124" s="5" t="s">
        <v>758</v>
      </c>
      <c r="P124" s="4" t="s">
        <v>141</v>
      </c>
      <c r="Q124" s="4" t="s">
        <v>763</v>
      </c>
      <c r="R124" s="5" t="s">
        <v>170</v>
      </c>
      <c r="S124" s="5" t="s">
        <v>764</v>
      </c>
    </row>
    <row r="125" customFormat="false" ht="29.85" hidden="false" customHeight="false" outlineLevel="0" collapsed="false">
      <c r="A125" s="4" t="s">
        <v>765</v>
      </c>
      <c r="B125" s="4" t="s">
        <v>50</v>
      </c>
      <c r="C125" s="4" t="s">
        <v>753</v>
      </c>
      <c r="D125" s="4" t="s">
        <v>766</v>
      </c>
      <c r="E125" s="4" t="n">
        <v>0.078</v>
      </c>
      <c r="F125" s="4"/>
      <c r="G125" s="4"/>
      <c r="H125" s="4" t="s">
        <v>767</v>
      </c>
      <c r="I125" s="4" t="s">
        <v>768</v>
      </c>
      <c r="J125" s="4" t="s">
        <v>175</v>
      </c>
      <c r="K125" s="5" t="s">
        <v>756</v>
      </c>
      <c r="L125" s="4" t="n">
        <v>3</v>
      </c>
      <c r="M125" s="5" t="s">
        <v>138</v>
      </c>
      <c r="N125" s="4" t="s">
        <v>757</v>
      </c>
      <c r="O125" s="5" t="s">
        <v>758</v>
      </c>
      <c r="P125" s="4" t="s">
        <v>141</v>
      </c>
      <c r="Q125" s="4" t="s">
        <v>769</v>
      </c>
      <c r="R125" s="4" t="s">
        <v>143</v>
      </c>
      <c r="S125" s="4"/>
    </row>
    <row r="126" customFormat="false" ht="29.85" hidden="false" customHeight="false" outlineLevel="0" collapsed="false">
      <c r="A126" s="4" t="s">
        <v>770</v>
      </c>
      <c r="B126" s="4" t="s">
        <v>50</v>
      </c>
      <c r="C126" s="4" t="s">
        <v>753</v>
      </c>
      <c r="D126" s="4" t="s">
        <v>771</v>
      </c>
      <c r="E126" s="4" t="n">
        <v>0.216</v>
      </c>
      <c r="F126" s="4"/>
      <c r="G126" s="4"/>
      <c r="H126" s="4" t="s">
        <v>767</v>
      </c>
      <c r="I126" s="4" t="s">
        <v>768</v>
      </c>
      <c r="J126" s="4" t="s">
        <v>175</v>
      </c>
      <c r="K126" s="5" t="s">
        <v>756</v>
      </c>
      <c r="L126" s="4" t="n">
        <v>3</v>
      </c>
      <c r="M126" s="5" t="s">
        <v>138</v>
      </c>
      <c r="N126" s="4" t="s">
        <v>757</v>
      </c>
      <c r="O126" s="5" t="s">
        <v>758</v>
      </c>
      <c r="P126" s="4" t="s">
        <v>141</v>
      </c>
      <c r="Q126" s="4"/>
      <c r="R126" s="5" t="s">
        <v>154</v>
      </c>
      <c r="S126" s="4"/>
    </row>
    <row r="127" customFormat="false" ht="29.85" hidden="false" customHeight="false" outlineLevel="0" collapsed="false">
      <c r="A127" s="4" t="s">
        <v>772</v>
      </c>
      <c r="B127" s="4" t="s">
        <v>50</v>
      </c>
      <c r="C127" s="4" t="s">
        <v>753</v>
      </c>
      <c r="D127" s="4" t="s">
        <v>773</v>
      </c>
      <c r="E127" s="4" t="n">
        <v>1.436</v>
      </c>
      <c r="F127" s="4"/>
      <c r="G127" s="4"/>
      <c r="H127" s="4" t="s">
        <v>767</v>
      </c>
      <c r="I127" s="4" t="s">
        <v>768</v>
      </c>
      <c r="J127" s="4" t="s">
        <v>175</v>
      </c>
      <c r="K127" s="5" t="s">
        <v>756</v>
      </c>
      <c r="L127" s="4" t="n">
        <v>3</v>
      </c>
      <c r="M127" s="5" t="s">
        <v>138</v>
      </c>
      <c r="N127" s="4" t="s">
        <v>757</v>
      </c>
      <c r="O127" s="5" t="s">
        <v>758</v>
      </c>
      <c r="P127" s="4" t="s">
        <v>141</v>
      </c>
      <c r="Q127" s="4"/>
      <c r="R127" s="5" t="s">
        <v>154</v>
      </c>
      <c r="S127" s="4"/>
    </row>
    <row r="128" customFormat="false" ht="29.85" hidden="false" customHeight="false" outlineLevel="0" collapsed="false">
      <c r="A128" s="4" t="s">
        <v>774</v>
      </c>
      <c r="B128" s="4" t="s">
        <v>50</v>
      </c>
      <c r="C128" s="4" t="s">
        <v>775</v>
      </c>
      <c r="D128" s="4" t="s">
        <v>776</v>
      </c>
      <c r="E128" s="4" t="n">
        <v>3795.5</v>
      </c>
      <c r="F128" s="4"/>
      <c r="G128" s="4"/>
      <c r="H128" s="4" t="s">
        <v>726</v>
      </c>
      <c r="I128" s="5" t="s">
        <v>777</v>
      </c>
      <c r="J128" s="4" t="s">
        <v>166</v>
      </c>
      <c r="K128" s="4" t="s">
        <v>778</v>
      </c>
      <c r="L128" s="4" t="n">
        <v>1</v>
      </c>
      <c r="M128" s="5" t="s">
        <v>138</v>
      </c>
      <c r="N128" s="4" t="s">
        <v>779</v>
      </c>
      <c r="O128" s="5" t="s">
        <v>608</v>
      </c>
      <c r="P128" s="4" t="s">
        <v>141</v>
      </c>
      <c r="Q128" s="4" t="s">
        <v>780</v>
      </c>
      <c r="R128" s="5" t="s">
        <v>170</v>
      </c>
      <c r="S128" s="5" t="s">
        <v>781</v>
      </c>
    </row>
    <row r="129" customFormat="false" ht="29.85" hidden="false" customHeight="false" outlineLevel="0" collapsed="false">
      <c r="A129" s="4" t="s">
        <v>782</v>
      </c>
      <c r="B129" s="4" t="s">
        <v>50</v>
      </c>
      <c r="C129" s="4" t="s">
        <v>775</v>
      </c>
      <c r="D129" s="4" t="s">
        <v>783</v>
      </c>
      <c r="E129" s="4" t="n">
        <v>6522.4</v>
      </c>
      <c r="F129" s="4"/>
      <c r="G129" s="4"/>
      <c r="H129" s="4" t="s">
        <v>726</v>
      </c>
      <c r="I129" s="5" t="s">
        <v>784</v>
      </c>
      <c r="J129" s="4" t="s">
        <v>175</v>
      </c>
      <c r="K129" s="4" t="s">
        <v>778</v>
      </c>
      <c r="L129" s="4" t="n">
        <v>1</v>
      </c>
      <c r="M129" s="5" t="s">
        <v>138</v>
      </c>
      <c r="N129" s="4" t="s">
        <v>779</v>
      </c>
      <c r="O129" s="5" t="s">
        <v>608</v>
      </c>
      <c r="P129" s="4" t="s">
        <v>141</v>
      </c>
      <c r="Q129" s="4" t="s">
        <v>785</v>
      </c>
      <c r="R129" s="5" t="s">
        <v>170</v>
      </c>
      <c r="S129" s="5" t="s">
        <v>781</v>
      </c>
    </row>
    <row r="130" customFormat="false" ht="29.85" hidden="false" customHeight="false" outlineLevel="0" collapsed="false">
      <c r="A130" s="4" t="s">
        <v>786</v>
      </c>
      <c r="B130" s="4" t="s">
        <v>50</v>
      </c>
      <c r="C130" s="4" t="s">
        <v>787</v>
      </c>
      <c r="D130" s="4" t="s">
        <v>788</v>
      </c>
      <c r="E130" s="4" t="n">
        <v>4036</v>
      </c>
      <c r="F130" s="4"/>
      <c r="G130" s="4"/>
      <c r="H130" s="4" t="s">
        <v>726</v>
      </c>
      <c r="I130" s="5" t="s">
        <v>781</v>
      </c>
      <c r="J130" s="4" t="s">
        <v>789</v>
      </c>
      <c r="K130" s="4" t="s">
        <v>199</v>
      </c>
      <c r="L130" s="4" t="n">
        <v>1</v>
      </c>
      <c r="M130" s="5" t="s">
        <v>138</v>
      </c>
      <c r="N130" s="4" t="s">
        <v>790</v>
      </c>
      <c r="O130" s="5" t="s">
        <v>608</v>
      </c>
      <c r="P130" s="4" t="s">
        <v>141</v>
      </c>
      <c r="Q130" s="4"/>
      <c r="R130" s="5" t="s">
        <v>154</v>
      </c>
      <c r="S130" s="5" t="s">
        <v>791</v>
      </c>
    </row>
    <row r="131" customFormat="false" ht="29.85" hidden="false" customHeight="false" outlineLevel="0" collapsed="false">
      <c r="A131" s="4" t="s">
        <v>792</v>
      </c>
      <c r="B131" s="4" t="s">
        <v>50</v>
      </c>
      <c r="C131" s="4" t="s">
        <v>787</v>
      </c>
      <c r="D131" s="4" t="s">
        <v>793</v>
      </c>
      <c r="E131" s="4" t="n">
        <v>3102</v>
      </c>
      <c r="F131" s="4"/>
      <c r="G131" s="4"/>
      <c r="H131" s="4" t="s">
        <v>726</v>
      </c>
      <c r="I131" s="5" t="s">
        <v>781</v>
      </c>
      <c r="J131" s="4" t="s">
        <v>789</v>
      </c>
      <c r="K131" s="4" t="s">
        <v>199</v>
      </c>
      <c r="L131" s="4" t="n">
        <v>1</v>
      </c>
      <c r="M131" s="5" t="s">
        <v>138</v>
      </c>
      <c r="N131" s="4" t="s">
        <v>790</v>
      </c>
      <c r="O131" s="5" t="s">
        <v>608</v>
      </c>
      <c r="P131" s="4" t="s">
        <v>141</v>
      </c>
      <c r="Q131" s="4"/>
      <c r="R131" s="5" t="s">
        <v>154</v>
      </c>
      <c r="S131" s="5" t="s">
        <v>791</v>
      </c>
    </row>
    <row r="132" customFormat="false" ht="29.85" hidden="false" customHeight="false" outlineLevel="0" collapsed="false">
      <c r="A132" s="4" t="s">
        <v>794</v>
      </c>
      <c r="B132" s="4" t="s">
        <v>50</v>
      </c>
      <c r="C132" s="4" t="s">
        <v>795</v>
      </c>
      <c r="D132" s="5" t="s">
        <v>796</v>
      </c>
      <c r="E132" s="4" t="n">
        <v>120</v>
      </c>
      <c r="F132" s="4"/>
      <c r="G132" s="4"/>
      <c r="H132" s="4" t="s">
        <v>797</v>
      </c>
      <c r="I132" s="5" t="s">
        <v>798</v>
      </c>
      <c r="J132" s="4" t="s">
        <v>799</v>
      </c>
      <c r="K132" s="4" t="s">
        <v>229</v>
      </c>
      <c r="L132" s="4" t="n">
        <v>1</v>
      </c>
      <c r="M132" s="5" t="s">
        <v>238</v>
      </c>
      <c r="N132" s="4" t="s">
        <v>800</v>
      </c>
      <c r="O132" s="5" t="s">
        <v>608</v>
      </c>
      <c r="P132" s="4" t="s">
        <v>141</v>
      </c>
      <c r="Q132" s="4" t="s">
        <v>801</v>
      </c>
      <c r="R132" s="5" t="s">
        <v>170</v>
      </c>
      <c r="S132" s="4" t="s">
        <v>802</v>
      </c>
    </row>
    <row r="133" customFormat="false" ht="29.85" hidden="false" customHeight="false" outlineLevel="0" collapsed="false">
      <c r="A133" s="4" t="s">
        <v>803</v>
      </c>
      <c r="B133" s="4" t="s">
        <v>50</v>
      </c>
      <c r="C133" s="4" t="s">
        <v>795</v>
      </c>
      <c r="D133" s="5" t="s">
        <v>804</v>
      </c>
      <c r="E133" s="4" t="n">
        <v>68</v>
      </c>
      <c r="F133" s="4"/>
      <c r="G133" s="4"/>
      <c r="H133" s="4" t="s">
        <v>797</v>
      </c>
      <c r="I133" s="5" t="s">
        <v>798</v>
      </c>
      <c r="J133" s="4" t="s">
        <v>805</v>
      </c>
      <c r="K133" s="4" t="s">
        <v>229</v>
      </c>
      <c r="L133" s="4" t="n">
        <v>1</v>
      </c>
      <c r="M133" s="5" t="s">
        <v>238</v>
      </c>
      <c r="N133" s="4" t="s">
        <v>800</v>
      </c>
      <c r="O133" s="5" t="s">
        <v>608</v>
      </c>
      <c r="P133" s="4" t="s">
        <v>141</v>
      </c>
      <c r="Q133" s="4" t="s">
        <v>806</v>
      </c>
      <c r="R133" s="4" t="s">
        <v>143</v>
      </c>
      <c r="S133" s="4" t="s">
        <v>807</v>
      </c>
    </row>
    <row r="134" customFormat="false" ht="29.85" hidden="false" customHeight="false" outlineLevel="0" collapsed="false">
      <c r="A134" s="4" t="s">
        <v>808</v>
      </c>
      <c r="B134" s="4" t="s">
        <v>50</v>
      </c>
      <c r="C134" s="4" t="s">
        <v>795</v>
      </c>
      <c r="D134" s="5" t="s">
        <v>809</v>
      </c>
      <c r="E134" s="4"/>
      <c r="F134" s="4" t="n">
        <v>52</v>
      </c>
      <c r="G134" s="4" t="n">
        <v>56</v>
      </c>
      <c r="H134" s="4" t="s">
        <v>797</v>
      </c>
      <c r="I134" s="5" t="s">
        <v>798</v>
      </c>
      <c r="J134" s="4" t="s">
        <v>810</v>
      </c>
      <c r="K134" s="4" t="s">
        <v>229</v>
      </c>
      <c r="L134" s="4" t="n">
        <v>1</v>
      </c>
      <c r="M134" s="5" t="s">
        <v>238</v>
      </c>
      <c r="N134" s="4" t="s">
        <v>800</v>
      </c>
      <c r="O134" s="5" t="s">
        <v>608</v>
      </c>
      <c r="P134" s="4" t="s">
        <v>141</v>
      </c>
      <c r="Q134" s="4" t="s">
        <v>811</v>
      </c>
      <c r="R134" s="4" t="s">
        <v>143</v>
      </c>
      <c r="S134" s="4" t="s">
        <v>812</v>
      </c>
    </row>
    <row r="135" customFormat="false" ht="29.85" hidden="false" customHeight="false" outlineLevel="0" collapsed="false">
      <c r="A135" s="4" t="s">
        <v>813</v>
      </c>
      <c r="B135" s="4" t="s">
        <v>50</v>
      </c>
      <c r="C135" s="4" t="s">
        <v>795</v>
      </c>
      <c r="D135" s="5" t="s">
        <v>814</v>
      </c>
      <c r="E135" s="4" t="n">
        <v>54</v>
      </c>
      <c r="F135" s="4"/>
      <c r="G135" s="4"/>
      <c r="H135" s="4" t="s">
        <v>797</v>
      </c>
      <c r="I135" s="5" t="s">
        <v>798</v>
      </c>
      <c r="J135" s="4" t="s">
        <v>815</v>
      </c>
      <c r="K135" s="4" t="s">
        <v>229</v>
      </c>
      <c r="L135" s="4" t="n">
        <v>1</v>
      </c>
      <c r="M135" s="5" t="s">
        <v>238</v>
      </c>
      <c r="N135" s="4" t="s">
        <v>800</v>
      </c>
      <c r="O135" s="5" t="s">
        <v>608</v>
      </c>
      <c r="P135" s="4" t="s">
        <v>141</v>
      </c>
      <c r="Q135" s="4"/>
      <c r="R135" s="5" t="s">
        <v>154</v>
      </c>
      <c r="S135" s="4"/>
    </row>
    <row r="136" customFormat="false" ht="29.85" hidden="false" customHeight="false" outlineLevel="0" collapsed="false">
      <c r="A136" s="4" t="s">
        <v>816</v>
      </c>
      <c r="B136" s="4" t="s">
        <v>50</v>
      </c>
      <c r="C136" s="4" t="s">
        <v>795</v>
      </c>
      <c r="D136" s="5" t="s">
        <v>817</v>
      </c>
      <c r="E136" s="4"/>
      <c r="F136" s="4" t="n">
        <v>290</v>
      </c>
      <c r="G136" s="4" t="n">
        <v>350</v>
      </c>
      <c r="H136" s="4" t="s">
        <v>797</v>
      </c>
      <c r="I136" s="5" t="s">
        <v>798</v>
      </c>
      <c r="J136" s="4" t="s">
        <v>818</v>
      </c>
      <c r="K136" s="4" t="s">
        <v>229</v>
      </c>
      <c r="L136" s="4" t="n">
        <v>1</v>
      </c>
      <c r="M136" s="5" t="s">
        <v>238</v>
      </c>
      <c r="N136" s="4" t="s">
        <v>800</v>
      </c>
      <c r="O136" s="5" t="s">
        <v>608</v>
      </c>
      <c r="P136" s="4" t="s">
        <v>141</v>
      </c>
      <c r="Q136" s="4"/>
      <c r="R136" s="5" t="s">
        <v>154</v>
      </c>
      <c r="S136" s="4"/>
    </row>
    <row r="137" customFormat="false" ht="29.85" hidden="false" customHeight="false" outlineLevel="0" collapsed="false">
      <c r="A137" s="4" t="s">
        <v>819</v>
      </c>
      <c r="B137" s="4" t="s">
        <v>50</v>
      </c>
      <c r="C137" s="4" t="s">
        <v>820</v>
      </c>
      <c r="D137" s="4" t="s">
        <v>821</v>
      </c>
      <c r="E137" s="4" t="n">
        <v>20</v>
      </c>
      <c r="F137" s="4"/>
      <c r="G137" s="4"/>
      <c r="H137" s="4" t="s">
        <v>797</v>
      </c>
      <c r="I137" s="5" t="s">
        <v>822</v>
      </c>
      <c r="J137" s="4" t="s">
        <v>823</v>
      </c>
      <c r="K137" s="4" t="s">
        <v>824</v>
      </c>
      <c r="L137" s="4" t="n">
        <v>3</v>
      </c>
      <c r="M137" s="5" t="s">
        <v>138</v>
      </c>
      <c r="N137" s="4" t="s">
        <v>825</v>
      </c>
      <c r="O137" s="5" t="s">
        <v>140</v>
      </c>
      <c r="P137" s="4" t="s">
        <v>141</v>
      </c>
      <c r="Q137" s="4"/>
      <c r="R137" s="5" t="s">
        <v>154</v>
      </c>
      <c r="S137" s="5" t="s">
        <v>826</v>
      </c>
    </row>
    <row r="138" customFormat="false" ht="44" hidden="false" customHeight="false" outlineLevel="0" collapsed="false">
      <c r="A138" s="4" t="s">
        <v>827</v>
      </c>
      <c r="B138" s="4" t="s">
        <v>50</v>
      </c>
      <c r="C138" s="4" t="s">
        <v>828</v>
      </c>
      <c r="D138" s="4" t="s">
        <v>829</v>
      </c>
      <c r="E138" s="4" t="n">
        <v>250634</v>
      </c>
      <c r="F138" s="4"/>
      <c r="G138" s="4"/>
      <c r="H138" s="4" t="s">
        <v>830</v>
      </c>
      <c r="I138" s="4" t="s">
        <v>831</v>
      </c>
      <c r="J138" s="4" t="s">
        <v>175</v>
      </c>
      <c r="K138" s="4" t="s">
        <v>832</v>
      </c>
      <c r="L138" s="4" t="n">
        <v>2</v>
      </c>
      <c r="M138" s="5" t="s">
        <v>138</v>
      </c>
      <c r="N138" s="4" t="s">
        <v>833</v>
      </c>
      <c r="O138" s="5" t="s">
        <v>834</v>
      </c>
      <c r="P138" s="4" t="s">
        <v>141</v>
      </c>
      <c r="Q138" s="4"/>
      <c r="R138" s="5" t="s">
        <v>154</v>
      </c>
      <c r="S138" s="5" t="s">
        <v>835</v>
      </c>
    </row>
    <row r="139" customFormat="false" ht="44" hidden="false" customHeight="false" outlineLevel="0" collapsed="false">
      <c r="A139" s="4" t="s">
        <v>836</v>
      </c>
      <c r="B139" s="4" t="s">
        <v>50</v>
      </c>
      <c r="C139" s="4" t="s">
        <v>828</v>
      </c>
      <c r="D139" s="4" t="s">
        <v>837</v>
      </c>
      <c r="E139" s="4" t="n">
        <v>240318</v>
      </c>
      <c r="F139" s="4"/>
      <c r="G139" s="4"/>
      <c r="H139" s="4" t="s">
        <v>830</v>
      </c>
      <c r="I139" s="4" t="s">
        <v>831</v>
      </c>
      <c r="J139" s="4" t="s">
        <v>166</v>
      </c>
      <c r="K139" s="4" t="s">
        <v>832</v>
      </c>
      <c r="L139" s="4" t="n">
        <v>2</v>
      </c>
      <c r="M139" s="5" t="s">
        <v>138</v>
      </c>
      <c r="N139" s="4" t="s">
        <v>833</v>
      </c>
      <c r="O139" s="5" t="s">
        <v>834</v>
      </c>
      <c r="P139" s="4" t="s">
        <v>141</v>
      </c>
      <c r="Q139" s="4" t="s">
        <v>838</v>
      </c>
      <c r="R139" s="4" t="s">
        <v>143</v>
      </c>
      <c r="S139" s="5" t="s">
        <v>839</v>
      </c>
    </row>
    <row r="140" customFormat="false" ht="29.85" hidden="false" customHeight="false" outlineLevel="0" collapsed="false">
      <c r="A140" s="4" t="s">
        <v>840</v>
      </c>
      <c r="B140" s="4" t="s">
        <v>50</v>
      </c>
      <c r="C140" s="4" t="s">
        <v>828</v>
      </c>
      <c r="D140" s="4" t="s">
        <v>841</v>
      </c>
      <c r="E140" s="4" t="n">
        <v>8064</v>
      </c>
      <c r="F140" s="4"/>
      <c r="G140" s="4"/>
      <c r="H140" s="4" t="s">
        <v>842</v>
      </c>
      <c r="I140" s="4" t="s">
        <v>843</v>
      </c>
      <c r="J140" s="4" t="s">
        <v>175</v>
      </c>
      <c r="K140" s="4" t="s">
        <v>832</v>
      </c>
      <c r="L140" s="4" t="n">
        <v>2</v>
      </c>
      <c r="M140" s="5" t="s">
        <v>138</v>
      </c>
      <c r="N140" s="4" t="s">
        <v>833</v>
      </c>
      <c r="O140" s="5" t="s">
        <v>834</v>
      </c>
      <c r="P140" s="4" t="s">
        <v>141</v>
      </c>
      <c r="Q140" s="4" t="s">
        <v>844</v>
      </c>
      <c r="R140" s="5" t="s">
        <v>170</v>
      </c>
      <c r="S140" s="4"/>
    </row>
    <row r="141" customFormat="false" ht="44" hidden="false" customHeight="false" outlineLevel="0" collapsed="false">
      <c r="A141" s="4" t="s">
        <v>845</v>
      </c>
      <c r="B141" s="4" t="s">
        <v>50</v>
      </c>
      <c r="C141" s="4" t="s">
        <v>846</v>
      </c>
      <c r="D141" s="4" t="s">
        <v>847</v>
      </c>
      <c r="E141" s="4" t="n">
        <v>652750</v>
      </c>
      <c r="F141" s="4"/>
      <c r="G141" s="4"/>
      <c r="H141" s="4" t="s">
        <v>830</v>
      </c>
      <c r="I141" s="4" t="s">
        <v>848</v>
      </c>
      <c r="J141" s="4" t="s">
        <v>192</v>
      </c>
      <c r="K141" s="4" t="s">
        <v>849</v>
      </c>
      <c r="L141" s="4" t="n">
        <v>2</v>
      </c>
      <c r="M141" s="5" t="s">
        <v>138</v>
      </c>
      <c r="N141" s="4" t="s">
        <v>850</v>
      </c>
      <c r="O141" s="5" t="s">
        <v>153</v>
      </c>
      <c r="P141" s="4" t="s">
        <v>141</v>
      </c>
      <c r="Q141" s="4" t="s">
        <v>851</v>
      </c>
      <c r="R141" s="4" t="s">
        <v>143</v>
      </c>
      <c r="S141" s="5" t="s">
        <v>852</v>
      </c>
    </row>
    <row r="142" customFormat="false" ht="44" hidden="false" customHeight="false" outlineLevel="0" collapsed="false">
      <c r="A142" s="4" t="s">
        <v>853</v>
      </c>
      <c r="B142" s="4" t="s">
        <v>50</v>
      </c>
      <c r="C142" s="4" t="s">
        <v>846</v>
      </c>
      <c r="D142" s="4" t="s">
        <v>854</v>
      </c>
      <c r="E142" s="4" t="n">
        <v>253506</v>
      </c>
      <c r="F142" s="4"/>
      <c r="G142" s="4"/>
      <c r="H142" s="4" t="s">
        <v>830</v>
      </c>
      <c r="I142" s="4" t="s">
        <v>831</v>
      </c>
      <c r="J142" s="4" t="s">
        <v>175</v>
      </c>
      <c r="K142" s="4" t="s">
        <v>849</v>
      </c>
      <c r="L142" s="4" t="n">
        <v>2</v>
      </c>
      <c r="M142" s="5" t="s">
        <v>138</v>
      </c>
      <c r="N142" s="4" t="s">
        <v>850</v>
      </c>
      <c r="O142" s="5" t="s">
        <v>153</v>
      </c>
      <c r="P142" s="4" t="s">
        <v>141</v>
      </c>
      <c r="Q142" s="4" t="s">
        <v>855</v>
      </c>
      <c r="R142" s="4" t="s">
        <v>143</v>
      </c>
      <c r="S142" s="5" t="s">
        <v>856</v>
      </c>
    </row>
    <row r="143" customFormat="false" ht="15" hidden="false" customHeight="false" outlineLevel="0" collapsed="false">
      <c r="A143" s="4" t="s">
        <v>857</v>
      </c>
      <c r="B143" s="4" t="s">
        <v>50</v>
      </c>
      <c r="C143" s="4" t="s">
        <v>858</v>
      </c>
      <c r="D143" s="4" t="s">
        <v>859</v>
      </c>
      <c r="E143" s="4" t="n">
        <v>800</v>
      </c>
      <c r="F143" s="4"/>
      <c r="G143" s="4"/>
      <c r="H143" s="4" t="s">
        <v>563</v>
      </c>
      <c r="I143" s="5" t="s">
        <v>860</v>
      </c>
      <c r="J143" s="4" t="s">
        <v>861</v>
      </c>
      <c r="K143" s="4" t="s">
        <v>862</v>
      </c>
      <c r="L143" s="4" t="n">
        <v>1</v>
      </c>
      <c r="M143" s="5" t="s">
        <v>238</v>
      </c>
      <c r="N143" s="4" t="s">
        <v>863</v>
      </c>
      <c r="O143" s="5" t="s">
        <v>608</v>
      </c>
      <c r="P143" s="4" t="s">
        <v>141</v>
      </c>
      <c r="Q143" s="4" t="s">
        <v>864</v>
      </c>
      <c r="R143" s="5" t="s">
        <v>170</v>
      </c>
      <c r="S143" s="4"/>
    </row>
    <row r="144" customFormat="false" ht="15" hidden="false" customHeight="false" outlineLevel="0" collapsed="false">
      <c r="A144" s="4" t="s">
        <v>865</v>
      </c>
      <c r="B144" s="4" t="s">
        <v>50</v>
      </c>
      <c r="C144" s="4" t="s">
        <v>858</v>
      </c>
      <c r="D144" s="4" t="s">
        <v>866</v>
      </c>
      <c r="E144" s="4" t="n">
        <v>3880</v>
      </c>
      <c r="F144" s="4"/>
      <c r="G144" s="4"/>
      <c r="H144" s="4" t="s">
        <v>563</v>
      </c>
      <c r="I144" s="5" t="s">
        <v>860</v>
      </c>
      <c r="J144" s="4" t="s">
        <v>861</v>
      </c>
      <c r="K144" s="4" t="s">
        <v>862</v>
      </c>
      <c r="L144" s="4" t="n">
        <v>1</v>
      </c>
      <c r="M144" s="5" t="s">
        <v>238</v>
      </c>
      <c r="N144" s="4" t="s">
        <v>863</v>
      </c>
      <c r="O144" s="5" t="s">
        <v>608</v>
      </c>
      <c r="P144" s="4" t="s">
        <v>141</v>
      </c>
      <c r="Q144" s="4" t="s">
        <v>867</v>
      </c>
      <c r="R144" s="5" t="s">
        <v>170</v>
      </c>
      <c r="S144" s="4"/>
    </row>
    <row r="145" customFormat="false" ht="15" hidden="false" customHeight="false" outlineLevel="0" collapsed="false">
      <c r="A145" s="4" t="s">
        <v>868</v>
      </c>
      <c r="B145" s="4" t="s">
        <v>50</v>
      </c>
      <c r="C145" s="4" t="s">
        <v>858</v>
      </c>
      <c r="D145" s="4" t="s">
        <v>869</v>
      </c>
      <c r="E145" s="4" t="n">
        <v>15</v>
      </c>
      <c r="F145" s="4"/>
      <c r="G145" s="4"/>
      <c r="H145" s="4" t="s">
        <v>870</v>
      </c>
      <c r="I145" s="4" t="s">
        <v>831</v>
      </c>
      <c r="J145" s="4" t="s">
        <v>861</v>
      </c>
      <c r="K145" s="4" t="s">
        <v>183</v>
      </c>
      <c r="L145" s="4" t="n">
        <v>1</v>
      </c>
      <c r="M145" s="5" t="s">
        <v>238</v>
      </c>
      <c r="N145" s="4" t="s">
        <v>863</v>
      </c>
      <c r="O145" s="5" t="s">
        <v>608</v>
      </c>
      <c r="P145" s="4" t="s">
        <v>141</v>
      </c>
      <c r="Q145" s="4" t="s">
        <v>871</v>
      </c>
      <c r="R145" s="4" t="s">
        <v>143</v>
      </c>
      <c r="S145" s="5" t="s">
        <v>872</v>
      </c>
    </row>
    <row r="146" customFormat="false" ht="15" hidden="false" customHeight="false" outlineLevel="0" collapsed="false">
      <c r="A146" s="4" t="s">
        <v>873</v>
      </c>
      <c r="B146" s="4" t="s">
        <v>50</v>
      </c>
      <c r="C146" s="4" t="s">
        <v>858</v>
      </c>
      <c r="D146" s="4" t="s">
        <v>874</v>
      </c>
      <c r="E146" s="4" t="n">
        <v>80</v>
      </c>
      <c r="F146" s="4"/>
      <c r="G146" s="4"/>
      <c r="H146" s="4" t="s">
        <v>870</v>
      </c>
      <c r="I146" s="4" t="s">
        <v>843</v>
      </c>
      <c r="J146" s="4" t="s">
        <v>861</v>
      </c>
      <c r="K146" s="4" t="s">
        <v>183</v>
      </c>
      <c r="L146" s="4" t="n">
        <v>1</v>
      </c>
      <c r="M146" s="5" t="s">
        <v>238</v>
      </c>
      <c r="N146" s="4" t="s">
        <v>863</v>
      </c>
      <c r="O146" s="5" t="s">
        <v>608</v>
      </c>
      <c r="P146" s="4" t="s">
        <v>141</v>
      </c>
      <c r="Q146" s="4" t="s">
        <v>875</v>
      </c>
      <c r="R146" s="4" t="s">
        <v>143</v>
      </c>
      <c r="S146" s="5" t="s">
        <v>876</v>
      </c>
    </row>
    <row r="147" customFormat="false" ht="15" hidden="false" customHeight="false" outlineLevel="0" collapsed="false">
      <c r="A147" s="4" t="s">
        <v>877</v>
      </c>
      <c r="B147" s="4" t="s">
        <v>50</v>
      </c>
      <c r="C147" s="4" t="s">
        <v>858</v>
      </c>
      <c r="D147" s="4" t="s">
        <v>878</v>
      </c>
      <c r="E147" s="4" t="n">
        <v>1.5</v>
      </c>
      <c r="F147" s="4"/>
      <c r="G147" s="4"/>
      <c r="H147" s="4" t="s">
        <v>879</v>
      </c>
      <c r="I147" s="4" t="s">
        <v>831</v>
      </c>
      <c r="J147" s="4" t="s">
        <v>861</v>
      </c>
      <c r="K147" s="4" t="s">
        <v>183</v>
      </c>
      <c r="L147" s="4" t="n">
        <v>1</v>
      </c>
      <c r="M147" s="5" t="s">
        <v>238</v>
      </c>
      <c r="N147" s="4" t="s">
        <v>863</v>
      </c>
      <c r="O147" s="5" t="s">
        <v>608</v>
      </c>
      <c r="P147" s="4" t="s">
        <v>141</v>
      </c>
      <c r="Q147" s="4"/>
      <c r="R147" s="5" t="s">
        <v>154</v>
      </c>
      <c r="S147" s="4"/>
    </row>
    <row r="148" customFormat="false" ht="15" hidden="false" customHeight="false" outlineLevel="0" collapsed="false">
      <c r="A148" s="4" t="s">
        <v>880</v>
      </c>
      <c r="B148" s="4" t="s">
        <v>50</v>
      </c>
      <c r="C148" s="4" t="s">
        <v>858</v>
      </c>
      <c r="D148" s="4" t="s">
        <v>881</v>
      </c>
      <c r="E148" s="4" t="n">
        <v>2</v>
      </c>
      <c r="F148" s="4"/>
      <c r="G148" s="4"/>
      <c r="H148" s="4" t="s">
        <v>879</v>
      </c>
      <c r="I148" s="4" t="s">
        <v>843</v>
      </c>
      <c r="J148" s="4" t="s">
        <v>861</v>
      </c>
      <c r="K148" s="4" t="s">
        <v>183</v>
      </c>
      <c r="L148" s="4" t="n">
        <v>1</v>
      </c>
      <c r="M148" s="5" t="s">
        <v>238</v>
      </c>
      <c r="N148" s="4" t="s">
        <v>863</v>
      </c>
      <c r="O148" s="5" t="s">
        <v>608</v>
      </c>
      <c r="P148" s="4" t="s">
        <v>141</v>
      </c>
      <c r="Q148" s="4"/>
      <c r="R148" s="5" t="s">
        <v>154</v>
      </c>
      <c r="S148" s="4"/>
    </row>
    <row r="149" customFormat="false" ht="15" hidden="false" customHeight="false" outlineLevel="0" collapsed="false">
      <c r="A149" s="4" t="s">
        <v>882</v>
      </c>
      <c r="B149" s="4" t="s">
        <v>50</v>
      </c>
      <c r="C149" s="4" t="s">
        <v>858</v>
      </c>
      <c r="D149" s="4" t="s">
        <v>883</v>
      </c>
      <c r="E149" s="4" t="n">
        <v>3</v>
      </c>
      <c r="F149" s="4"/>
      <c r="G149" s="4"/>
      <c r="H149" s="5" t="s">
        <v>884</v>
      </c>
      <c r="I149" s="4" t="s">
        <v>885</v>
      </c>
      <c r="J149" s="4" t="s">
        <v>861</v>
      </c>
      <c r="K149" s="4" t="s">
        <v>183</v>
      </c>
      <c r="L149" s="4" t="n">
        <v>1</v>
      </c>
      <c r="M149" s="5" t="s">
        <v>238</v>
      </c>
      <c r="N149" s="4" t="s">
        <v>863</v>
      </c>
      <c r="O149" s="5" t="s">
        <v>608</v>
      </c>
      <c r="P149" s="4" t="s">
        <v>141</v>
      </c>
      <c r="Q149" s="4" t="s">
        <v>886</v>
      </c>
      <c r="R149" s="4" t="s">
        <v>143</v>
      </c>
      <c r="S149" s="5" t="s">
        <v>887</v>
      </c>
    </row>
    <row r="150" customFormat="false" ht="29.85" hidden="false" customHeight="false" outlineLevel="0" collapsed="false">
      <c r="A150" s="4" t="s">
        <v>888</v>
      </c>
      <c r="B150" s="4" t="s">
        <v>50</v>
      </c>
      <c r="C150" s="4" t="s">
        <v>889</v>
      </c>
      <c r="D150" s="4" t="s">
        <v>890</v>
      </c>
      <c r="E150" s="4"/>
      <c r="F150" s="4" t="n">
        <v>0.38</v>
      </c>
      <c r="G150" s="4" t="n">
        <v>0.43</v>
      </c>
      <c r="H150" s="4" t="s">
        <v>421</v>
      </c>
      <c r="I150" s="4" t="s">
        <v>891</v>
      </c>
      <c r="J150" s="4" t="s">
        <v>892</v>
      </c>
      <c r="K150" s="4" t="s">
        <v>893</v>
      </c>
      <c r="L150" s="4" t="n">
        <v>3</v>
      </c>
      <c r="M150" s="5" t="s">
        <v>138</v>
      </c>
      <c r="N150" s="4" t="s">
        <v>894</v>
      </c>
      <c r="O150" s="5" t="s">
        <v>140</v>
      </c>
      <c r="P150" s="4" t="s">
        <v>141</v>
      </c>
      <c r="Q150" s="4"/>
      <c r="R150" s="5" t="s">
        <v>154</v>
      </c>
      <c r="S150" s="4"/>
    </row>
    <row r="151" customFormat="false" ht="29.85" hidden="false" customHeight="false" outlineLevel="0" collapsed="false">
      <c r="A151" s="4" t="s">
        <v>895</v>
      </c>
      <c r="B151" s="4" t="s">
        <v>50</v>
      </c>
      <c r="C151" s="4" t="s">
        <v>889</v>
      </c>
      <c r="D151" s="4" t="s">
        <v>896</v>
      </c>
      <c r="E151" s="4" t="n">
        <v>0.9</v>
      </c>
      <c r="F151" s="4"/>
      <c r="G151" s="4"/>
      <c r="H151" s="4" t="s">
        <v>421</v>
      </c>
      <c r="I151" s="5" t="s">
        <v>897</v>
      </c>
      <c r="J151" s="4" t="s">
        <v>892</v>
      </c>
      <c r="K151" s="4" t="s">
        <v>893</v>
      </c>
      <c r="L151" s="4" t="n">
        <v>3</v>
      </c>
      <c r="M151" s="5" t="s">
        <v>138</v>
      </c>
      <c r="N151" s="4" t="s">
        <v>894</v>
      </c>
      <c r="O151" s="5" t="s">
        <v>140</v>
      </c>
      <c r="P151" s="4" t="s">
        <v>141</v>
      </c>
      <c r="Q151" s="4" t="s">
        <v>898</v>
      </c>
      <c r="R151" s="4" t="s">
        <v>143</v>
      </c>
      <c r="S151" s="5" t="s">
        <v>899</v>
      </c>
    </row>
    <row r="152" customFormat="false" ht="29.85" hidden="false" customHeight="false" outlineLevel="0" collapsed="false">
      <c r="A152" s="4" t="s">
        <v>900</v>
      </c>
      <c r="B152" s="4" t="s">
        <v>50</v>
      </c>
      <c r="C152" s="4" t="s">
        <v>901</v>
      </c>
      <c r="D152" s="4" t="s">
        <v>902</v>
      </c>
      <c r="E152" s="4" t="n">
        <v>2.24</v>
      </c>
      <c r="F152" s="4"/>
      <c r="G152" s="4"/>
      <c r="H152" s="4" t="s">
        <v>559</v>
      </c>
      <c r="I152" s="5" t="s">
        <v>903</v>
      </c>
      <c r="J152" s="4" t="s">
        <v>904</v>
      </c>
      <c r="K152" s="4" t="s">
        <v>260</v>
      </c>
      <c r="L152" s="4" t="n">
        <v>1</v>
      </c>
      <c r="M152" s="5" t="s">
        <v>138</v>
      </c>
      <c r="N152" s="5" t="s">
        <v>905</v>
      </c>
      <c r="O152" s="5" t="s">
        <v>608</v>
      </c>
      <c r="P152" s="4" t="s">
        <v>141</v>
      </c>
      <c r="Q152" s="4"/>
      <c r="R152" s="5" t="s">
        <v>154</v>
      </c>
      <c r="S152" s="5" t="s">
        <v>906</v>
      </c>
    </row>
    <row r="153" customFormat="false" ht="29.85" hidden="false" customHeight="false" outlineLevel="0" collapsed="false">
      <c r="A153" s="4" t="s">
        <v>907</v>
      </c>
      <c r="B153" s="4" t="s">
        <v>50</v>
      </c>
      <c r="C153" s="4" t="s">
        <v>901</v>
      </c>
      <c r="D153" s="4" t="s">
        <v>908</v>
      </c>
      <c r="E153" s="4" t="n">
        <v>2.72</v>
      </c>
      <c r="F153" s="4"/>
      <c r="G153" s="4"/>
      <c r="H153" s="4" t="s">
        <v>559</v>
      </c>
      <c r="I153" s="5" t="s">
        <v>903</v>
      </c>
      <c r="J153" s="4" t="s">
        <v>904</v>
      </c>
      <c r="K153" s="4" t="s">
        <v>260</v>
      </c>
      <c r="L153" s="4" t="n">
        <v>1</v>
      </c>
      <c r="M153" s="5" t="s">
        <v>138</v>
      </c>
      <c r="N153" s="5" t="s">
        <v>905</v>
      </c>
      <c r="O153" s="5" t="s">
        <v>608</v>
      </c>
      <c r="P153" s="4" t="s">
        <v>141</v>
      </c>
      <c r="Q153" s="4"/>
      <c r="R153" s="5" t="s">
        <v>154</v>
      </c>
      <c r="S153" s="4"/>
    </row>
    <row r="154" customFormat="false" ht="29.85" hidden="false" customHeight="false" outlineLevel="0" collapsed="false">
      <c r="A154" s="4" t="s">
        <v>909</v>
      </c>
      <c r="B154" s="4" t="s">
        <v>50</v>
      </c>
      <c r="C154" s="4" t="s">
        <v>901</v>
      </c>
      <c r="D154" s="4" t="s">
        <v>910</v>
      </c>
      <c r="E154" s="4" t="n">
        <v>2</v>
      </c>
      <c r="F154" s="4"/>
      <c r="G154" s="4"/>
      <c r="H154" s="4" t="s">
        <v>559</v>
      </c>
      <c r="I154" s="5" t="s">
        <v>221</v>
      </c>
      <c r="J154" s="4" t="s">
        <v>911</v>
      </c>
      <c r="K154" s="4" t="s">
        <v>260</v>
      </c>
      <c r="L154" s="4" t="n">
        <v>1</v>
      </c>
      <c r="M154" s="5" t="s">
        <v>138</v>
      </c>
      <c r="N154" s="5" t="s">
        <v>905</v>
      </c>
      <c r="O154" s="5" t="s">
        <v>608</v>
      </c>
      <c r="P154" s="4" t="s">
        <v>141</v>
      </c>
      <c r="Q154" s="4"/>
      <c r="R154" s="5" t="s">
        <v>154</v>
      </c>
      <c r="S154" s="4"/>
    </row>
    <row r="155" customFormat="false" ht="29.85" hidden="false" customHeight="false" outlineLevel="0" collapsed="false">
      <c r="A155" s="4" t="s">
        <v>912</v>
      </c>
      <c r="B155" s="4" t="s">
        <v>51</v>
      </c>
      <c r="C155" s="4" t="s">
        <v>913</v>
      </c>
      <c r="D155" s="4" t="s">
        <v>914</v>
      </c>
      <c r="E155" s="4" t="n">
        <v>42</v>
      </c>
      <c r="F155" s="4"/>
      <c r="G155" s="4"/>
      <c r="H155" s="4" t="s">
        <v>915</v>
      </c>
      <c r="I155" s="5" t="s">
        <v>916</v>
      </c>
      <c r="J155" s="4" t="s">
        <v>917</v>
      </c>
      <c r="K155" s="4" t="s">
        <v>237</v>
      </c>
      <c r="L155" s="4" t="n">
        <v>3</v>
      </c>
      <c r="M155" s="5" t="s">
        <v>138</v>
      </c>
      <c r="N155" s="4" t="s">
        <v>918</v>
      </c>
      <c r="O155" s="5" t="s">
        <v>153</v>
      </c>
      <c r="P155" s="4" t="s">
        <v>141</v>
      </c>
      <c r="Q155" s="4" t="s">
        <v>919</v>
      </c>
      <c r="R155" s="4" t="s">
        <v>143</v>
      </c>
      <c r="S155" s="4" t="s">
        <v>920</v>
      </c>
    </row>
    <row r="156" customFormat="false" ht="29.85" hidden="false" customHeight="false" outlineLevel="0" collapsed="false">
      <c r="A156" s="4" t="s">
        <v>921</v>
      </c>
      <c r="B156" s="4" t="s">
        <v>51</v>
      </c>
      <c r="C156" s="4" t="s">
        <v>922</v>
      </c>
      <c r="D156" s="5" t="s">
        <v>923</v>
      </c>
      <c r="E156" s="4" t="n">
        <v>3.57</v>
      </c>
      <c r="F156" s="4"/>
      <c r="G156" s="4"/>
      <c r="H156" s="4" t="s">
        <v>486</v>
      </c>
      <c r="I156" s="4" t="s">
        <v>924</v>
      </c>
      <c r="J156" s="5" t="s">
        <v>925</v>
      </c>
      <c r="K156" s="4" t="s">
        <v>229</v>
      </c>
      <c r="L156" s="4" t="n">
        <v>2</v>
      </c>
      <c r="M156" s="5" t="s">
        <v>238</v>
      </c>
      <c r="N156" s="5" t="s">
        <v>926</v>
      </c>
      <c r="O156" s="5" t="s">
        <v>927</v>
      </c>
      <c r="P156" s="4" t="s">
        <v>141</v>
      </c>
      <c r="Q156" s="4" t="s">
        <v>928</v>
      </c>
      <c r="R156" s="4" t="s">
        <v>143</v>
      </c>
      <c r="S156" s="5" t="s">
        <v>929</v>
      </c>
    </row>
    <row r="157" customFormat="false" ht="29.85" hidden="false" customHeight="false" outlineLevel="0" collapsed="false">
      <c r="A157" s="4" t="s">
        <v>930</v>
      </c>
      <c r="B157" s="4" t="s">
        <v>51</v>
      </c>
      <c r="C157" s="4" t="s">
        <v>931</v>
      </c>
      <c r="D157" s="4" t="s">
        <v>932</v>
      </c>
      <c r="E157" s="4" t="n">
        <v>0.1</v>
      </c>
      <c r="F157" s="4"/>
      <c r="G157" s="4"/>
      <c r="H157" s="4" t="s">
        <v>933</v>
      </c>
      <c r="I157" s="4" t="s">
        <v>934</v>
      </c>
      <c r="J157" s="4" t="s">
        <v>935</v>
      </c>
      <c r="K157" s="4" t="s">
        <v>936</v>
      </c>
      <c r="L157" s="4" t="n">
        <v>1</v>
      </c>
      <c r="M157" s="5" t="s">
        <v>138</v>
      </c>
      <c r="N157" s="4" t="s">
        <v>937</v>
      </c>
      <c r="O157" s="5" t="s">
        <v>608</v>
      </c>
      <c r="P157" s="4" t="s">
        <v>141</v>
      </c>
      <c r="Q157" s="4" t="s">
        <v>938</v>
      </c>
      <c r="R157" s="5" t="s">
        <v>170</v>
      </c>
      <c r="S157" s="4"/>
    </row>
    <row r="158" customFormat="false" ht="29.85" hidden="false" customHeight="false" outlineLevel="0" collapsed="false">
      <c r="A158" s="4" t="s">
        <v>939</v>
      </c>
      <c r="B158" s="4" t="s">
        <v>51</v>
      </c>
      <c r="C158" s="4" t="s">
        <v>931</v>
      </c>
      <c r="D158" s="4" t="s">
        <v>940</v>
      </c>
      <c r="E158" s="4" t="n">
        <v>0.01</v>
      </c>
      <c r="F158" s="4"/>
      <c r="G158" s="4"/>
      <c r="H158" s="4" t="s">
        <v>933</v>
      </c>
      <c r="I158" s="4" t="s">
        <v>934</v>
      </c>
      <c r="J158" s="4" t="s">
        <v>935</v>
      </c>
      <c r="K158" s="4" t="s">
        <v>936</v>
      </c>
      <c r="L158" s="4" t="n">
        <v>1</v>
      </c>
      <c r="M158" s="5" t="s">
        <v>138</v>
      </c>
      <c r="N158" s="4" t="s">
        <v>937</v>
      </c>
      <c r="O158" s="5" t="s">
        <v>608</v>
      </c>
      <c r="P158" s="4" t="s">
        <v>141</v>
      </c>
      <c r="Q158" s="4" t="s">
        <v>941</v>
      </c>
      <c r="R158" s="5" t="s">
        <v>170</v>
      </c>
      <c r="S158" s="4"/>
    </row>
    <row r="159" customFormat="false" ht="29.85" hidden="false" customHeight="false" outlineLevel="0" collapsed="false">
      <c r="A159" s="4" t="s">
        <v>942</v>
      </c>
      <c r="B159" s="4" t="s">
        <v>51</v>
      </c>
      <c r="C159" s="4" t="s">
        <v>931</v>
      </c>
      <c r="D159" s="4" t="s">
        <v>943</v>
      </c>
      <c r="E159" s="4" t="n">
        <v>0.5</v>
      </c>
      <c r="F159" s="4"/>
      <c r="G159" s="4"/>
      <c r="H159" s="4" t="s">
        <v>933</v>
      </c>
      <c r="I159" s="4" t="s">
        <v>934</v>
      </c>
      <c r="J159" s="4" t="s">
        <v>935</v>
      </c>
      <c r="K159" s="4" t="s">
        <v>936</v>
      </c>
      <c r="L159" s="4" t="n">
        <v>1</v>
      </c>
      <c r="M159" s="5" t="s">
        <v>138</v>
      </c>
      <c r="N159" s="4" t="s">
        <v>937</v>
      </c>
      <c r="O159" s="5" t="s">
        <v>608</v>
      </c>
      <c r="P159" s="4" t="s">
        <v>141</v>
      </c>
      <c r="Q159" s="4" t="s">
        <v>944</v>
      </c>
      <c r="R159" s="5" t="s">
        <v>170</v>
      </c>
      <c r="S159" s="4"/>
    </row>
    <row r="160" customFormat="false" ht="29.85" hidden="false" customHeight="false" outlineLevel="0" collapsed="false">
      <c r="A160" s="4" t="s">
        <v>945</v>
      </c>
      <c r="B160" s="4" t="s">
        <v>51</v>
      </c>
      <c r="C160" s="4" t="s">
        <v>931</v>
      </c>
      <c r="D160" s="4" t="s">
        <v>946</v>
      </c>
      <c r="E160" s="4" t="n">
        <v>2</v>
      </c>
      <c r="F160" s="4"/>
      <c r="G160" s="4"/>
      <c r="H160" s="4" t="s">
        <v>933</v>
      </c>
      <c r="I160" s="4" t="s">
        <v>934</v>
      </c>
      <c r="J160" s="4" t="s">
        <v>947</v>
      </c>
      <c r="K160" s="4" t="s">
        <v>936</v>
      </c>
      <c r="L160" s="4" t="n">
        <v>1</v>
      </c>
      <c r="M160" s="5" t="s">
        <v>138</v>
      </c>
      <c r="N160" s="4" t="s">
        <v>937</v>
      </c>
      <c r="O160" s="5" t="s">
        <v>608</v>
      </c>
      <c r="P160" s="4" t="s">
        <v>141</v>
      </c>
      <c r="Q160" s="4" t="s">
        <v>948</v>
      </c>
      <c r="R160" s="5" t="s">
        <v>170</v>
      </c>
      <c r="S160" s="4"/>
    </row>
    <row r="161" customFormat="false" ht="29.85" hidden="false" customHeight="false" outlineLevel="0" collapsed="false">
      <c r="A161" s="4" t="s">
        <v>949</v>
      </c>
      <c r="B161" s="4" t="s">
        <v>51</v>
      </c>
      <c r="C161" s="4" t="s">
        <v>931</v>
      </c>
      <c r="D161" s="4" t="s">
        <v>950</v>
      </c>
      <c r="E161" s="4" t="n">
        <v>0.2</v>
      </c>
      <c r="F161" s="4"/>
      <c r="G161" s="4"/>
      <c r="H161" s="4" t="s">
        <v>933</v>
      </c>
      <c r="I161" s="4" t="s">
        <v>934</v>
      </c>
      <c r="J161" s="4" t="s">
        <v>947</v>
      </c>
      <c r="K161" s="4" t="s">
        <v>936</v>
      </c>
      <c r="L161" s="4" t="n">
        <v>1</v>
      </c>
      <c r="M161" s="5" t="s">
        <v>138</v>
      </c>
      <c r="N161" s="4" t="s">
        <v>937</v>
      </c>
      <c r="O161" s="5" t="s">
        <v>608</v>
      </c>
      <c r="P161" s="4" t="s">
        <v>141</v>
      </c>
      <c r="Q161" s="4" t="s">
        <v>951</v>
      </c>
      <c r="R161" s="5" t="s">
        <v>170</v>
      </c>
      <c r="S161" s="4"/>
    </row>
    <row r="162" customFormat="false" ht="29.85" hidden="false" customHeight="false" outlineLevel="0" collapsed="false">
      <c r="A162" s="4" t="s">
        <v>952</v>
      </c>
      <c r="B162" s="4" t="s">
        <v>51</v>
      </c>
      <c r="C162" s="4" t="s">
        <v>931</v>
      </c>
      <c r="D162" s="4" t="s">
        <v>953</v>
      </c>
      <c r="E162" s="4" t="n">
        <v>10</v>
      </c>
      <c r="F162" s="4"/>
      <c r="G162" s="4"/>
      <c r="H162" s="4" t="s">
        <v>933</v>
      </c>
      <c r="I162" s="4" t="s">
        <v>934</v>
      </c>
      <c r="J162" s="4" t="s">
        <v>947</v>
      </c>
      <c r="K162" s="4" t="s">
        <v>936</v>
      </c>
      <c r="L162" s="4" t="n">
        <v>1</v>
      </c>
      <c r="M162" s="5" t="s">
        <v>138</v>
      </c>
      <c r="N162" s="4" t="s">
        <v>937</v>
      </c>
      <c r="O162" s="5" t="s">
        <v>608</v>
      </c>
      <c r="P162" s="4" t="s">
        <v>141</v>
      </c>
      <c r="Q162" s="4" t="s">
        <v>954</v>
      </c>
      <c r="R162" s="5" t="s">
        <v>170</v>
      </c>
      <c r="S162" s="4"/>
    </row>
    <row r="163" customFormat="false" ht="29.85" hidden="false" customHeight="false" outlineLevel="0" collapsed="false">
      <c r="A163" s="4" t="s">
        <v>955</v>
      </c>
      <c r="B163" s="4" t="s">
        <v>51</v>
      </c>
      <c r="C163" s="4" t="s">
        <v>931</v>
      </c>
      <c r="D163" s="4" t="s">
        <v>956</v>
      </c>
      <c r="E163" s="4" t="n">
        <v>10</v>
      </c>
      <c r="F163" s="4"/>
      <c r="G163" s="4"/>
      <c r="H163" s="4" t="s">
        <v>933</v>
      </c>
      <c r="I163" s="4" t="s">
        <v>934</v>
      </c>
      <c r="J163" s="4" t="s">
        <v>810</v>
      </c>
      <c r="K163" s="4" t="s">
        <v>936</v>
      </c>
      <c r="L163" s="4" t="n">
        <v>1</v>
      </c>
      <c r="M163" s="5" t="s">
        <v>138</v>
      </c>
      <c r="N163" s="4" t="s">
        <v>937</v>
      </c>
      <c r="O163" s="5" t="s">
        <v>608</v>
      </c>
      <c r="P163" s="4" t="s">
        <v>141</v>
      </c>
      <c r="Q163" s="4" t="s">
        <v>957</v>
      </c>
      <c r="R163" s="5" t="s">
        <v>170</v>
      </c>
      <c r="S163" s="4"/>
    </row>
    <row r="164" customFormat="false" ht="29.85" hidden="false" customHeight="false" outlineLevel="0" collapsed="false">
      <c r="A164" s="4" t="s">
        <v>958</v>
      </c>
      <c r="B164" s="4" t="s">
        <v>51</v>
      </c>
      <c r="C164" s="4" t="s">
        <v>931</v>
      </c>
      <c r="D164" s="4" t="s">
        <v>959</v>
      </c>
      <c r="E164" s="4" t="n">
        <v>1</v>
      </c>
      <c r="F164" s="4"/>
      <c r="G164" s="4"/>
      <c r="H164" s="4" t="s">
        <v>933</v>
      </c>
      <c r="I164" s="4" t="s">
        <v>934</v>
      </c>
      <c r="J164" s="4" t="s">
        <v>810</v>
      </c>
      <c r="K164" s="4" t="s">
        <v>936</v>
      </c>
      <c r="L164" s="4" t="n">
        <v>1</v>
      </c>
      <c r="M164" s="5" t="s">
        <v>138</v>
      </c>
      <c r="N164" s="4" t="s">
        <v>937</v>
      </c>
      <c r="O164" s="5" t="s">
        <v>608</v>
      </c>
      <c r="P164" s="4" t="s">
        <v>141</v>
      </c>
      <c r="Q164" s="4" t="s">
        <v>960</v>
      </c>
      <c r="R164" s="5" t="s">
        <v>170</v>
      </c>
      <c r="S164" s="4"/>
    </row>
    <row r="165" customFormat="false" ht="29.85" hidden="false" customHeight="false" outlineLevel="0" collapsed="false">
      <c r="A165" s="4" t="s">
        <v>961</v>
      </c>
      <c r="B165" s="4" t="s">
        <v>51</v>
      </c>
      <c r="C165" s="4" t="s">
        <v>931</v>
      </c>
      <c r="D165" s="4" t="s">
        <v>962</v>
      </c>
      <c r="E165" s="4" t="n">
        <v>50</v>
      </c>
      <c r="F165" s="4"/>
      <c r="G165" s="4"/>
      <c r="H165" s="4" t="s">
        <v>933</v>
      </c>
      <c r="I165" s="4" t="s">
        <v>934</v>
      </c>
      <c r="J165" s="4" t="s">
        <v>810</v>
      </c>
      <c r="K165" s="4" t="s">
        <v>936</v>
      </c>
      <c r="L165" s="4" t="n">
        <v>1</v>
      </c>
      <c r="M165" s="5" t="s">
        <v>138</v>
      </c>
      <c r="N165" s="4" t="s">
        <v>937</v>
      </c>
      <c r="O165" s="5" t="s">
        <v>608</v>
      </c>
      <c r="P165" s="4" t="s">
        <v>141</v>
      </c>
      <c r="Q165" s="4" t="s">
        <v>963</v>
      </c>
      <c r="R165" s="5" t="s">
        <v>170</v>
      </c>
      <c r="S165" s="4"/>
    </row>
    <row r="166" customFormat="false" ht="29.85" hidden="false" customHeight="false" outlineLevel="0" collapsed="false">
      <c r="A166" s="4" t="s">
        <v>964</v>
      </c>
      <c r="B166" s="4" t="s">
        <v>51</v>
      </c>
      <c r="C166" s="4" t="s">
        <v>965</v>
      </c>
      <c r="D166" s="4" t="s">
        <v>966</v>
      </c>
      <c r="E166" s="4" t="n">
        <v>10</v>
      </c>
      <c r="F166" s="4"/>
      <c r="G166" s="4"/>
      <c r="H166" s="4" t="s">
        <v>933</v>
      </c>
      <c r="I166" s="4" t="s">
        <v>934</v>
      </c>
      <c r="J166" s="4" t="s">
        <v>967</v>
      </c>
      <c r="K166" s="4" t="s">
        <v>229</v>
      </c>
      <c r="L166" s="4" t="n">
        <v>2</v>
      </c>
      <c r="M166" s="5" t="s">
        <v>138</v>
      </c>
      <c r="N166" s="4" t="s">
        <v>968</v>
      </c>
      <c r="O166" s="5" t="s">
        <v>153</v>
      </c>
      <c r="P166" s="4" t="s">
        <v>141</v>
      </c>
      <c r="Q166" s="4" t="s">
        <v>969</v>
      </c>
      <c r="R166" s="5" t="s">
        <v>170</v>
      </c>
      <c r="S166" s="4"/>
    </row>
    <row r="167" customFormat="false" ht="29.85" hidden="false" customHeight="false" outlineLevel="0" collapsed="false">
      <c r="A167" s="4" t="s">
        <v>970</v>
      </c>
      <c r="B167" s="4" t="s">
        <v>51</v>
      </c>
      <c r="C167" s="4" t="s">
        <v>965</v>
      </c>
      <c r="D167" s="4" t="s">
        <v>971</v>
      </c>
      <c r="E167" s="4" t="n">
        <v>0.25</v>
      </c>
      <c r="F167" s="4"/>
      <c r="G167" s="4"/>
      <c r="H167" s="4" t="s">
        <v>933</v>
      </c>
      <c r="I167" s="4" t="s">
        <v>934</v>
      </c>
      <c r="J167" s="4" t="s">
        <v>967</v>
      </c>
      <c r="K167" s="4" t="s">
        <v>229</v>
      </c>
      <c r="L167" s="4" t="n">
        <v>2</v>
      </c>
      <c r="M167" s="5" t="s">
        <v>138</v>
      </c>
      <c r="N167" s="4" t="s">
        <v>968</v>
      </c>
      <c r="O167" s="5" t="s">
        <v>153</v>
      </c>
      <c r="P167" s="4" t="s">
        <v>141</v>
      </c>
      <c r="Q167" s="4" t="s">
        <v>972</v>
      </c>
      <c r="R167" s="5" t="s">
        <v>170</v>
      </c>
      <c r="S167" s="5" t="s">
        <v>973</v>
      </c>
    </row>
    <row r="168" customFormat="false" ht="29.85" hidden="false" customHeight="false" outlineLevel="0" collapsed="false">
      <c r="A168" s="4" t="s">
        <v>974</v>
      </c>
      <c r="B168" s="4" t="s">
        <v>51</v>
      </c>
      <c r="C168" s="4" t="s">
        <v>965</v>
      </c>
      <c r="D168" s="4" t="s">
        <v>975</v>
      </c>
      <c r="E168" s="4" t="n">
        <v>50</v>
      </c>
      <c r="F168" s="4"/>
      <c r="G168" s="4"/>
      <c r="H168" s="4" t="s">
        <v>933</v>
      </c>
      <c r="I168" s="4" t="s">
        <v>934</v>
      </c>
      <c r="J168" s="4" t="s">
        <v>967</v>
      </c>
      <c r="K168" s="4" t="s">
        <v>229</v>
      </c>
      <c r="L168" s="4" t="n">
        <v>2</v>
      </c>
      <c r="M168" s="5" t="s">
        <v>138</v>
      </c>
      <c r="N168" s="4" t="s">
        <v>968</v>
      </c>
      <c r="O168" s="5" t="s">
        <v>153</v>
      </c>
      <c r="P168" s="4" t="s">
        <v>141</v>
      </c>
      <c r="Q168" s="4" t="s">
        <v>976</v>
      </c>
      <c r="R168" s="5" t="s">
        <v>170</v>
      </c>
      <c r="S168" s="4"/>
    </row>
    <row r="169" customFormat="false" ht="29.85" hidden="false" customHeight="false" outlineLevel="0" collapsed="false">
      <c r="A169" s="4" t="s">
        <v>977</v>
      </c>
      <c r="B169" s="4" t="s">
        <v>51</v>
      </c>
      <c r="C169" s="4" t="s">
        <v>965</v>
      </c>
      <c r="D169" s="4" t="s">
        <v>978</v>
      </c>
      <c r="E169" s="4" t="n">
        <v>5</v>
      </c>
      <c r="F169" s="4"/>
      <c r="G169" s="4"/>
      <c r="H169" s="4" t="s">
        <v>933</v>
      </c>
      <c r="I169" s="4" t="s">
        <v>934</v>
      </c>
      <c r="J169" s="4" t="s">
        <v>815</v>
      </c>
      <c r="K169" s="4" t="s">
        <v>979</v>
      </c>
      <c r="L169" s="4" t="n">
        <v>2</v>
      </c>
      <c r="M169" s="5" t="s">
        <v>138</v>
      </c>
      <c r="N169" s="4" t="s">
        <v>968</v>
      </c>
      <c r="O169" s="5" t="s">
        <v>153</v>
      </c>
      <c r="P169" s="4" t="s">
        <v>141</v>
      </c>
      <c r="Q169" s="4" t="s">
        <v>980</v>
      </c>
      <c r="R169" s="5" t="s">
        <v>170</v>
      </c>
      <c r="S169" s="5" t="s">
        <v>981</v>
      </c>
    </row>
    <row r="170" customFormat="false" ht="29.85" hidden="false" customHeight="false" outlineLevel="0" collapsed="false">
      <c r="A170" s="4" t="s">
        <v>982</v>
      </c>
      <c r="B170" s="4" t="s">
        <v>51</v>
      </c>
      <c r="C170" s="4" t="s">
        <v>965</v>
      </c>
      <c r="D170" s="4" t="s">
        <v>983</v>
      </c>
      <c r="E170" s="4" t="n">
        <v>25</v>
      </c>
      <c r="F170" s="4"/>
      <c r="G170" s="4"/>
      <c r="H170" s="4" t="s">
        <v>933</v>
      </c>
      <c r="I170" s="4" t="s">
        <v>934</v>
      </c>
      <c r="J170" s="4" t="s">
        <v>815</v>
      </c>
      <c r="K170" s="4" t="s">
        <v>979</v>
      </c>
      <c r="L170" s="4" t="n">
        <v>2</v>
      </c>
      <c r="M170" s="5" t="s">
        <v>138</v>
      </c>
      <c r="N170" s="4" t="s">
        <v>968</v>
      </c>
      <c r="O170" s="5" t="s">
        <v>153</v>
      </c>
      <c r="P170" s="4" t="s">
        <v>141</v>
      </c>
      <c r="Q170" s="4" t="s">
        <v>984</v>
      </c>
      <c r="R170" s="5" t="s">
        <v>170</v>
      </c>
      <c r="S170" s="4"/>
    </row>
    <row r="171" customFormat="false" ht="29.85" hidden="false" customHeight="false" outlineLevel="0" collapsed="false">
      <c r="A171" s="4" t="s">
        <v>985</v>
      </c>
      <c r="B171" s="4" t="s">
        <v>51</v>
      </c>
      <c r="C171" s="4" t="s">
        <v>965</v>
      </c>
      <c r="D171" s="4" t="s">
        <v>986</v>
      </c>
      <c r="E171" s="4" t="n">
        <v>4</v>
      </c>
      <c r="F171" s="4"/>
      <c r="G171" s="4"/>
      <c r="H171" s="4" t="s">
        <v>933</v>
      </c>
      <c r="I171" s="4" t="s">
        <v>934</v>
      </c>
      <c r="J171" s="4" t="s">
        <v>987</v>
      </c>
      <c r="K171" s="4" t="s">
        <v>988</v>
      </c>
      <c r="L171" s="4" t="n">
        <v>2</v>
      </c>
      <c r="M171" s="5" t="s">
        <v>138</v>
      </c>
      <c r="N171" s="4" t="s">
        <v>968</v>
      </c>
      <c r="O171" s="5" t="s">
        <v>153</v>
      </c>
      <c r="P171" s="4" t="s">
        <v>141</v>
      </c>
      <c r="Q171" s="4" t="s">
        <v>989</v>
      </c>
      <c r="R171" s="5" t="s">
        <v>170</v>
      </c>
      <c r="S171" s="5" t="s">
        <v>990</v>
      </c>
    </row>
    <row r="172" customFormat="false" ht="29.85" hidden="false" customHeight="false" outlineLevel="0" collapsed="false">
      <c r="A172" s="4" t="s">
        <v>991</v>
      </c>
      <c r="B172" s="4" t="s">
        <v>51</v>
      </c>
      <c r="C172" s="4" t="s">
        <v>965</v>
      </c>
      <c r="D172" s="4" t="s">
        <v>992</v>
      </c>
      <c r="E172" s="4" t="n">
        <v>20</v>
      </c>
      <c r="F172" s="4"/>
      <c r="G172" s="4"/>
      <c r="H172" s="4" t="s">
        <v>933</v>
      </c>
      <c r="I172" s="4" t="s">
        <v>934</v>
      </c>
      <c r="J172" s="4" t="s">
        <v>987</v>
      </c>
      <c r="K172" s="4" t="s">
        <v>988</v>
      </c>
      <c r="L172" s="4" t="n">
        <v>2</v>
      </c>
      <c r="M172" s="5" t="s">
        <v>138</v>
      </c>
      <c r="N172" s="4" t="s">
        <v>968</v>
      </c>
      <c r="O172" s="5" t="s">
        <v>153</v>
      </c>
      <c r="P172" s="4" t="s">
        <v>141</v>
      </c>
      <c r="Q172" s="4" t="s">
        <v>993</v>
      </c>
      <c r="R172" s="5" t="s">
        <v>170</v>
      </c>
      <c r="S172" s="4"/>
    </row>
    <row r="173" customFormat="false" ht="29.85" hidden="false" customHeight="false" outlineLevel="0" collapsed="false">
      <c r="A173" s="4" t="s">
        <v>994</v>
      </c>
      <c r="B173" s="4" t="s">
        <v>51</v>
      </c>
      <c r="C173" s="4" t="s">
        <v>965</v>
      </c>
      <c r="D173" s="4" t="s">
        <v>995</v>
      </c>
      <c r="E173" s="4" t="n">
        <v>1.25</v>
      </c>
      <c r="F173" s="4"/>
      <c r="G173" s="4"/>
      <c r="H173" s="4" t="s">
        <v>996</v>
      </c>
      <c r="I173" s="4"/>
      <c r="J173" s="4" t="s">
        <v>997</v>
      </c>
      <c r="K173" s="4" t="s">
        <v>979</v>
      </c>
      <c r="L173" s="4" t="n">
        <v>2</v>
      </c>
      <c r="M173" s="5" t="s">
        <v>138</v>
      </c>
      <c r="N173" s="4" t="s">
        <v>968</v>
      </c>
      <c r="O173" s="5" t="s">
        <v>153</v>
      </c>
      <c r="P173" s="4" t="s">
        <v>141</v>
      </c>
      <c r="Q173" s="4"/>
      <c r="R173" s="5" t="s">
        <v>154</v>
      </c>
      <c r="S173" s="4"/>
    </row>
    <row r="174" customFormat="false" ht="29.85" hidden="false" customHeight="false" outlineLevel="0" collapsed="false">
      <c r="A174" s="4" t="s">
        <v>998</v>
      </c>
      <c r="B174" s="4" t="s">
        <v>51</v>
      </c>
      <c r="C174" s="4" t="s">
        <v>965</v>
      </c>
      <c r="D174" s="4" t="s">
        <v>999</v>
      </c>
      <c r="E174" s="4" t="n">
        <v>2</v>
      </c>
      <c r="F174" s="4"/>
      <c r="G174" s="4"/>
      <c r="H174" s="4" t="s">
        <v>996</v>
      </c>
      <c r="I174" s="4"/>
      <c r="J174" s="4" t="s">
        <v>997</v>
      </c>
      <c r="K174" s="4" t="s">
        <v>979</v>
      </c>
      <c r="L174" s="4" t="n">
        <v>2</v>
      </c>
      <c r="M174" s="5" t="s">
        <v>138</v>
      </c>
      <c r="N174" s="4" t="s">
        <v>968</v>
      </c>
      <c r="O174" s="5" t="s">
        <v>153</v>
      </c>
      <c r="P174" s="4" t="s">
        <v>141</v>
      </c>
      <c r="Q174" s="4"/>
      <c r="R174" s="5" t="s">
        <v>154</v>
      </c>
      <c r="S174" s="4"/>
    </row>
    <row r="175" customFormat="false" ht="29.85" hidden="false" customHeight="false" outlineLevel="0" collapsed="false">
      <c r="A175" s="4" t="s">
        <v>1000</v>
      </c>
      <c r="B175" s="4" t="s">
        <v>51</v>
      </c>
      <c r="C175" s="4" t="s">
        <v>1001</v>
      </c>
      <c r="D175" s="4" t="s">
        <v>1002</v>
      </c>
      <c r="E175" s="4" t="n">
        <v>0.3</v>
      </c>
      <c r="F175" s="4"/>
      <c r="G175" s="4"/>
      <c r="H175" s="4" t="s">
        <v>933</v>
      </c>
      <c r="I175" s="5" t="s">
        <v>1003</v>
      </c>
      <c r="J175" s="4" t="s">
        <v>1004</v>
      </c>
      <c r="K175" s="4" t="s">
        <v>1005</v>
      </c>
      <c r="L175" s="4" t="n">
        <v>1</v>
      </c>
      <c r="M175" s="5" t="s">
        <v>138</v>
      </c>
      <c r="N175" s="4" t="s">
        <v>1006</v>
      </c>
      <c r="O175" s="5" t="s">
        <v>608</v>
      </c>
      <c r="P175" s="4" t="s">
        <v>141</v>
      </c>
      <c r="Q175" s="4" t="s">
        <v>1007</v>
      </c>
      <c r="R175" s="5" t="s">
        <v>170</v>
      </c>
      <c r="S175" s="4"/>
    </row>
    <row r="176" customFormat="false" ht="29.85" hidden="false" customHeight="false" outlineLevel="0" collapsed="false">
      <c r="A176" s="4" t="s">
        <v>1008</v>
      </c>
      <c r="B176" s="4" t="s">
        <v>51</v>
      </c>
      <c r="C176" s="4" t="s">
        <v>1001</v>
      </c>
      <c r="D176" s="4" t="s">
        <v>1009</v>
      </c>
      <c r="E176" s="4" t="n">
        <v>0.006</v>
      </c>
      <c r="F176" s="4"/>
      <c r="G176" s="4"/>
      <c r="H176" s="4" t="s">
        <v>933</v>
      </c>
      <c r="I176" s="5" t="s">
        <v>1010</v>
      </c>
      <c r="J176" s="4" t="s">
        <v>1004</v>
      </c>
      <c r="K176" s="4" t="s">
        <v>1005</v>
      </c>
      <c r="L176" s="4" t="n">
        <v>1</v>
      </c>
      <c r="M176" s="5" t="s">
        <v>138</v>
      </c>
      <c r="N176" s="4" t="s">
        <v>1006</v>
      </c>
      <c r="O176" s="5" t="s">
        <v>608</v>
      </c>
      <c r="P176" s="4" t="s">
        <v>141</v>
      </c>
      <c r="Q176" s="4" t="s">
        <v>1011</v>
      </c>
      <c r="R176" s="5" t="s">
        <v>170</v>
      </c>
      <c r="S176" s="4"/>
    </row>
    <row r="177" customFormat="false" ht="29.85" hidden="false" customHeight="false" outlineLevel="0" collapsed="false">
      <c r="A177" s="4" t="s">
        <v>1012</v>
      </c>
      <c r="B177" s="4" t="s">
        <v>51</v>
      </c>
      <c r="C177" s="4" t="s">
        <v>1001</v>
      </c>
      <c r="D177" s="4" t="s">
        <v>1013</v>
      </c>
      <c r="E177" s="4" t="n">
        <v>1.2</v>
      </c>
      <c r="F177" s="4"/>
      <c r="G177" s="4"/>
      <c r="H177" s="4" t="s">
        <v>933</v>
      </c>
      <c r="I177" s="5" t="s">
        <v>1010</v>
      </c>
      <c r="J177" s="4" t="s">
        <v>1004</v>
      </c>
      <c r="K177" s="4" t="s">
        <v>1005</v>
      </c>
      <c r="L177" s="4" t="n">
        <v>1</v>
      </c>
      <c r="M177" s="5" t="s">
        <v>138</v>
      </c>
      <c r="N177" s="4" t="s">
        <v>1006</v>
      </c>
      <c r="O177" s="5" t="s">
        <v>608</v>
      </c>
      <c r="P177" s="4" t="s">
        <v>141</v>
      </c>
      <c r="Q177" s="4" t="s">
        <v>1014</v>
      </c>
      <c r="R177" s="5" t="s">
        <v>170</v>
      </c>
      <c r="S177" s="4"/>
    </row>
    <row r="178" customFormat="false" ht="29.85" hidden="false" customHeight="false" outlineLevel="0" collapsed="false">
      <c r="A178" s="4" t="s">
        <v>1015</v>
      </c>
      <c r="B178" s="4" t="s">
        <v>51</v>
      </c>
      <c r="C178" s="4" t="s">
        <v>1001</v>
      </c>
      <c r="D178" s="4" t="s">
        <v>1016</v>
      </c>
      <c r="E178" s="4" t="n">
        <v>1.32</v>
      </c>
      <c r="F178" s="4"/>
      <c r="G178" s="4"/>
      <c r="H178" s="4" t="s">
        <v>933</v>
      </c>
      <c r="I178" s="5" t="s">
        <v>1010</v>
      </c>
      <c r="J178" s="4" t="s">
        <v>1017</v>
      </c>
      <c r="K178" s="4" t="s">
        <v>1005</v>
      </c>
      <c r="L178" s="4" t="n">
        <v>1</v>
      </c>
      <c r="M178" s="5" t="s">
        <v>138</v>
      </c>
      <c r="N178" s="4" t="s">
        <v>1006</v>
      </c>
      <c r="O178" s="5" t="s">
        <v>608</v>
      </c>
      <c r="P178" s="4" t="s">
        <v>141</v>
      </c>
      <c r="Q178" s="4" t="s">
        <v>1018</v>
      </c>
      <c r="R178" s="5" t="s">
        <v>170</v>
      </c>
      <c r="S178" s="4"/>
    </row>
    <row r="179" customFormat="false" ht="29.85" hidden="false" customHeight="false" outlineLevel="0" collapsed="false">
      <c r="A179" s="4" t="s">
        <v>1019</v>
      </c>
      <c r="B179" s="4" t="s">
        <v>51</v>
      </c>
      <c r="C179" s="4" t="s">
        <v>1001</v>
      </c>
      <c r="D179" s="4" t="s">
        <v>1020</v>
      </c>
      <c r="E179" s="4" t="n">
        <v>0.044</v>
      </c>
      <c r="F179" s="4"/>
      <c r="G179" s="4"/>
      <c r="H179" s="4" t="s">
        <v>933</v>
      </c>
      <c r="I179" s="5" t="s">
        <v>1010</v>
      </c>
      <c r="J179" s="4" t="s">
        <v>1017</v>
      </c>
      <c r="K179" s="4" t="s">
        <v>1005</v>
      </c>
      <c r="L179" s="4" t="n">
        <v>1</v>
      </c>
      <c r="M179" s="5" t="s">
        <v>138</v>
      </c>
      <c r="N179" s="4" t="s">
        <v>1006</v>
      </c>
      <c r="O179" s="5" t="s">
        <v>608</v>
      </c>
      <c r="P179" s="4" t="s">
        <v>141</v>
      </c>
      <c r="Q179" s="4" t="s">
        <v>1021</v>
      </c>
      <c r="R179" s="5" t="s">
        <v>170</v>
      </c>
      <c r="S179" s="4"/>
    </row>
    <row r="180" customFormat="false" ht="29.85" hidden="false" customHeight="false" outlineLevel="0" collapsed="false">
      <c r="A180" s="4" t="s">
        <v>1022</v>
      </c>
      <c r="B180" s="4" t="s">
        <v>51</v>
      </c>
      <c r="C180" s="4" t="s">
        <v>1001</v>
      </c>
      <c r="D180" s="4" t="s">
        <v>1023</v>
      </c>
      <c r="E180" s="4" t="n">
        <v>3.96</v>
      </c>
      <c r="F180" s="4"/>
      <c r="G180" s="4"/>
      <c r="H180" s="4" t="s">
        <v>933</v>
      </c>
      <c r="I180" s="5" t="s">
        <v>1010</v>
      </c>
      <c r="J180" s="4" t="s">
        <v>1017</v>
      </c>
      <c r="K180" s="4" t="s">
        <v>1005</v>
      </c>
      <c r="L180" s="4" t="n">
        <v>1</v>
      </c>
      <c r="M180" s="5" t="s">
        <v>138</v>
      </c>
      <c r="N180" s="4" t="s">
        <v>1006</v>
      </c>
      <c r="O180" s="5" t="s">
        <v>608</v>
      </c>
      <c r="P180" s="4" t="s">
        <v>141</v>
      </c>
      <c r="Q180" s="4" t="s">
        <v>1024</v>
      </c>
      <c r="R180" s="5" t="s">
        <v>170</v>
      </c>
      <c r="S180" s="4"/>
    </row>
    <row r="181" customFormat="false" ht="29.85" hidden="false" customHeight="false" outlineLevel="0" collapsed="false">
      <c r="A181" s="4" t="s">
        <v>1025</v>
      </c>
      <c r="B181" s="4" t="s">
        <v>51</v>
      </c>
      <c r="C181" s="4" t="s">
        <v>1001</v>
      </c>
      <c r="D181" s="4" t="s">
        <v>1026</v>
      </c>
      <c r="E181" s="4" t="n">
        <v>0.5</v>
      </c>
      <c r="F181" s="4"/>
      <c r="G181" s="4"/>
      <c r="H181" s="4" t="s">
        <v>559</v>
      </c>
      <c r="I181" s="4"/>
      <c r="J181" s="4" t="s">
        <v>686</v>
      </c>
      <c r="K181" s="4" t="s">
        <v>1005</v>
      </c>
      <c r="L181" s="4" t="n">
        <v>1</v>
      </c>
      <c r="M181" s="5" t="s">
        <v>138</v>
      </c>
      <c r="N181" s="4" t="s">
        <v>1006</v>
      </c>
      <c r="O181" s="5" t="s">
        <v>608</v>
      </c>
      <c r="P181" s="4" t="s">
        <v>141</v>
      </c>
      <c r="Q181" s="4" t="s">
        <v>1027</v>
      </c>
      <c r="R181" s="5" t="s">
        <v>170</v>
      </c>
      <c r="S181" s="4"/>
    </row>
    <row r="182" customFormat="false" ht="29.85" hidden="false" customHeight="false" outlineLevel="0" collapsed="false">
      <c r="A182" s="4" t="s">
        <v>1028</v>
      </c>
      <c r="B182" s="4" t="s">
        <v>51</v>
      </c>
      <c r="C182" s="4" t="s">
        <v>1001</v>
      </c>
      <c r="D182" s="4" t="s">
        <v>1029</v>
      </c>
      <c r="E182" s="4" t="n">
        <v>35</v>
      </c>
      <c r="F182" s="4"/>
      <c r="G182" s="4"/>
      <c r="H182" s="4" t="s">
        <v>1030</v>
      </c>
      <c r="I182" s="5" t="s">
        <v>1031</v>
      </c>
      <c r="J182" s="4" t="s">
        <v>686</v>
      </c>
      <c r="K182" s="4" t="s">
        <v>1005</v>
      </c>
      <c r="L182" s="4" t="n">
        <v>1</v>
      </c>
      <c r="M182" s="5" t="s">
        <v>138</v>
      </c>
      <c r="N182" s="4" t="s">
        <v>1006</v>
      </c>
      <c r="O182" s="5" t="s">
        <v>608</v>
      </c>
      <c r="P182" s="4" t="s">
        <v>141</v>
      </c>
      <c r="Q182" s="4" t="s">
        <v>1032</v>
      </c>
      <c r="R182" s="5" t="s">
        <v>170</v>
      </c>
      <c r="S182" s="5" t="s">
        <v>1033</v>
      </c>
    </row>
    <row r="183" customFormat="false" ht="29.85" hidden="false" customHeight="false" outlineLevel="0" collapsed="false">
      <c r="A183" s="4" t="s">
        <v>1034</v>
      </c>
      <c r="B183" s="4" t="s">
        <v>51</v>
      </c>
      <c r="C183" s="4" t="s">
        <v>1035</v>
      </c>
      <c r="D183" s="4" t="s">
        <v>1036</v>
      </c>
      <c r="E183" s="4" t="n">
        <v>1.4</v>
      </c>
      <c r="F183" s="4"/>
      <c r="G183" s="4"/>
      <c r="H183" s="4" t="s">
        <v>933</v>
      </c>
      <c r="I183" s="4"/>
      <c r="J183" s="4" t="s">
        <v>1037</v>
      </c>
      <c r="K183" s="4" t="s">
        <v>1005</v>
      </c>
      <c r="L183" s="4" t="n">
        <v>1</v>
      </c>
      <c r="M183" s="5" t="s">
        <v>138</v>
      </c>
      <c r="N183" s="4" t="s">
        <v>1038</v>
      </c>
      <c r="O183" s="5" t="s">
        <v>608</v>
      </c>
      <c r="P183" s="4" t="s">
        <v>141</v>
      </c>
      <c r="Q183" s="4" t="s">
        <v>1039</v>
      </c>
      <c r="R183" s="5" t="s">
        <v>170</v>
      </c>
      <c r="S183" s="4"/>
    </row>
    <row r="184" customFormat="false" ht="29.85" hidden="false" customHeight="false" outlineLevel="0" collapsed="false">
      <c r="A184" s="4" t="s">
        <v>1040</v>
      </c>
      <c r="B184" s="4" t="s">
        <v>51</v>
      </c>
      <c r="C184" s="4" t="s">
        <v>1035</v>
      </c>
      <c r="D184" s="4" t="s">
        <v>1041</v>
      </c>
      <c r="E184" s="4" t="n">
        <v>0.26</v>
      </c>
      <c r="F184" s="4"/>
      <c r="G184" s="4"/>
      <c r="H184" s="4" t="s">
        <v>933</v>
      </c>
      <c r="I184" s="4"/>
      <c r="J184" s="4" t="s">
        <v>1037</v>
      </c>
      <c r="K184" s="4" t="s">
        <v>1005</v>
      </c>
      <c r="L184" s="4" t="n">
        <v>1</v>
      </c>
      <c r="M184" s="5" t="s">
        <v>138</v>
      </c>
      <c r="N184" s="4" t="s">
        <v>1038</v>
      </c>
      <c r="O184" s="5" t="s">
        <v>608</v>
      </c>
      <c r="P184" s="4" t="s">
        <v>141</v>
      </c>
      <c r="Q184" s="4" t="s">
        <v>1042</v>
      </c>
      <c r="R184" s="5" t="s">
        <v>170</v>
      </c>
      <c r="S184" s="4"/>
    </row>
    <row r="185" customFormat="false" ht="29.85" hidden="false" customHeight="false" outlineLevel="0" collapsed="false">
      <c r="A185" s="4" t="s">
        <v>1043</v>
      </c>
      <c r="B185" s="4" t="s">
        <v>51</v>
      </c>
      <c r="C185" s="4" t="s">
        <v>1035</v>
      </c>
      <c r="D185" s="4" t="s">
        <v>1044</v>
      </c>
      <c r="E185" s="4" t="n">
        <v>4.4</v>
      </c>
      <c r="F185" s="4"/>
      <c r="G185" s="4"/>
      <c r="H185" s="4" t="s">
        <v>933</v>
      </c>
      <c r="I185" s="4"/>
      <c r="J185" s="4" t="s">
        <v>1037</v>
      </c>
      <c r="K185" s="4" t="s">
        <v>1005</v>
      </c>
      <c r="L185" s="4" t="n">
        <v>1</v>
      </c>
      <c r="M185" s="5" t="s">
        <v>138</v>
      </c>
      <c r="N185" s="4" t="s">
        <v>1038</v>
      </c>
      <c r="O185" s="5" t="s">
        <v>608</v>
      </c>
      <c r="P185" s="4" t="s">
        <v>141</v>
      </c>
      <c r="Q185" s="4" t="s">
        <v>1045</v>
      </c>
      <c r="R185" s="5" t="s">
        <v>170</v>
      </c>
      <c r="S185" s="4"/>
    </row>
    <row r="186" customFormat="false" ht="29.85" hidden="false" customHeight="false" outlineLevel="0" collapsed="false">
      <c r="A186" s="4" t="s">
        <v>1046</v>
      </c>
      <c r="B186" s="4" t="s">
        <v>51</v>
      </c>
      <c r="C186" s="4" t="s">
        <v>1035</v>
      </c>
      <c r="D186" s="4" t="s">
        <v>1047</v>
      </c>
      <c r="E186" s="4" t="n">
        <v>0.15</v>
      </c>
      <c r="F186" s="4"/>
      <c r="G186" s="4"/>
      <c r="H186" s="4" t="s">
        <v>933</v>
      </c>
      <c r="I186" s="4"/>
      <c r="J186" s="4" t="s">
        <v>1048</v>
      </c>
      <c r="K186" s="4" t="s">
        <v>1005</v>
      </c>
      <c r="L186" s="4" t="n">
        <v>1</v>
      </c>
      <c r="M186" s="5" t="s">
        <v>138</v>
      </c>
      <c r="N186" s="4" t="s">
        <v>1038</v>
      </c>
      <c r="O186" s="5" t="s">
        <v>608</v>
      </c>
      <c r="P186" s="4" t="s">
        <v>141</v>
      </c>
      <c r="Q186" s="4" t="s">
        <v>1049</v>
      </c>
      <c r="R186" s="5" t="s">
        <v>170</v>
      </c>
      <c r="S186" s="4"/>
    </row>
    <row r="187" customFormat="false" ht="29.85" hidden="false" customHeight="false" outlineLevel="0" collapsed="false">
      <c r="A187" s="4" t="s">
        <v>1050</v>
      </c>
      <c r="B187" s="4" t="s">
        <v>51</v>
      </c>
      <c r="C187" s="4" t="s">
        <v>1035</v>
      </c>
      <c r="D187" s="4" t="s">
        <v>1051</v>
      </c>
      <c r="E187" s="4" t="n">
        <v>0.03</v>
      </c>
      <c r="F187" s="4"/>
      <c r="G187" s="4"/>
      <c r="H187" s="4" t="s">
        <v>933</v>
      </c>
      <c r="I187" s="4"/>
      <c r="J187" s="4" t="s">
        <v>1048</v>
      </c>
      <c r="K187" s="4" t="s">
        <v>1005</v>
      </c>
      <c r="L187" s="4" t="n">
        <v>1</v>
      </c>
      <c r="M187" s="5" t="s">
        <v>138</v>
      </c>
      <c r="N187" s="4" t="s">
        <v>1038</v>
      </c>
      <c r="O187" s="5" t="s">
        <v>608</v>
      </c>
      <c r="P187" s="4" t="s">
        <v>141</v>
      </c>
      <c r="Q187" s="4" t="s">
        <v>1052</v>
      </c>
      <c r="R187" s="5" t="s">
        <v>170</v>
      </c>
      <c r="S187" s="4"/>
    </row>
    <row r="188" customFormat="false" ht="29.85" hidden="false" customHeight="false" outlineLevel="0" collapsed="false">
      <c r="A188" s="4" t="s">
        <v>1053</v>
      </c>
      <c r="B188" s="4" t="s">
        <v>51</v>
      </c>
      <c r="C188" s="4" t="s">
        <v>1035</v>
      </c>
      <c r="D188" s="4" t="s">
        <v>1054</v>
      </c>
      <c r="E188" s="4" t="n">
        <v>0.5</v>
      </c>
      <c r="F188" s="4"/>
      <c r="G188" s="4"/>
      <c r="H188" s="4" t="s">
        <v>933</v>
      </c>
      <c r="I188" s="4"/>
      <c r="J188" s="4" t="s">
        <v>1048</v>
      </c>
      <c r="K188" s="4" t="s">
        <v>1005</v>
      </c>
      <c r="L188" s="4" t="n">
        <v>1</v>
      </c>
      <c r="M188" s="5" t="s">
        <v>138</v>
      </c>
      <c r="N188" s="4" t="s">
        <v>1038</v>
      </c>
      <c r="O188" s="5" t="s">
        <v>608</v>
      </c>
      <c r="P188" s="4" t="s">
        <v>141</v>
      </c>
      <c r="Q188" s="4" t="s">
        <v>1055</v>
      </c>
      <c r="R188" s="5" t="s">
        <v>170</v>
      </c>
      <c r="S188" s="4"/>
    </row>
    <row r="189" customFormat="false" ht="29.85" hidden="false" customHeight="false" outlineLevel="0" collapsed="false">
      <c r="A189" s="4" t="s">
        <v>1056</v>
      </c>
      <c r="B189" s="4" t="s">
        <v>51</v>
      </c>
      <c r="C189" s="4" t="s">
        <v>1057</v>
      </c>
      <c r="D189" s="4" t="s">
        <v>1058</v>
      </c>
      <c r="E189" s="4" t="n">
        <v>3</v>
      </c>
      <c r="F189" s="4"/>
      <c r="G189" s="4"/>
      <c r="H189" s="4" t="s">
        <v>933</v>
      </c>
      <c r="I189" s="4"/>
      <c r="J189" s="4" t="s">
        <v>1059</v>
      </c>
      <c r="K189" s="4" t="s">
        <v>979</v>
      </c>
      <c r="L189" s="4" t="n">
        <v>2</v>
      </c>
      <c r="M189" s="5" t="s">
        <v>138</v>
      </c>
      <c r="N189" s="4" t="s">
        <v>1060</v>
      </c>
      <c r="O189" s="5" t="s">
        <v>153</v>
      </c>
      <c r="P189" s="4" t="s">
        <v>141</v>
      </c>
      <c r="Q189" s="4" t="s">
        <v>1061</v>
      </c>
      <c r="R189" s="5" t="s">
        <v>170</v>
      </c>
      <c r="S189" s="4"/>
    </row>
    <row r="190" customFormat="false" ht="29.85" hidden="false" customHeight="false" outlineLevel="0" collapsed="false">
      <c r="A190" s="4" t="s">
        <v>1062</v>
      </c>
      <c r="B190" s="4" t="s">
        <v>51</v>
      </c>
      <c r="C190" s="4" t="s">
        <v>1057</v>
      </c>
      <c r="D190" s="4" t="s">
        <v>1063</v>
      </c>
      <c r="E190" s="4" t="n">
        <v>0.3</v>
      </c>
      <c r="F190" s="4"/>
      <c r="G190" s="4"/>
      <c r="H190" s="4" t="s">
        <v>933</v>
      </c>
      <c r="I190" s="4"/>
      <c r="J190" s="4" t="s">
        <v>1059</v>
      </c>
      <c r="K190" s="4" t="s">
        <v>979</v>
      </c>
      <c r="L190" s="4" t="n">
        <v>2</v>
      </c>
      <c r="M190" s="5" t="s">
        <v>138</v>
      </c>
      <c r="N190" s="4" t="s">
        <v>1060</v>
      </c>
      <c r="O190" s="5" t="s">
        <v>153</v>
      </c>
      <c r="P190" s="4" t="s">
        <v>141</v>
      </c>
      <c r="Q190" s="4" t="s">
        <v>1064</v>
      </c>
      <c r="R190" s="5" t="s">
        <v>170</v>
      </c>
      <c r="S190" s="4"/>
    </row>
    <row r="191" customFormat="false" ht="29.85" hidden="false" customHeight="false" outlineLevel="0" collapsed="false">
      <c r="A191" s="4" t="s">
        <v>1065</v>
      </c>
      <c r="B191" s="4" t="s">
        <v>51</v>
      </c>
      <c r="C191" s="4" t="s">
        <v>1057</v>
      </c>
      <c r="D191" s="4" t="s">
        <v>1066</v>
      </c>
      <c r="E191" s="4" t="n">
        <v>15</v>
      </c>
      <c r="F191" s="4"/>
      <c r="G191" s="4"/>
      <c r="H191" s="4" t="s">
        <v>933</v>
      </c>
      <c r="I191" s="4"/>
      <c r="J191" s="4" t="s">
        <v>1059</v>
      </c>
      <c r="K191" s="4" t="s">
        <v>979</v>
      </c>
      <c r="L191" s="4" t="n">
        <v>2</v>
      </c>
      <c r="M191" s="5" t="s">
        <v>138</v>
      </c>
      <c r="N191" s="4" t="s">
        <v>1060</v>
      </c>
      <c r="O191" s="5" t="s">
        <v>153</v>
      </c>
      <c r="P191" s="4" t="s">
        <v>141</v>
      </c>
      <c r="Q191" s="4" t="s">
        <v>1067</v>
      </c>
      <c r="R191" s="5" t="s">
        <v>170</v>
      </c>
      <c r="S191" s="4"/>
    </row>
    <row r="192" customFormat="false" ht="29.85" hidden="false" customHeight="false" outlineLevel="0" collapsed="false">
      <c r="A192" s="4" t="s">
        <v>1068</v>
      </c>
      <c r="B192" s="4" t="s">
        <v>51</v>
      </c>
      <c r="C192" s="4" t="s">
        <v>1057</v>
      </c>
      <c r="D192" s="4" t="s">
        <v>1069</v>
      </c>
      <c r="E192" s="4" t="n">
        <v>2</v>
      </c>
      <c r="F192" s="4"/>
      <c r="G192" s="4"/>
      <c r="H192" s="4" t="s">
        <v>933</v>
      </c>
      <c r="I192" s="5" t="s">
        <v>1070</v>
      </c>
      <c r="J192" s="4" t="s">
        <v>1071</v>
      </c>
      <c r="K192" s="4" t="s">
        <v>229</v>
      </c>
      <c r="L192" s="4" t="n">
        <v>2</v>
      </c>
      <c r="M192" s="5" t="s">
        <v>138</v>
      </c>
      <c r="N192" s="4" t="s">
        <v>1060</v>
      </c>
      <c r="O192" s="5" t="s">
        <v>153</v>
      </c>
      <c r="P192" s="4" t="s">
        <v>141</v>
      </c>
      <c r="Q192" s="4" t="s">
        <v>1072</v>
      </c>
      <c r="R192" s="5" t="s">
        <v>170</v>
      </c>
      <c r="S192" s="4"/>
    </row>
    <row r="193" customFormat="false" ht="29.85" hidden="false" customHeight="false" outlineLevel="0" collapsed="false">
      <c r="A193" s="4" t="s">
        <v>1073</v>
      </c>
      <c r="B193" s="4" t="s">
        <v>51</v>
      </c>
      <c r="C193" s="4" t="s">
        <v>1057</v>
      </c>
      <c r="D193" s="4" t="s">
        <v>1074</v>
      </c>
      <c r="E193" s="4" t="n">
        <v>0.25</v>
      </c>
      <c r="F193" s="4"/>
      <c r="G193" s="4"/>
      <c r="H193" s="4" t="s">
        <v>933</v>
      </c>
      <c r="I193" s="5" t="s">
        <v>1070</v>
      </c>
      <c r="J193" s="4" t="s">
        <v>1071</v>
      </c>
      <c r="K193" s="4" t="s">
        <v>229</v>
      </c>
      <c r="L193" s="4" t="n">
        <v>2</v>
      </c>
      <c r="M193" s="5" t="s">
        <v>138</v>
      </c>
      <c r="N193" s="4" t="s">
        <v>1060</v>
      </c>
      <c r="O193" s="5" t="s">
        <v>153</v>
      </c>
      <c r="P193" s="4" t="s">
        <v>141</v>
      </c>
      <c r="Q193" s="4" t="s">
        <v>1075</v>
      </c>
      <c r="R193" s="5" t="s">
        <v>170</v>
      </c>
      <c r="S193" s="4"/>
    </row>
    <row r="194" customFormat="false" ht="29.85" hidden="false" customHeight="false" outlineLevel="0" collapsed="false">
      <c r="A194" s="4" t="s">
        <v>1076</v>
      </c>
      <c r="B194" s="4" t="s">
        <v>51</v>
      </c>
      <c r="C194" s="4" t="s">
        <v>1057</v>
      </c>
      <c r="D194" s="4" t="s">
        <v>1077</v>
      </c>
      <c r="E194" s="4" t="n">
        <v>6</v>
      </c>
      <c r="F194" s="4"/>
      <c r="G194" s="4"/>
      <c r="H194" s="4" t="s">
        <v>933</v>
      </c>
      <c r="I194" s="5" t="s">
        <v>1070</v>
      </c>
      <c r="J194" s="4" t="s">
        <v>1071</v>
      </c>
      <c r="K194" s="4" t="s">
        <v>229</v>
      </c>
      <c r="L194" s="4" t="n">
        <v>2</v>
      </c>
      <c r="M194" s="5" t="s">
        <v>138</v>
      </c>
      <c r="N194" s="4" t="s">
        <v>1060</v>
      </c>
      <c r="O194" s="5" t="s">
        <v>153</v>
      </c>
      <c r="P194" s="4" t="s">
        <v>141</v>
      </c>
      <c r="Q194" s="4" t="s">
        <v>1078</v>
      </c>
      <c r="R194" s="5" t="s">
        <v>170</v>
      </c>
      <c r="S194" s="4"/>
    </row>
    <row r="195" customFormat="false" ht="29.85" hidden="false" customHeight="false" outlineLevel="0" collapsed="false">
      <c r="A195" s="4" t="s">
        <v>1079</v>
      </c>
      <c r="B195" s="4" t="s">
        <v>51</v>
      </c>
      <c r="C195" s="4" t="s">
        <v>1057</v>
      </c>
      <c r="D195" s="4" t="s">
        <v>1080</v>
      </c>
      <c r="E195" s="4" t="n">
        <v>2.5</v>
      </c>
      <c r="F195" s="4"/>
      <c r="G195" s="4"/>
      <c r="H195" s="4" t="s">
        <v>933</v>
      </c>
      <c r="I195" s="5" t="s">
        <v>1081</v>
      </c>
      <c r="J195" s="4" t="s">
        <v>1071</v>
      </c>
      <c r="K195" s="4" t="s">
        <v>229</v>
      </c>
      <c r="L195" s="4" t="n">
        <v>2</v>
      </c>
      <c r="M195" s="5" t="s">
        <v>138</v>
      </c>
      <c r="N195" s="4" t="s">
        <v>1060</v>
      </c>
      <c r="O195" s="5" t="s">
        <v>153</v>
      </c>
      <c r="P195" s="4" t="s">
        <v>193</v>
      </c>
      <c r="Q195" s="4"/>
      <c r="R195" s="5" t="s">
        <v>154</v>
      </c>
      <c r="S195" s="5" t="s">
        <v>1082</v>
      </c>
    </row>
    <row r="196" customFormat="false" ht="29.85" hidden="false" customHeight="false" outlineLevel="0" collapsed="false">
      <c r="A196" s="4" t="s">
        <v>1083</v>
      </c>
      <c r="B196" s="4" t="s">
        <v>51</v>
      </c>
      <c r="C196" s="4" t="s">
        <v>1057</v>
      </c>
      <c r="D196" s="4" t="s">
        <v>1084</v>
      </c>
      <c r="E196" s="4" t="n">
        <v>7.5</v>
      </c>
      <c r="F196" s="4"/>
      <c r="G196" s="4"/>
      <c r="H196" s="4" t="s">
        <v>933</v>
      </c>
      <c r="I196" s="5" t="s">
        <v>1081</v>
      </c>
      <c r="J196" s="4" t="s">
        <v>1071</v>
      </c>
      <c r="K196" s="4" t="s">
        <v>229</v>
      </c>
      <c r="L196" s="4" t="n">
        <v>2</v>
      </c>
      <c r="M196" s="5" t="s">
        <v>138</v>
      </c>
      <c r="N196" s="4" t="s">
        <v>1060</v>
      </c>
      <c r="O196" s="5" t="s">
        <v>153</v>
      </c>
      <c r="P196" s="4" t="s">
        <v>193</v>
      </c>
      <c r="Q196" s="4"/>
      <c r="R196" s="5" t="s">
        <v>154</v>
      </c>
      <c r="S196" s="5" t="s">
        <v>1082</v>
      </c>
    </row>
    <row r="197" customFormat="false" ht="29.85" hidden="false" customHeight="false" outlineLevel="0" collapsed="false">
      <c r="A197" s="4" t="s">
        <v>1085</v>
      </c>
      <c r="B197" s="4" t="s">
        <v>51</v>
      </c>
      <c r="C197" s="4" t="s">
        <v>1057</v>
      </c>
      <c r="D197" s="4" t="s">
        <v>1086</v>
      </c>
      <c r="E197" s="4" t="n">
        <v>0.3</v>
      </c>
      <c r="F197" s="4"/>
      <c r="G197" s="4"/>
      <c r="H197" s="4" t="s">
        <v>933</v>
      </c>
      <c r="I197" s="4" t="s">
        <v>1087</v>
      </c>
      <c r="J197" s="4" t="s">
        <v>1088</v>
      </c>
      <c r="K197" s="4" t="s">
        <v>199</v>
      </c>
      <c r="L197" s="4" t="n">
        <v>2</v>
      </c>
      <c r="M197" s="5" t="s">
        <v>138</v>
      </c>
      <c r="N197" s="4" t="s">
        <v>1060</v>
      </c>
      <c r="O197" s="5" t="s">
        <v>153</v>
      </c>
      <c r="P197" s="4" t="s">
        <v>141</v>
      </c>
      <c r="Q197" s="4" t="s">
        <v>1089</v>
      </c>
      <c r="R197" s="5" t="s">
        <v>170</v>
      </c>
      <c r="S197" s="4"/>
    </row>
    <row r="198" customFormat="false" ht="29.85" hidden="false" customHeight="false" outlineLevel="0" collapsed="false">
      <c r="A198" s="4" t="s">
        <v>1090</v>
      </c>
      <c r="B198" s="4" t="s">
        <v>51</v>
      </c>
      <c r="C198" s="4" t="s">
        <v>1057</v>
      </c>
      <c r="D198" s="4" t="s">
        <v>1091</v>
      </c>
      <c r="E198" s="4" t="n">
        <v>1.2</v>
      </c>
      <c r="F198" s="4"/>
      <c r="G198" s="4"/>
      <c r="H198" s="4" t="s">
        <v>933</v>
      </c>
      <c r="I198" s="4" t="s">
        <v>1087</v>
      </c>
      <c r="J198" s="4" t="s">
        <v>1088</v>
      </c>
      <c r="K198" s="4" t="s">
        <v>199</v>
      </c>
      <c r="L198" s="4" t="n">
        <v>2</v>
      </c>
      <c r="M198" s="5" t="s">
        <v>138</v>
      </c>
      <c r="N198" s="4" t="s">
        <v>1060</v>
      </c>
      <c r="O198" s="5" t="s">
        <v>153</v>
      </c>
      <c r="P198" s="4" t="s">
        <v>141</v>
      </c>
      <c r="Q198" s="4" t="s">
        <v>1092</v>
      </c>
      <c r="R198" s="5" t="s">
        <v>170</v>
      </c>
      <c r="S198" s="4"/>
    </row>
    <row r="199" customFormat="false" ht="26.85" hidden="false" customHeight="false" outlineLevel="0" collapsed="false">
      <c r="A199" s="4" t="s">
        <v>1093</v>
      </c>
      <c r="B199" s="4" t="s">
        <v>52</v>
      </c>
      <c r="C199" s="4" t="s">
        <v>1094</v>
      </c>
      <c r="D199" s="4" t="s">
        <v>1095</v>
      </c>
      <c r="E199" s="4" t="n">
        <v>53</v>
      </c>
      <c r="F199" s="4"/>
      <c r="G199" s="4"/>
      <c r="H199" s="5" t="s">
        <v>1096</v>
      </c>
      <c r="I199" s="4" t="s">
        <v>1097</v>
      </c>
      <c r="J199" s="4" t="s">
        <v>810</v>
      </c>
      <c r="K199" s="4" t="s">
        <v>229</v>
      </c>
      <c r="L199" s="4" t="n">
        <v>2</v>
      </c>
      <c r="M199" s="5" t="s">
        <v>238</v>
      </c>
      <c r="N199" s="4" t="s">
        <v>1098</v>
      </c>
      <c r="O199" s="5" t="s">
        <v>153</v>
      </c>
      <c r="P199" s="4" t="s">
        <v>141</v>
      </c>
      <c r="Q199" s="4" t="s">
        <v>1099</v>
      </c>
      <c r="R199" s="5" t="s">
        <v>170</v>
      </c>
      <c r="S199" s="4"/>
    </row>
    <row r="200" customFormat="false" ht="26.85" hidden="false" customHeight="false" outlineLevel="0" collapsed="false">
      <c r="A200" s="4" t="s">
        <v>1100</v>
      </c>
      <c r="B200" s="4" t="s">
        <v>52</v>
      </c>
      <c r="C200" s="4" t="s">
        <v>1094</v>
      </c>
      <c r="D200" s="4" t="s">
        <v>1101</v>
      </c>
      <c r="E200" s="4" t="n">
        <v>53</v>
      </c>
      <c r="F200" s="4"/>
      <c r="G200" s="4"/>
      <c r="H200" s="5" t="s">
        <v>1096</v>
      </c>
      <c r="I200" s="4" t="s">
        <v>1097</v>
      </c>
      <c r="J200" s="4" t="s">
        <v>967</v>
      </c>
      <c r="K200" s="4" t="s">
        <v>229</v>
      </c>
      <c r="L200" s="4" t="n">
        <v>2</v>
      </c>
      <c r="M200" s="5" t="s">
        <v>238</v>
      </c>
      <c r="N200" s="4" t="s">
        <v>1098</v>
      </c>
      <c r="O200" s="5" t="s">
        <v>153</v>
      </c>
      <c r="P200" s="4" t="s">
        <v>141</v>
      </c>
      <c r="Q200" s="4" t="s">
        <v>1102</v>
      </c>
      <c r="R200" s="5" t="s">
        <v>170</v>
      </c>
      <c r="S200" s="4"/>
    </row>
    <row r="201" customFormat="false" ht="26.85" hidden="false" customHeight="false" outlineLevel="0" collapsed="false">
      <c r="A201" s="4" t="s">
        <v>1103</v>
      </c>
      <c r="B201" s="4" t="s">
        <v>52</v>
      </c>
      <c r="C201" s="4" t="s">
        <v>1094</v>
      </c>
      <c r="D201" s="4" t="s">
        <v>1104</v>
      </c>
      <c r="E201" s="4" t="n">
        <v>51</v>
      </c>
      <c r="F201" s="4"/>
      <c r="G201" s="4"/>
      <c r="H201" s="5" t="s">
        <v>1096</v>
      </c>
      <c r="I201" s="4" t="s">
        <v>1097</v>
      </c>
      <c r="J201" s="4" t="s">
        <v>815</v>
      </c>
      <c r="K201" s="4" t="s">
        <v>229</v>
      </c>
      <c r="L201" s="4" t="n">
        <v>2</v>
      </c>
      <c r="M201" s="5" t="s">
        <v>238</v>
      </c>
      <c r="N201" s="4" t="s">
        <v>1098</v>
      </c>
      <c r="O201" s="5" t="s">
        <v>153</v>
      </c>
      <c r="P201" s="4" t="s">
        <v>141</v>
      </c>
      <c r="Q201" s="4" t="s">
        <v>1105</v>
      </c>
      <c r="R201" s="5" t="s">
        <v>170</v>
      </c>
      <c r="S201" s="4"/>
    </row>
    <row r="202" customFormat="false" ht="26.85" hidden="false" customHeight="false" outlineLevel="0" collapsed="false">
      <c r="A202" s="4" t="s">
        <v>1106</v>
      </c>
      <c r="B202" s="4" t="s">
        <v>52</v>
      </c>
      <c r="C202" s="4" t="s">
        <v>1094</v>
      </c>
      <c r="D202" s="4" t="s">
        <v>1107</v>
      </c>
      <c r="E202" s="4" t="n">
        <v>47</v>
      </c>
      <c r="F202" s="4"/>
      <c r="G202" s="4"/>
      <c r="H202" s="5" t="s">
        <v>1096</v>
      </c>
      <c r="I202" s="4" t="s">
        <v>1097</v>
      </c>
      <c r="J202" s="4" t="s">
        <v>805</v>
      </c>
      <c r="K202" s="4" t="s">
        <v>229</v>
      </c>
      <c r="L202" s="4" t="n">
        <v>2</v>
      </c>
      <c r="M202" s="5" t="s">
        <v>238</v>
      </c>
      <c r="N202" s="4" t="s">
        <v>1098</v>
      </c>
      <c r="O202" s="5" t="s">
        <v>153</v>
      </c>
      <c r="P202" s="4" t="s">
        <v>141</v>
      </c>
      <c r="Q202" s="4"/>
      <c r="R202" s="5" t="s">
        <v>154</v>
      </c>
      <c r="S202" s="4"/>
    </row>
    <row r="203" customFormat="false" ht="26.85" hidden="false" customHeight="false" outlineLevel="0" collapsed="false">
      <c r="A203" s="4" t="s">
        <v>1108</v>
      </c>
      <c r="B203" s="4" t="s">
        <v>52</v>
      </c>
      <c r="C203" s="4" t="s">
        <v>1094</v>
      </c>
      <c r="D203" s="4" t="s">
        <v>1109</v>
      </c>
      <c r="E203" s="4" t="n">
        <v>42</v>
      </c>
      <c r="F203" s="4"/>
      <c r="G203" s="4"/>
      <c r="H203" s="5" t="s">
        <v>1096</v>
      </c>
      <c r="I203" s="4" t="s">
        <v>1097</v>
      </c>
      <c r="J203" s="4" t="s">
        <v>1048</v>
      </c>
      <c r="K203" s="4" t="s">
        <v>229</v>
      </c>
      <c r="L203" s="4" t="n">
        <v>2</v>
      </c>
      <c r="M203" s="5" t="s">
        <v>238</v>
      </c>
      <c r="N203" s="4" t="s">
        <v>1098</v>
      </c>
      <c r="O203" s="5" t="s">
        <v>153</v>
      </c>
      <c r="P203" s="4" t="s">
        <v>141</v>
      </c>
      <c r="Q203" s="4" t="s">
        <v>1110</v>
      </c>
      <c r="R203" s="5" t="s">
        <v>170</v>
      </c>
      <c r="S203" s="4"/>
    </row>
    <row r="204" customFormat="false" ht="26.85" hidden="false" customHeight="false" outlineLevel="0" collapsed="false">
      <c r="A204" s="4" t="s">
        <v>1111</v>
      </c>
      <c r="B204" s="4" t="s">
        <v>52</v>
      </c>
      <c r="C204" s="4" t="s">
        <v>1094</v>
      </c>
      <c r="D204" s="4" t="s">
        <v>1112</v>
      </c>
      <c r="E204" s="4" t="n">
        <v>40</v>
      </c>
      <c r="F204" s="4"/>
      <c r="G204" s="4"/>
      <c r="H204" s="5" t="s">
        <v>1096</v>
      </c>
      <c r="I204" s="4" t="s">
        <v>1097</v>
      </c>
      <c r="J204" s="4" t="s">
        <v>1113</v>
      </c>
      <c r="K204" s="4" t="s">
        <v>229</v>
      </c>
      <c r="L204" s="4" t="n">
        <v>2</v>
      </c>
      <c r="M204" s="5" t="s">
        <v>238</v>
      </c>
      <c r="N204" s="4" t="s">
        <v>1098</v>
      </c>
      <c r="O204" s="5" t="s">
        <v>153</v>
      </c>
      <c r="P204" s="4" t="s">
        <v>141</v>
      </c>
      <c r="Q204" s="4" t="s">
        <v>1114</v>
      </c>
      <c r="R204" s="4" t="s">
        <v>143</v>
      </c>
      <c r="S204" s="5" t="s">
        <v>1115</v>
      </c>
    </row>
    <row r="205" customFormat="false" ht="26.85" hidden="false" customHeight="false" outlineLevel="0" collapsed="false">
      <c r="A205" s="4" t="s">
        <v>1116</v>
      </c>
      <c r="B205" s="4" t="s">
        <v>52</v>
      </c>
      <c r="C205" s="4" t="s">
        <v>1094</v>
      </c>
      <c r="D205" s="4" t="s">
        <v>1117</v>
      </c>
      <c r="E205" s="4" t="n">
        <v>36</v>
      </c>
      <c r="F205" s="4"/>
      <c r="G205" s="4"/>
      <c r="H205" s="5" t="s">
        <v>1096</v>
      </c>
      <c r="I205" s="4" t="s">
        <v>1097</v>
      </c>
      <c r="J205" s="4" t="s">
        <v>1118</v>
      </c>
      <c r="K205" s="4" t="s">
        <v>229</v>
      </c>
      <c r="L205" s="4" t="n">
        <v>2</v>
      </c>
      <c r="M205" s="5" t="s">
        <v>238</v>
      </c>
      <c r="N205" s="4" t="s">
        <v>1098</v>
      </c>
      <c r="O205" s="5" t="s">
        <v>153</v>
      </c>
      <c r="P205" s="4" t="s">
        <v>141</v>
      </c>
      <c r="Q205" s="4" t="s">
        <v>1119</v>
      </c>
      <c r="R205" s="4" t="s">
        <v>143</v>
      </c>
      <c r="S205" s="5" t="s">
        <v>1120</v>
      </c>
    </row>
    <row r="206" customFormat="false" ht="29.85" hidden="false" customHeight="false" outlineLevel="0" collapsed="false">
      <c r="A206" s="4" t="s">
        <v>1121</v>
      </c>
      <c r="B206" s="4" t="s">
        <v>52</v>
      </c>
      <c r="C206" s="4" t="s">
        <v>1122</v>
      </c>
      <c r="D206" s="4" t="s">
        <v>1123</v>
      </c>
      <c r="E206" s="4" t="n">
        <v>48</v>
      </c>
      <c r="F206" s="4"/>
      <c r="G206" s="4"/>
      <c r="H206" s="5" t="s">
        <v>1096</v>
      </c>
      <c r="I206" s="4" t="s">
        <v>1124</v>
      </c>
      <c r="J206" s="4" t="s">
        <v>947</v>
      </c>
      <c r="K206" s="4" t="s">
        <v>229</v>
      </c>
      <c r="L206" s="4" t="n">
        <v>3</v>
      </c>
      <c r="M206" s="5" t="s">
        <v>238</v>
      </c>
      <c r="N206" s="4" t="s">
        <v>1125</v>
      </c>
      <c r="O206" s="5" t="s">
        <v>758</v>
      </c>
      <c r="P206" s="4" t="s">
        <v>141</v>
      </c>
      <c r="Q206" s="4" t="s">
        <v>1126</v>
      </c>
      <c r="R206" s="5" t="s">
        <v>170</v>
      </c>
      <c r="S206" s="5" t="s">
        <v>1127</v>
      </c>
    </row>
    <row r="207" customFormat="false" ht="29.85" hidden="false" customHeight="false" outlineLevel="0" collapsed="false">
      <c r="A207" s="4" t="s">
        <v>1128</v>
      </c>
      <c r="B207" s="4" t="s">
        <v>52</v>
      </c>
      <c r="C207" s="4" t="s">
        <v>1122</v>
      </c>
      <c r="D207" s="4" t="s">
        <v>1129</v>
      </c>
      <c r="E207" s="4" t="n">
        <v>37</v>
      </c>
      <c r="F207" s="4"/>
      <c r="G207" s="4"/>
      <c r="H207" s="5" t="s">
        <v>1096</v>
      </c>
      <c r="I207" s="4" t="s">
        <v>1124</v>
      </c>
      <c r="J207" s="4" t="s">
        <v>935</v>
      </c>
      <c r="K207" s="4" t="s">
        <v>229</v>
      </c>
      <c r="L207" s="4" t="n">
        <v>3</v>
      </c>
      <c r="M207" s="5" t="s">
        <v>238</v>
      </c>
      <c r="N207" s="4" t="s">
        <v>1125</v>
      </c>
      <c r="O207" s="5" t="s">
        <v>758</v>
      </c>
      <c r="P207" s="4" t="s">
        <v>141</v>
      </c>
      <c r="Q207" s="4" t="s">
        <v>1130</v>
      </c>
      <c r="R207" s="5" t="s">
        <v>170</v>
      </c>
      <c r="S207" s="4"/>
    </row>
    <row r="208" customFormat="false" ht="29.85" hidden="false" customHeight="false" outlineLevel="0" collapsed="false">
      <c r="A208" s="4" t="s">
        <v>1131</v>
      </c>
      <c r="B208" s="4" t="s">
        <v>52</v>
      </c>
      <c r="C208" s="4" t="s">
        <v>1122</v>
      </c>
      <c r="D208" s="4" t="s">
        <v>1132</v>
      </c>
      <c r="E208" s="4" t="n">
        <v>39</v>
      </c>
      <c r="F208" s="4"/>
      <c r="G208" s="4"/>
      <c r="H208" s="5" t="s">
        <v>1096</v>
      </c>
      <c r="I208" s="4" t="s">
        <v>1124</v>
      </c>
      <c r="J208" s="4" t="s">
        <v>1004</v>
      </c>
      <c r="K208" s="4" t="s">
        <v>229</v>
      </c>
      <c r="L208" s="4" t="n">
        <v>3</v>
      </c>
      <c r="M208" s="5" t="s">
        <v>238</v>
      </c>
      <c r="N208" s="4" t="s">
        <v>1125</v>
      </c>
      <c r="O208" s="5" t="s">
        <v>758</v>
      </c>
      <c r="P208" s="4" t="s">
        <v>141</v>
      </c>
      <c r="Q208" s="4" t="s">
        <v>1133</v>
      </c>
      <c r="R208" s="5" t="s">
        <v>170</v>
      </c>
      <c r="S208" s="4"/>
    </row>
    <row r="209" customFormat="false" ht="29.85" hidden="false" customHeight="false" outlineLevel="0" collapsed="false">
      <c r="A209" s="4" t="s">
        <v>1134</v>
      </c>
      <c r="B209" s="4" t="s">
        <v>52</v>
      </c>
      <c r="C209" s="4" t="s">
        <v>1122</v>
      </c>
      <c r="D209" s="4" t="s">
        <v>1135</v>
      </c>
      <c r="E209" s="4" t="n">
        <v>45</v>
      </c>
      <c r="F209" s="4"/>
      <c r="G209" s="4"/>
      <c r="H209" s="5" t="s">
        <v>1096</v>
      </c>
      <c r="I209" s="4" t="s">
        <v>1136</v>
      </c>
      <c r="J209" s="4" t="s">
        <v>1037</v>
      </c>
      <c r="K209" s="4" t="s">
        <v>229</v>
      </c>
      <c r="L209" s="4" t="n">
        <v>3</v>
      </c>
      <c r="M209" s="5" t="s">
        <v>238</v>
      </c>
      <c r="N209" s="4" t="s">
        <v>1125</v>
      </c>
      <c r="O209" s="5" t="s">
        <v>758</v>
      </c>
      <c r="P209" s="4" t="s">
        <v>141</v>
      </c>
      <c r="Q209" s="4" t="s">
        <v>1137</v>
      </c>
      <c r="R209" s="5" t="s">
        <v>170</v>
      </c>
      <c r="S209" s="4"/>
    </row>
    <row r="210" customFormat="false" ht="29.85" hidden="false" customHeight="false" outlineLevel="0" collapsed="false">
      <c r="A210" s="4" t="s">
        <v>1138</v>
      </c>
      <c r="B210" s="4" t="s">
        <v>52</v>
      </c>
      <c r="C210" s="4" t="s">
        <v>1139</v>
      </c>
      <c r="D210" s="4" t="s">
        <v>1140</v>
      </c>
      <c r="E210" s="4" t="n">
        <v>3.5667</v>
      </c>
      <c r="F210" s="4"/>
      <c r="G210" s="4"/>
      <c r="H210" s="5" t="s">
        <v>1141</v>
      </c>
      <c r="I210" s="4" t="s">
        <v>1142</v>
      </c>
      <c r="J210" s="4" t="s">
        <v>1143</v>
      </c>
      <c r="K210" s="4" t="s">
        <v>151</v>
      </c>
      <c r="L210" s="4" t="n">
        <v>2</v>
      </c>
      <c r="M210" s="5" t="s">
        <v>238</v>
      </c>
      <c r="N210" s="4" t="s">
        <v>1144</v>
      </c>
      <c r="O210" s="5" t="s">
        <v>153</v>
      </c>
      <c r="P210" s="4" t="s">
        <v>141</v>
      </c>
      <c r="Q210" s="4" t="s">
        <v>1145</v>
      </c>
      <c r="R210" s="5" t="s">
        <v>170</v>
      </c>
      <c r="S210" s="4" t="s">
        <v>1146</v>
      </c>
    </row>
    <row r="211" customFormat="false" ht="29.85" hidden="false" customHeight="false" outlineLevel="0" collapsed="false">
      <c r="A211" s="4" t="s">
        <v>1147</v>
      </c>
      <c r="B211" s="4" t="s">
        <v>52</v>
      </c>
      <c r="C211" s="4" t="s">
        <v>1139</v>
      </c>
      <c r="D211" s="4" t="s">
        <v>1148</v>
      </c>
      <c r="E211" s="4" t="n">
        <v>0.5333</v>
      </c>
      <c r="F211" s="4"/>
      <c r="G211" s="4"/>
      <c r="H211" s="5" t="s">
        <v>1141</v>
      </c>
      <c r="I211" s="4" t="s">
        <v>1142</v>
      </c>
      <c r="J211" s="4" t="s">
        <v>1143</v>
      </c>
      <c r="K211" s="4" t="s">
        <v>151</v>
      </c>
      <c r="L211" s="4" t="n">
        <v>2</v>
      </c>
      <c r="M211" s="5" t="s">
        <v>238</v>
      </c>
      <c r="N211" s="4" t="s">
        <v>1144</v>
      </c>
      <c r="O211" s="5" t="s">
        <v>153</v>
      </c>
      <c r="P211" s="4" t="s">
        <v>141</v>
      </c>
      <c r="Q211" s="4" t="s">
        <v>1149</v>
      </c>
      <c r="R211" s="5" t="s">
        <v>170</v>
      </c>
      <c r="S211" s="4" t="s">
        <v>1150</v>
      </c>
    </row>
    <row r="212" customFormat="false" ht="29.85" hidden="false" customHeight="false" outlineLevel="0" collapsed="false">
      <c r="A212" s="4" t="s">
        <v>1151</v>
      </c>
      <c r="B212" s="4" t="s">
        <v>52</v>
      </c>
      <c r="C212" s="4" t="s">
        <v>1139</v>
      </c>
      <c r="D212" s="4" t="s">
        <v>1152</v>
      </c>
      <c r="E212" s="4" t="n">
        <v>6.5667</v>
      </c>
      <c r="F212" s="4"/>
      <c r="G212" s="4"/>
      <c r="H212" s="5" t="s">
        <v>1141</v>
      </c>
      <c r="I212" s="4" t="s">
        <v>1153</v>
      </c>
      <c r="J212" s="4" t="s">
        <v>1154</v>
      </c>
      <c r="K212" s="4" t="s">
        <v>151</v>
      </c>
      <c r="L212" s="4" t="n">
        <v>2</v>
      </c>
      <c r="M212" s="5" t="s">
        <v>238</v>
      </c>
      <c r="N212" s="4" t="s">
        <v>1144</v>
      </c>
      <c r="O212" s="5" t="s">
        <v>153</v>
      </c>
      <c r="P212" s="4" t="s">
        <v>141</v>
      </c>
      <c r="Q212" s="4" t="s">
        <v>1155</v>
      </c>
      <c r="R212" s="5" t="s">
        <v>170</v>
      </c>
      <c r="S212" s="4"/>
    </row>
    <row r="213" customFormat="false" ht="29.85" hidden="false" customHeight="false" outlineLevel="0" collapsed="false">
      <c r="A213" s="4" t="s">
        <v>1156</v>
      </c>
      <c r="B213" s="4" t="s">
        <v>52</v>
      </c>
      <c r="C213" s="4" t="s">
        <v>1139</v>
      </c>
      <c r="D213" s="4" t="s">
        <v>1157</v>
      </c>
      <c r="E213" s="4" t="n">
        <v>0.9167</v>
      </c>
      <c r="F213" s="4"/>
      <c r="G213" s="4"/>
      <c r="H213" s="5" t="s">
        <v>1141</v>
      </c>
      <c r="I213" s="4" t="s">
        <v>1153</v>
      </c>
      <c r="J213" s="4" t="s">
        <v>1154</v>
      </c>
      <c r="K213" s="4" t="s">
        <v>151</v>
      </c>
      <c r="L213" s="4" t="n">
        <v>2</v>
      </c>
      <c r="M213" s="5" t="s">
        <v>238</v>
      </c>
      <c r="N213" s="4" t="s">
        <v>1144</v>
      </c>
      <c r="O213" s="5" t="s">
        <v>153</v>
      </c>
      <c r="P213" s="4" t="s">
        <v>141</v>
      </c>
      <c r="Q213" s="4" t="s">
        <v>1158</v>
      </c>
      <c r="R213" s="5" t="s">
        <v>170</v>
      </c>
      <c r="S213" s="4"/>
    </row>
    <row r="214" customFormat="false" ht="29.85" hidden="false" customHeight="false" outlineLevel="0" collapsed="false">
      <c r="A214" s="4" t="s">
        <v>1159</v>
      </c>
      <c r="B214" s="4" t="s">
        <v>52</v>
      </c>
      <c r="C214" s="4" t="s">
        <v>1139</v>
      </c>
      <c r="D214" s="4" t="s">
        <v>1160</v>
      </c>
      <c r="E214" s="4" t="n">
        <v>5.7</v>
      </c>
      <c r="F214" s="4"/>
      <c r="G214" s="4"/>
      <c r="H214" s="5" t="s">
        <v>1141</v>
      </c>
      <c r="I214" s="4" t="s">
        <v>1153</v>
      </c>
      <c r="J214" s="4" t="s">
        <v>1161</v>
      </c>
      <c r="K214" s="4" t="s">
        <v>151</v>
      </c>
      <c r="L214" s="4" t="n">
        <v>2</v>
      </c>
      <c r="M214" s="5" t="s">
        <v>238</v>
      </c>
      <c r="N214" s="4" t="s">
        <v>1144</v>
      </c>
      <c r="O214" s="5" t="s">
        <v>153</v>
      </c>
      <c r="P214" s="4" t="s">
        <v>141</v>
      </c>
      <c r="Q214" s="4" t="s">
        <v>1162</v>
      </c>
      <c r="R214" s="5" t="s">
        <v>170</v>
      </c>
      <c r="S214" s="4"/>
    </row>
    <row r="215" customFormat="false" ht="29.85" hidden="false" customHeight="false" outlineLevel="0" collapsed="false">
      <c r="A215" s="4" t="s">
        <v>1163</v>
      </c>
      <c r="B215" s="4" t="s">
        <v>52</v>
      </c>
      <c r="C215" s="4" t="s">
        <v>1139</v>
      </c>
      <c r="D215" s="4" t="s">
        <v>1164</v>
      </c>
      <c r="E215" s="4" t="n">
        <v>0.9</v>
      </c>
      <c r="F215" s="4"/>
      <c r="G215" s="4"/>
      <c r="H215" s="5" t="s">
        <v>1141</v>
      </c>
      <c r="I215" s="4" t="s">
        <v>1153</v>
      </c>
      <c r="J215" s="4" t="s">
        <v>1161</v>
      </c>
      <c r="K215" s="4" t="s">
        <v>151</v>
      </c>
      <c r="L215" s="4" t="n">
        <v>2</v>
      </c>
      <c r="M215" s="5" t="s">
        <v>238</v>
      </c>
      <c r="N215" s="4" t="s">
        <v>1144</v>
      </c>
      <c r="O215" s="5" t="s">
        <v>153</v>
      </c>
      <c r="P215" s="4" t="s">
        <v>141</v>
      </c>
      <c r="Q215" s="4" t="s">
        <v>1165</v>
      </c>
      <c r="R215" s="5" t="s">
        <v>170</v>
      </c>
      <c r="S215" s="4"/>
    </row>
    <row r="216" customFormat="false" ht="29.85" hidden="false" customHeight="false" outlineLevel="0" collapsed="false">
      <c r="A216" s="4" t="s">
        <v>1166</v>
      </c>
      <c r="B216" s="4" t="s">
        <v>52</v>
      </c>
      <c r="C216" s="4" t="s">
        <v>1139</v>
      </c>
      <c r="D216" s="4" t="s">
        <v>1167</v>
      </c>
      <c r="E216" s="4" t="n">
        <v>5.8333</v>
      </c>
      <c r="F216" s="4"/>
      <c r="G216" s="4"/>
      <c r="H216" s="5" t="s">
        <v>1141</v>
      </c>
      <c r="I216" s="4" t="s">
        <v>1153</v>
      </c>
      <c r="J216" s="4" t="s">
        <v>1168</v>
      </c>
      <c r="K216" s="4" t="s">
        <v>151</v>
      </c>
      <c r="L216" s="4" t="n">
        <v>2</v>
      </c>
      <c r="M216" s="5" t="s">
        <v>238</v>
      </c>
      <c r="N216" s="4" t="s">
        <v>1144</v>
      </c>
      <c r="O216" s="5" t="s">
        <v>153</v>
      </c>
      <c r="P216" s="4" t="s">
        <v>141</v>
      </c>
      <c r="Q216" s="4" t="s">
        <v>1169</v>
      </c>
      <c r="R216" s="5" t="s">
        <v>170</v>
      </c>
      <c r="S216" s="4"/>
    </row>
    <row r="217" customFormat="false" ht="29.85" hidden="false" customHeight="false" outlineLevel="0" collapsed="false">
      <c r="A217" s="4" t="s">
        <v>1170</v>
      </c>
      <c r="B217" s="4" t="s">
        <v>52</v>
      </c>
      <c r="C217" s="4" t="s">
        <v>1139</v>
      </c>
      <c r="D217" s="4" t="s">
        <v>1171</v>
      </c>
      <c r="E217" s="4" t="n">
        <v>1.5</v>
      </c>
      <c r="F217" s="4"/>
      <c r="G217" s="4"/>
      <c r="H217" s="5" t="s">
        <v>1141</v>
      </c>
      <c r="I217" s="4" t="s">
        <v>1153</v>
      </c>
      <c r="J217" s="4" t="s">
        <v>1168</v>
      </c>
      <c r="K217" s="4" t="s">
        <v>151</v>
      </c>
      <c r="L217" s="4" t="n">
        <v>2</v>
      </c>
      <c r="M217" s="5" t="s">
        <v>238</v>
      </c>
      <c r="N217" s="4" t="s">
        <v>1144</v>
      </c>
      <c r="O217" s="5" t="s">
        <v>153</v>
      </c>
      <c r="P217" s="4" t="s">
        <v>141</v>
      </c>
      <c r="Q217" s="4" t="s">
        <v>1172</v>
      </c>
      <c r="R217" s="5" t="s">
        <v>170</v>
      </c>
      <c r="S217" s="4"/>
    </row>
    <row r="218" customFormat="false" ht="29.85" hidden="false" customHeight="false" outlineLevel="0" collapsed="false">
      <c r="A218" s="4" t="s">
        <v>1173</v>
      </c>
      <c r="B218" s="4" t="s">
        <v>52</v>
      </c>
      <c r="C218" s="4" t="s">
        <v>1139</v>
      </c>
      <c r="D218" s="4" t="s">
        <v>1174</v>
      </c>
      <c r="E218" s="4" t="n">
        <v>11.3</v>
      </c>
      <c r="F218" s="4"/>
      <c r="G218" s="4"/>
      <c r="H218" s="5" t="s">
        <v>1141</v>
      </c>
      <c r="I218" s="4" t="s">
        <v>1153</v>
      </c>
      <c r="J218" s="4" t="s">
        <v>805</v>
      </c>
      <c r="K218" s="4" t="s">
        <v>151</v>
      </c>
      <c r="L218" s="4" t="n">
        <v>2</v>
      </c>
      <c r="M218" s="5" t="s">
        <v>238</v>
      </c>
      <c r="N218" s="4" t="s">
        <v>1144</v>
      </c>
      <c r="O218" s="5" t="s">
        <v>153</v>
      </c>
      <c r="P218" s="4" t="s">
        <v>141</v>
      </c>
      <c r="Q218" s="4"/>
      <c r="R218" s="5" t="s">
        <v>154</v>
      </c>
      <c r="S218" s="4" t="s">
        <v>1175</v>
      </c>
    </row>
    <row r="219" customFormat="false" ht="29.85" hidden="false" customHeight="false" outlineLevel="0" collapsed="false">
      <c r="A219" s="4" t="s">
        <v>1176</v>
      </c>
      <c r="B219" s="4" t="s">
        <v>52</v>
      </c>
      <c r="C219" s="4" t="s">
        <v>1139</v>
      </c>
      <c r="D219" s="4" t="s">
        <v>1177</v>
      </c>
      <c r="E219" s="4" t="n">
        <v>17.4</v>
      </c>
      <c r="F219" s="4"/>
      <c r="G219" s="4"/>
      <c r="H219" s="5" t="s">
        <v>1141</v>
      </c>
      <c r="I219" s="4" t="s">
        <v>1178</v>
      </c>
      <c r="J219" s="4" t="s">
        <v>1179</v>
      </c>
      <c r="K219" s="4" t="s">
        <v>151</v>
      </c>
      <c r="L219" s="4" t="n">
        <v>2</v>
      </c>
      <c r="M219" s="5" t="s">
        <v>238</v>
      </c>
      <c r="N219" s="4" t="s">
        <v>1144</v>
      </c>
      <c r="O219" s="5" t="s">
        <v>153</v>
      </c>
      <c r="P219" s="4" t="s">
        <v>141</v>
      </c>
      <c r="Q219" s="4"/>
      <c r="R219" s="5" t="s">
        <v>154</v>
      </c>
      <c r="S219" s="4"/>
    </row>
    <row r="220" customFormat="false" ht="29.85" hidden="false" customHeight="false" outlineLevel="0" collapsed="false">
      <c r="A220" s="4" t="s">
        <v>1180</v>
      </c>
      <c r="B220" s="4" t="s">
        <v>53</v>
      </c>
      <c r="C220" s="4" t="s">
        <v>1181</v>
      </c>
      <c r="D220" s="5" t="s">
        <v>1182</v>
      </c>
      <c r="E220" s="4" t="n">
        <v>0.096</v>
      </c>
      <c r="F220" s="4"/>
      <c r="G220" s="4"/>
      <c r="H220" s="4" t="s">
        <v>421</v>
      </c>
      <c r="I220" s="5" t="s">
        <v>1183</v>
      </c>
      <c r="J220" s="4" t="s">
        <v>1184</v>
      </c>
      <c r="K220" s="4" t="s">
        <v>183</v>
      </c>
      <c r="L220" s="4" t="n">
        <v>1</v>
      </c>
      <c r="M220" s="5" t="s">
        <v>238</v>
      </c>
      <c r="N220" s="4" t="s">
        <v>1185</v>
      </c>
      <c r="O220" s="5" t="s">
        <v>628</v>
      </c>
      <c r="P220" s="4" t="s">
        <v>141</v>
      </c>
      <c r="Q220" s="4" t="s">
        <v>1186</v>
      </c>
      <c r="R220" s="4" t="s">
        <v>143</v>
      </c>
      <c r="S220" s="5" t="s">
        <v>1187</v>
      </c>
    </row>
    <row r="221" customFormat="false" ht="29.85" hidden="false" customHeight="false" outlineLevel="0" collapsed="false">
      <c r="A221" s="4" t="s">
        <v>1188</v>
      </c>
      <c r="B221" s="4" t="s">
        <v>53</v>
      </c>
      <c r="C221" s="4" t="s">
        <v>1181</v>
      </c>
      <c r="D221" s="5" t="s">
        <v>1189</v>
      </c>
      <c r="E221" s="4" t="n">
        <v>0.226</v>
      </c>
      <c r="F221" s="4"/>
      <c r="G221" s="4"/>
      <c r="H221" s="4" t="s">
        <v>421</v>
      </c>
      <c r="I221" s="5" t="s">
        <v>784</v>
      </c>
      <c r="J221" s="4" t="s">
        <v>1190</v>
      </c>
      <c r="K221" s="4" t="s">
        <v>183</v>
      </c>
      <c r="L221" s="4" t="n">
        <v>1</v>
      </c>
      <c r="M221" s="5" t="s">
        <v>238</v>
      </c>
      <c r="N221" s="4" t="s">
        <v>1185</v>
      </c>
      <c r="O221" s="5" t="s">
        <v>628</v>
      </c>
      <c r="P221" s="4" t="s">
        <v>141</v>
      </c>
      <c r="Q221" s="4" t="s">
        <v>1186</v>
      </c>
      <c r="R221" s="4" t="s">
        <v>143</v>
      </c>
      <c r="S221" s="4"/>
    </row>
    <row r="222" customFormat="false" ht="29.85" hidden="false" customHeight="false" outlineLevel="0" collapsed="false">
      <c r="A222" s="4" t="s">
        <v>1191</v>
      </c>
      <c r="B222" s="4" t="s">
        <v>53</v>
      </c>
      <c r="C222" s="4" t="s">
        <v>1181</v>
      </c>
      <c r="D222" s="5" t="s">
        <v>1192</v>
      </c>
      <c r="E222" s="4" t="n">
        <v>0.123</v>
      </c>
      <c r="F222" s="4"/>
      <c r="G222" s="4"/>
      <c r="H222" s="4" t="s">
        <v>421</v>
      </c>
      <c r="I222" s="5" t="s">
        <v>784</v>
      </c>
      <c r="J222" s="4" t="s">
        <v>1193</v>
      </c>
      <c r="K222" s="4" t="s">
        <v>183</v>
      </c>
      <c r="L222" s="4" t="n">
        <v>1</v>
      </c>
      <c r="M222" s="5" t="s">
        <v>238</v>
      </c>
      <c r="N222" s="4" t="s">
        <v>1185</v>
      </c>
      <c r="O222" s="5" t="s">
        <v>628</v>
      </c>
      <c r="P222" s="4" t="s">
        <v>141</v>
      </c>
      <c r="Q222" s="4"/>
      <c r="R222" s="5" t="s">
        <v>154</v>
      </c>
      <c r="S222" s="4"/>
    </row>
    <row r="223" customFormat="false" ht="29.85" hidden="false" customHeight="false" outlineLevel="0" collapsed="false">
      <c r="A223" s="4" t="s">
        <v>1194</v>
      </c>
      <c r="B223" s="4" t="s">
        <v>53</v>
      </c>
      <c r="C223" s="4" t="s">
        <v>1195</v>
      </c>
      <c r="D223" s="4" t="s">
        <v>1196</v>
      </c>
      <c r="E223" s="4" t="n">
        <v>8.4</v>
      </c>
      <c r="F223" s="4"/>
      <c r="G223" s="4"/>
      <c r="H223" s="4" t="s">
        <v>1197</v>
      </c>
      <c r="I223" s="5" t="s">
        <v>1198</v>
      </c>
      <c r="J223" s="4" t="s">
        <v>1184</v>
      </c>
      <c r="K223" s="4" t="s">
        <v>637</v>
      </c>
      <c r="L223" s="4" t="n">
        <v>2</v>
      </c>
      <c r="M223" s="5" t="s">
        <v>138</v>
      </c>
      <c r="N223" s="4" t="s">
        <v>1199</v>
      </c>
      <c r="O223" s="5" t="s">
        <v>153</v>
      </c>
      <c r="P223" s="4" t="s">
        <v>141</v>
      </c>
      <c r="Q223" s="4" t="s">
        <v>1200</v>
      </c>
      <c r="R223" s="4" t="s">
        <v>143</v>
      </c>
      <c r="S223" s="5" t="s">
        <v>1201</v>
      </c>
    </row>
    <row r="224" customFormat="false" ht="29.85" hidden="false" customHeight="false" outlineLevel="0" collapsed="false">
      <c r="A224" s="4" t="s">
        <v>1202</v>
      </c>
      <c r="B224" s="4" t="s">
        <v>53</v>
      </c>
      <c r="C224" s="4" t="s">
        <v>1195</v>
      </c>
      <c r="D224" s="4" t="s">
        <v>1203</v>
      </c>
      <c r="E224" s="4" t="n">
        <v>3.9</v>
      </c>
      <c r="F224" s="4"/>
      <c r="G224" s="4"/>
      <c r="H224" s="4" t="s">
        <v>1197</v>
      </c>
      <c r="I224" s="5" t="s">
        <v>1198</v>
      </c>
      <c r="J224" s="4" t="s">
        <v>1184</v>
      </c>
      <c r="K224" s="4" t="s">
        <v>637</v>
      </c>
      <c r="L224" s="4" t="n">
        <v>2</v>
      </c>
      <c r="M224" s="5" t="s">
        <v>138</v>
      </c>
      <c r="N224" s="4" t="s">
        <v>1199</v>
      </c>
      <c r="O224" s="5" t="s">
        <v>153</v>
      </c>
      <c r="P224" s="4" t="s">
        <v>141</v>
      </c>
      <c r="Q224" s="4" t="s">
        <v>1204</v>
      </c>
      <c r="R224" s="4" t="s">
        <v>143</v>
      </c>
      <c r="S224" s="5" t="s">
        <v>1205</v>
      </c>
    </row>
    <row r="225" customFormat="false" ht="29.85" hidden="false" customHeight="false" outlineLevel="0" collapsed="false">
      <c r="A225" s="4" t="s">
        <v>1206</v>
      </c>
      <c r="B225" s="4" t="s">
        <v>53</v>
      </c>
      <c r="C225" s="4" t="s">
        <v>1195</v>
      </c>
      <c r="D225" s="4" t="s">
        <v>1207</v>
      </c>
      <c r="E225" s="4" t="n">
        <v>12</v>
      </c>
      <c r="F225" s="4"/>
      <c r="G225" s="4"/>
      <c r="H225" s="4" t="s">
        <v>1197</v>
      </c>
      <c r="I225" s="5" t="s">
        <v>1208</v>
      </c>
      <c r="J225" s="4" t="s">
        <v>1184</v>
      </c>
      <c r="K225" s="4" t="s">
        <v>637</v>
      </c>
      <c r="L225" s="4" t="n">
        <v>2</v>
      </c>
      <c r="M225" s="5" t="s">
        <v>138</v>
      </c>
      <c r="N225" s="4" t="s">
        <v>1199</v>
      </c>
      <c r="O225" s="5" t="s">
        <v>153</v>
      </c>
      <c r="P225" s="4" t="s">
        <v>141</v>
      </c>
      <c r="Q225" s="4" t="s">
        <v>1200</v>
      </c>
      <c r="R225" s="4" t="s">
        <v>143</v>
      </c>
      <c r="S225" s="4"/>
    </row>
    <row r="226" customFormat="false" ht="29.85" hidden="false" customHeight="false" outlineLevel="0" collapsed="false">
      <c r="A226" s="4" t="s">
        <v>1209</v>
      </c>
      <c r="B226" s="4" t="s">
        <v>53</v>
      </c>
      <c r="C226" s="4" t="s">
        <v>1195</v>
      </c>
      <c r="D226" s="4" t="s">
        <v>1210</v>
      </c>
      <c r="E226" s="4" t="n">
        <v>13.07</v>
      </c>
      <c r="F226" s="4"/>
      <c r="G226" s="4"/>
      <c r="H226" s="4" t="s">
        <v>1197</v>
      </c>
      <c r="I226" s="5" t="s">
        <v>1198</v>
      </c>
      <c r="J226" s="4" t="s">
        <v>1184</v>
      </c>
      <c r="K226" s="4" t="s">
        <v>637</v>
      </c>
      <c r="L226" s="4" t="n">
        <v>2</v>
      </c>
      <c r="M226" s="5" t="s">
        <v>138</v>
      </c>
      <c r="N226" s="4" t="s">
        <v>1199</v>
      </c>
      <c r="O226" s="5" t="s">
        <v>153</v>
      </c>
      <c r="P226" s="4" t="s">
        <v>141</v>
      </c>
      <c r="Q226" s="4" t="s">
        <v>1211</v>
      </c>
      <c r="R226" s="4" t="s">
        <v>143</v>
      </c>
      <c r="S226" s="4"/>
    </row>
    <row r="227" customFormat="false" ht="29.85" hidden="false" customHeight="false" outlineLevel="0" collapsed="false">
      <c r="A227" s="4" t="s">
        <v>1212</v>
      </c>
      <c r="B227" s="4" t="s">
        <v>53</v>
      </c>
      <c r="C227" s="4" t="s">
        <v>1195</v>
      </c>
      <c r="D227" s="4" t="s">
        <v>1213</v>
      </c>
      <c r="E227" s="4" t="n">
        <v>0.6</v>
      </c>
      <c r="F227" s="4"/>
      <c r="G227" s="4"/>
      <c r="H227" s="4" t="s">
        <v>1214</v>
      </c>
      <c r="I227" s="4" t="s">
        <v>1215</v>
      </c>
      <c r="J227" s="4" t="s">
        <v>1184</v>
      </c>
      <c r="K227" s="4" t="s">
        <v>1216</v>
      </c>
      <c r="L227" s="4" t="n">
        <v>2</v>
      </c>
      <c r="M227" s="5" t="s">
        <v>138</v>
      </c>
      <c r="N227" s="4" t="s">
        <v>1199</v>
      </c>
      <c r="O227" s="5" t="s">
        <v>153</v>
      </c>
      <c r="P227" s="4" t="s">
        <v>141</v>
      </c>
      <c r="Q227" s="4" t="s">
        <v>1211</v>
      </c>
      <c r="R227" s="4" t="s">
        <v>143</v>
      </c>
      <c r="S227" s="4"/>
    </row>
    <row r="228" customFormat="false" ht="29.85" hidden="false" customHeight="false" outlineLevel="0" collapsed="false">
      <c r="A228" s="4" t="s">
        <v>1217</v>
      </c>
      <c r="B228" s="4" t="s">
        <v>53</v>
      </c>
      <c r="C228" s="4" t="s">
        <v>1195</v>
      </c>
      <c r="D228" s="4" t="s">
        <v>1218</v>
      </c>
      <c r="E228" s="4" t="n">
        <v>1.9</v>
      </c>
      <c r="F228" s="4"/>
      <c r="G228" s="4"/>
      <c r="H228" s="4" t="s">
        <v>1214</v>
      </c>
      <c r="I228" s="5" t="s">
        <v>1219</v>
      </c>
      <c r="J228" s="4" t="s">
        <v>1184</v>
      </c>
      <c r="K228" s="4" t="s">
        <v>637</v>
      </c>
      <c r="L228" s="4" t="n">
        <v>2</v>
      </c>
      <c r="M228" s="5" t="s">
        <v>138</v>
      </c>
      <c r="N228" s="4" t="s">
        <v>1199</v>
      </c>
      <c r="O228" s="5" t="s">
        <v>153</v>
      </c>
      <c r="P228" s="4" t="s">
        <v>141</v>
      </c>
      <c r="Q228" s="4" t="s">
        <v>1211</v>
      </c>
      <c r="R228" s="4" t="s">
        <v>143</v>
      </c>
      <c r="S228" s="4"/>
    </row>
    <row r="229" customFormat="false" ht="29.85" hidden="false" customHeight="false" outlineLevel="0" collapsed="false">
      <c r="A229" s="4" t="s">
        <v>1220</v>
      </c>
      <c r="B229" s="4" t="s">
        <v>54</v>
      </c>
      <c r="C229" s="4" t="s">
        <v>1221</v>
      </c>
      <c r="D229" s="4" t="s">
        <v>1222</v>
      </c>
      <c r="E229" s="4" t="n">
        <v>4</v>
      </c>
      <c r="F229" s="4"/>
      <c r="G229" s="4"/>
      <c r="H229" s="4" t="s">
        <v>559</v>
      </c>
      <c r="I229" s="5" t="s">
        <v>1223</v>
      </c>
      <c r="J229" s="4" t="s">
        <v>1224</v>
      </c>
      <c r="K229" s="4" t="s">
        <v>626</v>
      </c>
      <c r="L229" s="4" t="n">
        <v>2</v>
      </c>
      <c r="M229" s="5" t="s">
        <v>138</v>
      </c>
      <c r="N229" s="4" t="s">
        <v>1225</v>
      </c>
      <c r="O229" s="5" t="s">
        <v>153</v>
      </c>
      <c r="P229" s="4" t="s">
        <v>141</v>
      </c>
      <c r="Q229" s="4" t="s">
        <v>1226</v>
      </c>
      <c r="R229" s="5" t="s">
        <v>170</v>
      </c>
      <c r="S229" s="4"/>
    </row>
    <row r="230" customFormat="false" ht="29.85" hidden="false" customHeight="false" outlineLevel="0" collapsed="false">
      <c r="A230" s="4" t="s">
        <v>1227</v>
      </c>
      <c r="B230" s="4" t="s">
        <v>54</v>
      </c>
      <c r="C230" s="4" t="s">
        <v>1221</v>
      </c>
      <c r="D230" s="4" t="s">
        <v>1228</v>
      </c>
      <c r="E230" s="4" t="n">
        <v>15</v>
      </c>
      <c r="F230" s="4"/>
      <c r="G230" s="4"/>
      <c r="H230" s="4" t="s">
        <v>559</v>
      </c>
      <c r="I230" s="5" t="s">
        <v>221</v>
      </c>
      <c r="J230" s="4" t="s">
        <v>1224</v>
      </c>
      <c r="K230" s="4" t="s">
        <v>626</v>
      </c>
      <c r="L230" s="4" t="n">
        <v>2</v>
      </c>
      <c r="M230" s="5" t="s">
        <v>138</v>
      </c>
      <c r="N230" s="4" t="s">
        <v>1225</v>
      </c>
      <c r="O230" s="5" t="s">
        <v>153</v>
      </c>
      <c r="P230" s="4" t="s">
        <v>141</v>
      </c>
      <c r="Q230" s="4" t="s">
        <v>1229</v>
      </c>
      <c r="R230" s="5" t="s">
        <v>170</v>
      </c>
      <c r="S230" s="4" t="s">
        <v>1230</v>
      </c>
    </row>
    <row r="231" customFormat="false" ht="29.85" hidden="false" customHeight="false" outlineLevel="0" collapsed="false">
      <c r="A231" s="4" t="s">
        <v>1231</v>
      </c>
      <c r="B231" s="4" t="s">
        <v>54</v>
      </c>
      <c r="C231" s="4" t="s">
        <v>1232</v>
      </c>
      <c r="D231" s="4" t="s">
        <v>1233</v>
      </c>
      <c r="E231" s="4" t="n">
        <v>0.627</v>
      </c>
      <c r="F231" s="4"/>
      <c r="G231" s="4"/>
      <c r="H231" s="4" t="s">
        <v>421</v>
      </c>
      <c r="I231" s="4" t="s">
        <v>1234</v>
      </c>
      <c r="J231" s="4" t="s">
        <v>810</v>
      </c>
      <c r="K231" s="4" t="s">
        <v>229</v>
      </c>
      <c r="L231" s="4" t="n">
        <v>2</v>
      </c>
      <c r="M231" s="5" t="s">
        <v>138</v>
      </c>
      <c r="N231" s="4" t="s">
        <v>1235</v>
      </c>
      <c r="O231" s="5" t="s">
        <v>153</v>
      </c>
      <c r="P231" s="4" t="s">
        <v>141</v>
      </c>
      <c r="Q231" s="4" t="s">
        <v>1236</v>
      </c>
      <c r="R231" s="5" t="s">
        <v>170</v>
      </c>
      <c r="S231" s="4"/>
    </row>
    <row r="232" customFormat="false" ht="29.85" hidden="false" customHeight="false" outlineLevel="0" collapsed="false">
      <c r="A232" s="4" t="s">
        <v>1237</v>
      </c>
      <c r="B232" s="4" t="s">
        <v>54</v>
      </c>
      <c r="C232" s="4" t="s">
        <v>1232</v>
      </c>
      <c r="D232" s="4" t="s">
        <v>1238</v>
      </c>
      <c r="E232" s="4" t="n">
        <v>26098</v>
      </c>
      <c r="F232" s="4"/>
      <c r="G232" s="4"/>
      <c r="H232" s="4" t="s">
        <v>1239</v>
      </c>
      <c r="I232" s="5" t="s">
        <v>784</v>
      </c>
      <c r="J232" s="4" t="s">
        <v>810</v>
      </c>
      <c r="K232" s="4" t="s">
        <v>229</v>
      </c>
      <c r="L232" s="4" t="n">
        <v>2</v>
      </c>
      <c r="M232" s="5" t="s">
        <v>138</v>
      </c>
      <c r="N232" s="4" t="s">
        <v>1235</v>
      </c>
      <c r="O232" s="5" t="s">
        <v>153</v>
      </c>
      <c r="P232" s="4" t="s">
        <v>141</v>
      </c>
      <c r="Q232" s="4" t="s">
        <v>1240</v>
      </c>
      <c r="R232" s="5" t="s">
        <v>170</v>
      </c>
      <c r="S232" s="4"/>
    </row>
    <row r="233" customFormat="false" ht="29.85" hidden="false" customHeight="false" outlineLevel="0" collapsed="false">
      <c r="A233" s="4" t="s">
        <v>1241</v>
      </c>
      <c r="B233" s="4" t="s">
        <v>54</v>
      </c>
      <c r="C233" s="4" t="s">
        <v>1232</v>
      </c>
      <c r="D233" s="4" t="s">
        <v>1242</v>
      </c>
      <c r="E233" s="4" t="n">
        <v>0.986</v>
      </c>
      <c r="F233" s="4"/>
      <c r="G233" s="4"/>
      <c r="H233" s="4" t="s">
        <v>421</v>
      </c>
      <c r="I233" s="5" t="s">
        <v>784</v>
      </c>
      <c r="J233" s="4" t="s">
        <v>810</v>
      </c>
      <c r="K233" s="4" t="s">
        <v>229</v>
      </c>
      <c r="L233" s="4" t="n">
        <v>2</v>
      </c>
      <c r="M233" s="5" t="s">
        <v>138</v>
      </c>
      <c r="N233" s="4" t="s">
        <v>1235</v>
      </c>
      <c r="O233" s="5" t="s">
        <v>153</v>
      </c>
      <c r="P233" s="4" t="s">
        <v>141</v>
      </c>
      <c r="Q233" s="4" t="s">
        <v>1243</v>
      </c>
      <c r="R233" s="5" t="s">
        <v>170</v>
      </c>
      <c r="S233" s="4"/>
    </row>
    <row r="234" customFormat="false" ht="29.85" hidden="false" customHeight="false" outlineLevel="0" collapsed="false">
      <c r="A234" s="4" t="s">
        <v>1244</v>
      </c>
      <c r="B234" s="4" t="s">
        <v>54</v>
      </c>
      <c r="C234" s="4" t="s">
        <v>1232</v>
      </c>
      <c r="D234" s="4" t="s">
        <v>1245</v>
      </c>
      <c r="E234" s="4" t="n">
        <v>17332</v>
      </c>
      <c r="F234" s="4"/>
      <c r="G234" s="4"/>
      <c r="H234" s="4" t="s">
        <v>1239</v>
      </c>
      <c r="I234" s="5" t="s">
        <v>784</v>
      </c>
      <c r="J234" s="4" t="s">
        <v>810</v>
      </c>
      <c r="K234" s="4" t="s">
        <v>229</v>
      </c>
      <c r="L234" s="4" t="n">
        <v>2</v>
      </c>
      <c r="M234" s="5" t="s">
        <v>138</v>
      </c>
      <c r="N234" s="4" t="s">
        <v>1235</v>
      </c>
      <c r="O234" s="5" t="s">
        <v>153</v>
      </c>
      <c r="P234" s="4" t="s">
        <v>141</v>
      </c>
      <c r="Q234" s="4" t="s">
        <v>1246</v>
      </c>
      <c r="R234" s="5" t="s">
        <v>170</v>
      </c>
      <c r="S234" s="4"/>
    </row>
    <row r="235" customFormat="false" ht="29.85" hidden="false" customHeight="false" outlineLevel="0" collapsed="false">
      <c r="A235" s="4" t="s">
        <v>1247</v>
      </c>
      <c r="B235" s="4" t="s">
        <v>54</v>
      </c>
      <c r="C235" s="4" t="s">
        <v>1232</v>
      </c>
      <c r="D235" s="4" t="s">
        <v>1248</v>
      </c>
      <c r="E235" s="4" t="n">
        <v>0.999</v>
      </c>
      <c r="F235" s="4"/>
      <c r="G235" s="4"/>
      <c r="H235" s="4" t="s">
        <v>421</v>
      </c>
      <c r="I235" s="4" t="s">
        <v>1249</v>
      </c>
      <c r="J235" s="4" t="s">
        <v>810</v>
      </c>
      <c r="K235" s="4" t="s">
        <v>229</v>
      </c>
      <c r="L235" s="4" t="n">
        <v>2</v>
      </c>
      <c r="M235" s="5" t="s">
        <v>138</v>
      </c>
      <c r="N235" s="4" t="s">
        <v>1235</v>
      </c>
      <c r="O235" s="5" t="s">
        <v>153</v>
      </c>
      <c r="P235" s="4" t="s">
        <v>141</v>
      </c>
      <c r="Q235" s="4" t="s">
        <v>1250</v>
      </c>
      <c r="R235" s="5" t="s">
        <v>170</v>
      </c>
      <c r="S235" s="4"/>
    </row>
    <row r="236" customFormat="false" ht="29.85" hidden="false" customHeight="false" outlineLevel="0" collapsed="false">
      <c r="A236" s="4" t="s">
        <v>1251</v>
      </c>
      <c r="B236" s="4" t="s">
        <v>54</v>
      </c>
      <c r="C236" s="4" t="s">
        <v>1232</v>
      </c>
      <c r="D236" s="4" t="s">
        <v>1252</v>
      </c>
      <c r="E236" s="4" t="n">
        <v>18817</v>
      </c>
      <c r="F236" s="4"/>
      <c r="G236" s="4"/>
      <c r="H236" s="4" t="s">
        <v>1239</v>
      </c>
      <c r="I236" s="5" t="s">
        <v>784</v>
      </c>
      <c r="J236" s="4" t="s">
        <v>810</v>
      </c>
      <c r="K236" s="4" t="s">
        <v>229</v>
      </c>
      <c r="L236" s="4" t="n">
        <v>2</v>
      </c>
      <c r="M236" s="5" t="s">
        <v>138</v>
      </c>
      <c r="N236" s="4" t="s">
        <v>1235</v>
      </c>
      <c r="O236" s="5" t="s">
        <v>153</v>
      </c>
      <c r="P236" s="4" t="s">
        <v>141</v>
      </c>
      <c r="Q236" s="4" t="s">
        <v>1253</v>
      </c>
      <c r="R236" s="5" t="s">
        <v>170</v>
      </c>
      <c r="S236" s="5" t="s">
        <v>1254</v>
      </c>
    </row>
    <row r="237" customFormat="false" ht="29.85" hidden="false" customHeight="false" outlineLevel="0" collapsed="false">
      <c r="A237" s="4" t="s">
        <v>1255</v>
      </c>
      <c r="B237" s="4" t="s">
        <v>54</v>
      </c>
      <c r="C237" s="4" t="s">
        <v>1232</v>
      </c>
      <c r="D237" s="4" t="s">
        <v>1256</v>
      </c>
      <c r="E237" s="4" t="n">
        <v>19302</v>
      </c>
      <c r="F237" s="4"/>
      <c r="G237" s="4"/>
      <c r="H237" s="4" t="s">
        <v>1239</v>
      </c>
      <c r="I237" s="5" t="s">
        <v>784</v>
      </c>
      <c r="J237" s="4" t="s">
        <v>810</v>
      </c>
      <c r="K237" s="4" t="s">
        <v>229</v>
      </c>
      <c r="L237" s="4" t="n">
        <v>2</v>
      </c>
      <c r="M237" s="5" t="s">
        <v>138</v>
      </c>
      <c r="N237" s="4" t="s">
        <v>1235</v>
      </c>
      <c r="O237" s="5" t="s">
        <v>153</v>
      </c>
      <c r="P237" s="4" t="s">
        <v>193</v>
      </c>
      <c r="Q237" s="4"/>
      <c r="R237" s="5" t="s">
        <v>154</v>
      </c>
      <c r="S237" s="5" t="s">
        <v>1257</v>
      </c>
    </row>
    <row r="238" customFormat="false" ht="29.85" hidden="false" customHeight="false" outlineLevel="0" collapsed="false">
      <c r="A238" s="4" t="s">
        <v>1258</v>
      </c>
      <c r="B238" s="4" t="s">
        <v>54</v>
      </c>
      <c r="C238" s="4" t="s">
        <v>1232</v>
      </c>
      <c r="D238" s="4" t="s">
        <v>1259</v>
      </c>
      <c r="E238" s="4" t="n">
        <v>0.51</v>
      </c>
      <c r="F238" s="4"/>
      <c r="G238" s="4"/>
      <c r="H238" s="4" t="s">
        <v>559</v>
      </c>
      <c r="I238" s="5" t="s">
        <v>1260</v>
      </c>
      <c r="J238" s="4" t="s">
        <v>810</v>
      </c>
      <c r="K238" s="4" t="s">
        <v>229</v>
      </c>
      <c r="L238" s="4" t="n">
        <v>2</v>
      </c>
      <c r="M238" s="5" t="s">
        <v>138</v>
      </c>
      <c r="N238" s="4" t="s">
        <v>1235</v>
      </c>
      <c r="O238" s="5" t="s">
        <v>153</v>
      </c>
      <c r="P238" s="4" t="s">
        <v>141</v>
      </c>
      <c r="Q238" s="4" t="s">
        <v>1261</v>
      </c>
      <c r="R238" s="5" t="s">
        <v>170</v>
      </c>
      <c r="S238" s="4"/>
    </row>
    <row r="239" customFormat="false" ht="29.85" hidden="false" customHeight="false" outlineLevel="0" collapsed="false">
      <c r="A239" s="4" t="s">
        <v>1262</v>
      </c>
      <c r="B239" s="4" t="s">
        <v>54</v>
      </c>
      <c r="C239" s="4" t="s">
        <v>1232</v>
      </c>
      <c r="D239" s="4" t="s">
        <v>1263</v>
      </c>
      <c r="E239" s="4" t="n">
        <v>3.66</v>
      </c>
      <c r="F239" s="4"/>
      <c r="G239" s="4"/>
      <c r="H239" s="4" t="s">
        <v>559</v>
      </c>
      <c r="I239" s="4"/>
      <c r="J239" s="4" t="s">
        <v>810</v>
      </c>
      <c r="K239" s="4" t="s">
        <v>229</v>
      </c>
      <c r="L239" s="4" t="n">
        <v>2</v>
      </c>
      <c r="M239" s="5" t="s">
        <v>138</v>
      </c>
      <c r="N239" s="4" t="s">
        <v>1235</v>
      </c>
      <c r="O239" s="5" t="s">
        <v>153</v>
      </c>
      <c r="P239" s="4" t="s">
        <v>141</v>
      </c>
      <c r="Q239" s="4"/>
      <c r="R239" s="5" t="s">
        <v>154</v>
      </c>
      <c r="S239" s="4"/>
    </row>
    <row r="240" customFormat="false" ht="29.85" hidden="false" customHeight="false" outlineLevel="0" collapsed="false">
      <c r="A240" s="4" t="s">
        <v>1264</v>
      </c>
      <c r="B240" s="4" t="s">
        <v>54</v>
      </c>
      <c r="C240" s="4" t="s">
        <v>1232</v>
      </c>
      <c r="D240" s="4" t="s">
        <v>1265</v>
      </c>
      <c r="E240" s="4" t="n">
        <v>0.302</v>
      </c>
      <c r="F240" s="4"/>
      <c r="G240" s="4"/>
      <c r="H240" s="4" t="s">
        <v>421</v>
      </c>
      <c r="I240" s="4" t="s">
        <v>1266</v>
      </c>
      <c r="J240" s="4" t="s">
        <v>815</v>
      </c>
      <c r="K240" s="4" t="s">
        <v>229</v>
      </c>
      <c r="L240" s="4" t="n">
        <v>2</v>
      </c>
      <c r="M240" s="5" t="s">
        <v>138</v>
      </c>
      <c r="N240" s="4" t="s">
        <v>1235</v>
      </c>
      <c r="O240" s="5" t="s">
        <v>153</v>
      </c>
      <c r="P240" s="4" t="s">
        <v>141</v>
      </c>
      <c r="Q240" s="4" t="s">
        <v>1267</v>
      </c>
      <c r="R240" s="5" t="s">
        <v>170</v>
      </c>
      <c r="S240" s="4"/>
    </row>
    <row r="241" customFormat="false" ht="29.85" hidden="false" customHeight="false" outlineLevel="0" collapsed="false">
      <c r="A241" s="4" t="s">
        <v>1268</v>
      </c>
      <c r="B241" s="4" t="s">
        <v>54</v>
      </c>
      <c r="C241" s="4" t="s">
        <v>1269</v>
      </c>
      <c r="D241" s="4" t="s">
        <v>1270</v>
      </c>
      <c r="E241" s="4" t="n">
        <v>4.72</v>
      </c>
      <c r="F241" s="4"/>
      <c r="G241" s="4"/>
      <c r="H241" s="4" t="s">
        <v>1271</v>
      </c>
      <c r="I241" s="4" t="s">
        <v>1272</v>
      </c>
      <c r="J241" s="4" t="s">
        <v>810</v>
      </c>
      <c r="K241" s="4" t="s">
        <v>229</v>
      </c>
      <c r="L241" s="4" t="n">
        <v>2</v>
      </c>
      <c r="M241" s="5" t="s">
        <v>238</v>
      </c>
      <c r="N241" s="4" t="s">
        <v>1273</v>
      </c>
      <c r="O241" s="5" t="s">
        <v>153</v>
      </c>
      <c r="P241" s="4" t="s">
        <v>141</v>
      </c>
      <c r="Q241" s="4"/>
      <c r="R241" s="5" t="s">
        <v>154</v>
      </c>
      <c r="S241" s="5" t="s">
        <v>1274</v>
      </c>
    </row>
    <row r="242" customFormat="false" ht="29.85" hidden="false" customHeight="false" outlineLevel="0" collapsed="false">
      <c r="A242" s="4" t="s">
        <v>1275</v>
      </c>
      <c r="B242" s="4" t="s">
        <v>54</v>
      </c>
      <c r="C242" s="4" t="s">
        <v>1269</v>
      </c>
      <c r="D242" s="4" t="s">
        <v>1276</v>
      </c>
      <c r="E242" s="4" t="n">
        <v>9.18</v>
      </c>
      <c r="F242" s="4"/>
      <c r="G242" s="4"/>
      <c r="H242" s="4" t="s">
        <v>1271</v>
      </c>
      <c r="I242" s="4" t="s">
        <v>1272</v>
      </c>
      <c r="J242" s="4" t="s">
        <v>967</v>
      </c>
      <c r="K242" s="4" t="s">
        <v>229</v>
      </c>
      <c r="L242" s="4" t="n">
        <v>2</v>
      </c>
      <c r="M242" s="5" t="s">
        <v>238</v>
      </c>
      <c r="N242" s="4" t="s">
        <v>1273</v>
      </c>
      <c r="O242" s="5" t="s">
        <v>153</v>
      </c>
      <c r="P242" s="4" t="s">
        <v>141</v>
      </c>
      <c r="Q242" s="4"/>
      <c r="R242" s="5" t="s">
        <v>154</v>
      </c>
      <c r="S242" s="5" t="s">
        <v>1274</v>
      </c>
    </row>
    <row r="243" customFormat="false" ht="29.85" hidden="false" customHeight="false" outlineLevel="0" collapsed="false">
      <c r="A243" s="4" t="s">
        <v>1277</v>
      </c>
      <c r="B243" s="4" t="s">
        <v>54</v>
      </c>
      <c r="C243" s="4" t="s">
        <v>1278</v>
      </c>
      <c r="D243" s="4" t="s">
        <v>1279</v>
      </c>
      <c r="E243" s="4" t="n">
        <v>1</v>
      </c>
      <c r="F243" s="4"/>
      <c r="G243" s="4"/>
      <c r="H243" s="4" t="s">
        <v>421</v>
      </c>
      <c r="I243" s="5" t="s">
        <v>1280</v>
      </c>
      <c r="J243" s="4" t="s">
        <v>815</v>
      </c>
      <c r="K243" s="4" t="s">
        <v>229</v>
      </c>
      <c r="L243" s="4" t="n">
        <v>2</v>
      </c>
      <c r="M243" s="5" t="s">
        <v>138</v>
      </c>
      <c r="N243" s="4" t="s">
        <v>1281</v>
      </c>
      <c r="O243" s="5" t="s">
        <v>153</v>
      </c>
      <c r="P243" s="4" t="s">
        <v>141</v>
      </c>
      <c r="Q243" s="4" t="s">
        <v>1282</v>
      </c>
      <c r="R243" s="5" t="s">
        <v>170</v>
      </c>
      <c r="S243" s="5" t="s">
        <v>1283</v>
      </c>
    </row>
  </sheetData>
  <autoFilter ref="A1:S2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40"/>
    <col collapsed="false" customWidth="true" hidden="false" outlineLevel="0" max="9" min="9" style="1" width="13"/>
    <col collapsed="false" customWidth="true" hidden="false" outlineLevel="0" max="10" min="10" style="1" width="32"/>
    <col collapsed="false" customWidth="true" hidden="false" outlineLevel="0" max="11" min="11" style="1" width="8"/>
    <col collapsed="false" customWidth="true" hidden="false" outlineLevel="0" max="12" min="12" style="1" width="40"/>
  </cols>
  <sheetData>
    <row r="1" customFormat="false" ht="44" hidden="false" customHeight="false" outlineLevel="0" collapsed="false">
      <c r="A1" s="11" t="s">
        <v>1284</v>
      </c>
      <c r="B1" s="10" t="s">
        <v>1285</v>
      </c>
      <c r="C1" s="10" t="s">
        <v>1286</v>
      </c>
      <c r="D1" s="10" t="s">
        <v>1287</v>
      </c>
      <c r="E1" s="10" t="s">
        <v>1288</v>
      </c>
      <c r="F1" s="10" t="s">
        <v>124</v>
      </c>
      <c r="G1" s="10" t="s">
        <v>125</v>
      </c>
      <c r="H1" s="10" t="s">
        <v>1289</v>
      </c>
      <c r="I1" s="10" t="s">
        <v>127</v>
      </c>
      <c r="J1" s="10" t="s">
        <v>1290</v>
      </c>
      <c r="K1" s="10" t="s">
        <v>1291</v>
      </c>
      <c r="L1" s="10" t="s">
        <v>1292</v>
      </c>
    </row>
    <row r="2" customFormat="false" ht="29.85" hidden="false" customHeight="false" outlineLevel="0" collapsed="false">
      <c r="A2" s="4" t="s">
        <v>132</v>
      </c>
      <c r="B2" s="4" t="s">
        <v>1293</v>
      </c>
      <c r="C2" s="4" t="s">
        <v>1294</v>
      </c>
      <c r="D2" s="5" t="s">
        <v>1295</v>
      </c>
      <c r="E2" s="4" t="s">
        <v>47</v>
      </c>
      <c r="F2" s="4" t="n">
        <v>3</v>
      </c>
      <c r="G2" s="5" t="s">
        <v>138</v>
      </c>
      <c r="H2" s="4" t="s">
        <v>139</v>
      </c>
      <c r="I2" s="5" t="s">
        <v>140</v>
      </c>
      <c r="J2" s="5" t="s">
        <v>1296</v>
      </c>
      <c r="K2" s="4" t="n">
        <v>1</v>
      </c>
      <c r="L2" s="4" t="s">
        <v>131</v>
      </c>
    </row>
    <row r="3" customFormat="false" ht="29.85" hidden="false" customHeight="false" outlineLevel="0" collapsed="false">
      <c r="A3" s="4" t="s">
        <v>146</v>
      </c>
      <c r="B3" s="4" t="s">
        <v>1297</v>
      </c>
      <c r="C3" s="4" t="s">
        <v>37</v>
      </c>
      <c r="D3" s="5" t="s">
        <v>1295</v>
      </c>
      <c r="E3" s="4" t="s">
        <v>47</v>
      </c>
      <c r="F3" s="4" t="n">
        <v>3</v>
      </c>
      <c r="G3" s="5" t="s">
        <v>138</v>
      </c>
      <c r="H3" s="4" t="s">
        <v>152</v>
      </c>
      <c r="I3" s="5" t="s">
        <v>153</v>
      </c>
      <c r="J3" s="5" t="s">
        <v>1296</v>
      </c>
      <c r="K3" s="4" t="n">
        <v>2</v>
      </c>
      <c r="L3" s="4" t="s">
        <v>1298</v>
      </c>
    </row>
    <row r="4" customFormat="false" ht="29.85" hidden="false" customHeight="false" outlineLevel="0" collapsed="false">
      <c r="A4" s="4" t="s">
        <v>162</v>
      </c>
      <c r="B4" s="4" t="s">
        <v>1299</v>
      </c>
      <c r="C4" s="4" t="s">
        <v>1300</v>
      </c>
      <c r="D4" s="5" t="s">
        <v>1295</v>
      </c>
      <c r="E4" s="4" t="s">
        <v>47</v>
      </c>
      <c r="F4" s="4" t="n">
        <v>3</v>
      </c>
      <c r="G4" s="5" t="s">
        <v>138</v>
      </c>
      <c r="H4" s="4" t="s">
        <v>168</v>
      </c>
      <c r="I4" s="5" t="s">
        <v>153</v>
      </c>
      <c r="J4" s="5" t="s">
        <v>1296</v>
      </c>
      <c r="K4" s="4" t="n">
        <v>2</v>
      </c>
      <c r="L4" s="4" t="s">
        <v>1301</v>
      </c>
    </row>
    <row r="5" customFormat="false" ht="29.85" hidden="false" customHeight="false" outlineLevel="0" collapsed="false">
      <c r="A5" s="4" t="s">
        <v>179</v>
      </c>
      <c r="B5" s="4" t="s">
        <v>1302</v>
      </c>
      <c r="C5" s="4" t="s">
        <v>1300</v>
      </c>
      <c r="D5" s="5" t="s">
        <v>1295</v>
      </c>
      <c r="E5" s="4" t="s">
        <v>47</v>
      </c>
      <c r="F5" s="4" t="n">
        <v>3</v>
      </c>
      <c r="G5" s="5" t="s">
        <v>138</v>
      </c>
      <c r="H5" s="5" t="s">
        <v>184</v>
      </c>
      <c r="I5" s="5" t="s">
        <v>153</v>
      </c>
      <c r="J5" s="5" t="s">
        <v>1296</v>
      </c>
      <c r="K5" s="4" t="n">
        <v>3</v>
      </c>
      <c r="L5" s="4" t="s">
        <v>1303</v>
      </c>
    </row>
    <row r="6" customFormat="false" ht="29.85" hidden="false" customHeight="false" outlineLevel="0" collapsed="false">
      <c r="A6" s="4" t="s">
        <v>196</v>
      </c>
      <c r="B6" s="4" t="s">
        <v>1304</v>
      </c>
      <c r="C6" s="4" t="s">
        <v>1300</v>
      </c>
      <c r="D6" s="5" t="s">
        <v>1295</v>
      </c>
      <c r="E6" s="4" t="s">
        <v>47</v>
      </c>
      <c r="F6" s="4" t="n">
        <v>3</v>
      </c>
      <c r="G6" s="5" t="s">
        <v>138</v>
      </c>
      <c r="H6" s="4" t="s">
        <v>200</v>
      </c>
      <c r="I6" s="5" t="s">
        <v>153</v>
      </c>
      <c r="J6" s="5" t="s">
        <v>1296</v>
      </c>
      <c r="K6" s="4" t="n">
        <v>1</v>
      </c>
      <c r="L6" s="4" t="s">
        <v>195</v>
      </c>
    </row>
    <row r="7" customFormat="false" ht="29.85" hidden="false" customHeight="false" outlineLevel="0" collapsed="false">
      <c r="A7" s="4" t="s">
        <v>203</v>
      </c>
      <c r="B7" s="4" t="s">
        <v>1305</v>
      </c>
      <c r="C7" s="4" t="s">
        <v>1300</v>
      </c>
      <c r="D7" s="5" t="s">
        <v>1295</v>
      </c>
      <c r="E7" s="4" t="s">
        <v>47</v>
      </c>
      <c r="F7" s="4" t="n">
        <v>3</v>
      </c>
      <c r="G7" s="5" t="s">
        <v>138</v>
      </c>
      <c r="H7" s="5" t="s">
        <v>206</v>
      </c>
      <c r="I7" s="5" t="s">
        <v>153</v>
      </c>
      <c r="J7" s="5" t="s">
        <v>1296</v>
      </c>
      <c r="K7" s="4" t="n">
        <v>1</v>
      </c>
      <c r="L7" s="4" t="s">
        <v>202</v>
      </c>
    </row>
    <row r="8" customFormat="false" ht="29.85" hidden="false" customHeight="false" outlineLevel="0" collapsed="false">
      <c r="A8" s="4" t="s">
        <v>209</v>
      </c>
      <c r="B8" s="4" t="s">
        <v>1306</v>
      </c>
      <c r="C8" s="4" t="s">
        <v>1300</v>
      </c>
      <c r="D8" s="5" t="s">
        <v>1295</v>
      </c>
      <c r="E8" s="4" t="s">
        <v>47</v>
      </c>
      <c r="F8" s="4" t="n">
        <v>3</v>
      </c>
      <c r="G8" s="5" t="s">
        <v>138</v>
      </c>
      <c r="H8" s="5" t="s">
        <v>212</v>
      </c>
      <c r="I8" s="5" t="s">
        <v>153</v>
      </c>
      <c r="J8" s="5" t="s">
        <v>1296</v>
      </c>
      <c r="K8" s="4" t="n">
        <v>3</v>
      </c>
      <c r="L8" s="4" t="s">
        <v>1307</v>
      </c>
    </row>
    <row r="9" customFormat="false" ht="29.85" hidden="false" customHeight="false" outlineLevel="0" collapsed="false">
      <c r="A9" s="4" t="s">
        <v>226</v>
      </c>
      <c r="B9" s="4" t="s">
        <v>227</v>
      </c>
      <c r="C9" s="4" t="s">
        <v>1300</v>
      </c>
      <c r="D9" s="5" t="s">
        <v>1295</v>
      </c>
      <c r="E9" s="4" t="s">
        <v>47</v>
      </c>
      <c r="F9" s="4" t="n">
        <v>3</v>
      </c>
      <c r="G9" s="5" t="s">
        <v>138</v>
      </c>
      <c r="H9" s="4" t="s">
        <v>230</v>
      </c>
      <c r="I9" s="5" t="s">
        <v>153</v>
      </c>
      <c r="J9" s="5" t="s">
        <v>1296</v>
      </c>
      <c r="K9" s="4" t="n">
        <v>1</v>
      </c>
      <c r="L9" s="4" t="s">
        <v>225</v>
      </c>
    </row>
    <row r="10" customFormat="false" ht="29.85" hidden="false" customHeight="false" outlineLevel="0" collapsed="false">
      <c r="A10" s="4" t="s">
        <v>234</v>
      </c>
      <c r="B10" s="4" t="s">
        <v>1308</v>
      </c>
      <c r="C10" s="4" t="s">
        <v>1300</v>
      </c>
      <c r="D10" s="5" t="s">
        <v>1295</v>
      </c>
      <c r="E10" s="4" t="s">
        <v>47</v>
      </c>
      <c r="F10" s="4" t="n">
        <v>3</v>
      </c>
      <c r="G10" s="5" t="s">
        <v>238</v>
      </c>
      <c r="H10" s="4" t="s">
        <v>239</v>
      </c>
      <c r="I10" s="5" t="s">
        <v>153</v>
      </c>
      <c r="J10" s="5" t="s">
        <v>1296</v>
      </c>
      <c r="K10" s="4" t="n">
        <v>3</v>
      </c>
      <c r="L10" s="4" t="s">
        <v>1309</v>
      </c>
    </row>
    <row r="11" customFormat="false" ht="29.85" hidden="false" customHeight="false" outlineLevel="0" collapsed="false">
      <c r="A11" s="4" t="s">
        <v>419</v>
      </c>
      <c r="B11" s="5" t="s">
        <v>1310</v>
      </c>
      <c r="C11" s="4" t="s">
        <v>37</v>
      </c>
      <c r="D11" s="5" t="s">
        <v>1295</v>
      </c>
      <c r="E11" s="4" t="s">
        <v>48</v>
      </c>
      <c r="F11" s="4" t="n">
        <v>3</v>
      </c>
      <c r="G11" s="5" t="s">
        <v>138</v>
      </c>
      <c r="H11" s="4" t="s">
        <v>423</v>
      </c>
      <c r="I11" s="5" t="s">
        <v>153</v>
      </c>
      <c r="J11" s="5" t="s">
        <v>1296</v>
      </c>
      <c r="K11" s="4" t="n">
        <v>2</v>
      </c>
      <c r="L11" s="4" t="s">
        <v>1311</v>
      </c>
    </row>
    <row r="12" customFormat="false" ht="29.85" hidden="false" customHeight="false" outlineLevel="0" collapsed="false">
      <c r="A12" s="4" t="s">
        <v>251</v>
      </c>
      <c r="B12" s="4" t="s">
        <v>1312</v>
      </c>
      <c r="C12" s="4" t="s">
        <v>1300</v>
      </c>
      <c r="D12" s="5" t="s">
        <v>1313</v>
      </c>
      <c r="E12" s="4" t="s">
        <v>47</v>
      </c>
      <c r="F12" s="4" t="n">
        <v>3</v>
      </c>
      <c r="G12" s="5" t="s">
        <v>138</v>
      </c>
      <c r="H12" s="4" t="s">
        <v>253</v>
      </c>
      <c r="I12" s="5" t="s">
        <v>153</v>
      </c>
      <c r="J12" s="5" t="s">
        <v>1314</v>
      </c>
      <c r="K12" s="4" t="n">
        <v>1</v>
      </c>
      <c r="L12" s="4" t="s">
        <v>250</v>
      </c>
    </row>
    <row r="13" customFormat="false" ht="29.85" hidden="false" customHeight="false" outlineLevel="0" collapsed="false">
      <c r="A13" s="4" t="s">
        <v>432</v>
      </c>
      <c r="B13" s="5" t="s">
        <v>1315</v>
      </c>
      <c r="C13" s="4" t="s">
        <v>37</v>
      </c>
      <c r="D13" s="5" t="s">
        <v>1295</v>
      </c>
      <c r="E13" s="4" t="s">
        <v>48</v>
      </c>
      <c r="F13" s="4" t="n">
        <v>3</v>
      </c>
      <c r="G13" s="5" t="s">
        <v>238</v>
      </c>
      <c r="H13" s="4" t="s">
        <v>437</v>
      </c>
      <c r="I13" s="5" t="s">
        <v>153</v>
      </c>
      <c r="J13" s="5" t="s">
        <v>1296</v>
      </c>
      <c r="K13" s="4" t="n">
        <v>2</v>
      </c>
      <c r="L13" s="4" t="s">
        <v>1316</v>
      </c>
    </row>
    <row r="14" customFormat="false" ht="15" hidden="false" customHeight="false" outlineLevel="0" collapsed="false">
      <c r="A14" s="4" t="s">
        <v>445</v>
      </c>
      <c r="B14" s="5" t="s">
        <v>1317</v>
      </c>
      <c r="C14" s="4" t="s">
        <v>1294</v>
      </c>
      <c r="D14" s="5" t="s">
        <v>1318</v>
      </c>
      <c r="E14" s="4" t="s">
        <v>48</v>
      </c>
      <c r="F14" s="4" t="n">
        <v>2</v>
      </c>
      <c r="G14" s="5" t="s">
        <v>238</v>
      </c>
      <c r="H14" s="4" t="s">
        <v>450</v>
      </c>
      <c r="I14" s="5" t="s">
        <v>451</v>
      </c>
      <c r="J14" s="5" t="s">
        <v>1296</v>
      </c>
      <c r="K14" s="4" t="n">
        <v>2</v>
      </c>
      <c r="L14" s="4" t="s">
        <v>1319</v>
      </c>
    </row>
    <row r="15" customFormat="false" ht="29.85" hidden="false" customHeight="false" outlineLevel="0" collapsed="false">
      <c r="A15" s="4" t="s">
        <v>1320</v>
      </c>
      <c r="B15" s="4" t="s">
        <v>1321</v>
      </c>
      <c r="C15" s="4" t="s">
        <v>37</v>
      </c>
      <c r="D15" s="5" t="s">
        <v>1295</v>
      </c>
      <c r="E15" s="4" t="s">
        <v>143</v>
      </c>
      <c r="F15" s="4" t="s">
        <v>143</v>
      </c>
      <c r="G15" s="4" t="s">
        <v>143</v>
      </c>
      <c r="H15" s="4" t="s">
        <v>1322</v>
      </c>
      <c r="I15" s="4" t="s">
        <v>143</v>
      </c>
      <c r="J15" s="5" t="s">
        <v>1323</v>
      </c>
      <c r="K15" s="4" t="n">
        <v>0</v>
      </c>
      <c r="L15" s="4"/>
    </row>
    <row r="16" customFormat="false" ht="29.85" hidden="false" customHeight="false" outlineLevel="0" collapsed="false">
      <c r="A16" s="4" t="s">
        <v>457</v>
      </c>
      <c r="B16" s="4" t="s">
        <v>1324</v>
      </c>
      <c r="C16" s="4" t="s">
        <v>1294</v>
      </c>
      <c r="D16" s="5" t="s">
        <v>1325</v>
      </c>
      <c r="E16" s="4" t="s">
        <v>48</v>
      </c>
      <c r="F16" s="4" t="n">
        <v>2</v>
      </c>
      <c r="G16" s="5" t="s">
        <v>138</v>
      </c>
      <c r="H16" s="5" t="s">
        <v>462</v>
      </c>
      <c r="I16" s="5" t="s">
        <v>153</v>
      </c>
      <c r="J16" s="5" t="s">
        <v>1296</v>
      </c>
      <c r="K16" s="4" t="n">
        <v>3</v>
      </c>
      <c r="L16" s="4" t="s">
        <v>1326</v>
      </c>
    </row>
    <row r="17" customFormat="false" ht="29.85" hidden="false" customHeight="false" outlineLevel="0" collapsed="false">
      <c r="A17" s="4" t="s">
        <v>473</v>
      </c>
      <c r="B17" s="5" t="s">
        <v>1327</v>
      </c>
      <c r="C17" s="4" t="s">
        <v>1300</v>
      </c>
      <c r="D17" s="5" t="s">
        <v>1328</v>
      </c>
      <c r="E17" s="4" t="s">
        <v>48</v>
      </c>
      <c r="F17" s="4" t="n">
        <v>3</v>
      </c>
      <c r="G17" s="5" t="s">
        <v>138</v>
      </c>
      <c r="H17" s="4" t="s">
        <v>478</v>
      </c>
      <c r="I17" s="5" t="s">
        <v>153</v>
      </c>
      <c r="J17" s="5" t="s">
        <v>1296</v>
      </c>
      <c r="K17" s="4" t="n">
        <v>2</v>
      </c>
      <c r="L17" s="4" t="s">
        <v>1329</v>
      </c>
    </row>
    <row r="18" customFormat="false" ht="29.85" hidden="false" customHeight="false" outlineLevel="0" collapsed="false">
      <c r="A18" s="4" t="s">
        <v>484</v>
      </c>
      <c r="B18" s="4" t="s">
        <v>1330</v>
      </c>
      <c r="C18" s="4" t="s">
        <v>1300</v>
      </c>
      <c r="D18" s="5" t="s">
        <v>487</v>
      </c>
      <c r="E18" s="4" t="s">
        <v>48</v>
      </c>
      <c r="F18" s="4" t="n">
        <v>2</v>
      </c>
      <c r="G18" s="5" t="s">
        <v>138</v>
      </c>
      <c r="H18" s="4" t="s">
        <v>488</v>
      </c>
      <c r="I18" s="5" t="s">
        <v>489</v>
      </c>
      <c r="J18" s="5" t="s">
        <v>1296</v>
      </c>
      <c r="K18" s="4" t="n">
        <v>2</v>
      </c>
      <c r="L18" s="4" t="s">
        <v>1331</v>
      </c>
    </row>
    <row r="19" customFormat="false" ht="29.85" hidden="false" customHeight="false" outlineLevel="0" collapsed="false">
      <c r="A19" s="4" t="s">
        <v>913</v>
      </c>
      <c r="B19" s="4" t="s">
        <v>1332</v>
      </c>
      <c r="C19" s="4" t="s">
        <v>1294</v>
      </c>
      <c r="D19" s="5" t="s">
        <v>1295</v>
      </c>
      <c r="E19" s="4" t="s">
        <v>51</v>
      </c>
      <c r="F19" s="4" t="n">
        <v>3</v>
      </c>
      <c r="G19" s="5" t="s">
        <v>138</v>
      </c>
      <c r="H19" s="4" t="s">
        <v>918</v>
      </c>
      <c r="I19" s="5" t="s">
        <v>153</v>
      </c>
      <c r="J19" s="5" t="s">
        <v>1296</v>
      </c>
      <c r="K19" s="4" t="n">
        <v>1</v>
      </c>
      <c r="L19" s="4" t="s">
        <v>912</v>
      </c>
    </row>
    <row r="20" customFormat="false" ht="29.85" hidden="false" customHeight="false" outlineLevel="0" collapsed="false">
      <c r="A20" s="4" t="s">
        <v>922</v>
      </c>
      <c r="B20" s="5" t="s">
        <v>1333</v>
      </c>
      <c r="C20" s="4" t="s">
        <v>1334</v>
      </c>
      <c r="D20" s="5" t="s">
        <v>925</v>
      </c>
      <c r="E20" s="4" t="s">
        <v>51</v>
      </c>
      <c r="F20" s="4" t="n">
        <v>2</v>
      </c>
      <c r="G20" s="5" t="s">
        <v>238</v>
      </c>
      <c r="H20" s="5" t="s">
        <v>926</v>
      </c>
      <c r="I20" s="5" t="s">
        <v>927</v>
      </c>
      <c r="J20" s="5" t="s">
        <v>1296</v>
      </c>
      <c r="K20" s="4" t="n">
        <v>1</v>
      </c>
      <c r="L20" s="4" t="s">
        <v>921</v>
      </c>
    </row>
    <row r="21" customFormat="false" ht="69.4" hidden="false" customHeight="false" outlineLevel="0" collapsed="false">
      <c r="A21" s="4" t="s">
        <v>712</v>
      </c>
      <c r="B21" s="4" t="s">
        <v>1335</v>
      </c>
      <c r="C21" s="4" t="s">
        <v>1336</v>
      </c>
      <c r="D21" s="5" t="s">
        <v>1337</v>
      </c>
      <c r="E21" s="4" t="s">
        <v>50</v>
      </c>
      <c r="F21" s="4" t="n">
        <v>1</v>
      </c>
      <c r="G21" s="5" t="s">
        <v>138</v>
      </c>
      <c r="H21" s="4" t="s">
        <v>717</v>
      </c>
      <c r="I21" s="5" t="s">
        <v>608</v>
      </c>
      <c r="J21" s="5" t="s">
        <v>1296</v>
      </c>
      <c r="K21" s="4" t="n">
        <v>3</v>
      </c>
      <c r="L21" s="4" t="s">
        <v>1338</v>
      </c>
    </row>
    <row r="22" customFormat="false" ht="41" hidden="false" customHeight="false" outlineLevel="0" collapsed="false">
      <c r="A22" s="4" t="s">
        <v>728</v>
      </c>
      <c r="B22" s="4" t="s">
        <v>1339</v>
      </c>
      <c r="C22" s="4" t="s">
        <v>1340</v>
      </c>
      <c r="D22" s="5" t="s">
        <v>1341</v>
      </c>
      <c r="E22" s="4" t="s">
        <v>50</v>
      </c>
      <c r="F22" s="4" t="n">
        <v>1</v>
      </c>
      <c r="G22" s="5" t="s">
        <v>138</v>
      </c>
      <c r="H22" s="4" t="s">
        <v>731</v>
      </c>
      <c r="I22" s="5" t="s">
        <v>608</v>
      </c>
      <c r="J22" s="5" t="s">
        <v>1296</v>
      </c>
      <c r="K22" s="4" t="n">
        <v>5</v>
      </c>
      <c r="L22" s="4" t="s">
        <v>1342</v>
      </c>
    </row>
    <row r="23" customFormat="false" ht="55.2" hidden="false" customHeight="false" outlineLevel="0" collapsed="false">
      <c r="A23" s="4" t="s">
        <v>753</v>
      </c>
      <c r="B23" s="4" t="s">
        <v>1343</v>
      </c>
      <c r="C23" s="4" t="s">
        <v>1344</v>
      </c>
      <c r="D23" s="5" t="s">
        <v>1345</v>
      </c>
      <c r="E23" s="4" t="s">
        <v>50</v>
      </c>
      <c r="F23" s="4" t="n">
        <v>3</v>
      </c>
      <c r="G23" s="5" t="s">
        <v>138</v>
      </c>
      <c r="H23" s="4" t="s">
        <v>757</v>
      </c>
      <c r="I23" s="5" t="s">
        <v>758</v>
      </c>
      <c r="J23" s="5" t="s">
        <v>1296</v>
      </c>
      <c r="K23" s="4" t="n">
        <v>5</v>
      </c>
      <c r="L23" s="4" t="s">
        <v>1346</v>
      </c>
    </row>
    <row r="24" customFormat="false" ht="41" hidden="false" customHeight="false" outlineLevel="0" collapsed="false">
      <c r="A24" s="4" t="s">
        <v>775</v>
      </c>
      <c r="B24" s="4" t="s">
        <v>1347</v>
      </c>
      <c r="C24" s="4" t="s">
        <v>1348</v>
      </c>
      <c r="D24" s="5" t="s">
        <v>1349</v>
      </c>
      <c r="E24" s="4" t="s">
        <v>50</v>
      </c>
      <c r="F24" s="4" t="n">
        <v>1</v>
      </c>
      <c r="G24" s="5" t="s">
        <v>138</v>
      </c>
      <c r="H24" s="4" t="s">
        <v>779</v>
      </c>
      <c r="I24" s="5" t="s">
        <v>608</v>
      </c>
      <c r="J24" s="5" t="s">
        <v>1296</v>
      </c>
      <c r="K24" s="4" t="n">
        <v>2</v>
      </c>
      <c r="L24" s="4" t="s">
        <v>1350</v>
      </c>
    </row>
    <row r="25" customFormat="false" ht="41" hidden="false" customHeight="false" outlineLevel="0" collapsed="false">
      <c r="A25" s="4" t="s">
        <v>787</v>
      </c>
      <c r="B25" s="4" t="s">
        <v>1351</v>
      </c>
      <c r="C25" s="4" t="s">
        <v>1348</v>
      </c>
      <c r="D25" s="5" t="s">
        <v>1352</v>
      </c>
      <c r="E25" s="4" t="s">
        <v>50</v>
      </c>
      <c r="F25" s="4" t="n">
        <v>1</v>
      </c>
      <c r="G25" s="5" t="s">
        <v>138</v>
      </c>
      <c r="H25" s="4" t="s">
        <v>790</v>
      </c>
      <c r="I25" s="5" t="s">
        <v>608</v>
      </c>
      <c r="J25" s="5" t="s">
        <v>1296</v>
      </c>
      <c r="K25" s="4" t="n">
        <v>2</v>
      </c>
      <c r="L25" s="4" t="s">
        <v>1353</v>
      </c>
    </row>
    <row r="26" customFormat="false" ht="29.85" hidden="false" customHeight="false" outlineLevel="0" collapsed="false">
      <c r="A26" s="4" t="s">
        <v>1221</v>
      </c>
      <c r="B26" s="4" t="s">
        <v>1354</v>
      </c>
      <c r="C26" s="4" t="s">
        <v>1355</v>
      </c>
      <c r="D26" s="5" t="s">
        <v>1356</v>
      </c>
      <c r="E26" s="4" t="s">
        <v>54</v>
      </c>
      <c r="F26" s="4" t="n">
        <v>2</v>
      </c>
      <c r="G26" s="5" t="s">
        <v>138</v>
      </c>
      <c r="H26" s="4" t="s">
        <v>1225</v>
      </c>
      <c r="I26" s="5" t="s">
        <v>153</v>
      </c>
      <c r="J26" s="5" t="s">
        <v>1296</v>
      </c>
      <c r="K26" s="4" t="n">
        <v>2</v>
      </c>
      <c r="L26" s="4" t="s">
        <v>1357</v>
      </c>
    </row>
    <row r="27" customFormat="false" ht="44" hidden="false" customHeight="false" outlineLevel="0" collapsed="false">
      <c r="A27" s="4" t="s">
        <v>795</v>
      </c>
      <c r="B27" s="4" t="s">
        <v>1358</v>
      </c>
      <c r="C27" s="4" t="s">
        <v>1359</v>
      </c>
      <c r="D27" s="5" t="s">
        <v>1360</v>
      </c>
      <c r="E27" s="4" t="s">
        <v>50</v>
      </c>
      <c r="F27" s="4" t="n">
        <v>1</v>
      </c>
      <c r="G27" s="5" t="s">
        <v>238</v>
      </c>
      <c r="H27" s="4" t="s">
        <v>800</v>
      </c>
      <c r="I27" s="5" t="s">
        <v>608</v>
      </c>
      <c r="J27" s="5" t="s">
        <v>1296</v>
      </c>
      <c r="K27" s="4" t="n">
        <v>5</v>
      </c>
      <c r="L27" s="4" t="s">
        <v>1361</v>
      </c>
    </row>
    <row r="28" customFormat="false" ht="41" hidden="false" customHeight="false" outlineLevel="0" collapsed="false">
      <c r="A28" s="4" t="s">
        <v>496</v>
      </c>
      <c r="B28" s="4" t="s">
        <v>1362</v>
      </c>
      <c r="C28" s="4" t="s">
        <v>1294</v>
      </c>
      <c r="D28" s="5" t="s">
        <v>502</v>
      </c>
      <c r="E28" s="4" t="s">
        <v>49</v>
      </c>
      <c r="F28" s="4" t="n">
        <v>3</v>
      </c>
      <c r="G28" s="5" t="s">
        <v>138</v>
      </c>
      <c r="H28" s="4" t="s">
        <v>500</v>
      </c>
      <c r="I28" s="5" t="s">
        <v>153</v>
      </c>
      <c r="J28" s="5" t="s">
        <v>1296</v>
      </c>
      <c r="K28" s="4" t="n">
        <v>6</v>
      </c>
      <c r="L28" s="4" t="s">
        <v>1363</v>
      </c>
    </row>
    <row r="29" customFormat="false" ht="72.35" hidden="false" customHeight="false" outlineLevel="0" collapsed="false">
      <c r="A29" s="4" t="s">
        <v>256</v>
      </c>
      <c r="B29" s="4" t="s">
        <v>1364</v>
      </c>
      <c r="C29" s="4" t="s">
        <v>1365</v>
      </c>
      <c r="D29" s="5" t="s">
        <v>1366</v>
      </c>
      <c r="E29" s="4" t="s">
        <v>47</v>
      </c>
      <c r="F29" s="4" t="n">
        <v>3</v>
      </c>
      <c r="G29" s="5" t="s">
        <v>138</v>
      </c>
      <c r="H29" s="4" t="s">
        <v>261</v>
      </c>
      <c r="I29" s="5" t="s">
        <v>140</v>
      </c>
      <c r="J29" s="5" t="s">
        <v>1367</v>
      </c>
      <c r="K29" s="4" t="n">
        <v>13</v>
      </c>
      <c r="L29" s="4" t="s">
        <v>1368</v>
      </c>
    </row>
    <row r="30" customFormat="false" ht="29.85" hidden="false" customHeight="false" outlineLevel="0" collapsed="false">
      <c r="A30" s="4" t="s">
        <v>311</v>
      </c>
      <c r="B30" s="5" t="s">
        <v>1369</v>
      </c>
      <c r="C30" s="4" t="s">
        <v>37</v>
      </c>
      <c r="D30" s="5" t="s">
        <v>1295</v>
      </c>
      <c r="E30" s="4" t="s">
        <v>47</v>
      </c>
      <c r="F30" s="4" t="n">
        <v>3</v>
      </c>
      <c r="G30" s="5" t="s">
        <v>238</v>
      </c>
      <c r="H30" s="5" t="s">
        <v>316</v>
      </c>
      <c r="I30" s="4" t="s">
        <v>143</v>
      </c>
      <c r="J30" s="5" t="s">
        <v>1296</v>
      </c>
      <c r="K30" s="4" t="n">
        <v>4</v>
      </c>
      <c r="L30" s="4" t="s">
        <v>1370</v>
      </c>
    </row>
    <row r="31" customFormat="false" ht="29.85" hidden="false" customHeight="false" outlineLevel="0" collapsed="false">
      <c r="A31" s="4" t="s">
        <v>820</v>
      </c>
      <c r="B31" s="4" t="s">
        <v>1371</v>
      </c>
      <c r="C31" s="4" t="s">
        <v>1372</v>
      </c>
      <c r="D31" s="5" t="s">
        <v>1295</v>
      </c>
      <c r="E31" s="4" t="s">
        <v>50</v>
      </c>
      <c r="F31" s="4" t="n">
        <v>3</v>
      </c>
      <c r="G31" s="5" t="s">
        <v>138</v>
      </c>
      <c r="H31" s="4" t="s">
        <v>825</v>
      </c>
      <c r="I31" s="5" t="s">
        <v>140</v>
      </c>
      <c r="J31" s="5" t="s">
        <v>1373</v>
      </c>
      <c r="K31" s="4" t="n">
        <v>1</v>
      </c>
      <c r="L31" s="4" t="s">
        <v>819</v>
      </c>
    </row>
    <row r="32" customFormat="false" ht="72.35" hidden="false" customHeight="false" outlineLevel="0" collapsed="false">
      <c r="A32" s="4" t="s">
        <v>828</v>
      </c>
      <c r="B32" s="4" t="s">
        <v>1374</v>
      </c>
      <c r="C32" s="4" t="s">
        <v>1375</v>
      </c>
      <c r="D32" s="5" t="s">
        <v>1356</v>
      </c>
      <c r="E32" s="4" t="s">
        <v>50</v>
      </c>
      <c r="F32" s="4" t="n">
        <v>2</v>
      </c>
      <c r="G32" s="5" t="s">
        <v>138</v>
      </c>
      <c r="H32" s="4" t="s">
        <v>833</v>
      </c>
      <c r="I32" s="5" t="s">
        <v>834</v>
      </c>
      <c r="J32" s="5" t="s">
        <v>1296</v>
      </c>
      <c r="K32" s="4" t="n">
        <v>3</v>
      </c>
      <c r="L32" s="4" t="s">
        <v>1376</v>
      </c>
    </row>
    <row r="33" customFormat="false" ht="69.4" hidden="false" customHeight="false" outlineLevel="0" collapsed="false">
      <c r="A33" s="4" t="s">
        <v>846</v>
      </c>
      <c r="B33" s="4" t="s">
        <v>1377</v>
      </c>
      <c r="C33" s="4" t="s">
        <v>1378</v>
      </c>
      <c r="D33" s="5" t="s">
        <v>1379</v>
      </c>
      <c r="E33" s="4" t="s">
        <v>50</v>
      </c>
      <c r="F33" s="4" t="n">
        <v>2</v>
      </c>
      <c r="G33" s="5" t="s">
        <v>138</v>
      </c>
      <c r="H33" s="4" t="s">
        <v>850</v>
      </c>
      <c r="I33" s="5" t="s">
        <v>153</v>
      </c>
      <c r="J33" s="5" t="s">
        <v>1296</v>
      </c>
      <c r="K33" s="4" t="n">
        <v>2</v>
      </c>
      <c r="L33" s="4" t="s">
        <v>1380</v>
      </c>
    </row>
    <row r="34" customFormat="false" ht="44" hidden="false" customHeight="false" outlineLevel="0" collapsed="false">
      <c r="A34" s="4" t="s">
        <v>858</v>
      </c>
      <c r="B34" s="4" t="s">
        <v>1381</v>
      </c>
      <c r="C34" s="4" t="s">
        <v>1294</v>
      </c>
      <c r="D34" s="5" t="s">
        <v>1360</v>
      </c>
      <c r="E34" s="4" t="s">
        <v>50</v>
      </c>
      <c r="F34" s="4" t="n">
        <v>1</v>
      </c>
      <c r="G34" s="5" t="s">
        <v>238</v>
      </c>
      <c r="H34" s="4" t="s">
        <v>863</v>
      </c>
      <c r="I34" s="5" t="s">
        <v>608</v>
      </c>
      <c r="J34" s="5" t="s">
        <v>1296</v>
      </c>
      <c r="K34" s="4" t="n">
        <v>7</v>
      </c>
      <c r="L34" s="4" t="s">
        <v>1382</v>
      </c>
    </row>
    <row r="35" customFormat="false" ht="44" hidden="false" customHeight="false" outlineLevel="0" collapsed="false">
      <c r="A35" s="4" t="s">
        <v>1383</v>
      </c>
      <c r="B35" s="4" t="s">
        <v>1384</v>
      </c>
      <c r="C35" s="4" t="s">
        <v>1385</v>
      </c>
      <c r="D35" s="5" t="s">
        <v>1386</v>
      </c>
      <c r="E35" s="4" t="s">
        <v>143</v>
      </c>
      <c r="F35" s="4" t="s">
        <v>143</v>
      </c>
      <c r="G35" s="4" t="s">
        <v>143</v>
      </c>
      <c r="H35" s="5" t="s">
        <v>1387</v>
      </c>
      <c r="I35" s="4" t="s">
        <v>143</v>
      </c>
      <c r="J35" s="5" t="s">
        <v>1388</v>
      </c>
      <c r="K35" s="4" t="n">
        <v>0</v>
      </c>
      <c r="L35" s="4"/>
    </row>
    <row r="36" customFormat="false" ht="29.85" hidden="false" customHeight="false" outlineLevel="0" collapsed="false">
      <c r="A36" s="4" t="s">
        <v>604</v>
      </c>
      <c r="B36" s="4" t="s">
        <v>1389</v>
      </c>
      <c r="C36" s="4" t="s">
        <v>1372</v>
      </c>
      <c r="D36" s="5" t="s">
        <v>1390</v>
      </c>
      <c r="E36" s="4" t="s">
        <v>49</v>
      </c>
      <c r="F36" s="4" t="n">
        <v>1</v>
      </c>
      <c r="G36" s="5" t="s">
        <v>138</v>
      </c>
      <c r="H36" s="4" t="s">
        <v>607</v>
      </c>
      <c r="I36" s="5" t="s">
        <v>608</v>
      </c>
      <c r="J36" s="5" t="s">
        <v>1391</v>
      </c>
      <c r="K36" s="4" t="n">
        <v>4</v>
      </c>
      <c r="L36" s="4" t="s">
        <v>1392</v>
      </c>
    </row>
    <row r="37" customFormat="false" ht="29.85" hidden="false" customHeight="false" outlineLevel="0" collapsed="false">
      <c r="A37" s="4" t="s">
        <v>332</v>
      </c>
      <c r="B37" s="4" t="s">
        <v>1393</v>
      </c>
      <c r="C37" s="4" t="s">
        <v>1365</v>
      </c>
      <c r="D37" s="5" t="s">
        <v>1394</v>
      </c>
      <c r="E37" s="4" t="s">
        <v>47</v>
      </c>
      <c r="F37" s="4" t="n">
        <v>2</v>
      </c>
      <c r="G37" s="5" t="s">
        <v>138</v>
      </c>
      <c r="H37" s="4" t="s">
        <v>335</v>
      </c>
      <c r="I37" s="5" t="s">
        <v>336</v>
      </c>
      <c r="J37" s="5" t="s">
        <v>1296</v>
      </c>
      <c r="K37" s="4" t="n">
        <v>4</v>
      </c>
      <c r="L37" s="4" t="s">
        <v>1395</v>
      </c>
    </row>
    <row r="38" customFormat="false" ht="29.85" hidden="false" customHeight="false" outlineLevel="0" collapsed="false">
      <c r="A38" s="4" t="s">
        <v>889</v>
      </c>
      <c r="B38" s="4" t="s">
        <v>1396</v>
      </c>
      <c r="C38" s="4" t="s">
        <v>1397</v>
      </c>
      <c r="D38" s="5" t="s">
        <v>1295</v>
      </c>
      <c r="E38" s="4" t="s">
        <v>50</v>
      </c>
      <c r="F38" s="4" t="n">
        <v>3</v>
      </c>
      <c r="G38" s="5" t="s">
        <v>138</v>
      </c>
      <c r="H38" s="4" t="s">
        <v>894</v>
      </c>
      <c r="I38" s="5" t="s">
        <v>140</v>
      </c>
      <c r="J38" s="5" t="s">
        <v>1296</v>
      </c>
      <c r="K38" s="4" t="n">
        <v>2</v>
      </c>
      <c r="L38" s="4" t="s">
        <v>1398</v>
      </c>
    </row>
    <row r="39" customFormat="false" ht="44" hidden="false" customHeight="false" outlineLevel="0" collapsed="false">
      <c r="A39" s="4" t="s">
        <v>1181</v>
      </c>
      <c r="B39" s="4" t="s">
        <v>1399</v>
      </c>
      <c r="C39" s="4" t="s">
        <v>1400</v>
      </c>
      <c r="D39" s="5" t="s">
        <v>1360</v>
      </c>
      <c r="E39" s="4" t="s">
        <v>53</v>
      </c>
      <c r="F39" s="4" t="n">
        <v>1</v>
      </c>
      <c r="G39" s="5" t="s">
        <v>238</v>
      </c>
      <c r="H39" s="4" t="s">
        <v>1185</v>
      </c>
      <c r="I39" s="5" t="s">
        <v>628</v>
      </c>
      <c r="J39" s="5" t="s">
        <v>1296</v>
      </c>
      <c r="K39" s="4" t="n">
        <v>3</v>
      </c>
      <c r="L39" s="4" t="s">
        <v>1401</v>
      </c>
    </row>
    <row r="40" customFormat="false" ht="29.85" hidden="false" customHeight="false" outlineLevel="0" collapsed="false">
      <c r="A40" s="4" t="s">
        <v>621</v>
      </c>
      <c r="B40" s="4" t="s">
        <v>1402</v>
      </c>
      <c r="C40" s="4" t="s">
        <v>1403</v>
      </c>
      <c r="D40" s="5" t="s">
        <v>1360</v>
      </c>
      <c r="E40" s="4" t="s">
        <v>49</v>
      </c>
      <c r="F40" s="4" t="n">
        <v>1</v>
      </c>
      <c r="G40" s="5" t="s">
        <v>238</v>
      </c>
      <c r="H40" s="4" t="s">
        <v>627</v>
      </c>
      <c r="I40" s="5" t="s">
        <v>628</v>
      </c>
      <c r="J40" s="5" t="s">
        <v>1296</v>
      </c>
      <c r="K40" s="4" t="n">
        <v>1</v>
      </c>
      <c r="L40" s="4" t="s">
        <v>620</v>
      </c>
    </row>
    <row r="41" customFormat="false" ht="41" hidden="false" customHeight="false" outlineLevel="0" collapsed="false">
      <c r="A41" s="4" t="s">
        <v>632</v>
      </c>
      <c r="B41" s="4" t="s">
        <v>1404</v>
      </c>
      <c r="C41" s="4" t="s">
        <v>1405</v>
      </c>
      <c r="D41" s="5" t="s">
        <v>1406</v>
      </c>
      <c r="E41" s="4" t="s">
        <v>49</v>
      </c>
      <c r="F41" s="4" t="n">
        <v>2</v>
      </c>
      <c r="G41" s="5" t="s">
        <v>138</v>
      </c>
      <c r="H41" s="4" t="s">
        <v>638</v>
      </c>
      <c r="I41" s="5" t="s">
        <v>153</v>
      </c>
      <c r="J41" s="5" t="s">
        <v>1296</v>
      </c>
      <c r="K41" s="4" t="n">
        <v>1</v>
      </c>
      <c r="L41" s="4" t="s">
        <v>631</v>
      </c>
    </row>
    <row r="42" customFormat="false" ht="29.85" hidden="false" customHeight="false" outlineLevel="0" collapsed="false">
      <c r="A42" s="4" t="s">
        <v>642</v>
      </c>
      <c r="B42" s="4" t="s">
        <v>1407</v>
      </c>
      <c r="C42" s="4" t="s">
        <v>1408</v>
      </c>
      <c r="D42" s="5" t="s">
        <v>1360</v>
      </c>
      <c r="E42" s="4" t="s">
        <v>49</v>
      </c>
      <c r="F42" s="4" t="n">
        <v>2</v>
      </c>
      <c r="G42" s="5" t="s">
        <v>138</v>
      </c>
      <c r="H42" s="4" t="s">
        <v>648</v>
      </c>
      <c r="I42" s="5" t="s">
        <v>153</v>
      </c>
      <c r="J42" s="5" t="s">
        <v>1296</v>
      </c>
      <c r="K42" s="4" t="n">
        <v>1</v>
      </c>
      <c r="L42" s="4" t="s">
        <v>641</v>
      </c>
    </row>
    <row r="43" customFormat="false" ht="41" hidden="false" customHeight="false" outlineLevel="0" collapsed="false">
      <c r="A43" s="4" t="s">
        <v>650</v>
      </c>
      <c r="B43" s="4" t="s">
        <v>1409</v>
      </c>
      <c r="C43" s="4" t="s">
        <v>1410</v>
      </c>
      <c r="D43" s="5" t="s">
        <v>1411</v>
      </c>
      <c r="E43" s="4" t="s">
        <v>49</v>
      </c>
      <c r="F43" s="4" t="n">
        <v>1</v>
      </c>
      <c r="G43" s="5" t="s">
        <v>138</v>
      </c>
      <c r="H43" s="4" t="s">
        <v>655</v>
      </c>
      <c r="I43" s="5" t="s">
        <v>608</v>
      </c>
      <c r="J43" s="5" t="s">
        <v>1296</v>
      </c>
      <c r="K43" s="4" t="n">
        <v>3</v>
      </c>
      <c r="L43" s="4" t="s">
        <v>1412</v>
      </c>
    </row>
    <row r="44" customFormat="false" ht="29.85" hidden="false" customHeight="false" outlineLevel="0" collapsed="false">
      <c r="A44" s="4" t="s">
        <v>1413</v>
      </c>
      <c r="B44" s="4" t="s">
        <v>1414</v>
      </c>
      <c r="C44" s="4" t="s">
        <v>1415</v>
      </c>
      <c r="D44" s="5" t="s">
        <v>1416</v>
      </c>
      <c r="E44" s="4" t="s">
        <v>143</v>
      </c>
      <c r="F44" s="4" t="s">
        <v>143</v>
      </c>
      <c r="G44" s="4" t="s">
        <v>143</v>
      </c>
      <c r="H44" s="5" t="s">
        <v>1417</v>
      </c>
      <c r="I44" s="4" t="s">
        <v>143</v>
      </c>
      <c r="J44" s="5" t="s">
        <v>1418</v>
      </c>
      <c r="K44" s="4" t="n">
        <v>0</v>
      </c>
      <c r="L44" s="4"/>
    </row>
    <row r="45" customFormat="false" ht="29.85" hidden="false" customHeight="false" outlineLevel="0" collapsed="false">
      <c r="A45" s="4" t="s">
        <v>664</v>
      </c>
      <c r="B45" s="4" t="s">
        <v>1419</v>
      </c>
      <c r="C45" s="4" t="s">
        <v>1372</v>
      </c>
      <c r="D45" s="4" t="s">
        <v>1420</v>
      </c>
      <c r="E45" s="4" t="s">
        <v>49</v>
      </c>
      <c r="F45" s="4" t="n">
        <v>3</v>
      </c>
      <c r="G45" s="5" t="s">
        <v>138</v>
      </c>
      <c r="H45" s="4" t="s">
        <v>668</v>
      </c>
      <c r="I45" s="5" t="s">
        <v>140</v>
      </c>
      <c r="J45" s="5" t="s">
        <v>1296</v>
      </c>
      <c r="K45" s="4" t="n">
        <v>4</v>
      </c>
      <c r="L45" s="4" t="s">
        <v>1421</v>
      </c>
    </row>
    <row r="46" customFormat="false" ht="29.85" hidden="false" customHeight="false" outlineLevel="0" collapsed="false">
      <c r="A46" s="4" t="s">
        <v>682</v>
      </c>
      <c r="B46" s="4" t="s">
        <v>1422</v>
      </c>
      <c r="C46" s="4" t="s">
        <v>1372</v>
      </c>
      <c r="D46" s="5" t="s">
        <v>1390</v>
      </c>
      <c r="E46" s="4" t="s">
        <v>49</v>
      </c>
      <c r="F46" s="4" t="n">
        <v>1</v>
      </c>
      <c r="G46" s="5" t="s">
        <v>138</v>
      </c>
      <c r="H46" s="4" t="s">
        <v>607</v>
      </c>
      <c r="I46" s="5" t="s">
        <v>608</v>
      </c>
      <c r="J46" s="5" t="s">
        <v>1423</v>
      </c>
      <c r="K46" s="4" t="n">
        <v>1</v>
      </c>
      <c r="L46" s="4" t="s">
        <v>681</v>
      </c>
    </row>
    <row r="47" customFormat="false" ht="29.85" hidden="false" customHeight="false" outlineLevel="0" collapsed="false">
      <c r="A47" s="4" t="s">
        <v>690</v>
      </c>
      <c r="B47" s="4" t="s">
        <v>1424</v>
      </c>
      <c r="C47" s="4" t="s">
        <v>1425</v>
      </c>
      <c r="D47" s="5" t="s">
        <v>1390</v>
      </c>
      <c r="E47" s="4" t="s">
        <v>49</v>
      </c>
      <c r="F47" s="4" t="n">
        <v>1</v>
      </c>
      <c r="G47" s="5" t="s">
        <v>138</v>
      </c>
      <c r="H47" s="4" t="s">
        <v>694</v>
      </c>
      <c r="I47" s="5" t="s">
        <v>608</v>
      </c>
      <c r="J47" s="5" t="s">
        <v>1423</v>
      </c>
      <c r="K47" s="4" t="n">
        <v>1</v>
      </c>
      <c r="L47" s="4" t="s">
        <v>689</v>
      </c>
    </row>
    <row r="48" customFormat="false" ht="29.85" hidden="false" customHeight="false" outlineLevel="0" collapsed="false">
      <c r="A48" s="4" t="s">
        <v>696</v>
      </c>
      <c r="B48" s="4" t="s">
        <v>1426</v>
      </c>
      <c r="C48" s="4" t="s">
        <v>1427</v>
      </c>
      <c r="D48" s="5" t="s">
        <v>1406</v>
      </c>
      <c r="E48" s="4" t="s">
        <v>49</v>
      </c>
      <c r="F48" s="4" t="n">
        <v>2</v>
      </c>
      <c r="G48" s="5" t="s">
        <v>138</v>
      </c>
      <c r="H48" s="4" t="s">
        <v>699</v>
      </c>
      <c r="I48" s="5" t="s">
        <v>153</v>
      </c>
      <c r="J48" s="5" t="s">
        <v>1423</v>
      </c>
      <c r="K48" s="4" t="n">
        <v>2</v>
      </c>
      <c r="L48" s="4" t="s">
        <v>1428</v>
      </c>
    </row>
    <row r="49" customFormat="false" ht="29.85" hidden="false" customHeight="false" outlineLevel="0" collapsed="false">
      <c r="A49" s="4" t="s">
        <v>704</v>
      </c>
      <c r="B49" s="4" t="s">
        <v>1429</v>
      </c>
      <c r="C49" s="4" t="s">
        <v>1397</v>
      </c>
      <c r="D49" s="5" t="s">
        <v>1360</v>
      </c>
      <c r="E49" s="4" t="s">
        <v>49</v>
      </c>
      <c r="F49" s="4" t="n">
        <v>1</v>
      </c>
      <c r="G49" s="5" t="s">
        <v>138</v>
      </c>
      <c r="H49" s="4" t="s">
        <v>707</v>
      </c>
      <c r="I49" s="5" t="s">
        <v>608</v>
      </c>
      <c r="J49" s="5" t="s">
        <v>1423</v>
      </c>
      <c r="K49" s="4" t="n">
        <v>2</v>
      </c>
      <c r="L49" s="4" t="s">
        <v>1430</v>
      </c>
    </row>
    <row r="50" customFormat="false" ht="29.85" hidden="false" customHeight="false" outlineLevel="0" collapsed="false">
      <c r="A50" s="4" t="s">
        <v>901</v>
      </c>
      <c r="B50" s="4" t="s">
        <v>1431</v>
      </c>
      <c r="C50" s="4" t="s">
        <v>1432</v>
      </c>
      <c r="D50" s="5" t="s">
        <v>1433</v>
      </c>
      <c r="E50" s="4" t="s">
        <v>50</v>
      </c>
      <c r="F50" s="4" t="n">
        <v>1</v>
      </c>
      <c r="G50" s="5" t="s">
        <v>138</v>
      </c>
      <c r="H50" s="5" t="s">
        <v>905</v>
      </c>
      <c r="I50" s="5" t="s">
        <v>608</v>
      </c>
      <c r="J50" s="5" t="s">
        <v>1296</v>
      </c>
      <c r="K50" s="4" t="n">
        <v>3</v>
      </c>
      <c r="L50" s="4" t="s">
        <v>1434</v>
      </c>
    </row>
    <row r="51" customFormat="false" ht="55.2" hidden="false" customHeight="false" outlineLevel="0" collapsed="false">
      <c r="A51" s="4" t="s">
        <v>931</v>
      </c>
      <c r="B51" s="4" t="s">
        <v>1435</v>
      </c>
      <c r="C51" s="4" t="s">
        <v>1294</v>
      </c>
      <c r="D51" s="5" t="s">
        <v>1360</v>
      </c>
      <c r="E51" s="4" t="s">
        <v>51</v>
      </c>
      <c r="F51" s="4" t="n">
        <v>1</v>
      </c>
      <c r="G51" s="5" t="s">
        <v>138</v>
      </c>
      <c r="H51" s="4" t="s">
        <v>937</v>
      </c>
      <c r="I51" s="5" t="s">
        <v>608</v>
      </c>
      <c r="J51" s="5" t="s">
        <v>1296</v>
      </c>
      <c r="K51" s="4" t="n">
        <v>9</v>
      </c>
      <c r="L51" s="4" t="s">
        <v>1436</v>
      </c>
    </row>
    <row r="52" customFormat="false" ht="69.4" hidden="false" customHeight="false" outlineLevel="0" collapsed="false">
      <c r="A52" s="4" t="s">
        <v>965</v>
      </c>
      <c r="B52" s="4" t="s">
        <v>1437</v>
      </c>
      <c r="C52" s="4" t="s">
        <v>1438</v>
      </c>
      <c r="D52" s="5" t="s">
        <v>1439</v>
      </c>
      <c r="E52" s="4" t="s">
        <v>51</v>
      </c>
      <c r="F52" s="4" t="n">
        <v>2</v>
      </c>
      <c r="G52" s="5" t="s">
        <v>138</v>
      </c>
      <c r="H52" s="4" t="s">
        <v>968</v>
      </c>
      <c r="I52" s="5" t="s">
        <v>153</v>
      </c>
      <c r="J52" s="5" t="s">
        <v>1296</v>
      </c>
      <c r="K52" s="4" t="n">
        <v>9</v>
      </c>
      <c r="L52" s="4" t="s">
        <v>1440</v>
      </c>
    </row>
    <row r="53" customFormat="false" ht="44" hidden="false" customHeight="false" outlineLevel="0" collapsed="false">
      <c r="A53" s="4" t="s">
        <v>1001</v>
      </c>
      <c r="B53" s="4" t="s">
        <v>1441</v>
      </c>
      <c r="C53" s="4" t="s">
        <v>1294</v>
      </c>
      <c r="D53" s="5" t="s">
        <v>1442</v>
      </c>
      <c r="E53" s="4" t="s">
        <v>51</v>
      </c>
      <c r="F53" s="4" t="n">
        <v>1</v>
      </c>
      <c r="G53" s="5" t="s">
        <v>138</v>
      </c>
      <c r="H53" s="4" t="s">
        <v>1006</v>
      </c>
      <c r="I53" s="5" t="s">
        <v>608</v>
      </c>
      <c r="J53" s="5" t="s">
        <v>1296</v>
      </c>
      <c r="K53" s="4" t="n">
        <v>8</v>
      </c>
      <c r="L53" s="4" t="s">
        <v>1443</v>
      </c>
    </row>
    <row r="54" customFormat="false" ht="41" hidden="false" customHeight="false" outlineLevel="0" collapsed="false">
      <c r="A54" s="4" t="s">
        <v>1035</v>
      </c>
      <c r="B54" s="4" t="s">
        <v>1444</v>
      </c>
      <c r="C54" s="4" t="s">
        <v>1294</v>
      </c>
      <c r="D54" s="5" t="s">
        <v>1341</v>
      </c>
      <c r="E54" s="4" t="s">
        <v>51</v>
      </c>
      <c r="F54" s="4" t="n">
        <v>1</v>
      </c>
      <c r="G54" s="5" t="s">
        <v>138</v>
      </c>
      <c r="H54" s="4" t="s">
        <v>1038</v>
      </c>
      <c r="I54" s="5" t="s">
        <v>608</v>
      </c>
      <c r="J54" s="5" t="s">
        <v>1296</v>
      </c>
      <c r="K54" s="4" t="n">
        <v>6</v>
      </c>
      <c r="L54" s="4" t="s">
        <v>1445</v>
      </c>
    </row>
    <row r="55" customFormat="false" ht="58.2" hidden="false" customHeight="false" outlineLevel="0" collapsed="false">
      <c r="A55" s="4" t="s">
        <v>1057</v>
      </c>
      <c r="B55" s="4" t="s">
        <v>1446</v>
      </c>
      <c r="C55" s="4" t="s">
        <v>1447</v>
      </c>
      <c r="D55" s="5" t="s">
        <v>1448</v>
      </c>
      <c r="E55" s="4" t="s">
        <v>51</v>
      </c>
      <c r="F55" s="4" t="n">
        <v>2</v>
      </c>
      <c r="G55" s="5" t="s">
        <v>138</v>
      </c>
      <c r="H55" s="4" t="s">
        <v>1060</v>
      </c>
      <c r="I55" s="5" t="s">
        <v>153</v>
      </c>
      <c r="J55" s="5" t="s">
        <v>1296</v>
      </c>
      <c r="K55" s="4" t="n">
        <v>10</v>
      </c>
      <c r="L55" s="4" t="s">
        <v>1449</v>
      </c>
    </row>
    <row r="56" customFormat="false" ht="44" hidden="false" customHeight="false" outlineLevel="0" collapsed="false">
      <c r="A56" s="4" t="s">
        <v>1094</v>
      </c>
      <c r="B56" s="4" t="s">
        <v>1450</v>
      </c>
      <c r="C56" s="4" t="s">
        <v>1451</v>
      </c>
      <c r="D56" s="5" t="s">
        <v>1452</v>
      </c>
      <c r="E56" s="4" t="s">
        <v>52</v>
      </c>
      <c r="F56" s="4" t="n">
        <v>2</v>
      </c>
      <c r="G56" s="5" t="s">
        <v>238</v>
      </c>
      <c r="H56" s="4" t="s">
        <v>1098</v>
      </c>
      <c r="I56" s="5" t="s">
        <v>153</v>
      </c>
      <c r="J56" s="5" t="s">
        <v>1296</v>
      </c>
      <c r="K56" s="4" t="n">
        <v>7</v>
      </c>
      <c r="L56" s="4" t="s">
        <v>1453</v>
      </c>
    </row>
    <row r="57" customFormat="false" ht="29.85" hidden="false" customHeight="false" outlineLevel="0" collapsed="false">
      <c r="A57" s="4" t="s">
        <v>1122</v>
      </c>
      <c r="B57" s="4" t="s">
        <v>1454</v>
      </c>
      <c r="C57" s="4" t="s">
        <v>1455</v>
      </c>
      <c r="D57" s="5" t="s">
        <v>1456</v>
      </c>
      <c r="E57" s="4" t="s">
        <v>52</v>
      </c>
      <c r="F57" s="4" t="n">
        <v>3</v>
      </c>
      <c r="G57" s="5" t="s">
        <v>238</v>
      </c>
      <c r="H57" s="4" t="s">
        <v>1125</v>
      </c>
      <c r="I57" s="5" t="s">
        <v>758</v>
      </c>
      <c r="J57" s="5" t="s">
        <v>1296</v>
      </c>
      <c r="K57" s="4" t="n">
        <v>4</v>
      </c>
      <c r="L57" s="4" t="s">
        <v>1457</v>
      </c>
    </row>
    <row r="58" customFormat="false" ht="69.4" hidden="false" customHeight="false" outlineLevel="0" collapsed="false">
      <c r="A58" s="4" t="s">
        <v>1195</v>
      </c>
      <c r="B58" s="4" t="s">
        <v>1458</v>
      </c>
      <c r="C58" s="4" t="s">
        <v>1459</v>
      </c>
      <c r="D58" s="5" t="s">
        <v>1460</v>
      </c>
      <c r="E58" s="4" t="s">
        <v>53</v>
      </c>
      <c r="F58" s="4" t="n">
        <v>2</v>
      </c>
      <c r="G58" s="5" t="s">
        <v>138</v>
      </c>
      <c r="H58" s="4" t="s">
        <v>1199</v>
      </c>
      <c r="I58" s="5" t="s">
        <v>153</v>
      </c>
      <c r="J58" s="5" t="s">
        <v>1296</v>
      </c>
      <c r="K58" s="4" t="n">
        <v>6</v>
      </c>
      <c r="L58" s="4" t="s">
        <v>1461</v>
      </c>
    </row>
    <row r="59" customFormat="false" ht="69.4" hidden="false" customHeight="false" outlineLevel="0" collapsed="false">
      <c r="A59" s="4" t="s">
        <v>1232</v>
      </c>
      <c r="B59" s="4" t="s">
        <v>1462</v>
      </c>
      <c r="C59" s="4" t="s">
        <v>1463</v>
      </c>
      <c r="D59" s="4" t="s">
        <v>1464</v>
      </c>
      <c r="E59" s="4" t="s">
        <v>54</v>
      </c>
      <c r="F59" s="4" t="n">
        <v>2</v>
      </c>
      <c r="G59" s="5" t="s">
        <v>138</v>
      </c>
      <c r="H59" s="4" t="s">
        <v>1235</v>
      </c>
      <c r="I59" s="5" t="s">
        <v>153</v>
      </c>
      <c r="J59" s="5" t="s">
        <v>1296</v>
      </c>
      <c r="K59" s="4" t="n">
        <v>10</v>
      </c>
      <c r="L59" s="4" t="s">
        <v>1465</v>
      </c>
    </row>
    <row r="60" customFormat="false" ht="58.2" hidden="false" customHeight="false" outlineLevel="0" collapsed="false">
      <c r="A60" s="4" t="s">
        <v>1139</v>
      </c>
      <c r="B60" s="4" t="s">
        <v>1466</v>
      </c>
      <c r="C60" s="4" t="s">
        <v>1467</v>
      </c>
      <c r="D60" s="4" t="s">
        <v>1468</v>
      </c>
      <c r="E60" s="4" t="s">
        <v>52</v>
      </c>
      <c r="F60" s="4" t="n">
        <v>2</v>
      </c>
      <c r="G60" s="5" t="s">
        <v>238</v>
      </c>
      <c r="H60" s="4" t="s">
        <v>1144</v>
      </c>
      <c r="I60" s="5" t="s">
        <v>153</v>
      </c>
      <c r="J60" s="5" t="s">
        <v>1296</v>
      </c>
      <c r="K60" s="4" t="n">
        <v>10</v>
      </c>
      <c r="L60" s="4" t="s">
        <v>1469</v>
      </c>
    </row>
    <row r="61" customFormat="false" ht="29.85" hidden="false" customHeight="false" outlineLevel="0" collapsed="false">
      <c r="A61" s="4" t="s">
        <v>1269</v>
      </c>
      <c r="B61" s="4" t="s">
        <v>1470</v>
      </c>
      <c r="C61" s="4" t="s">
        <v>1471</v>
      </c>
      <c r="D61" s="5" t="s">
        <v>1472</v>
      </c>
      <c r="E61" s="4" t="s">
        <v>54</v>
      </c>
      <c r="F61" s="4" t="n">
        <v>2</v>
      </c>
      <c r="G61" s="5" t="s">
        <v>238</v>
      </c>
      <c r="H61" s="4" t="s">
        <v>1273</v>
      </c>
      <c r="I61" s="5" t="s">
        <v>153</v>
      </c>
      <c r="J61" s="5" t="s">
        <v>1296</v>
      </c>
      <c r="K61" s="4" t="n">
        <v>2</v>
      </c>
      <c r="L61" s="4" t="s">
        <v>1473</v>
      </c>
    </row>
    <row r="62" customFormat="false" ht="29.85" hidden="false" customHeight="false" outlineLevel="0" collapsed="false">
      <c r="A62" s="4" t="s">
        <v>1278</v>
      </c>
      <c r="B62" s="4" t="s">
        <v>1474</v>
      </c>
      <c r="C62" s="4" t="s">
        <v>1475</v>
      </c>
      <c r="D62" s="5" t="s">
        <v>1476</v>
      </c>
      <c r="E62" s="4" t="s">
        <v>54</v>
      </c>
      <c r="F62" s="4" t="n">
        <v>2</v>
      </c>
      <c r="G62" s="5" t="s">
        <v>138</v>
      </c>
      <c r="H62" s="4" t="s">
        <v>1281</v>
      </c>
      <c r="I62" s="5" t="s">
        <v>153</v>
      </c>
      <c r="J62" s="5" t="s">
        <v>1296</v>
      </c>
      <c r="K62" s="4" t="n">
        <v>1</v>
      </c>
      <c r="L62" s="4" t="s">
        <v>1277</v>
      </c>
    </row>
    <row r="63" customFormat="false" ht="58.2" hidden="false" customHeight="false" outlineLevel="0" collapsed="false">
      <c r="A63" s="4" t="s">
        <v>359</v>
      </c>
      <c r="B63" s="5" t="s">
        <v>1477</v>
      </c>
      <c r="C63" s="4" t="s">
        <v>143</v>
      </c>
      <c r="D63" s="4" t="s">
        <v>143</v>
      </c>
      <c r="E63" s="4" t="s">
        <v>47</v>
      </c>
      <c r="F63" s="4" t="n">
        <v>3</v>
      </c>
      <c r="G63" s="5" t="s">
        <v>138</v>
      </c>
      <c r="H63" s="4" t="s">
        <v>362</v>
      </c>
      <c r="I63" s="5" t="s">
        <v>140</v>
      </c>
      <c r="J63" s="5" t="s">
        <v>1478</v>
      </c>
      <c r="K63" s="4" t="n">
        <v>10</v>
      </c>
      <c r="L63" s="4" t="s">
        <v>1479</v>
      </c>
    </row>
    <row r="64" customFormat="false" ht="29.85" hidden="false" customHeight="false" outlineLevel="0" collapsed="false">
      <c r="A64" s="4" t="s">
        <v>410</v>
      </c>
      <c r="B64" s="5" t="s">
        <v>1477</v>
      </c>
      <c r="C64" s="4" t="s">
        <v>143</v>
      </c>
      <c r="D64" s="4" t="s">
        <v>143</v>
      </c>
      <c r="E64" s="4" t="s">
        <v>47</v>
      </c>
      <c r="F64" s="4" t="n">
        <v>3</v>
      </c>
      <c r="G64" s="5" t="s">
        <v>238</v>
      </c>
      <c r="H64" s="4" t="s">
        <v>412</v>
      </c>
      <c r="I64" s="5" t="s">
        <v>153</v>
      </c>
      <c r="J64" s="5" t="s">
        <v>1478</v>
      </c>
      <c r="K64" s="4" t="n">
        <v>2</v>
      </c>
      <c r="L64" s="4" t="s">
        <v>1480</v>
      </c>
    </row>
    <row r="65" customFormat="false" ht="126.1" hidden="false" customHeight="false" outlineLevel="0" collapsed="false">
      <c r="A65" s="4" t="s">
        <v>522</v>
      </c>
      <c r="B65" s="5" t="s">
        <v>1477</v>
      </c>
      <c r="C65" s="4" t="s">
        <v>143</v>
      </c>
      <c r="D65" s="4" t="s">
        <v>143</v>
      </c>
      <c r="E65" s="4" t="s">
        <v>49</v>
      </c>
      <c r="F65" s="4" t="n">
        <v>3</v>
      </c>
      <c r="G65" s="5" t="s">
        <v>138</v>
      </c>
      <c r="H65" s="4" t="s">
        <v>525</v>
      </c>
      <c r="I65" s="5" t="s">
        <v>140</v>
      </c>
      <c r="J65" s="5" t="s">
        <v>1478</v>
      </c>
      <c r="K65" s="4" t="n">
        <v>22</v>
      </c>
      <c r="L65" s="4" t="s">
        <v>1481</v>
      </c>
    </row>
    <row r="66" customFormat="false" ht="29.85" hidden="false" customHeight="false" outlineLevel="0" collapsed="false">
      <c r="A66" s="4" t="s">
        <v>352</v>
      </c>
      <c r="B66" s="5" t="s">
        <v>1477</v>
      </c>
      <c r="C66" s="4" t="s">
        <v>143</v>
      </c>
      <c r="D66" s="4" t="s">
        <v>143</v>
      </c>
      <c r="E66" s="4" t="s">
        <v>47</v>
      </c>
      <c r="F66" s="4" t="n">
        <v>3</v>
      </c>
      <c r="G66" s="5" t="s">
        <v>138</v>
      </c>
      <c r="H66" s="4" t="s">
        <v>355</v>
      </c>
      <c r="I66" s="5" t="s">
        <v>140</v>
      </c>
      <c r="J66" s="5" t="s">
        <v>1482</v>
      </c>
      <c r="K66" s="4" t="n">
        <v>1</v>
      </c>
      <c r="L66" s="4" t="s">
        <v>351</v>
      </c>
    </row>
  </sheetData>
  <autoFilter ref="A1:L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32"/>
    <col collapsed="false" customWidth="true" hidden="false" outlineLevel="0" max="5" min="5" style="1" width="7"/>
    <col collapsed="false" customWidth="true" hidden="false" outlineLevel="0" max="6" min="6" style="1" width="22"/>
    <col collapsed="false" customWidth="true" hidden="false" outlineLevel="0" max="7" min="7" style="1" width="6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6"/>
    <col collapsed="false" customWidth="true" hidden="false" outlineLevel="0" max="11" min="11" style="1" width="12"/>
    <col collapsed="false" customWidth="true" hidden="false" outlineLevel="0" max="13" min="12" style="1" width="16"/>
    <col collapsed="false" customWidth="true" hidden="false" outlineLevel="0" max="14" min="14" style="1" width="8"/>
    <col collapsed="false" customWidth="true" hidden="false" outlineLevel="0" max="15" min="15" style="1" width="14"/>
    <col collapsed="false" customWidth="true" hidden="false" outlineLevel="0" max="16" min="16" style="1" width="50"/>
    <col collapsed="false" customWidth="true" hidden="false" outlineLevel="0" max="18" min="17" style="1" width="9"/>
    <col collapsed="false" customWidth="true" hidden="false" outlineLevel="0" max="19" min="19" style="1" width="30"/>
    <col collapsed="false" customWidth="true" hidden="false" outlineLevel="0" max="20" min="20" style="1" width="8"/>
  </cols>
  <sheetData>
    <row r="1" customFormat="false" ht="58.2" hidden="false" customHeight="false" outlineLevel="0" collapsed="false">
      <c r="A1" s="11" t="s">
        <v>1483</v>
      </c>
      <c r="B1" s="10" t="s">
        <v>1484</v>
      </c>
      <c r="C1" s="10" t="s">
        <v>1485</v>
      </c>
      <c r="D1" s="10" t="s">
        <v>1486</v>
      </c>
      <c r="E1" s="10" t="s">
        <v>121</v>
      </c>
      <c r="F1" s="10" t="s">
        <v>1487</v>
      </c>
      <c r="G1" s="10" t="s">
        <v>1488</v>
      </c>
      <c r="H1" s="10" t="s">
        <v>1489</v>
      </c>
      <c r="I1" s="10" t="s">
        <v>1490</v>
      </c>
      <c r="J1" s="10" t="s">
        <v>1491</v>
      </c>
      <c r="K1" s="10" t="s">
        <v>1492</v>
      </c>
      <c r="L1" s="11" t="s">
        <v>1493</v>
      </c>
      <c r="M1" s="11" t="s">
        <v>1494</v>
      </c>
      <c r="N1" s="10" t="s">
        <v>1495</v>
      </c>
      <c r="O1" s="10" t="s">
        <v>1496</v>
      </c>
      <c r="P1" s="10" t="s">
        <v>1497</v>
      </c>
      <c r="Q1" s="10" t="s">
        <v>1498</v>
      </c>
      <c r="R1" s="10" t="s">
        <v>1499</v>
      </c>
      <c r="S1" s="10" t="s">
        <v>1500</v>
      </c>
      <c r="T1" s="11" t="s">
        <v>1501</v>
      </c>
    </row>
    <row r="2" customFormat="false" ht="15" hidden="false" customHeight="false" outlineLevel="0" collapsed="false">
      <c r="A2" s="4" t="s">
        <v>1502</v>
      </c>
      <c r="B2" s="4" t="s">
        <v>1503</v>
      </c>
      <c r="C2" s="4" t="n">
        <v>5</v>
      </c>
      <c r="D2" s="4" t="s">
        <v>1504</v>
      </c>
      <c r="E2" s="4" t="s">
        <v>1214</v>
      </c>
      <c r="F2" s="4" t="s">
        <v>1505</v>
      </c>
      <c r="G2" s="4" t="n">
        <v>1</v>
      </c>
      <c r="H2" s="4" t="s">
        <v>39</v>
      </c>
      <c r="I2" s="4" t="s">
        <v>39</v>
      </c>
      <c r="J2" s="4"/>
      <c r="K2" s="4"/>
      <c r="L2" s="4" t="s">
        <v>39</v>
      </c>
      <c r="M2" s="4" t="s">
        <v>39</v>
      </c>
      <c r="N2" s="5" t="s">
        <v>1506</v>
      </c>
      <c r="O2" s="4" t="s">
        <v>143</v>
      </c>
      <c r="P2" s="5" t="s">
        <v>1507</v>
      </c>
      <c r="Q2" s="4" t="n">
        <v>0</v>
      </c>
      <c r="R2" s="4" t="n">
        <v>0</v>
      </c>
      <c r="S2" s="4"/>
      <c r="T2" s="4"/>
    </row>
    <row r="3" customFormat="false" ht="15" hidden="false" customHeight="false" outlineLevel="0" collapsed="false">
      <c r="A3" s="4" t="s">
        <v>1508</v>
      </c>
      <c r="B3" s="4" t="s">
        <v>1503</v>
      </c>
      <c r="C3" s="4" t="n">
        <v>6</v>
      </c>
      <c r="D3" s="5" t="s">
        <v>1509</v>
      </c>
      <c r="E3" s="5" t="s">
        <v>1510</v>
      </c>
      <c r="F3" s="4" t="s">
        <v>1511</v>
      </c>
      <c r="G3" s="4" t="n">
        <v>1</v>
      </c>
      <c r="H3" s="4" t="s">
        <v>39</v>
      </c>
      <c r="I3" s="4" t="s">
        <v>39</v>
      </c>
      <c r="J3" s="4"/>
      <c r="K3" s="4"/>
      <c r="L3" s="4" t="s">
        <v>39</v>
      </c>
      <c r="M3" s="4" t="s">
        <v>39</v>
      </c>
      <c r="N3" s="5" t="s">
        <v>1506</v>
      </c>
      <c r="O3" s="4" t="s">
        <v>143</v>
      </c>
      <c r="P3" s="5" t="s">
        <v>1507</v>
      </c>
      <c r="Q3" s="4" t="n">
        <v>0</v>
      </c>
      <c r="R3" s="4" t="n">
        <v>0</v>
      </c>
      <c r="S3" s="4"/>
      <c r="T3" s="4"/>
    </row>
    <row r="4" customFormat="false" ht="15" hidden="false" customHeight="false" outlineLevel="0" collapsed="false">
      <c r="A4" s="4" t="s">
        <v>1512</v>
      </c>
      <c r="B4" s="4" t="s">
        <v>1503</v>
      </c>
      <c r="C4" s="4" t="n">
        <v>8</v>
      </c>
      <c r="D4" s="5" t="s">
        <v>1513</v>
      </c>
      <c r="E4" s="4" t="s">
        <v>421</v>
      </c>
      <c r="F4" s="4" t="s">
        <v>1514</v>
      </c>
      <c r="G4" s="4" t="n">
        <v>1</v>
      </c>
      <c r="H4" s="4" t="s">
        <v>38</v>
      </c>
      <c r="I4" s="4" t="s">
        <v>38</v>
      </c>
      <c r="J4" s="4"/>
      <c r="K4" s="4"/>
      <c r="L4" s="4" t="s">
        <v>38</v>
      </c>
      <c r="M4" s="4" t="s">
        <v>38</v>
      </c>
      <c r="N4" s="5" t="s">
        <v>1506</v>
      </c>
      <c r="O4" s="4" t="s">
        <v>143</v>
      </c>
      <c r="P4" s="5" t="s">
        <v>1507</v>
      </c>
      <c r="Q4" s="4" t="n">
        <v>0</v>
      </c>
      <c r="R4" s="4" t="n">
        <v>0</v>
      </c>
      <c r="S4" s="4"/>
      <c r="T4" s="4"/>
    </row>
    <row r="5" customFormat="false" ht="29.85" hidden="false" customHeight="false" outlineLevel="0" collapsed="false">
      <c r="A5" s="4" t="s">
        <v>1515</v>
      </c>
      <c r="B5" s="4" t="s">
        <v>1503</v>
      </c>
      <c r="C5" s="4" t="n">
        <v>9</v>
      </c>
      <c r="D5" s="4" t="s">
        <v>1321</v>
      </c>
      <c r="E5" s="4" t="s">
        <v>559</v>
      </c>
      <c r="F5" s="4" t="s">
        <v>1516</v>
      </c>
      <c r="G5" s="4" t="n">
        <v>3</v>
      </c>
      <c r="H5" s="4" t="s">
        <v>37</v>
      </c>
      <c r="I5" s="4" t="s">
        <v>37</v>
      </c>
      <c r="J5" s="4"/>
      <c r="K5" s="4" t="s">
        <v>1320</v>
      </c>
      <c r="L5" s="4" t="s">
        <v>37</v>
      </c>
      <c r="M5" s="4" t="s">
        <v>37</v>
      </c>
      <c r="N5" s="5" t="s">
        <v>1506</v>
      </c>
      <c r="O5" s="4" t="s">
        <v>143</v>
      </c>
      <c r="P5" s="5" t="s">
        <v>1517</v>
      </c>
      <c r="Q5" s="4" t="n">
        <v>0</v>
      </c>
      <c r="R5" s="4" t="n">
        <v>0</v>
      </c>
      <c r="S5" s="4"/>
      <c r="T5" s="4"/>
    </row>
    <row r="6" customFormat="false" ht="15" hidden="false" customHeight="false" outlineLevel="0" collapsed="false">
      <c r="A6" s="4" t="s">
        <v>1518</v>
      </c>
      <c r="B6" s="4" t="s">
        <v>1503</v>
      </c>
      <c r="C6" s="4" t="n">
        <v>10</v>
      </c>
      <c r="D6" s="5" t="s">
        <v>1519</v>
      </c>
      <c r="E6" s="4" t="s">
        <v>421</v>
      </c>
      <c r="F6" s="4" t="s">
        <v>1520</v>
      </c>
      <c r="G6" s="4" t="n">
        <v>3</v>
      </c>
      <c r="H6" s="4" t="s">
        <v>38</v>
      </c>
      <c r="I6" s="4" t="s">
        <v>38</v>
      </c>
      <c r="J6" s="4"/>
      <c r="K6" s="4"/>
      <c r="L6" s="4" t="s">
        <v>38</v>
      </c>
      <c r="M6" s="4" t="s">
        <v>38</v>
      </c>
      <c r="N6" s="5" t="s">
        <v>1506</v>
      </c>
      <c r="O6" s="4" t="s">
        <v>143</v>
      </c>
      <c r="P6" s="5" t="s">
        <v>1507</v>
      </c>
      <c r="Q6" s="4" t="n">
        <v>0</v>
      </c>
      <c r="R6" s="4" t="n">
        <v>0</v>
      </c>
      <c r="S6" s="4"/>
      <c r="T6" s="4"/>
    </row>
    <row r="7" customFormat="false" ht="29.85" hidden="false" customHeight="false" outlineLevel="0" collapsed="false">
      <c r="A7" s="4" t="s">
        <v>1521</v>
      </c>
      <c r="B7" s="4" t="s">
        <v>1503</v>
      </c>
      <c r="C7" s="4" t="n">
        <v>11</v>
      </c>
      <c r="D7" s="5" t="s">
        <v>1522</v>
      </c>
      <c r="E7" s="4" t="s">
        <v>447</v>
      </c>
      <c r="F7" s="4" t="s">
        <v>1523</v>
      </c>
      <c r="G7" s="4" t="n">
        <v>3</v>
      </c>
      <c r="H7" s="4" t="s">
        <v>1524</v>
      </c>
      <c r="I7" s="4" t="s">
        <v>1294</v>
      </c>
      <c r="J7" s="5" t="s">
        <v>1506</v>
      </c>
      <c r="K7" s="4" t="s">
        <v>445</v>
      </c>
      <c r="L7" s="5" t="s">
        <v>1525</v>
      </c>
      <c r="M7" s="13" t="s">
        <v>37</v>
      </c>
      <c r="N7" s="5" t="s">
        <v>1526</v>
      </c>
      <c r="O7" s="4" t="s">
        <v>48</v>
      </c>
      <c r="P7" s="5" t="s">
        <v>1527</v>
      </c>
      <c r="Q7" s="4" t="n">
        <v>0</v>
      </c>
      <c r="R7" s="4" t="n">
        <v>1</v>
      </c>
      <c r="S7" s="4" t="s">
        <v>452</v>
      </c>
      <c r="T7" s="4"/>
    </row>
    <row r="8" customFormat="false" ht="29.85" hidden="false" customHeight="false" outlineLevel="0" collapsed="false">
      <c r="A8" s="4" t="s">
        <v>1528</v>
      </c>
      <c r="B8" s="4" t="s">
        <v>1503</v>
      </c>
      <c r="C8" s="4" t="n">
        <v>13</v>
      </c>
      <c r="D8" s="4" t="s">
        <v>1529</v>
      </c>
      <c r="E8" s="4" t="s">
        <v>421</v>
      </c>
      <c r="F8" s="4" t="s">
        <v>1530</v>
      </c>
      <c r="G8" s="4" t="n">
        <v>3</v>
      </c>
      <c r="H8" s="4" t="s">
        <v>37</v>
      </c>
      <c r="I8" s="4" t="s">
        <v>37</v>
      </c>
      <c r="J8" s="4"/>
      <c r="K8" s="4" t="s">
        <v>419</v>
      </c>
      <c r="L8" s="4" t="s">
        <v>37</v>
      </c>
      <c r="M8" s="4" t="s">
        <v>37</v>
      </c>
      <c r="N8" s="5" t="s">
        <v>1506</v>
      </c>
      <c r="O8" s="4" t="s">
        <v>143</v>
      </c>
      <c r="P8" s="5" t="s">
        <v>1531</v>
      </c>
      <c r="Q8" s="4" t="n">
        <v>1</v>
      </c>
      <c r="R8" s="4" t="n">
        <v>1</v>
      </c>
      <c r="S8" s="4" t="s">
        <v>1311</v>
      </c>
      <c r="T8" s="4"/>
    </row>
    <row r="9" customFormat="false" ht="15" hidden="false" customHeight="false" outlineLevel="0" collapsed="false">
      <c r="A9" s="4" t="s">
        <v>1532</v>
      </c>
      <c r="B9" s="4" t="s">
        <v>1503</v>
      </c>
      <c r="C9" s="4" t="n">
        <v>14</v>
      </c>
      <c r="D9" s="5" t="s">
        <v>1533</v>
      </c>
      <c r="E9" s="4" t="s">
        <v>148</v>
      </c>
      <c r="F9" s="4" t="s">
        <v>1534</v>
      </c>
      <c r="G9" s="4" t="n">
        <v>3</v>
      </c>
      <c r="H9" s="4" t="s">
        <v>38</v>
      </c>
      <c r="I9" s="4" t="s">
        <v>38</v>
      </c>
      <c r="J9" s="4"/>
      <c r="K9" s="4"/>
      <c r="L9" s="4" t="s">
        <v>38</v>
      </c>
      <c r="M9" s="4" t="s">
        <v>38</v>
      </c>
      <c r="N9" s="5" t="s">
        <v>1506</v>
      </c>
      <c r="O9" s="4" t="s">
        <v>143</v>
      </c>
      <c r="P9" s="5" t="s">
        <v>1507</v>
      </c>
      <c r="Q9" s="4" t="n">
        <v>0</v>
      </c>
      <c r="R9" s="4" t="n">
        <v>0</v>
      </c>
      <c r="S9" s="4"/>
      <c r="T9" s="4"/>
    </row>
    <row r="10" customFormat="false" ht="15" hidden="false" customHeight="false" outlineLevel="0" collapsed="false">
      <c r="A10" s="4" t="s">
        <v>1535</v>
      </c>
      <c r="B10" s="4" t="s">
        <v>1503</v>
      </c>
      <c r="C10" s="4" t="n">
        <v>16</v>
      </c>
      <c r="D10" s="5" t="s">
        <v>1536</v>
      </c>
      <c r="E10" s="4" t="s">
        <v>434</v>
      </c>
      <c r="F10" s="4" t="s">
        <v>1537</v>
      </c>
      <c r="G10" s="4" t="n">
        <v>3</v>
      </c>
      <c r="H10" s="4" t="s">
        <v>38</v>
      </c>
      <c r="I10" s="4" t="s">
        <v>38</v>
      </c>
      <c r="J10" s="4"/>
      <c r="K10" s="4"/>
      <c r="L10" s="4" t="s">
        <v>38</v>
      </c>
      <c r="M10" s="4" t="s">
        <v>38</v>
      </c>
      <c r="N10" s="5" t="s">
        <v>1506</v>
      </c>
      <c r="O10" s="4" t="s">
        <v>143</v>
      </c>
      <c r="P10" s="5" t="s">
        <v>1507</v>
      </c>
      <c r="Q10" s="4" t="n">
        <v>0</v>
      </c>
      <c r="R10" s="4" t="n">
        <v>0</v>
      </c>
      <c r="S10" s="4"/>
      <c r="T10" s="4"/>
    </row>
    <row r="11" customFormat="false" ht="29.85" hidden="false" customHeight="false" outlineLevel="0" collapsed="false">
      <c r="A11" s="4" t="s">
        <v>1538</v>
      </c>
      <c r="B11" s="4" t="s">
        <v>1503</v>
      </c>
      <c r="C11" s="4" t="n">
        <v>17</v>
      </c>
      <c r="D11" s="5" t="s">
        <v>1539</v>
      </c>
      <c r="E11" s="4" t="s">
        <v>434</v>
      </c>
      <c r="F11" s="4" t="s">
        <v>1540</v>
      </c>
      <c r="G11" s="4" t="n">
        <v>3</v>
      </c>
      <c r="H11" s="4" t="s">
        <v>38</v>
      </c>
      <c r="I11" s="4" t="s">
        <v>38</v>
      </c>
      <c r="J11" s="4"/>
      <c r="K11" s="4" t="s">
        <v>432</v>
      </c>
      <c r="L11" s="4" t="s">
        <v>38</v>
      </c>
      <c r="M11" s="4" t="s">
        <v>38</v>
      </c>
      <c r="N11" s="5" t="s">
        <v>1506</v>
      </c>
      <c r="O11" s="4" t="s">
        <v>143</v>
      </c>
      <c r="P11" s="5" t="s">
        <v>1541</v>
      </c>
      <c r="Q11" s="4" t="n">
        <v>0</v>
      </c>
      <c r="R11" s="4" t="n">
        <v>0</v>
      </c>
      <c r="S11" s="4"/>
      <c r="T11" s="4"/>
    </row>
    <row r="12" customFormat="false" ht="29.85" hidden="false" customHeight="false" outlineLevel="0" collapsed="false">
      <c r="A12" s="4" t="s">
        <v>1542</v>
      </c>
      <c r="B12" s="4" t="s">
        <v>1503</v>
      </c>
      <c r="C12" s="4" t="n">
        <v>18</v>
      </c>
      <c r="D12" s="5" t="s">
        <v>1543</v>
      </c>
      <c r="E12" s="4" t="s">
        <v>434</v>
      </c>
      <c r="F12" s="4" t="s">
        <v>1544</v>
      </c>
      <c r="G12" s="4" t="n">
        <v>3</v>
      </c>
      <c r="H12" s="4" t="s">
        <v>38</v>
      </c>
      <c r="I12" s="4" t="s">
        <v>38</v>
      </c>
      <c r="J12" s="4"/>
      <c r="K12" s="4"/>
      <c r="L12" s="4" t="s">
        <v>38</v>
      </c>
      <c r="M12" s="4" t="s">
        <v>38</v>
      </c>
      <c r="N12" s="5" t="s">
        <v>1506</v>
      </c>
      <c r="O12" s="4" t="s">
        <v>143</v>
      </c>
      <c r="P12" s="5" t="s">
        <v>1507</v>
      </c>
      <c r="Q12" s="4" t="n">
        <v>0</v>
      </c>
      <c r="R12" s="4" t="n">
        <v>0</v>
      </c>
      <c r="S12" s="4"/>
      <c r="T12" s="4"/>
    </row>
    <row r="13" customFormat="false" ht="15" hidden="false" customHeight="false" outlineLevel="0" collapsed="false">
      <c r="A13" s="4" t="s">
        <v>1545</v>
      </c>
      <c r="B13" s="4" t="s">
        <v>1503</v>
      </c>
      <c r="C13" s="4" t="n">
        <v>19</v>
      </c>
      <c r="D13" s="5" t="s">
        <v>1546</v>
      </c>
      <c r="E13" s="4" t="s">
        <v>434</v>
      </c>
      <c r="F13" s="4" t="s">
        <v>1547</v>
      </c>
      <c r="G13" s="4" t="n">
        <v>3</v>
      </c>
      <c r="H13" s="4" t="s">
        <v>38</v>
      </c>
      <c r="I13" s="4" t="s">
        <v>38</v>
      </c>
      <c r="J13" s="4"/>
      <c r="K13" s="4"/>
      <c r="L13" s="4" t="s">
        <v>38</v>
      </c>
      <c r="M13" s="4" t="s">
        <v>38</v>
      </c>
      <c r="N13" s="5" t="s">
        <v>1506</v>
      </c>
      <c r="O13" s="4" t="s">
        <v>143</v>
      </c>
      <c r="P13" s="5" t="s">
        <v>1507</v>
      </c>
      <c r="Q13" s="4" t="n">
        <v>0</v>
      </c>
      <c r="R13" s="4" t="n">
        <v>0</v>
      </c>
      <c r="S13" s="4"/>
      <c r="T13" s="4"/>
    </row>
    <row r="14" customFormat="false" ht="15" hidden="false" customHeight="false" outlineLevel="0" collapsed="false">
      <c r="A14" s="4" t="s">
        <v>1548</v>
      </c>
      <c r="B14" s="4" t="s">
        <v>1503</v>
      </c>
      <c r="C14" s="4" t="n">
        <v>20</v>
      </c>
      <c r="D14" s="5" t="s">
        <v>1549</v>
      </c>
      <c r="E14" s="4" t="s">
        <v>434</v>
      </c>
      <c r="F14" s="4" t="s">
        <v>1550</v>
      </c>
      <c r="G14" s="4" t="n">
        <v>3</v>
      </c>
      <c r="H14" s="4" t="s">
        <v>38</v>
      </c>
      <c r="I14" s="4" t="s">
        <v>38</v>
      </c>
      <c r="J14" s="4"/>
      <c r="K14" s="4"/>
      <c r="L14" s="4" t="s">
        <v>38</v>
      </c>
      <c r="M14" s="4" t="s">
        <v>38</v>
      </c>
      <c r="N14" s="5" t="s">
        <v>1506</v>
      </c>
      <c r="O14" s="4" t="s">
        <v>143</v>
      </c>
      <c r="P14" s="5" t="s">
        <v>1507</v>
      </c>
      <c r="Q14" s="4" t="n">
        <v>0</v>
      </c>
      <c r="R14" s="4" t="n">
        <v>0</v>
      </c>
      <c r="S14" s="4"/>
      <c r="T14" s="4"/>
    </row>
    <row r="15" customFormat="false" ht="15" hidden="false" customHeight="false" outlineLevel="0" collapsed="false">
      <c r="A15" s="4" t="s">
        <v>1551</v>
      </c>
      <c r="B15" s="4" t="s">
        <v>1503</v>
      </c>
      <c r="C15" s="4" t="n">
        <v>21</v>
      </c>
      <c r="D15" s="5" t="s">
        <v>1552</v>
      </c>
      <c r="E15" s="4" t="s">
        <v>1553</v>
      </c>
      <c r="F15" s="4" t="s">
        <v>1554</v>
      </c>
      <c r="G15" s="4" t="n">
        <v>3</v>
      </c>
      <c r="H15" s="4" t="s">
        <v>38</v>
      </c>
      <c r="I15" s="4" t="s">
        <v>38</v>
      </c>
      <c r="J15" s="4"/>
      <c r="K15" s="4"/>
      <c r="L15" s="4" t="s">
        <v>38</v>
      </c>
      <c r="M15" s="4" t="s">
        <v>38</v>
      </c>
      <c r="N15" s="5" t="s">
        <v>1506</v>
      </c>
      <c r="O15" s="4" t="s">
        <v>143</v>
      </c>
      <c r="P15" s="5" t="s">
        <v>1507</v>
      </c>
      <c r="Q15" s="4" t="n">
        <v>0</v>
      </c>
      <c r="R15" s="4" t="n">
        <v>0</v>
      </c>
      <c r="S15" s="4"/>
      <c r="T15" s="4"/>
    </row>
    <row r="16" customFormat="false" ht="29.85" hidden="false" customHeight="false" outlineLevel="0" collapsed="false">
      <c r="A16" s="4" t="s">
        <v>1555</v>
      </c>
      <c r="B16" s="4" t="s">
        <v>1503</v>
      </c>
      <c r="C16" s="4" t="n">
        <v>23</v>
      </c>
      <c r="D16" s="4" t="s">
        <v>1556</v>
      </c>
      <c r="E16" s="5" t="s">
        <v>459</v>
      </c>
      <c r="F16" s="4" t="s">
        <v>1557</v>
      </c>
      <c r="G16" s="4" t="n">
        <v>3</v>
      </c>
      <c r="H16" s="4" t="s">
        <v>1294</v>
      </c>
      <c r="I16" s="4" t="s">
        <v>1294</v>
      </c>
      <c r="J16" s="4"/>
      <c r="K16" s="4" t="s">
        <v>457</v>
      </c>
      <c r="L16" s="5" t="s">
        <v>1525</v>
      </c>
      <c r="M16" s="13" t="s">
        <v>39</v>
      </c>
      <c r="N16" s="5" t="s">
        <v>1526</v>
      </c>
      <c r="O16" s="4" t="s">
        <v>48</v>
      </c>
      <c r="P16" s="4" t="s">
        <v>1558</v>
      </c>
      <c r="Q16" s="4" t="n">
        <v>2</v>
      </c>
      <c r="R16" s="4" t="n">
        <v>0</v>
      </c>
      <c r="S16" s="4" t="s">
        <v>1559</v>
      </c>
      <c r="T16" s="4"/>
    </row>
    <row r="17" customFormat="false" ht="15" hidden="false" customHeight="false" outlineLevel="0" collapsed="false">
      <c r="A17" s="4" t="s">
        <v>1560</v>
      </c>
      <c r="B17" s="4" t="s">
        <v>1503</v>
      </c>
      <c r="C17" s="4" t="n">
        <v>24</v>
      </c>
      <c r="D17" s="5" t="s">
        <v>1561</v>
      </c>
      <c r="E17" s="5" t="s">
        <v>459</v>
      </c>
      <c r="F17" s="4" t="s">
        <v>1562</v>
      </c>
      <c r="G17" s="4" t="n">
        <v>1</v>
      </c>
      <c r="H17" s="4" t="s">
        <v>37</v>
      </c>
      <c r="I17" s="4" t="s">
        <v>37</v>
      </c>
      <c r="J17" s="4"/>
      <c r="K17" s="4"/>
      <c r="L17" s="4" t="s">
        <v>37</v>
      </c>
      <c r="M17" s="4" t="s">
        <v>37</v>
      </c>
      <c r="N17" s="5" t="s">
        <v>1506</v>
      </c>
      <c r="O17" s="4" t="s">
        <v>143</v>
      </c>
      <c r="P17" s="5" t="s">
        <v>1507</v>
      </c>
      <c r="Q17" s="4" t="n">
        <v>0</v>
      </c>
      <c r="R17" s="4" t="n">
        <v>0</v>
      </c>
      <c r="S17" s="4"/>
      <c r="T17" s="4"/>
    </row>
    <row r="18" customFormat="false" ht="15" hidden="false" customHeight="false" outlineLevel="0" collapsed="false">
      <c r="A18" s="4" t="s">
        <v>1563</v>
      </c>
      <c r="B18" s="4" t="s">
        <v>1503</v>
      </c>
      <c r="C18" s="4" t="n">
        <v>25</v>
      </c>
      <c r="D18" s="5" t="s">
        <v>1564</v>
      </c>
      <c r="E18" s="5" t="s">
        <v>459</v>
      </c>
      <c r="F18" s="4" t="s">
        <v>1565</v>
      </c>
      <c r="G18" s="4" t="n">
        <v>1</v>
      </c>
      <c r="H18" s="4" t="s">
        <v>37</v>
      </c>
      <c r="I18" s="4" t="s">
        <v>37</v>
      </c>
      <c r="J18" s="4"/>
      <c r="K18" s="4"/>
      <c r="L18" s="4" t="s">
        <v>37</v>
      </c>
      <c r="M18" s="4" t="s">
        <v>37</v>
      </c>
      <c r="N18" s="5" t="s">
        <v>1506</v>
      </c>
      <c r="O18" s="4" t="s">
        <v>143</v>
      </c>
      <c r="P18" s="5" t="s">
        <v>1507</v>
      </c>
      <c r="Q18" s="4" t="n">
        <v>0</v>
      </c>
      <c r="R18" s="4" t="n">
        <v>0</v>
      </c>
      <c r="S18" s="4"/>
      <c r="T18" s="4"/>
    </row>
    <row r="19" customFormat="false" ht="15" hidden="false" customHeight="false" outlineLevel="0" collapsed="false">
      <c r="A19" s="4" t="s">
        <v>1566</v>
      </c>
      <c r="B19" s="4" t="s">
        <v>1503</v>
      </c>
      <c r="C19" s="4" t="n">
        <v>26</v>
      </c>
      <c r="D19" s="5" t="s">
        <v>1567</v>
      </c>
      <c r="E19" s="5" t="s">
        <v>459</v>
      </c>
      <c r="F19" s="4" t="s">
        <v>1568</v>
      </c>
      <c r="G19" s="4" t="n">
        <v>1</v>
      </c>
      <c r="H19" s="4" t="s">
        <v>37</v>
      </c>
      <c r="I19" s="4" t="s">
        <v>37</v>
      </c>
      <c r="J19" s="4"/>
      <c r="K19" s="4"/>
      <c r="L19" s="4" t="s">
        <v>37</v>
      </c>
      <c r="M19" s="4" t="s">
        <v>37</v>
      </c>
      <c r="N19" s="5" t="s">
        <v>1506</v>
      </c>
      <c r="O19" s="4" t="s">
        <v>143</v>
      </c>
      <c r="P19" s="5" t="s">
        <v>1507</v>
      </c>
      <c r="Q19" s="4" t="n">
        <v>0</v>
      </c>
      <c r="R19" s="4" t="n">
        <v>0</v>
      </c>
      <c r="S19" s="4"/>
      <c r="T19" s="4"/>
    </row>
    <row r="20" customFormat="false" ht="15" hidden="false" customHeight="false" outlineLevel="0" collapsed="false">
      <c r="A20" s="4" t="s">
        <v>1569</v>
      </c>
      <c r="B20" s="4" t="s">
        <v>1503</v>
      </c>
      <c r="C20" s="4" t="n">
        <v>27</v>
      </c>
      <c r="D20" s="5" t="s">
        <v>1570</v>
      </c>
      <c r="E20" s="5" t="s">
        <v>459</v>
      </c>
      <c r="F20" s="4" t="s">
        <v>1571</v>
      </c>
      <c r="G20" s="4" t="n">
        <v>1</v>
      </c>
      <c r="H20" s="4" t="s">
        <v>37</v>
      </c>
      <c r="I20" s="4" t="s">
        <v>37</v>
      </c>
      <c r="J20" s="4"/>
      <c r="K20" s="4"/>
      <c r="L20" s="4" t="s">
        <v>37</v>
      </c>
      <c r="M20" s="4" t="s">
        <v>37</v>
      </c>
      <c r="N20" s="5" t="s">
        <v>1506</v>
      </c>
      <c r="O20" s="4" t="s">
        <v>143</v>
      </c>
      <c r="P20" s="5" t="s">
        <v>1507</v>
      </c>
      <c r="Q20" s="4" t="n">
        <v>0</v>
      </c>
      <c r="R20" s="4" t="n">
        <v>0</v>
      </c>
      <c r="S20" s="4"/>
      <c r="T20" s="4"/>
    </row>
    <row r="21" customFormat="false" ht="15" hidden="false" customHeight="false" outlineLevel="0" collapsed="false">
      <c r="A21" s="4" t="s">
        <v>1572</v>
      </c>
      <c r="B21" s="4" t="s">
        <v>1503</v>
      </c>
      <c r="C21" s="4" t="n">
        <v>28</v>
      </c>
      <c r="D21" s="4" t="s">
        <v>1573</v>
      </c>
      <c r="E21" s="4" t="s">
        <v>421</v>
      </c>
      <c r="F21" s="4" t="s">
        <v>1574</v>
      </c>
      <c r="G21" s="4" t="n">
        <v>3</v>
      </c>
      <c r="H21" s="4" t="s">
        <v>38</v>
      </c>
      <c r="I21" s="4" t="s">
        <v>38</v>
      </c>
      <c r="J21" s="4"/>
      <c r="K21" s="4"/>
      <c r="L21" s="4" t="s">
        <v>38</v>
      </c>
      <c r="M21" s="4" t="s">
        <v>38</v>
      </c>
      <c r="N21" s="5" t="s">
        <v>1506</v>
      </c>
      <c r="O21" s="4" t="s">
        <v>143</v>
      </c>
      <c r="P21" s="5" t="s">
        <v>1507</v>
      </c>
      <c r="Q21" s="4" t="n">
        <v>0</v>
      </c>
      <c r="R21" s="4" t="n">
        <v>0</v>
      </c>
      <c r="S21" s="4"/>
      <c r="T21" s="4"/>
    </row>
    <row r="22" customFormat="false" ht="29.85" hidden="false" customHeight="false" outlineLevel="0" collapsed="false">
      <c r="A22" s="4" t="s">
        <v>1575</v>
      </c>
      <c r="B22" s="4" t="s">
        <v>1503</v>
      </c>
      <c r="C22" s="4" t="n">
        <v>30</v>
      </c>
      <c r="D22" s="4" t="s">
        <v>1576</v>
      </c>
      <c r="E22" s="4" t="s">
        <v>1577</v>
      </c>
      <c r="F22" s="4" t="s">
        <v>1578</v>
      </c>
      <c r="G22" s="4" t="n">
        <v>3</v>
      </c>
      <c r="H22" s="4" t="s">
        <v>37</v>
      </c>
      <c r="I22" s="4" t="s">
        <v>37</v>
      </c>
      <c r="J22" s="4"/>
      <c r="K22" s="4"/>
      <c r="L22" s="4" t="s">
        <v>37</v>
      </c>
      <c r="M22" s="4" t="s">
        <v>37</v>
      </c>
      <c r="N22" s="5" t="s">
        <v>1506</v>
      </c>
      <c r="O22" s="4" t="s">
        <v>143</v>
      </c>
      <c r="P22" s="5" t="s">
        <v>1507</v>
      </c>
      <c r="Q22" s="4" t="n">
        <v>0</v>
      </c>
      <c r="R22" s="4" t="n">
        <v>0</v>
      </c>
      <c r="S22" s="4"/>
      <c r="T22" s="4"/>
    </row>
    <row r="23" customFormat="false" ht="29.85" hidden="false" customHeight="false" outlineLevel="0" collapsed="false">
      <c r="A23" s="4" t="s">
        <v>1579</v>
      </c>
      <c r="B23" s="4" t="s">
        <v>1503</v>
      </c>
      <c r="C23" s="4" t="n">
        <v>31</v>
      </c>
      <c r="D23" s="5" t="s">
        <v>1580</v>
      </c>
      <c r="E23" s="4" t="s">
        <v>1581</v>
      </c>
      <c r="F23" s="4" t="s">
        <v>1582</v>
      </c>
      <c r="G23" s="4" t="n">
        <v>3</v>
      </c>
      <c r="H23" s="4" t="s">
        <v>37</v>
      </c>
      <c r="I23" s="4" t="s">
        <v>37</v>
      </c>
      <c r="J23" s="4"/>
      <c r="K23" s="4"/>
      <c r="L23" s="4" t="s">
        <v>37</v>
      </c>
      <c r="M23" s="4" t="s">
        <v>37</v>
      </c>
      <c r="N23" s="5" t="s">
        <v>1506</v>
      </c>
      <c r="O23" s="4" t="s">
        <v>143</v>
      </c>
      <c r="P23" s="5" t="s">
        <v>1507</v>
      </c>
      <c r="Q23" s="4" t="n">
        <v>0</v>
      </c>
      <c r="R23" s="4" t="n">
        <v>0</v>
      </c>
      <c r="S23" s="4"/>
      <c r="T23" s="4"/>
    </row>
    <row r="24" customFormat="false" ht="26.85" hidden="false" customHeight="false" outlineLevel="0" collapsed="false">
      <c r="A24" s="4" t="s">
        <v>1583</v>
      </c>
      <c r="B24" s="4" t="s">
        <v>1503</v>
      </c>
      <c r="C24" s="4" t="n">
        <v>32</v>
      </c>
      <c r="D24" s="5" t="s">
        <v>1584</v>
      </c>
      <c r="E24" s="4" t="s">
        <v>1585</v>
      </c>
      <c r="F24" s="4" t="s">
        <v>1586</v>
      </c>
      <c r="G24" s="4" t="n">
        <v>3</v>
      </c>
      <c r="H24" s="4" t="s">
        <v>38</v>
      </c>
      <c r="I24" s="4" t="s">
        <v>38</v>
      </c>
      <c r="J24" s="4"/>
      <c r="K24" s="4"/>
      <c r="L24" s="4" t="s">
        <v>38</v>
      </c>
      <c r="M24" s="4" t="s">
        <v>38</v>
      </c>
      <c r="N24" s="5" t="s">
        <v>1506</v>
      </c>
      <c r="O24" s="4" t="s">
        <v>143</v>
      </c>
      <c r="P24" s="5" t="s">
        <v>1507</v>
      </c>
      <c r="Q24" s="4" t="n">
        <v>0</v>
      </c>
      <c r="R24" s="4" t="n">
        <v>0</v>
      </c>
      <c r="S24" s="4"/>
      <c r="T24" s="4"/>
    </row>
    <row r="25" customFormat="false" ht="26.85" hidden="false" customHeight="false" outlineLevel="0" collapsed="false">
      <c r="A25" s="4" t="s">
        <v>1587</v>
      </c>
      <c r="B25" s="4" t="s">
        <v>1503</v>
      </c>
      <c r="C25" s="4" t="n">
        <v>33</v>
      </c>
      <c r="D25" s="5" t="s">
        <v>1588</v>
      </c>
      <c r="E25" s="4" t="s">
        <v>1585</v>
      </c>
      <c r="F25" s="4" t="s">
        <v>1589</v>
      </c>
      <c r="G25" s="4" t="n">
        <v>3</v>
      </c>
      <c r="H25" s="4" t="s">
        <v>38</v>
      </c>
      <c r="I25" s="4" t="s">
        <v>38</v>
      </c>
      <c r="J25" s="4"/>
      <c r="K25" s="4"/>
      <c r="L25" s="4" t="s">
        <v>38</v>
      </c>
      <c r="M25" s="4" t="s">
        <v>38</v>
      </c>
      <c r="N25" s="5" t="s">
        <v>1506</v>
      </c>
      <c r="O25" s="4" t="s">
        <v>143</v>
      </c>
      <c r="P25" s="5" t="s">
        <v>1507</v>
      </c>
      <c r="Q25" s="4" t="n">
        <v>0</v>
      </c>
      <c r="R25" s="4" t="n">
        <v>0</v>
      </c>
      <c r="S25" s="4"/>
      <c r="T25" s="4"/>
    </row>
    <row r="26" customFormat="false" ht="26.85" hidden="false" customHeight="false" outlineLevel="0" collapsed="false">
      <c r="A26" s="4" t="s">
        <v>1590</v>
      </c>
      <c r="B26" s="4" t="s">
        <v>1503</v>
      </c>
      <c r="C26" s="4" t="n">
        <v>34</v>
      </c>
      <c r="D26" s="5" t="s">
        <v>1591</v>
      </c>
      <c r="E26" s="4" t="s">
        <v>1592</v>
      </c>
      <c r="F26" s="4" t="s">
        <v>1593</v>
      </c>
      <c r="G26" s="4" t="n">
        <v>3</v>
      </c>
      <c r="H26" s="4" t="s">
        <v>38</v>
      </c>
      <c r="I26" s="4" t="s">
        <v>38</v>
      </c>
      <c r="J26" s="4"/>
      <c r="K26" s="4"/>
      <c r="L26" s="4" t="s">
        <v>38</v>
      </c>
      <c r="M26" s="4" t="s">
        <v>38</v>
      </c>
      <c r="N26" s="5" t="s">
        <v>1506</v>
      </c>
      <c r="O26" s="4" t="s">
        <v>143</v>
      </c>
      <c r="P26" s="5" t="s">
        <v>1507</v>
      </c>
      <c r="Q26" s="4" t="n">
        <v>0</v>
      </c>
      <c r="R26" s="4" t="n">
        <v>0</v>
      </c>
      <c r="S26" s="4"/>
      <c r="T26" s="4"/>
    </row>
    <row r="27" customFormat="false" ht="29.85" hidden="false" customHeight="false" outlineLevel="0" collapsed="false">
      <c r="A27" s="4" t="s">
        <v>1594</v>
      </c>
      <c r="B27" s="4" t="s">
        <v>1503</v>
      </c>
      <c r="C27" s="4" t="n">
        <v>35</v>
      </c>
      <c r="D27" s="5" t="s">
        <v>1595</v>
      </c>
      <c r="E27" s="4" t="s">
        <v>1596</v>
      </c>
      <c r="F27" s="4" t="s">
        <v>1597</v>
      </c>
      <c r="G27" s="4" t="n">
        <v>3</v>
      </c>
      <c r="H27" s="4" t="s">
        <v>37</v>
      </c>
      <c r="I27" s="4" t="s">
        <v>37</v>
      </c>
      <c r="J27" s="4"/>
      <c r="K27" s="4"/>
      <c r="L27" s="4" t="s">
        <v>37</v>
      </c>
      <c r="M27" s="4" t="s">
        <v>37</v>
      </c>
      <c r="N27" s="5" t="s">
        <v>1506</v>
      </c>
      <c r="O27" s="4" t="s">
        <v>143</v>
      </c>
      <c r="P27" s="5" t="s">
        <v>1507</v>
      </c>
      <c r="Q27" s="4" t="n">
        <v>0</v>
      </c>
      <c r="R27" s="4" t="n">
        <v>0</v>
      </c>
      <c r="S27" s="4"/>
      <c r="T27" s="4"/>
    </row>
    <row r="28" customFormat="false" ht="44" hidden="false" customHeight="false" outlineLevel="0" collapsed="false">
      <c r="A28" s="4" t="s">
        <v>1598</v>
      </c>
      <c r="B28" s="4" t="s">
        <v>1599</v>
      </c>
      <c r="C28" s="4" t="n">
        <v>6</v>
      </c>
      <c r="D28" s="4" t="s">
        <v>1600</v>
      </c>
      <c r="E28" s="4"/>
      <c r="F28" s="4" t="s">
        <v>1601</v>
      </c>
      <c r="G28" s="4" t="n">
        <v>5</v>
      </c>
      <c r="H28" s="4"/>
      <c r="I28" s="4"/>
      <c r="J28" s="4"/>
      <c r="K28" s="4"/>
      <c r="L28" s="5" t="s">
        <v>1602</v>
      </c>
      <c r="M28" s="14" t="s">
        <v>35</v>
      </c>
      <c r="N28" s="5" t="s">
        <v>1526</v>
      </c>
      <c r="O28" s="4" t="s">
        <v>47</v>
      </c>
      <c r="P28" s="4" t="s">
        <v>1603</v>
      </c>
      <c r="Q28" s="4" t="n">
        <v>3</v>
      </c>
      <c r="R28" s="4" t="n">
        <v>0</v>
      </c>
      <c r="S28" s="4" t="s">
        <v>388</v>
      </c>
      <c r="T28" s="4"/>
    </row>
    <row r="29" customFormat="false" ht="29.85" hidden="false" customHeight="false" outlineLevel="0" collapsed="false">
      <c r="A29" s="4" t="s">
        <v>1604</v>
      </c>
      <c r="B29" s="4" t="s">
        <v>1599</v>
      </c>
      <c r="C29" s="4" t="n">
        <v>8</v>
      </c>
      <c r="D29" s="5" t="s">
        <v>1605</v>
      </c>
      <c r="E29" s="4"/>
      <c r="F29" s="4" t="s">
        <v>1606</v>
      </c>
      <c r="G29" s="4" t="n">
        <v>5</v>
      </c>
      <c r="H29" s="4"/>
      <c r="I29" s="4"/>
      <c r="J29" s="4"/>
      <c r="K29" s="4"/>
      <c r="L29" s="5" t="s">
        <v>1602</v>
      </c>
      <c r="M29" s="14" t="s">
        <v>35</v>
      </c>
      <c r="N29" s="5" t="s">
        <v>1526</v>
      </c>
      <c r="O29" s="4" t="s">
        <v>47</v>
      </c>
      <c r="P29" s="4" t="s">
        <v>1607</v>
      </c>
      <c r="Q29" s="4" t="n">
        <v>3</v>
      </c>
      <c r="R29" s="4" t="n">
        <v>0</v>
      </c>
      <c r="S29" s="4" t="s">
        <v>1608</v>
      </c>
      <c r="T29" s="15" t="s">
        <v>1506</v>
      </c>
    </row>
    <row r="30" customFormat="false" ht="44" hidden="false" customHeight="false" outlineLevel="0" collapsed="false">
      <c r="A30" s="4" t="s">
        <v>1609</v>
      </c>
      <c r="B30" s="4" t="s">
        <v>1599</v>
      </c>
      <c r="C30" s="4" t="n">
        <v>9</v>
      </c>
      <c r="D30" s="5" t="s">
        <v>1610</v>
      </c>
      <c r="E30" s="4"/>
      <c r="F30" s="4" t="s">
        <v>1611</v>
      </c>
      <c r="G30" s="4" t="n">
        <v>5</v>
      </c>
      <c r="H30" s="4"/>
      <c r="I30" s="4"/>
      <c r="J30" s="4"/>
      <c r="K30" s="4"/>
      <c r="L30" s="5" t="s">
        <v>1602</v>
      </c>
      <c r="M30" s="14" t="s">
        <v>35</v>
      </c>
      <c r="N30" s="5" t="s">
        <v>1526</v>
      </c>
      <c r="O30" s="4" t="s">
        <v>47</v>
      </c>
      <c r="P30" s="4" t="s">
        <v>1612</v>
      </c>
      <c r="Q30" s="4" t="n">
        <v>2</v>
      </c>
      <c r="R30" s="4" t="n">
        <v>3</v>
      </c>
      <c r="S30" s="4" t="s">
        <v>1613</v>
      </c>
      <c r="T30" s="15" t="s">
        <v>1506</v>
      </c>
    </row>
    <row r="31" customFormat="false" ht="29.85" hidden="false" customHeight="false" outlineLevel="0" collapsed="false">
      <c r="A31" s="4" t="s">
        <v>1614</v>
      </c>
      <c r="B31" s="4" t="s">
        <v>1599</v>
      </c>
      <c r="C31" s="4" t="n">
        <v>10</v>
      </c>
      <c r="D31" s="5" t="s">
        <v>1615</v>
      </c>
      <c r="E31" s="4"/>
      <c r="F31" s="4" t="s">
        <v>1616</v>
      </c>
      <c r="G31" s="4" t="n">
        <v>5</v>
      </c>
      <c r="H31" s="4"/>
      <c r="I31" s="4"/>
      <c r="J31" s="4"/>
      <c r="K31" s="4"/>
      <c r="L31" s="5" t="s">
        <v>1602</v>
      </c>
      <c r="M31" s="14" t="s">
        <v>35</v>
      </c>
      <c r="N31" s="5" t="s">
        <v>1526</v>
      </c>
      <c r="O31" s="4" t="s">
        <v>47</v>
      </c>
      <c r="P31" s="4" t="s">
        <v>1617</v>
      </c>
      <c r="Q31" s="4" t="n">
        <v>2</v>
      </c>
      <c r="R31" s="4" t="n">
        <v>0</v>
      </c>
      <c r="S31" s="4" t="s">
        <v>1618</v>
      </c>
      <c r="T31" s="15" t="s">
        <v>1506</v>
      </c>
    </row>
    <row r="32" customFormat="false" ht="44" hidden="false" customHeight="false" outlineLevel="0" collapsed="false">
      <c r="A32" s="4" t="s">
        <v>1619</v>
      </c>
      <c r="B32" s="4" t="s">
        <v>1599</v>
      </c>
      <c r="C32" s="4" t="n">
        <v>11</v>
      </c>
      <c r="D32" s="5" t="s">
        <v>1620</v>
      </c>
      <c r="E32" s="4"/>
      <c r="F32" s="4" t="s">
        <v>1621</v>
      </c>
      <c r="G32" s="4" t="n">
        <v>5</v>
      </c>
      <c r="H32" s="4"/>
      <c r="I32" s="4"/>
      <c r="J32" s="4"/>
      <c r="K32" s="4"/>
      <c r="L32" s="5" t="s">
        <v>1602</v>
      </c>
      <c r="M32" s="14" t="s">
        <v>35</v>
      </c>
      <c r="N32" s="5" t="s">
        <v>1526</v>
      </c>
      <c r="O32" s="4" t="s">
        <v>47</v>
      </c>
      <c r="P32" s="4" t="s">
        <v>1622</v>
      </c>
      <c r="Q32" s="4" t="n">
        <v>3</v>
      </c>
      <c r="R32" s="4" t="n">
        <v>1</v>
      </c>
      <c r="S32" s="4" t="s">
        <v>1623</v>
      </c>
      <c r="T32" s="15" t="s">
        <v>1506</v>
      </c>
    </row>
    <row r="33" customFormat="false" ht="44" hidden="false" customHeight="false" outlineLevel="0" collapsed="false">
      <c r="A33" s="4" t="s">
        <v>1624</v>
      </c>
      <c r="B33" s="4" t="s">
        <v>1599</v>
      </c>
      <c r="C33" s="4" t="n">
        <v>12</v>
      </c>
      <c r="D33" s="5" t="s">
        <v>1625</v>
      </c>
      <c r="E33" s="4"/>
      <c r="F33" s="4" t="s">
        <v>1626</v>
      </c>
      <c r="G33" s="4" t="n">
        <v>5</v>
      </c>
      <c r="H33" s="4"/>
      <c r="I33" s="4"/>
      <c r="J33" s="4"/>
      <c r="K33" s="4"/>
      <c r="L33" s="5" t="s">
        <v>1602</v>
      </c>
      <c r="M33" s="14" t="s">
        <v>35</v>
      </c>
      <c r="N33" s="5" t="s">
        <v>1526</v>
      </c>
      <c r="O33" s="4" t="s">
        <v>47</v>
      </c>
      <c r="P33" s="4" t="s">
        <v>1627</v>
      </c>
      <c r="Q33" s="4" t="n">
        <v>2</v>
      </c>
      <c r="R33" s="4" t="n">
        <v>1</v>
      </c>
      <c r="S33" s="4" t="s">
        <v>1628</v>
      </c>
      <c r="T33" s="15" t="s">
        <v>1506</v>
      </c>
    </row>
    <row r="34" customFormat="false" ht="29.85" hidden="false" customHeight="false" outlineLevel="0" collapsed="false">
      <c r="A34" s="4" t="s">
        <v>1629</v>
      </c>
      <c r="B34" s="4" t="s">
        <v>1599</v>
      </c>
      <c r="C34" s="4" t="n">
        <v>13</v>
      </c>
      <c r="D34" s="5" t="s">
        <v>1630</v>
      </c>
      <c r="E34" s="4"/>
      <c r="F34" s="4" t="s">
        <v>1631</v>
      </c>
      <c r="G34" s="4" t="n">
        <v>5</v>
      </c>
      <c r="H34" s="4"/>
      <c r="I34" s="4"/>
      <c r="J34" s="4"/>
      <c r="K34" s="4"/>
      <c r="L34" s="5" t="s">
        <v>1602</v>
      </c>
      <c r="M34" s="14" t="s">
        <v>35</v>
      </c>
      <c r="N34" s="5" t="s">
        <v>1526</v>
      </c>
      <c r="O34" s="4" t="s">
        <v>47</v>
      </c>
      <c r="P34" s="4" t="s">
        <v>1632</v>
      </c>
      <c r="Q34" s="4" t="n">
        <v>2</v>
      </c>
      <c r="R34" s="4" t="n">
        <v>2</v>
      </c>
      <c r="S34" s="4" t="s">
        <v>1633</v>
      </c>
      <c r="T34" s="15" t="s">
        <v>1506</v>
      </c>
    </row>
    <row r="35" customFormat="false" ht="44" hidden="false" customHeight="false" outlineLevel="0" collapsed="false">
      <c r="A35" s="4" t="s">
        <v>1634</v>
      </c>
      <c r="B35" s="4" t="s">
        <v>1599</v>
      </c>
      <c r="C35" s="4" t="n">
        <v>23</v>
      </c>
      <c r="D35" s="5" t="s">
        <v>1635</v>
      </c>
      <c r="E35" s="4"/>
      <c r="F35" s="4" t="s">
        <v>1636</v>
      </c>
      <c r="G35" s="4" t="n">
        <v>5</v>
      </c>
      <c r="H35" s="4" t="s">
        <v>1637</v>
      </c>
      <c r="I35" s="4" t="s">
        <v>1300</v>
      </c>
      <c r="J35" s="5" t="s">
        <v>1506</v>
      </c>
      <c r="K35" s="4" t="s">
        <v>256</v>
      </c>
      <c r="L35" s="5" t="s">
        <v>1525</v>
      </c>
      <c r="M35" s="14" t="s">
        <v>35</v>
      </c>
      <c r="N35" s="5" t="s">
        <v>1526</v>
      </c>
      <c r="O35" s="4" t="s">
        <v>47</v>
      </c>
      <c r="P35" s="4" t="s">
        <v>1638</v>
      </c>
      <c r="Q35" s="4" t="n">
        <v>4</v>
      </c>
      <c r="R35" s="4" t="n">
        <v>0</v>
      </c>
      <c r="S35" s="4" t="s">
        <v>1639</v>
      </c>
      <c r="T35" s="4"/>
    </row>
    <row r="36" customFormat="false" ht="44" hidden="false" customHeight="false" outlineLevel="0" collapsed="false">
      <c r="A36" s="4" t="s">
        <v>1640</v>
      </c>
      <c r="B36" s="4" t="s">
        <v>1599</v>
      </c>
      <c r="C36" s="4" t="n">
        <v>24</v>
      </c>
      <c r="D36" s="5" t="s">
        <v>1641</v>
      </c>
      <c r="E36" s="4"/>
      <c r="F36" s="4" t="s">
        <v>1642</v>
      </c>
      <c r="G36" s="4" t="n">
        <v>5</v>
      </c>
      <c r="H36" s="4"/>
      <c r="I36" s="4"/>
      <c r="J36" s="4"/>
      <c r="K36" s="4"/>
      <c r="L36" s="5" t="s">
        <v>1602</v>
      </c>
      <c r="M36" s="14" t="s">
        <v>35</v>
      </c>
      <c r="N36" s="5" t="s">
        <v>1526</v>
      </c>
      <c r="O36" s="4" t="s">
        <v>47</v>
      </c>
      <c r="P36" s="4" t="s">
        <v>1643</v>
      </c>
      <c r="Q36" s="4" t="n">
        <v>3</v>
      </c>
      <c r="R36" s="4" t="n">
        <v>1</v>
      </c>
      <c r="S36" s="4" t="s">
        <v>1644</v>
      </c>
      <c r="T36" s="4"/>
    </row>
    <row r="37" customFormat="false" ht="44" hidden="false" customHeight="false" outlineLevel="0" collapsed="false">
      <c r="A37" s="4" t="s">
        <v>1645</v>
      </c>
      <c r="B37" s="4" t="s">
        <v>1599</v>
      </c>
      <c r="C37" s="4" t="n">
        <v>25</v>
      </c>
      <c r="D37" s="4" t="s">
        <v>1646</v>
      </c>
      <c r="E37" s="4"/>
      <c r="F37" s="4" t="s">
        <v>1647</v>
      </c>
      <c r="G37" s="4" t="n">
        <v>5</v>
      </c>
      <c r="H37" s="4"/>
      <c r="I37" s="4"/>
      <c r="J37" s="4"/>
      <c r="K37" s="4" t="s">
        <v>256</v>
      </c>
      <c r="L37" s="5" t="s">
        <v>1602</v>
      </c>
      <c r="M37" s="14" t="s">
        <v>35</v>
      </c>
      <c r="N37" s="5" t="s">
        <v>1526</v>
      </c>
      <c r="O37" s="4" t="s">
        <v>47</v>
      </c>
      <c r="P37" s="4" t="s">
        <v>1648</v>
      </c>
      <c r="Q37" s="4" t="n">
        <v>3</v>
      </c>
      <c r="R37" s="4" t="n">
        <v>1</v>
      </c>
      <c r="S37" s="4" t="s">
        <v>1649</v>
      </c>
      <c r="T37" s="4"/>
    </row>
    <row r="38" customFormat="false" ht="29.85" hidden="false" customHeight="false" outlineLevel="0" collapsed="false">
      <c r="A38" s="4" t="s">
        <v>1650</v>
      </c>
      <c r="B38" s="4" t="s">
        <v>1599</v>
      </c>
      <c r="C38" s="4" t="n">
        <v>26</v>
      </c>
      <c r="D38" s="4" t="s">
        <v>1651</v>
      </c>
      <c r="E38" s="4"/>
      <c r="F38" s="4" t="s">
        <v>1652</v>
      </c>
      <c r="G38" s="4" t="n">
        <v>5</v>
      </c>
      <c r="H38" s="4"/>
      <c r="I38" s="4"/>
      <c r="J38" s="4"/>
      <c r="K38" s="4" t="s">
        <v>256</v>
      </c>
      <c r="L38" s="5" t="s">
        <v>1602</v>
      </c>
      <c r="M38" s="14" t="s">
        <v>35</v>
      </c>
      <c r="N38" s="5" t="s">
        <v>1526</v>
      </c>
      <c r="O38" s="4" t="s">
        <v>47</v>
      </c>
      <c r="P38" s="4" t="s">
        <v>1653</v>
      </c>
      <c r="Q38" s="4" t="n">
        <v>3</v>
      </c>
      <c r="R38" s="4" t="n">
        <v>1</v>
      </c>
      <c r="S38" s="4" t="s">
        <v>1654</v>
      </c>
      <c r="T38" s="4"/>
    </row>
    <row r="39" customFormat="false" ht="29.85" hidden="false" customHeight="false" outlineLevel="0" collapsed="false">
      <c r="A39" s="4" t="s">
        <v>1655</v>
      </c>
      <c r="B39" s="4" t="s">
        <v>1599</v>
      </c>
      <c r="C39" s="4" t="n">
        <v>27</v>
      </c>
      <c r="D39" s="4" t="s">
        <v>1656</v>
      </c>
      <c r="E39" s="4"/>
      <c r="F39" s="4" t="s">
        <v>1657</v>
      </c>
      <c r="G39" s="4" t="n">
        <v>5</v>
      </c>
      <c r="H39" s="4" t="s">
        <v>38</v>
      </c>
      <c r="I39" s="4" t="s">
        <v>38</v>
      </c>
      <c r="J39" s="4"/>
      <c r="K39" s="4" t="s">
        <v>712</v>
      </c>
      <c r="L39" s="4" t="s">
        <v>38</v>
      </c>
      <c r="M39" s="14" t="s">
        <v>35</v>
      </c>
      <c r="N39" s="5" t="s">
        <v>1526</v>
      </c>
      <c r="O39" s="4" t="s">
        <v>47</v>
      </c>
      <c r="P39" s="4" t="s">
        <v>1658</v>
      </c>
      <c r="Q39" s="4" t="n">
        <v>3</v>
      </c>
      <c r="R39" s="4" t="n">
        <v>0</v>
      </c>
      <c r="S39" s="4" t="s">
        <v>1659</v>
      </c>
      <c r="T39" s="4"/>
    </row>
    <row r="40" customFormat="false" ht="44" hidden="false" customHeight="false" outlineLevel="0" collapsed="false">
      <c r="A40" s="4" t="s">
        <v>1660</v>
      </c>
      <c r="B40" s="4" t="s">
        <v>1599</v>
      </c>
      <c r="C40" s="4" t="n">
        <v>28</v>
      </c>
      <c r="D40" s="4" t="s">
        <v>1661</v>
      </c>
      <c r="E40" s="4"/>
      <c r="F40" s="4" t="s">
        <v>1662</v>
      </c>
      <c r="G40" s="4" t="n">
        <v>5</v>
      </c>
      <c r="H40" s="4"/>
      <c r="I40" s="4"/>
      <c r="J40" s="4"/>
      <c r="K40" s="4"/>
      <c r="L40" s="5" t="s">
        <v>1602</v>
      </c>
      <c r="M40" s="14" t="s">
        <v>34</v>
      </c>
      <c r="N40" s="5" t="s">
        <v>1526</v>
      </c>
      <c r="O40" s="4" t="s">
        <v>47</v>
      </c>
      <c r="P40" s="4" t="s">
        <v>1663</v>
      </c>
      <c r="Q40" s="4" t="n">
        <v>3</v>
      </c>
      <c r="R40" s="4" t="n">
        <v>0</v>
      </c>
      <c r="S40" s="4" t="s">
        <v>388</v>
      </c>
      <c r="T40" s="4"/>
    </row>
    <row r="41" customFormat="false" ht="41" hidden="false" customHeight="false" outlineLevel="0" collapsed="false">
      <c r="A41" s="4" t="s">
        <v>1664</v>
      </c>
      <c r="B41" s="4" t="s">
        <v>1599</v>
      </c>
      <c r="C41" s="4" t="n">
        <v>29</v>
      </c>
      <c r="D41" s="4" t="s">
        <v>1665</v>
      </c>
      <c r="E41" s="4"/>
      <c r="F41" s="4" t="s">
        <v>1666</v>
      </c>
      <c r="G41" s="4" t="n">
        <v>5</v>
      </c>
      <c r="H41" s="4" t="s">
        <v>1667</v>
      </c>
      <c r="I41" s="4" t="s">
        <v>37</v>
      </c>
      <c r="J41" s="5" t="s">
        <v>1506</v>
      </c>
      <c r="K41" s="4" t="s">
        <v>728</v>
      </c>
      <c r="L41" s="4" t="s">
        <v>37</v>
      </c>
      <c r="M41" s="14" t="s">
        <v>35</v>
      </c>
      <c r="N41" s="5" t="s">
        <v>1526</v>
      </c>
      <c r="O41" s="4" t="s">
        <v>47</v>
      </c>
      <c r="P41" s="4" t="s">
        <v>1668</v>
      </c>
      <c r="Q41" s="4" t="n">
        <v>1</v>
      </c>
      <c r="R41" s="4" t="n">
        <v>0</v>
      </c>
      <c r="S41" s="4" t="s">
        <v>748</v>
      </c>
      <c r="T41" s="4"/>
    </row>
    <row r="42" customFormat="false" ht="29.85" hidden="false" customHeight="false" outlineLevel="0" collapsed="false">
      <c r="A42" s="4" t="s">
        <v>1669</v>
      </c>
      <c r="B42" s="4" t="s">
        <v>1599</v>
      </c>
      <c r="C42" s="4" t="n">
        <v>30</v>
      </c>
      <c r="D42" s="5" t="s">
        <v>1670</v>
      </c>
      <c r="E42" s="4"/>
      <c r="F42" s="4" t="s">
        <v>1671</v>
      </c>
      <c r="G42" s="4" t="n">
        <v>5</v>
      </c>
      <c r="H42" s="4"/>
      <c r="I42" s="4"/>
      <c r="J42" s="4"/>
      <c r="K42" s="4"/>
      <c r="L42" s="5" t="s">
        <v>1602</v>
      </c>
      <c r="M42" s="14" t="s">
        <v>34</v>
      </c>
      <c r="N42" s="5" t="s">
        <v>1526</v>
      </c>
      <c r="O42" s="4" t="s">
        <v>47</v>
      </c>
      <c r="P42" s="4" t="s">
        <v>1672</v>
      </c>
      <c r="Q42" s="4" t="n">
        <v>4</v>
      </c>
      <c r="R42" s="4" t="n">
        <v>0</v>
      </c>
      <c r="S42" s="4" t="s">
        <v>403</v>
      </c>
      <c r="T42" s="4"/>
    </row>
    <row r="43" customFormat="false" ht="26.85" hidden="false" customHeight="false" outlineLevel="0" collapsed="false">
      <c r="A43" s="4" t="s">
        <v>1673</v>
      </c>
      <c r="B43" s="4" t="s">
        <v>1599</v>
      </c>
      <c r="C43" s="4" t="n">
        <v>31</v>
      </c>
      <c r="D43" s="5" t="s">
        <v>1674</v>
      </c>
      <c r="E43" s="4"/>
      <c r="F43" s="4" t="s">
        <v>1675</v>
      </c>
      <c r="G43" s="4" t="n">
        <v>5</v>
      </c>
      <c r="H43" s="4" t="s">
        <v>37</v>
      </c>
      <c r="I43" s="4" t="s">
        <v>37</v>
      </c>
      <c r="J43" s="4"/>
      <c r="K43" s="4"/>
      <c r="L43" s="4" t="s">
        <v>37</v>
      </c>
      <c r="M43" s="4" t="s">
        <v>37</v>
      </c>
      <c r="N43" s="5" t="s">
        <v>1506</v>
      </c>
      <c r="O43" s="4" t="s">
        <v>143</v>
      </c>
      <c r="P43" s="5" t="s">
        <v>1676</v>
      </c>
      <c r="Q43" s="4" t="n">
        <v>0</v>
      </c>
      <c r="R43" s="4" t="n">
        <v>0</v>
      </c>
      <c r="S43" s="4"/>
      <c r="T43" s="4"/>
    </row>
    <row r="44" customFormat="false" ht="29.85" hidden="false" customHeight="false" outlineLevel="0" collapsed="false">
      <c r="A44" s="4" t="s">
        <v>1677</v>
      </c>
      <c r="B44" s="4" t="s">
        <v>1599</v>
      </c>
      <c r="C44" s="4" t="n">
        <v>32</v>
      </c>
      <c r="D44" s="5" t="s">
        <v>1678</v>
      </c>
      <c r="E44" s="4"/>
      <c r="F44" s="4" t="s">
        <v>1679</v>
      </c>
      <c r="G44" s="4" t="n">
        <v>5</v>
      </c>
      <c r="H44" s="4"/>
      <c r="I44" s="4"/>
      <c r="J44" s="4"/>
      <c r="K44" s="4" t="s">
        <v>728</v>
      </c>
      <c r="L44" s="5" t="s">
        <v>1602</v>
      </c>
      <c r="M44" s="14" t="s">
        <v>35</v>
      </c>
      <c r="N44" s="5" t="s">
        <v>1526</v>
      </c>
      <c r="O44" s="4" t="s">
        <v>47</v>
      </c>
      <c r="P44" s="4" t="s">
        <v>1680</v>
      </c>
      <c r="Q44" s="4" t="n">
        <v>1</v>
      </c>
      <c r="R44" s="4" t="n">
        <v>0</v>
      </c>
      <c r="S44" s="4" t="s">
        <v>743</v>
      </c>
      <c r="T44" s="4"/>
    </row>
    <row r="45" customFormat="false" ht="44" hidden="false" customHeight="false" outlineLevel="0" collapsed="false">
      <c r="A45" s="4" t="s">
        <v>1681</v>
      </c>
      <c r="B45" s="4" t="s">
        <v>1599</v>
      </c>
      <c r="C45" s="4" t="n">
        <v>33</v>
      </c>
      <c r="D45" s="4" t="s">
        <v>1682</v>
      </c>
      <c r="E45" s="4"/>
      <c r="F45" s="4" t="s">
        <v>1683</v>
      </c>
      <c r="G45" s="4" t="n">
        <v>5</v>
      </c>
      <c r="H45" s="4" t="s">
        <v>1300</v>
      </c>
      <c r="I45" s="4" t="s">
        <v>1300</v>
      </c>
      <c r="J45" s="4"/>
      <c r="K45" s="4"/>
      <c r="L45" s="5" t="s">
        <v>1525</v>
      </c>
      <c r="M45" s="14" t="s">
        <v>35</v>
      </c>
      <c r="N45" s="5" t="s">
        <v>1526</v>
      </c>
      <c r="O45" s="4" t="s">
        <v>47</v>
      </c>
      <c r="P45" s="4" t="s">
        <v>1684</v>
      </c>
      <c r="Q45" s="4" t="n">
        <v>0</v>
      </c>
      <c r="R45" s="4" t="n">
        <v>1</v>
      </c>
      <c r="S45" s="4" t="s">
        <v>382</v>
      </c>
      <c r="T45" s="15" t="s">
        <v>1506</v>
      </c>
    </row>
    <row r="46" customFormat="false" ht="29.85" hidden="false" customHeight="false" outlineLevel="0" collapsed="false">
      <c r="A46" s="4" t="s">
        <v>1685</v>
      </c>
      <c r="B46" s="4" t="s">
        <v>1599</v>
      </c>
      <c r="C46" s="4" t="n">
        <v>34</v>
      </c>
      <c r="D46" s="4" t="s">
        <v>1686</v>
      </c>
      <c r="E46" s="4"/>
      <c r="F46" s="4" t="s">
        <v>1687</v>
      </c>
      <c r="G46" s="4" t="n">
        <v>5</v>
      </c>
      <c r="H46" s="4" t="s">
        <v>37</v>
      </c>
      <c r="I46" s="4" t="s">
        <v>37</v>
      </c>
      <c r="J46" s="4"/>
      <c r="K46" s="4" t="s">
        <v>311</v>
      </c>
      <c r="L46" s="4" t="s">
        <v>37</v>
      </c>
      <c r="M46" s="4" t="s">
        <v>37</v>
      </c>
      <c r="N46" s="5" t="s">
        <v>1506</v>
      </c>
      <c r="O46" s="4" t="s">
        <v>143</v>
      </c>
      <c r="P46" s="5" t="s">
        <v>1688</v>
      </c>
      <c r="Q46" s="4" t="n">
        <v>0</v>
      </c>
      <c r="R46" s="4" t="n">
        <v>4</v>
      </c>
      <c r="S46" s="4" t="s">
        <v>1689</v>
      </c>
      <c r="T46" s="4"/>
    </row>
    <row r="47" customFormat="false" ht="44" hidden="false" customHeight="false" outlineLevel="0" collapsed="false">
      <c r="A47" s="4" t="s">
        <v>1690</v>
      </c>
      <c r="B47" s="4" t="s">
        <v>1599</v>
      </c>
      <c r="C47" s="4" t="n">
        <v>39</v>
      </c>
      <c r="D47" s="4" t="s">
        <v>1691</v>
      </c>
      <c r="E47" s="4"/>
      <c r="F47" s="4" t="s">
        <v>1692</v>
      </c>
      <c r="G47" s="4" t="n">
        <v>5</v>
      </c>
      <c r="H47" s="4" t="s">
        <v>1693</v>
      </c>
      <c r="I47" s="4" t="s">
        <v>1300</v>
      </c>
      <c r="J47" s="5" t="s">
        <v>1506</v>
      </c>
      <c r="K47" s="4" t="s">
        <v>332</v>
      </c>
      <c r="L47" s="5" t="s">
        <v>1525</v>
      </c>
      <c r="M47" s="14" t="s">
        <v>35</v>
      </c>
      <c r="N47" s="5" t="s">
        <v>1526</v>
      </c>
      <c r="O47" s="4" t="s">
        <v>47</v>
      </c>
      <c r="P47" s="4" t="s">
        <v>1694</v>
      </c>
      <c r="Q47" s="4" t="n">
        <v>3</v>
      </c>
      <c r="R47" s="4" t="n">
        <v>1</v>
      </c>
      <c r="S47" s="4" t="s">
        <v>1695</v>
      </c>
      <c r="T47" s="4"/>
    </row>
    <row r="48" customFormat="false" ht="44" hidden="false" customHeight="false" outlineLevel="0" collapsed="false">
      <c r="A48" s="4" t="s">
        <v>1696</v>
      </c>
      <c r="B48" s="4" t="s">
        <v>1599</v>
      </c>
      <c r="C48" s="4" t="n">
        <v>40</v>
      </c>
      <c r="D48" s="4" t="s">
        <v>1697</v>
      </c>
      <c r="E48" s="4"/>
      <c r="F48" s="4" t="s">
        <v>1698</v>
      </c>
      <c r="G48" s="4" t="n">
        <v>5</v>
      </c>
      <c r="H48" s="4" t="s">
        <v>1300</v>
      </c>
      <c r="I48" s="4" t="s">
        <v>1300</v>
      </c>
      <c r="J48" s="4"/>
      <c r="K48" s="4" t="s">
        <v>332</v>
      </c>
      <c r="L48" s="5" t="s">
        <v>1525</v>
      </c>
      <c r="M48" s="14" t="s">
        <v>35</v>
      </c>
      <c r="N48" s="5" t="s">
        <v>1526</v>
      </c>
      <c r="O48" s="4" t="s">
        <v>47</v>
      </c>
      <c r="P48" s="4" t="s">
        <v>1699</v>
      </c>
      <c r="Q48" s="4" t="n">
        <v>3</v>
      </c>
      <c r="R48" s="4" t="n">
        <v>2</v>
      </c>
      <c r="S48" s="4" t="s">
        <v>1700</v>
      </c>
      <c r="T48" s="4"/>
    </row>
    <row r="49" customFormat="false" ht="44" hidden="false" customHeight="false" outlineLevel="0" collapsed="false">
      <c r="A49" s="4" t="s">
        <v>1701</v>
      </c>
      <c r="B49" s="4" t="s">
        <v>1599</v>
      </c>
      <c r="C49" s="4" t="n">
        <v>41</v>
      </c>
      <c r="D49" s="4" t="s">
        <v>1702</v>
      </c>
      <c r="E49" s="4"/>
      <c r="F49" s="4" t="s">
        <v>1703</v>
      </c>
      <c r="G49" s="4" t="n">
        <v>5</v>
      </c>
      <c r="H49" s="4" t="s">
        <v>1704</v>
      </c>
      <c r="I49" s="4" t="s">
        <v>38</v>
      </c>
      <c r="J49" s="5" t="s">
        <v>1506</v>
      </c>
      <c r="K49" s="4" t="s">
        <v>332</v>
      </c>
      <c r="L49" s="4" t="s">
        <v>38</v>
      </c>
      <c r="M49" s="14" t="s">
        <v>35</v>
      </c>
      <c r="N49" s="5" t="s">
        <v>1526</v>
      </c>
      <c r="O49" s="4" t="s">
        <v>47</v>
      </c>
      <c r="P49" s="4" t="s">
        <v>1705</v>
      </c>
      <c r="Q49" s="4" t="n">
        <v>0</v>
      </c>
      <c r="R49" s="4" t="n">
        <v>1</v>
      </c>
      <c r="S49" s="4" t="s">
        <v>339</v>
      </c>
      <c r="T49" s="4"/>
    </row>
    <row r="50" customFormat="false" ht="29.85" hidden="false" customHeight="false" outlineLevel="0" collapsed="false">
      <c r="A50" s="4" t="s">
        <v>1706</v>
      </c>
      <c r="B50" s="4" t="s">
        <v>1707</v>
      </c>
      <c r="C50" s="4" t="n">
        <v>6</v>
      </c>
      <c r="D50" s="5" t="s">
        <v>1708</v>
      </c>
      <c r="E50" s="4" t="s">
        <v>498</v>
      </c>
      <c r="F50" s="4" t="s">
        <v>1709</v>
      </c>
      <c r="G50" s="4" t="n">
        <v>3</v>
      </c>
      <c r="H50" s="4" t="s">
        <v>1710</v>
      </c>
      <c r="I50" s="4" t="s">
        <v>1294</v>
      </c>
      <c r="J50" s="5" t="s">
        <v>1506</v>
      </c>
      <c r="K50" s="4" t="s">
        <v>496</v>
      </c>
      <c r="L50" s="5" t="s">
        <v>1525</v>
      </c>
      <c r="M50" s="14" t="s">
        <v>35</v>
      </c>
      <c r="N50" s="5" t="s">
        <v>1526</v>
      </c>
      <c r="O50" s="4" t="s">
        <v>49</v>
      </c>
      <c r="P50" s="4" t="s">
        <v>1711</v>
      </c>
      <c r="Q50" s="4" t="n">
        <v>2</v>
      </c>
      <c r="R50" s="4" t="n">
        <v>0</v>
      </c>
      <c r="S50" s="4" t="s">
        <v>1712</v>
      </c>
      <c r="T50" s="4"/>
    </row>
    <row r="51" customFormat="false" ht="15" hidden="false" customHeight="false" outlineLevel="0" collapsed="false">
      <c r="A51" s="4" t="s">
        <v>1713</v>
      </c>
      <c r="B51" s="4" t="s">
        <v>1707</v>
      </c>
      <c r="C51" s="4" t="n">
        <v>7</v>
      </c>
      <c r="D51" s="5" t="s">
        <v>1714</v>
      </c>
      <c r="E51" s="4" t="s">
        <v>498</v>
      </c>
      <c r="F51" s="4" t="s">
        <v>1715</v>
      </c>
      <c r="G51" s="4" t="n">
        <v>3</v>
      </c>
      <c r="H51" s="4" t="s">
        <v>1710</v>
      </c>
      <c r="I51" s="4" t="s">
        <v>1294</v>
      </c>
      <c r="J51" s="5" t="s">
        <v>1506</v>
      </c>
      <c r="K51" s="4"/>
      <c r="L51" s="5" t="s">
        <v>1525</v>
      </c>
      <c r="M51" s="14" t="s">
        <v>35</v>
      </c>
      <c r="N51" s="5" t="s">
        <v>1526</v>
      </c>
      <c r="O51" s="4" t="s">
        <v>49</v>
      </c>
      <c r="P51" s="4" t="s">
        <v>1716</v>
      </c>
      <c r="Q51" s="4" t="n">
        <v>2</v>
      </c>
      <c r="R51" s="4" t="n">
        <v>0</v>
      </c>
      <c r="S51" s="4" t="s">
        <v>1717</v>
      </c>
      <c r="T51" s="4"/>
    </row>
    <row r="52" customFormat="false" ht="26.85" hidden="false" customHeight="false" outlineLevel="0" collapsed="false">
      <c r="A52" s="4" t="s">
        <v>1718</v>
      </c>
      <c r="B52" s="4" t="s">
        <v>1707</v>
      </c>
      <c r="C52" s="4" t="n">
        <v>8</v>
      </c>
      <c r="D52" s="5" t="s">
        <v>1719</v>
      </c>
      <c r="E52" s="5" t="s">
        <v>508</v>
      </c>
      <c r="F52" s="4" t="s">
        <v>1720</v>
      </c>
      <c r="G52" s="4" t="n">
        <v>3</v>
      </c>
      <c r="H52" s="4" t="s">
        <v>1710</v>
      </c>
      <c r="I52" s="4" t="s">
        <v>1294</v>
      </c>
      <c r="J52" s="5" t="s">
        <v>1506</v>
      </c>
      <c r="K52" s="4"/>
      <c r="L52" s="5" t="s">
        <v>1525</v>
      </c>
      <c r="M52" s="14" t="s">
        <v>35</v>
      </c>
      <c r="N52" s="5" t="s">
        <v>1526</v>
      </c>
      <c r="O52" s="4" t="s">
        <v>49</v>
      </c>
      <c r="P52" s="4" t="s">
        <v>1721</v>
      </c>
      <c r="Q52" s="4" t="n">
        <v>2</v>
      </c>
      <c r="R52" s="4" t="n">
        <v>0</v>
      </c>
      <c r="S52" s="4" t="s">
        <v>1722</v>
      </c>
      <c r="T52" s="4"/>
    </row>
    <row r="53" customFormat="false" ht="26.85" hidden="false" customHeight="false" outlineLevel="0" collapsed="false">
      <c r="A53" s="4" t="s">
        <v>1723</v>
      </c>
      <c r="B53" s="4" t="s">
        <v>1707</v>
      </c>
      <c r="C53" s="4" t="n">
        <v>9</v>
      </c>
      <c r="D53" s="4" t="s">
        <v>1724</v>
      </c>
      <c r="E53" s="4"/>
      <c r="F53" s="4" t="s">
        <v>1725</v>
      </c>
      <c r="G53" s="4" t="n">
        <v>3</v>
      </c>
      <c r="H53" s="4" t="s">
        <v>1726</v>
      </c>
      <c r="I53" s="4" t="s">
        <v>1294</v>
      </c>
      <c r="J53" s="5" t="s">
        <v>1506</v>
      </c>
      <c r="K53" s="4"/>
      <c r="L53" s="5" t="s">
        <v>1525</v>
      </c>
      <c r="M53" s="14" t="s">
        <v>35</v>
      </c>
      <c r="N53" s="5" t="s">
        <v>1526</v>
      </c>
      <c r="O53" s="4" t="s">
        <v>49</v>
      </c>
      <c r="P53" s="4" t="s">
        <v>1727</v>
      </c>
      <c r="Q53" s="4" t="n">
        <v>1</v>
      </c>
      <c r="R53" s="4" t="n">
        <v>0</v>
      </c>
      <c r="S53" s="4" t="s">
        <v>510</v>
      </c>
      <c r="T53" s="4"/>
    </row>
    <row r="54" customFormat="false" ht="26.85" hidden="false" customHeight="false" outlineLevel="0" collapsed="false">
      <c r="A54" s="4" t="s">
        <v>1728</v>
      </c>
      <c r="B54" s="4" t="s">
        <v>1707</v>
      </c>
      <c r="C54" s="4" t="n">
        <v>10</v>
      </c>
      <c r="D54" s="4" t="s">
        <v>1729</v>
      </c>
      <c r="E54" s="4"/>
      <c r="F54" s="4" t="s">
        <v>1730</v>
      </c>
      <c r="G54" s="4" t="n">
        <v>3</v>
      </c>
      <c r="H54" s="4" t="s">
        <v>1524</v>
      </c>
      <c r="I54" s="4" t="s">
        <v>1294</v>
      </c>
      <c r="J54" s="5" t="s">
        <v>1506</v>
      </c>
      <c r="K54" s="4"/>
      <c r="L54" s="5" t="s">
        <v>1525</v>
      </c>
      <c r="M54" s="14" t="s">
        <v>35</v>
      </c>
      <c r="N54" s="5" t="s">
        <v>1526</v>
      </c>
      <c r="O54" s="4" t="s">
        <v>49</v>
      </c>
      <c r="P54" s="4" t="s">
        <v>1731</v>
      </c>
      <c r="Q54" s="4" t="n">
        <v>1</v>
      </c>
      <c r="R54" s="4" t="n">
        <v>0</v>
      </c>
      <c r="S54" s="4" t="s">
        <v>527</v>
      </c>
      <c r="T54" s="4"/>
    </row>
    <row r="55" customFormat="false" ht="26.85" hidden="false" customHeight="false" outlineLevel="0" collapsed="false">
      <c r="A55" s="4" t="s">
        <v>1732</v>
      </c>
      <c r="B55" s="4" t="s">
        <v>1707</v>
      </c>
      <c r="C55" s="4" t="n">
        <v>11</v>
      </c>
      <c r="D55" s="4" t="s">
        <v>1733</v>
      </c>
      <c r="E55" s="4"/>
      <c r="F55" s="4" t="s">
        <v>1734</v>
      </c>
      <c r="G55" s="4" t="n">
        <v>3</v>
      </c>
      <c r="H55" s="4" t="s">
        <v>1710</v>
      </c>
      <c r="I55" s="4" t="s">
        <v>1294</v>
      </c>
      <c r="J55" s="5" t="s">
        <v>1506</v>
      </c>
      <c r="K55" s="4"/>
      <c r="L55" s="5" t="s">
        <v>1525</v>
      </c>
      <c r="M55" s="14" t="s">
        <v>35</v>
      </c>
      <c r="N55" s="5" t="s">
        <v>1526</v>
      </c>
      <c r="O55" s="4" t="s">
        <v>49</v>
      </c>
      <c r="P55" s="4" t="s">
        <v>1735</v>
      </c>
      <c r="Q55" s="4" t="n">
        <v>2</v>
      </c>
      <c r="R55" s="4" t="n">
        <v>0</v>
      </c>
      <c r="S55" s="4" t="s">
        <v>533</v>
      </c>
      <c r="T55" s="4"/>
    </row>
    <row r="56" customFormat="false" ht="15" hidden="false" customHeight="false" outlineLevel="0" collapsed="false">
      <c r="A56" s="4" t="s">
        <v>1736</v>
      </c>
      <c r="B56" s="4" t="s">
        <v>1707</v>
      </c>
      <c r="C56" s="4" t="n">
        <v>12</v>
      </c>
      <c r="D56" s="4" t="s">
        <v>1737</v>
      </c>
      <c r="E56" s="4"/>
      <c r="F56" s="4" t="s">
        <v>1738</v>
      </c>
      <c r="G56" s="4" t="n">
        <v>3</v>
      </c>
      <c r="H56" s="4" t="s">
        <v>1710</v>
      </c>
      <c r="I56" s="4" t="s">
        <v>1294</v>
      </c>
      <c r="J56" s="5" t="s">
        <v>1506</v>
      </c>
      <c r="K56" s="4"/>
      <c r="L56" s="5" t="s">
        <v>1525</v>
      </c>
      <c r="M56" s="14" t="s">
        <v>35</v>
      </c>
      <c r="N56" s="5" t="s">
        <v>1526</v>
      </c>
      <c r="O56" s="4" t="s">
        <v>49</v>
      </c>
      <c r="P56" s="4" t="s">
        <v>1739</v>
      </c>
      <c r="Q56" s="4" t="n">
        <v>2</v>
      </c>
      <c r="R56" s="4" t="n">
        <v>0</v>
      </c>
      <c r="S56" s="4" t="s">
        <v>1740</v>
      </c>
      <c r="T56" s="4"/>
    </row>
    <row r="57" customFormat="false" ht="15" hidden="false" customHeight="false" outlineLevel="0" collapsed="false">
      <c r="A57" s="4" t="s">
        <v>1741</v>
      </c>
      <c r="B57" s="4" t="s">
        <v>1707</v>
      </c>
      <c r="C57" s="4" t="n">
        <v>13</v>
      </c>
      <c r="D57" s="5" t="s">
        <v>1742</v>
      </c>
      <c r="E57" s="4"/>
      <c r="F57" s="4" t="s">
        <v>1743</v>
      </c>
      <c r="G57" s="4" t="n">
        <v>3</v>
      </c>
      <c r="H57" s="4" t="s">
        <v>1710</v>
      </c>
      <c r="I57" s="4" t="s">
        <v>1294</v>
      </c>
      <c r="J57" s="5" t="s">
        <v>1506</v>
      </c>
      <c r="K57" s="4"/>
      <c r="L57" s="5" t="s">
        <v>1525</v>
      </c>
      <c r="M57" s="14" t="s">
        <v>35</v>
      </c>
      <c r="N57" s="5" t="s">
        <v>1526</v>
      </c>
      <c r="O57" s="4" t="s">
        <v>49</v>
      </c>
      <c r="P57" s="4" t="s">
        <v>1744</v>
      </c>
      <c r="Q57" s="4" t="n">
        <v>2</v>
      </c>
      <c r="R57" s="4" t="n">
        <v>0</v>
      </c>
      <c r="S57" s="4" t="s">
        <v>544</v>
      </c>
      <c r="T57" s="4"/>
    </row>
    <row r="58" customFormat="false" ht="15" hidden="false" customHeight="false" outlineLevel="0" collapsed="false">
      <c r="A58" s="4" t="s">
        <v>1745</v>
      </c>
      <c r="B58" s="4" t="s">
        <v>1707</v>
      </c>
      <c r="C58" s="4" t="n">
        <v>14</v>
      </c>
      <c r="D58" s="4" t="s">
        <v>1746</v>
      </c>
      <c r="E58" s="4"/>
      <c r="F58" s="4" t="s">
        <v>1747</v>
      </c>
      <c r="G58" s="4" t="n">
        <v>3</v>
      </c>
      <c r="H58" s="4" t="s">
        <v>1294</v>
      </c>
      <c r="I58" s="4" t="s">
        <v>1294</v>
      </c>
      <c r="J58" s="4"/>
      <c r="K58" s="4"/>
      <c r="L58" s="5" t="s">
        <v>1525</v>
      </c>
      <c r="M58" s="14" t="s">
        <v>35</v>
      </c>
      <c r="N58" s="5" t="s">
        <v>1526</v>
      </c>
      <c r="O58" s="4" t="s">
        <v>49</v>
      </c>
      <c r="P58" s="4" t="s">
        <v>1748</v>
      </c>
      <c r="Q58" s="4" t="n">
        <v>2</v>
      </c>
      <c r="R58" s="4" t="n">
        <v>0</v>
      </c>
      <c r="S58" s="4" t="s">
        <v>547</v>
      </c>
      <c r="T58" s="4"/>
    </row>
    <row r="59" customFormat="false" ht="15" hidden="false" customHeight="false" outlineLevel="0" collapsed="false">
      <c r="A59" s="4" t="s">
        <v>1749</v>
      </c>
      <c r="B59" s="4" t="s">
        <v>1707</v>
      </c>
      <c r="C59" s="4" t="n">
        <v>15</v>
      </c>
      <c r="D59" s="4" t="s">
        <v>1750</v>
      </c>
      <c r="E59" s="4"/>
      <c r="F59" s="4" t="s">
        <v>1751</v>
      </c>
      <c r="G59" s="4" t="n">
        <v>3</v>
      </c>
      <c r="H59" s="4" t="s">
        <v>1710</v>
      </c>
      <c r="I59" s="4" t="s">
        <v>1294</v>
      </c>
      <c r="J59" s="5" t="s">
        <v>1506</v>
      </c>
      <c r="K59" s="4"/>
      <c r="L59" s="5" t="s">
        <v>1525</v>
      </c>
      <c r="M59" s="14" t="s">
        <v>35</v>
      </c>
      <c r="N59" s="5" t="s">
        <v>1526</v>
      </c>
      <c r="O59" s="4" t="s">
        <v>49</v>
      </c>
      <c r="P59" s="4" t="s">
        <v>1752</v>
      </c>
      <c r="Q59" s="4" t="n">
        <v>2</v>
      </c>
      <c r="R59" s="4" t="n">
        <v>0</v>
      </c>
      <c r="S59" s="4" t="s">
        <v>550</v>
      </c>
      <c r="T59" s="4"/>
    </row>
    <row r="60" customFormat="false" ht="29.85" hidden="false" customHeight="false" outlineLevel="0" collapsed="false">
      <c r="A60" s="4" t="s">
        <v>1753</v>
      </c>
      <c r="B60" s="4" t="s">
        <v>1707</v>
      </c>
      <c r="C60" s="4" t="n">
        <v>16</v>
      </c>
      <c r="D60" s="5" t="s">
        <v>1754</v>
      </c>
      <c r="E60" s="4" t="s">
        <v>421</v>
      </c>
      <c r="F60" s="4" t="s">
        <v>1755</v>
      </c>
      <c r="G60" s="4" t="n">
        <v>3</v>
      </c>
      <c r="H60" s="4" t="s">
        <v>1710</v>
      </c>
      <c r="I60" s="4" t="s">
        <v>1294</v>
      </c>
      <c r="J60" s="5" t="s">
        <v>1506</v>
      </c>
      <c r="K60" s="4"/>
      <c r="L60" s="5" t="s">
        <v>1525</v>
      </c>
      <c r="M60" s="14" t="s">
        <v>35</v>
      </c>
      <c r="N60" s="5" t="s">
        <v>1526</v>
      </c>
      <c r="O60" s="4" t="s">
        <v>49</v>
      </c>
      <c r="P60" s="4" t="s">
        <v>1756</v>
      </c>
      <c r="Q60" s="4" t="n">
        <v>2</v>
      </c>
      <c r="R60" s="4" t="n">
        <v>0</v>
      </c>
      <c r="S60" s="4" t="s">
        <v>554</v>
      </c>
      <c r="T60" s="4"/>
    </row>
    <row r="61" customFormat="false" ht="41" hidden="false" customHeight="false" outlineLevel="0" collapsed="false">
      <c r="A61" s="4" t="s">
        <v>1757</v>
      </c>
      <c r="B61" s="4" t="s">
        <v>1707</v>
      </c>
      <c r="C61" s="4" t="n">
        <v>17</v>
      </c>
      <c r="D61" s="5" t="s">
        <v>1758</v>
      </c>
      <c r="E61" s="4" t="s">
        <v>563</v>
      </c>
      <c r="F61" s="4" t="s">
        <v>1759</v>
      </c>
      <c r="G61" s="4" t="n">
        <v>3</v>
      </c>
      <c r="H61" s="4" t="s">
        <v>1334</v>
      </c>
      <c r="I61" s="4" t="s">
        <v>1334</v>
      </c>
      <c r="J61" s="4"/>
      <c r="K61" s="4"/>
      <c r="L61" s="4" t="s">
        <v>1760</v>
      </c>
      <c r="M61" s="4" t="s">
        <v>36</v>
      </c>
      <c r="N61" s="5" t="s">
        <v>1506</v>
      </c>
      <c r="O61" s="4" t="s">
        <v>49</v>
      </c>
      <c r="P61" s="4" t="s">
        <v>1761</v>
      </c>
      <c r="Q61" s="4" t="n">
        <v>0</v>
      </c>
      <c r="R61" s="4" t="n">
        <v>1</v>
      </c>
      <c r="S61" s="4" t="s">
        <v>1762</v>
      </c>
      <c r="T61" s="4"/>
    </row>
    <row r="62" customFormat="false" ht="15" hidden="false" customHeight="false" outlineLevel="0" collapsed="false">
      <c r="A62" s="4" t="s">
        <v>1763</v>
      </c>
      <c r="B62" s="4" t="s">
        <v>1707</v>
      </c>
      <c r="C62" s="4" t="n">
        <v>18</v>
      </c>
      <c r="D62" s="5" t="s">
        <v>1764</v>
      </c>
      <c r="E62" s="4" t="s">
        <v>559</v>
      </c>
      <c r="F62" s="4" t="s">
        <v>1765</v>
      </c>
      <c r="G62" s="4" t="n">
        <v>3</v>
      </c>
      <c r="H62" s="4" t="s">
        <v>1294</v>
      </c>
      <c r="I62" s="4" t="s">
        <v>1294</v>
      </c>
      <c r="J62" s="4"/>
      <c r="K62" s="4"/>
      <c r="L62" s="5" t="s">
        <v>1525</v>
      </c>
      <c r="M62" s="14" t="s">
        <v>35</v>
      </c>
      <c r="N62" s="5" t="s">
        <v>1526</v>
      </c>
      <c r="O62" s="4" t="s">
        <v>49</v>
      </c>
      <c r="P62" s="4" t="s">
        <v>1766</v>
      </c>
      <c r="Q62" s="4" t="n">
        <v>2</v>
      </c>
      <c r="R62" s="4" t="n">
        <v>0</v>
      </c>
      <c r="S62" s="4" t="s">
        <v>557</v>
      </c>
      <c r="T62" s="4"/>
    </row>
    <row r="63" customFormat="false" ht="15" hidden="false" customHeight="false" outlineLevel="0" collapsed="false">
      <c r="A63" s="4" t="s">
        <v>1767</v>
      </c>
      <c r="B63" s="4" t="s">
        <v>1707</v>
      </c>
      <c r="C63" s="4" t="n">
        <v>19</v>
      </c>
      <c r="D63" s="5" t="s">
        <v>1768</v>
      </c>
      <c r="E63" s="4" t="s">
        <v>563</v>
      </c>
      <c r="F63" s="4" t="s">
        <v>1769</v>
      </c>
      <c r="G63" s="4" t="n">
        <v>3</v>
      </c>
      <c r="H63" s="4" t="s">
        <v>1294</v>
      </c>
      <c r="I63" s="4" t="s">
        <v>1294</v>
      </c>
      <c r="J63" s="4"/>
      <c r="K63" s="4"/>
      <c r="L63" s="5" t="s">
        <v>1525</v>
      </c>
      <c r="M63" s="14" t="s">
        <v>35</v>
      </c>
      <c r="N63" s="5" t="s">
        <v>1526</v>
      </c>
      <c r="O63" s="4" t="s">
        <v>49</v>
      </c>
      <c r="P63" s="4" t="s">
        <v>1770</v>
      </c>
      <c r="Q63" s="4" t="n">
        <v>2</v>
      </c>
      <c r="R63" s="4" t="n">
        <v>0</v>
      </c>
      <c r="S63" s="4" t="s">
        <v>561</v>
      </c>
      <c r="T63" s="4"/>
    </row>
    <row r="64" customFormat="false" ht="29.85" hidden="false" customHeight="false" outlineLevel="0" collapsed="false">
      <c r="A64" s="4" t="s">
        <v>1771</v>
      </c>
      <c r="B64" s="4" t="s">
        <v>1707</v>
      </c>
      <c r="C64" s="4" t="n">
        <v>20</v>
      </c>
      <c r="D64" s="4" t="s">
        <v>1772</v>
      </c>
      <c r="E64" s="5" t="s">
        <v>1510</v>
      </c>
      <c r="F64" s="4" t="s">
        <v>1773</v>
      </c>
      <c r="G64" s="4" t="n">
        <v>1</v>
      </c>
      <c r="H64" s="4" t="s">
        <v>39</v>
      </c>
      <c r="I64" s="4" t="s">
        <v>39</v>
      </c>
      <c r="J64" s="4"/>
      <c r="K64" s="4"/>
      <c r="L64" s="4" t="s">
        <v>39</v>
      </c>
      <c r="M64" s="4" t="s">
        <v>39</v>
      </c>
      <c r="N64" s="5" t="s">
        <v>1506</v>
      </c>
      <c r="O64" s="4" t="s">
        <v>143</v>
      </c>
      <c r="P64" s="5" t="s">
        <v>1507</v>
      </c>
      <c r="Q64" s="4" t="n">
        <v>0</v>
      </c>
      <c r="R64" s="4" t="n">
        <v>0</v>
      </c>
      <c r="S64" s="4"/>
      <c r="T64" s="4"/>
    </row>
    <row r="65" customFormat="false" ht="44" hidden="false" customHeight="false" outlineLevel="0" collapsed="false">
      <c r="A65" s="4" t="s">
        <v>1774</v>
      </c>
      <c r="B65" s="4" t="s">
        <v>1707</v>
      </c>
      <c r="C65" s="4" t="n">
        <v>21</v>
      </c>
      <c r="D65" s="4" t="s">
        <v>1775</v>
      </c>
      <c r="E65" s="4" t="s">
        <v>498</v>
      </c>
      <c r="F65" s="4" t="s">
        <v>1776</v>
      </c>
      <c r="G65" s="4" t="n">
        <v>3</v>
      </c>
      <c r="H65" s="4" t="s">
        <v>1704</v>
      </c>
      <c r="I65" s="4" t="s">
        <v>38</v>
      </c>
      <c r="J65" s="5" t="s">
        <v>1506</v>
      </c>
      <c r="K65" s="4"/>
      <c r="L65" s="4" t="s">
        <v>38</v>
      </c>
      <c r="M65" s="13" t="s">
        <v>36</v>
      </c>
      <c r="N65" s="5" t="s">
        <v>1526</v>
      </c>
      <c r="O65" s="4" t="s">
        <v>143</v>
      </c>
      <c r="P65" s="4" t="s">
        <v>1777</v>
      </c>
      <c r="Q65" s="4" t="n">
        <v>0</v>
      </c>
      <c r="R65" s="4" t="n">
        <v>0</v>
      </c>
      <c r="S65" s="4"/>
      <c r="T65" s="4"/>
    </row>
    <row r="66" customFormat="false" ht="15" hidden="false" customHeight="false" outlineLevel="0" collapsed="false">
      <c r="A66" s="4" t="s">
        <v>1778</v>
      </c>
      <c r="B66" s="4" t="s">
        <v>1707</v>
      </c>
      <c r="C66" s="4" t="n">
        <v>22</v>
      </c>
      <c r="D66" s="4" t="s">
        <v>1779</v>
      </c>
      <c r="E66" s="4" t="s">
        <v>498</v>
      </c>
      <c r="F66" s="4" t="s">
        <v>1780</v>
      </c>
      <c r="G66" s="4" t="n">
        <v>3</v>
      </c>
      <c r="H66" s="4" t="s">
        <v>1704</v>
      </c>
      <c r="I66" s="4" t="s">
        <v>38</v>
      </c>
      <c r="J66" s="5" t="s">
        <v>1506</v>
      </c>
      <c r="K66" s="4"/>
      <c r="L66" s="4" t="s">
        <v>38</v>
      </c>
      <c r="M66" s="13" t="s">
        <v>36</v>
      </c>
      <c r="N66" s="5" t="s">
        <v>1526</v>
      </c>
      <c r="O66" s="4" t="s">
        <v>143</v>
      </c>
      <c r="P66" s="4" t="s">
        <v>1781</v>
      </c>
      <c r="Q66" s="4" t="n">
        <v>0</v>
      </c>
      <c r="R66" s="4" t="n">
        <v>0</v>
      </c>
      <c r="S66" s="4"/>
      <c r="T66" s="4"/>
    </row>
    <row r="67" customFormat="false" ht="15" hidden="false" customHeight="false" outlineLevel="0" collapsed="false">
      <c r="A67" s="4" t="s">
        <v>1782</v>
      </c>
      <c r="B67" s="4" t="s">
        <v>1707</v>
      </c>
      <c r="C67" s="4" t="n">
        <v>23</v>
      </c>
      <c r="D67" s="4" t="s">
        <v>1783</v>
      </c>
      <c r="E67" s="4" t="s">
        <v>498</v>
      </c>
      <c r="F67" s="4" t="s">
        <v>1784</v>
      </c>
      <c r="G67" s="4" t="n">
        <v>3</v>
      </c>
      <c r="H67" s="4" t="s">
        <v>1704</v>
      </c>
      <c r="I67" s="4" t="s">
        <v>38</v>
      </c>
      <c r="J67" s="5" t="s">
        <v>1506</v>
      </c>
      <c r="K67" s="4"/>
      <c r="L67" s="4" t="s">
        <v>38</v>
      </c>
      <c r="M67" s="13" t="s">
        <v>36</v>
      </c>
      <c r="N67" s="5" t="s">
        <v>1526</v>
      </c>
      <c r="O67" s="4" t="s">
        <v>143</v>
      </c>
      <c r="P67" s="4" t="s">
        <v>1785</v>
      </c>
      <c r="Q67" s="4" t="n">
        <v>0</v>
      </c>
      <c r="R67" s="4" t="n">
        <v>0</v>
      </c>
      <c r="S67" s="4"/>
      <c r="T67" s="4"/>
    </row>
    <row r="68" customFormat="false" ht="15" hidden="false" customHeight="false" outlineLevel="0" collapsed="false">
      <c r="A68" s="4" t="s">
        <v>1786</v>
      </c>
      <c r="B68" s="4" t="s">
        <v>1787</v>
      </c>
      <c r="C68" s="4" t="n">
        <v>6</v>
      </c>
      <c r="D68" s="4" t="s">
        <v>1788</v>
      </c>
      <c r="E68" s="4" t="s">
        <v>563</v>
      </c>
      <c r="F68" s="4" t="s">
        <v>1789</v>
      </c>
      <c r="G68" s="4" t="n">
        <v>1</v>
      </c>
      <c r="H68" s="4" t="s">
        <v>37</v>
      </c>
      <c r="I68" s="4" t="s">
        <v>37</v>
      </c>
      <c r="J68" s="4"/>
      <c r="K68" s="4"/>
      <c r="L68" s="4" t="s">
        <v>37</v>
      </c>
      <c r="M68" s="4" t="s">
        <v>37</v>
      </c>
      <c r="N68" s="5" t="s">
        <v>1506</v>
      </c>
      <c r="O68" s="4" t="s">
        <v>143</v>
      </c>
      <c r="P68" s="5" t="s">
        <v>1507</v>
      </c>
      <c r="Q68" s="4" t="n">
        <v>0</v>
      </c>
      <c r="R68" s="4" t="n">
        <v>0</v>
      </c>
      <c r="S68" s="4"/>
      <c r="T68" s="4"/>
    </row>
    <row r="69" customFormat="false" ht="15" hidden="false" customHeight="false" outlineLevel="0" collapsed="false">
      <c r="A69" s="4" t="s">
        <v>1790</v>
      </c>
      <c r="B69" s="4" t="s">
        <v>1787</v>
      </c>
      <c r="C69" s="4" t="n">
        <v>7</v>
      </c>
      <c r="D69" s="5" t="s">
        <v>1791</v>
      </c>
      <c r="E69" s="4" t="s">
        <v>421</v>
      </c>
      <c r="F69" s="4" t="s">
        <v>1792</v>
      </c>
      <c r="G69" s="4" t="n">
        <v>1</v>
      </c>
      <c r="H69" s="4" t="s">
        <v>1294</v>
      </c>
      <c r="I69" s="4" t="s">
        <v>1294</v>
      </c>
      <c r="J69" s="4"/>
      <c r="K69" s="4" t="s">
        <v>728</v>
      </c>
      <c r="L69" s="5" t="s">
        <v>1525</v>
      </c>
      <c r="M69" s="5" t="s">
        <v>34</v>
      </c>
      <c r="N69" s="5" t="s">
        <v>1506</v>
      </c>
      <c r="O69" s="4" t="s">
        <v>50</v>
      </c>
      <c r="P69" s="4" t="s">
        <v>1793</v>
      </c>
      <c r="Q69" s="4" t="n">
        <v>1</v>
      </c>
      <c r="R69" s="4" t="n">
        <v>0</v>
      </c>
      <c r="S69" s="4" t="s">
        <v>733</v>
      </c>
      <c r="T69" s="4"/>
    </row>
    <row r="70" customFormat="false" ht="15" hidden="false" customHeight="false" outlineLevel="0" collapsed="false">
      <c r="A70" s="4" t="s">
        <v>1794</v>
      </c>
      <c r="B70" s="4" t="s">
        <v>1787</v>
      </c>
      <c r="C70" s="4" t="n">
        <v>9</v>
      </c>
      <c r="D70" s="4" t="s">
        <v>1795</v>
      </c>
      <c r="E70" s="4" t="s">
        <v>421</v>
      </c>
      <c r="F70" s="4" t="s">
        <v>1796</v>
      </c>
      <c r="G70" s="4" t="n">
        <v>1</v>
      </c>
      <c r="H70" s="4" t="s">
        <v>38</v>
      </c>
      <c r="I70" s="4" t="s">
        <v>38</v>
      </c>
      <c r="J70" s="4"/>
      <c r="K70" s="4"/>
      <c r="L70" s="4" t="s">
        <v>38</v>
      </c>
      <c r="M70" s="4" t="s">
        <v>38</v>
      </c>
      <c r="N70" s="5" t="s">
        <v>1506</v>
      </c>
      <c r="O70" s="4" t="s">
        <v>143</v>
      </c>
      <c r="P70" s="5" t="s">
        <v>1507</v>
      </c>
      <c r="Q70" s="4" t="n">
        <v>0</v>
      </c>
      <c r="R70" s="4" t="n">
        <v>0</v>
      </c>
      <c r="S70" s="4"/>
      <c r="T70" s="4"/>
    </row>
    <row r="71" customFormat="false" ht="15" hidden="false" customHeight="false" outlineLevel="0" collapsed="false">
      <c r="A71" s="4" t="s">
        <v>1797</v>
      </c>
      <c r="B71" s="4" t="s">
        <v>1787</v>
      </c>
      <c r="C71" s="4" t="n">
        <v>10</v>
      </c>
      <c r="D71" s="5" t="s">
        <v>1798</v>
      </c>
      <c r="E71" s="4" t="s">
        <v>421</v>
      </c>
      <c r="F71" s="4" t="s">
        <v>1799</v>
      </c>
      <c r="G71" s="4" t="n">
        <v>1</v>
      </c>
      <c r="H71" s="4" t="s">
        <v>38</v>
      </c>
      <c r="I71" s="4" t="s">
        <v>38</v>
      </c>
      <c r="J71" s="4"/>
      <c r="K71" s="4"/>
      <c r="L71" s="4" t="s">
        <v>38</v>
      </c>
      <c r="M71" s="4" t="s">
        <v>38</v>
      </c>
      <c r="N71" s="5" t="s">
        <v>1506</v>
      </c>
      <c r="O71" s="4" t="s">
        <v>143</v>
      </c>
      <c r="P71" s="5" t="s">
        <v>1507</v>
      </c>
      <c r="Q71" s="4" t="n">
        <v>0</v>
      </c>
      <c r="R71" s="4" t="n">
        <v>0</v>
      </c>
      <c r="S71" s="4"/>
      <c r="T71" s="4"/>
    </row>
    <row r="72" customFormat="false" ht="15" hidden="false" customHeight="false" outlineLevel="0" collapsed="false">
      <c r="A72" s="4" t="s">
        <v>1800</v>
      </c>
      <c r="B72" s="4" t="s">
        <v>1787</v>
      </c>
      <c r="C72" s="4" t="n">
        <v>11</v>
      </c>
      <c r="D72" s="5" t="s">
        <v>1801</v>
      </c>
      <c r="E72" s="4" t="s">
        <v>421</v>
      </c>
      <c r="F72" s="4" t="s">
        <v>1802</v>
      </c>
      <c r="G72" s="4" t="n">
        <v>1</v>
      </c>
      <c r="H72" s="4" t="s">
        <v>38</v>
      </c>
      <c r="I72" s="4" t="s">
        <v>38</v>
      </c>
      <c r="J72" s="4"/>
      <c r="K72" s="4"/>
      <c r="L72" s="4" t="s">
        <v>38</v>
      </c>
      <c r="M72" s="4" t="s">
        <v>38</v>
      </c>
      <c r="N72" s="5" t="s">
        <v>1506</v>
      </c>
      <c r="O72" s="4" t="s">
        <v>143</v>
      </c>
      <c r="P72" s="5" t="s">
        <v>1507</v>
      </c>
      <c r="Q72" s="4" t="n">
        <v>0</v>
      </c>
      <c r="R72" s="4" t="n">
        <v>0</v>
      </c>
      <c r="S72" s="4"/>
      <c r="T72" s="4"/>
    </row>
    <row r="73" customFormat="false" ht="29.85" hidden="false" customHeight="false" outlineLevel="0" collapsed="false">
      <c r="A73" s="4" t="s">
        <v>1803</v>
      </c>
      <c r="B73" s="4" t="s">
        <v>1787</v>
      </c>
      <c r="C73" s="4" t="n">
        <v>12</v>
      </c>
      <c r="D73" s="4" t="s">
        <v>1804</v>
      </c>
      <c r="E73" s="4" t="s">
        <v>498</v>
      </c>
      <c r="F73" s="4" t="s">
        <v>1805</v>
      </c>
      <c r="G73" s="4" t="n">
        <v>1</v>
      </c>
      <c r="H73" s="4" t="s">
        <v>37</v>
      </c>
      <c r="I73" s="4" t="s">
        <v>37</v>
      </c>
      <c r="J73" s="4"/>
      <c r="K73" s="4"/>
      <c r="L73" s="4" t="s">
        <v>37</v>
      </c>
      <c r="M73" s="4" t="s">
        <v>37</v>
      </c>
      <c r="N73" s="5" t="s">
        <v>1506</v>
      </c>
      <c r="O73" s="4" t="s">
        <v>143</v>
      </c>
      <c r="P73" s="5" t="s">
        <v>1507</v>
      </c>
      <c r="Q73" s="4" t="n">
        <v>0</v>
      </c>
      <c r="R73" s="4" t="n">
        <v>0</v>
      </c>
      <c r="S73" s="4"/>
      <c r="T73" s="4"/>
    </row>
    <row r="74" customFormat="false" ht="15" hidden="false" customHeight="false" outlineLevel="0" collapsed="false">
      <c r="A74" s="4" t="s">
        <v>1806</v>
      </c>
      <c r="B74" s="4" t="s">
        <v>1787</v>
      </c>
      <c r="C74" s="4" t="n">
        <v>13</v>
      </c>
      <c r="D74" s="4" t="s">
        <v>1807</v>
      </c>
      <c r="E74" s="4" t="s">
        <v>421</v>
      </c>
      <c r="F74" s="4" t="s">
        <v>1808</v>
      </c>
      <c r="G74" s="4" t="n">
        <v>1</v>
      </c>
      <c r="H74" s="4" t="s">
        <v>37</v>
      </c>
      <c r="I74" s="4" t="s">
        <v>37</v>
      </c>
      <c r="J74" s="4"/>
      <c r="K74" s="4"/>
      <c r="L74" s="4" t="s">
        <v>37</v>
      </c>
      <c r="M74" s="4" t="s">
        <v>37</v>
      </c>
      <c r="N74" s="5" t="s">
        <v>1506</v>
      </c>
      <c r="O74" s="4" t="s">
        <v>143</v>
      </c>
      <c r="P74" s="5" t="s">
        <v>1507</v>
      </c>
      <c r="Q74" s="4" t="n">
        <v>0</v>
      </c>
      <c r="R74" s="4" t="n">
        <v>0</v>
      </c>
      <c r="S74" s="4"/>
      <c r="T74" s="4"/>
    </row>
    <row r="75" customFormat="false" ht="15" hidden="false" customHeight="false" outlineLevel="0" collapsed="false">
      <c r="A75" s="4" t="s">
        <v>1809</v>
      </c>
      <c r="B75" s="4" t="s">
        <v>1787</v>
      </c>
      <c r="C75" s="4" t="n">
        <v>14</v>
      </c>
      <c r="D75" s="4" t="s">
        <v>1810</v>
      </c>
      <c r="E75" s="4" t="s">
        <v>421</v>
      </c>
      <c r="F75" s="4" t="s">
        <v>1811</v>
      </c>
      <c r="G75" s="4" t="n">
        <v>1</v>
      </c>
      <c r="H75" s="4" t="s">
        <v>37</v>
      </c>
      <c r="I75" s="4" t="s">
        <v>37</v>
      </c>
      <c r="J75" s="4"/>
      <c r="K75" s="4"/>
      <c r="L75" s="4" t="s">
        <v>37</v>
      </c>
      <c r="M75" s="4" t="s">
        <v>37</v>
      </c>
      <c r="N75" s="5" t="s">
        <v>1506</v>
      </c>
      <c r="O75" s="4" t="s">
        <v>143</v>
      </c>
      <c r="P75" s="5" t="s">
        <v>1507</v>
      </c>
      <c r="Q75" s="4" t="n">
        <v>0</v>
      </c>
      <c r="R75" s="4" t="n">
        <v>0</v>
      </c>
      <c r="S75" s="4"/>
      <c r="T75" s="4"/>
    </row>
    <row r="76" customFormat="false" ht="23.85" hidden="false" customHeight="false" outlineLevel="0" collapsed="false">
      <c r="A76" s="4" t="s">
        <v>1812</v>
      </c>
      <c r="B76" s="4" t="s">
        <v>1787</v>
      </c>
      <c r="C76" s="4" t="n">
        <v>15</v>
      </c>
      <c r="D76" s="5" t="s">
        <v>1813</v>
      </c>
      <c r="E76" s="4" t="s">
        <v>270</v>
      </c>
      <c r="F76" s="4" t="s">
        <v>1814</v>
      </c>
      <c r="G76" s="4" t="n">
        <v>1</v>
      </c>
      <c r="H76" s="4" t="s">
        <v>38</v>
      </c>
      <c r="I76" s="4" t="s">
        <v>38</v>
      </c>
      <c r="J76" s="4"/>
      <c r="K76" s="4"/>
      <c r="L76" s="4" t="s">
        <v>38</v>
      </c>
      <c r="M76" s="4" t="s">
        <v>38</v>
      </c>
      <c r="N76" s="5" t="s">
        <v>1506</v>
      </c>
      <c r="O76" s="4" t="s">
        <v>143</v>
      </c>
      <c r="P76" s="5" t="s">
        <v>1507</v>
      </c>
      <c r="Q76" s="4" t="n">
        <v>0</v>
      </c>
      <c r="R76" s="4" t="n">
        <v>0</v>
      </c>
      <c r="S76" s="4"/>
      <c r="T76" s="4"/>
    </row>
    <row r="77" customFormat="false" ht="29.85" hidden="false" customHeight="false" outlineLevel="0" collapsed="false">
      <c r="A77" s="4" t="s">
        <v>1815</v>
      </c>
      <c r="B77" s="4" t="s">
        <v>1787</v>
      </c>
      <c r="C77" s="4" t="n">
        <v>16</v>
      </c>
      <c r="D77" s="5" t="s">
        <v>1816</v>
      </c>
      <c r="E77" s="5" t="s">
        <v>1510</v>
      </c>
      <c r="F77" s="4" t="s">
        <v>1817</v>
      </c>
      <c r="G77" s="4" t="n">
        <v>1</v>
      </c>
      <c r="H77" s="4" t="s">
        <v>39</v>
      </c>
      <c r="I77" s="4" t="s">
        <v>39</v>
      </c>
      <c r="J77" s="4"/>
      <c r="K77" s="4"/>
      <c r="L77" s="4" t="s">
        <v>39</v>
      </c>
      <c r="M77" s="4" t="s">
        <v>39</v>
      </c>
      <c r="N77" s="5" t="s">
        <v>1506</v>
      </c>
      <c r="O77" s="4" t="s">
        <v>143</v>
      </c>
      <c r="P77" s="5" t="s">
        <v>1507</v>
      </c>
      <c r="Q77" s="4" t="n">
        <v>0</v>
      </c>
      <c r="R77" s="4" t="n">
        <v>0</v>
      </c>
      <c r="S77" s="4"/>
      <c r="T77" s="4"/>
    </row>
    <row r="78" customFormat="false" ht="15" hidden="false" customHeight="false" outlineLevel="0" collapsed="false">
      <c r="A78" s="4" t="s">
        <v>1818</v>
      </c>
      <c r="B78" s="4" t="s">
        <v>1787</v>
      </c>
      <c r="C78" s="4" t="n">
        <v>17</v>
      </c>
      <c r="D78" s="5" t="s">
        <v>1819</v>
      </c>
      <c r="E78" s="4" t="s">
        <v>421</v>
      </c>
      <c r="F78" s="4" t="s">
        <v>1820</v>
      </c>
      <c r="G78" s="4" t="n">
        <v>1</v>
      </c>
      <c r="H78" s="4" t="s">
        <v>38</v>
      </c>
      <c r="I78" s="4" t="s">
        <v>38</v>
      </c>
      <c r="J78" s="4"/>
      <c r="K78" s="4"/>
      <c r="L78" s="4" t="s">
        <v>38</v>
      </c>
      <c r="M78" s="4" t="s">
        <v>38</v>
      </c>
      <c r="N78" s="5" t="s">
        <v>1506</v>
      </c>
      <c r="O78" s="4" t="s">
        <v>143</v>
      </c>
      <c r="P78" s="5" t="s">
        <v>1507</v>
      </c>
      <c r="Q78" s="4" t="n">
        <v>0</v>
      </c>
      <c r="R78" s="4" t="n">
        <v>0</v>
      </c>
      <c r="S78" s="4"/>
      <c r="T78" s="4"/>
    </row>
    <row r="79" customFormat="false" ht="15" hidden="false" customHeight="false" outlineLevel="0" collapsed="false">
      <c r="A79" s="4" t="s">
        <v>1821</v>
      </c>
      <c r="B79" s="4" t="s">
        <v>1787</v>
      </c>
      <c r="C79" s="4" t="n">
        <v>18</v>
      </c>
      <c r="D79" s="5" t="s">
        <v>1822</v>
      </c>
      <c r="E79" s="4" t="s">
        <v>559</v>
      </c>
      <c r="F79" s="4" t="s">
        <v>1823</v>
      </c>
      <c r="G79" s="4" t="n">
        <v>1</v>
      </c>
      <c r="H79" s="4" t="s">
        <v>38</v>
      </c>
      <c r="I79" s="4" t="s">
        <v>38</v>
      </c>
      <c r="J79" s="4"/>
      <c r="K79" s="4"/>
      <c r="L79" s="4" t="s">
        <v>38</v>
      </c>
      <c r="M79" s="4" t="s">
        <v>38</v>
      </c>
      <c r="N79" s="5" t="s">
        <v>1506</v>
      </c>
      <c r="O79" s="4" t="s">
        <v>143</v>
      </c>
      <c r="P79" s="5" t="s">
        <v>1507</v>
      </c>
      <c r="Q79" s="4" t="n">
        <v>0</v>
      </c>
      <c r="R79" s="4" t="n">
        <v>0</v>
      </c>
      <c r="S79" s="4"/>
      <c r="T79" s="4"/>
    </row>
    <row r="80" customFormat="false" ht="29.85" hidden="false" customHeight="false" outlineLevel="0" collapsed="false">
      <c r="A80" s="4" t="s">
        <v>1824</v>
      </c>
      <c r="B80" s="4" t="s">
        <v>1787</v>
      </c>
      <c r="C80" s="4" t="n">
        <v>21</v>
      </c>
      <c r="D80" s="4" t="s">
        <v>1825</v>
      </c>
      <c r="E80" s="4" t="s">
        <v>1826</v>
      </c>
      <c r="F80" s="4" t="s">
        <v>1776</v>
      </c>
      <c r="G80" s="4" t="n">
        <v>3</v>
      </c>
      <c r="H80" s="4" t="s">
        <v>1294</v>
      </c>
      <c r="I80" s="4" t="s">
        <v>1294</v>
      </c>
      <c r="J80" s="4"/>
      <c r="K80" s="4" t="s">
        <v>795</v>
      </c>
      <c r="L80" s="5" t="s">
        <v>1525</v>
      </c>
      <c r="M80" s="13" t="s">
        <v>39</v>
      </c>
      <c r="N80" s="5" t="s">
        <v>1526</v>
      </c>
      <c r="O80" s="4" t="s">
        <v>50</v>
      </c>
      <c r="P80" s="4" t="s">
        <v>1827</v>
      </c>
      <c r="Q80" s="4" t="n">
        <v>1</v>
      </c>
      <c r="R80" s="4" t="n">
        <v>2</v>
      </c>
      <c r="S80" s="4" t="s">
        <v>1828</v>
      </c>
      <c r="T80" s="15" t="s">
        <v>1506</v>
      </c>
    </row>
    <row r="81" customFormat="false" ht="15" hidden="false" customHeight="false" outlineLevel="0" collapsed="false">
      <c r="A81" s="4" t="s">
        <v>1829</v>
      </c>
      <c r="B81" s="4" t="s">
        <v>1787</v>
      </c>
      <c r="C81" s="4" t="n">
        <v>22</v>
      </c>
      <c r="D81" s="4" t="s">
        <v>1830</v>
      </c>
      <c r="E81" s="4" t="s">
        <v>879</v>
      </c>
      <c r="F81" s="4" t="s">
        <v>1780</v>
      </c>
      <c r="G81" s="4" t="n">
        <v>3</v>
      </c>
      <c r="H81" s="4" t="s">
        <v>38</v>
      </c>
      <c r="I81" s="4" t="s">
        <v>38</v>
      </c>
      <c r="J81" s="4"/>
      <c r="K81" s="4"/>
      <c r="L81" s="4" t="s">
        <v>38</v>
      </c>
      <c r="M81" s="4" t="s">
        <v>38</v>
      </c>
      <c r="N81" s="5" t="s">
        <v>1506</v>
      </c>
      <c r="O81" s="4" t="s">
        <v>143</v>
      </c>
      <c r="P81" s="5" t="s">
        <v>1507</v>
      </c>
      <c r="Q81" s="4" t="n">
        <v>0</v>
      </c>
      <c r="R81" s="4" t="n">
        <v>0</v>
      </c>
      <c r="S81" s="4"/>
      <c r="T81" s="4"/>
    </row>
    <row r="82" customFormat="false" ht="15" hidden="false" customHeight="false" outlineLevel="0" collapsed="false">
      <c r="A82" s="4" t="s">
        <v>1831</v>
      </c>
      <c r="B82" s="4" t="s">
        <v>1787</v>
      </c>
      <c r="C82" s="4" t="n">
        <v>23</v>
      </c>
      <c r="D82" s="5" t="s">
        <v>1832</v>
      </c>
      <c r="E82" s="4" t="s">
        <v>563</v>
      </c>
      <c r="F82" s="4" t="s">
        <v>1784</v>
      </c>
      <c r="G82" s="4" t="n">
        <v>3</v>
      </c>
      <c r="H82" s="4" t="s">
        <v>38</v>
      </c>
      <c r="I82" s="4" t="s">
        <v>38</v>
      </c>
      <c r="J82" s="4"/>
      <c r="K82" s="4"/>
      <c r="L82" s="4" t="s">
        <v>38</v>
      </c>
      <c r="M82" s="4" t="s">
        <v>38</v>
      </c>
      <c r="N82" s="5" t="s">
        <v>1506</v>
      </c>
      <c r="O82" s="4" t="s">
        <v>143</v>
      </c>
      <c r="P82" s="5" t="s">
        <v>1507</v>
      </c>
      <c r="Q82" s="4" t="n">
        <v>0</v>
      </c>
      <c r="R82" s="4" t="n">
        <v>0</v>
      </c>
      <c r="S82" s="4"/>
      <c r="T82" s="4"/>
    </row>
    <row r="83" customFormat="false" ht="15" hidden="false" customHeight="false" outlineLevel="0" collapsed="false">
      <c r="A83" s="4" t="s">
        <v>1833</v>
      </c>
      <c r="B83" s="4" t="s">
        <v>1787</v>
      </c>
      <c r="C83" s="4" t="n">
        <v>24</v>
      </c>
      <c r="D83" s="5" t="s">
        <v>1834</v>
      </c>
      <c r="E83" s="4" t="s">
        <v>563</v>
      </c>
      <c r="F83" s="4" t="s">
        <v>1835</v>
      </c>
      <c r="G83" s="4" t="n">
        <v>3</v>
      </c>
      <c r="H83" s="4" t="s">
        <v>38</v>
      </c>
      <c r="I83" s="4" t="s">
        <v>38</v>
      </c>
      <c r="J83" s="4"/>
      <c r="K83" s="4"/>
      <c r="L83" s="4" t="s">
        <v>38</v>
      </c>
      <c r="M83" s="4" t="s">
        <v>38</v>
      </c>
      <c r="N83" s="5" t="s">
        <v>1506</v>
      </c>
      <c r="O83" s="4" t="s">
        <v>143</v>
      </c>
      <c r="P83" s="5" t="s">
        <v>1507</v>
      </c>
      <c r="Q83" s="4" t="n">
        <v>0</v>
      </c>
      <c r="R83" s="4" t="n">
        <v>0</v>
      </c>
      <c r="S83" s="4"/>
      <c r="T83" s="4"/>
    </row>
    <row r="84" customFormat="false" ht="15" hidden="false" customHeight="false" outlineLevel="0" collapsed="false">
      <c r="A84" s="4" t="s">
        <v>1836</v>
      </c>
      <c r="B84" s="4" t="s">
        <v>1837</v>
      </c>
      <c r="C84" s="4" t="n">
        <v>5</v>
      </c>
      <c r="D84" s="5" t="s">
        <v>1838</v>
      </c>
      <c r="E84" s="5" t="s">
        <v>1839</v>
      </c>
      <c r="F84" s="4" t="s">
        <v>1840</v>
      </c>
      <c r="G84" s="4" t="n">
        <v>5</v>
      </c>
      <c r="H84" s="4" t="s">
        <v>38</v>
      </c>
      <c r="I84" s="4" t="s">
        <v>38</v>
      </c>
      <c r="J84" s="4"/>
      <c r="K84" s="4"/>
      <c r="L84" s="4" t="s">
        <v>38</v>
      </c>
      <c r="M84" s="4" t="s">
        <v>38</v>
      </c>
      <c r="N84" s="5" t="s">
        <v>1506</v>
      </c>
      <c r="O84" s="4" t="s">
        <v>143</v>
      </c>
      <c r="P84" s="5" t="s">
        <v>1507</v>
      </c>
      <c r="Q84" s="4" t="n">
        <v>0</v>
      </c>
      <c r="R84" s="4" t="n">
        <v>0</v>
      </c>
      <c r="S84" s="4"/>
      <c r="T84" s="4"/>
    </row>
    <row r="85" customFormat="false" ht="29.85" hidden="false" customHeight="false" outlineLevel="0" collapsed="false">
      <c r="A85" s="4" t="s">
        <v>1841</v>
      </c>
      <c r="B85" s="4" t="s">
        <v>1837</v>
      </c>
      <c r="C85" s="4" t="n">
        <v>6</v>
      </c>
      <c r="D85" s="5" t="s">
        <v>1842</v>
      </c>
      <c r="E85" s="4" t="s">
        <v>563</v>
      </c>
      <c r="F85" s="4" t="s">
        <v>1601</v>
      </c>
      <c r="G85" s="4" t="n">
        <v>5</v>
      </c>
      <c r="H85" s="4" t="s">
        <v>38</v>
      </c>
      <c r="I85" s="4" t="s">
        <v>38</v>
      </c>
      <c r="J85" s="4"/>
      <c r="K85" s="4"/>
      <c r="L85" s="4" t="s">
        <v>38</v>
      </c>
      <c r="M85" s="4" t="s">
        <v>38</v>
      </c>
      <c r="N85" s="5" t="s">
        <v>1506</v>
      </c>
      <c r="O85" s="4" t="s">
        <v>143</v>
      </c>
      <c r="P85" s="5" t="s">
        <v>1507</v>
      </c>
      <c r="Q85" s="4" t="n">
        <v>0</v>
      </c>
      <c r="R85" s="4" t="n">
        <v>0</v>
      </c>
      <c r="S85" s="4"/>
      <c r="T85" s="4"/>
    </row>
    <row r="86" customFormat="false" ht="15" hidden="false" customHeight="false" outlineLevel="0" collapsed="false">
      <c r="A86" s="4" t="s">
        <v>1843</v>
      </c>
      <c r="B86" s="4" t="s">
        <v>1837</v>
      </c>
      <c r="C86" s="4" t="n">
        <v>7</v>
      </c>
      <c r="D86" s="5" t="s">
        <v>1844</v>
      </c>
      <c r="E86" s="4" t="s">
        <v>563</v>
      </c>
      <c r="F86" s="4" t="s">
        <v>1845</v>
      </c>
      <c r="G86" s="4" t="n">
        <v>5</v>
      </c>
      <c r="H86" s="4" t="s">
        <v>38</v>
      </c>
      <c r="I86" s="4" t="s">
        <v>38</v>
      </c>
      <c r="J86" s="4"/>
      <c r="K86" s="4"/>
      <c r="L86" s="4" t="s">
        <v>38</v>
      </c>
      <c r="M86" s="4" t="s">
        <v>38</v>
      </c>
      <c r="N86" s="5" t="s">
        <v>1506</v>
      </c>
      <c r="O86" s="4" t="s">
        <v>143</v>
      </c>
      <c r="P86" s="5" t="s">
        <v>1507</v>
      </c>
      <c r="Q86" s="4" t="n">
        <v>0</v>
      </c>
      <c r="R86" s="4" t="n">
        <v>0</v>
      </c>
      <c r="S86" s="4"/>
      <c r="T86" s="4"/>
    </row>
    <row r="87" customFormat="false" ht="15" hidden="false" customHeight="false" outlineLevel="0" collapsed="false">
      <c r="A87" s="4" t="s">
        <v>1846</v>
      </c>
      <c r="B87" s="4" t="s">
        <v>1837</v>
      </c>
      <c r="C87" s="4" t="n">
        <v>8</v>
      </c>
      <c r="D87" s="5" t="s">
        <v>1847</v>
      </c>
      <c r="E87" s="4" t="s">
        <v>563</v>
      </c>
      <c r="F87" s="4" t="s">
        <v>1606</v>
      </c>
      <c r="G87" s="4" t="n">
        <v>5</v>
      </c>
      <c r="H87" s="4" t="s">
        <v>38</v>
      </c>
      <c r="I87" s="4" t="s">
        <v>38</v>
      </c>
      <c r="J87" s="4"/>
      <c r="K87" s="4"/>
      <c r="L87" s="4" t="s">
        <v>38</v>
      </c>
      <c r="M87" s="4" t="s">
        <v>38</v>
      </c>
      <c r="N87" s="5" t="s">
        <v>1506</v>
      </c>
      <c r="O87" s="4" t="s">
        <v>143</v>
      </c>
      <c r="P87" s="5" t="s">
        <v>1507</v>
      </c>
      <c r="Q87" s="4" t="n">
        <v>0</v>
      </c>
      <c r="R87" s="4" t="n">
        <v>0</v>
      </c>
      <c r="S87" s="4"/>
      <c r="T87" s="4"/>
    </row>
    <row r="88" customFormat="false" ht="15" hidden="false" customHeight="false" outlineLevel="0" collapsed="false">
      <c r="A88" s="4" t="s">
        <v>1848</v>
      </c>
      <c r="B88" s="4" t="s">
        <v>1837</v>
      </c>
      <c r="C88" s="4" t="n">
        <v>9</v>
      </c>
      <c r="D88" s="5" t="s">
        <v>1849</v>
      </c>
      <c r="E88" s="4" t="s">
        <v>563</v>
      </c>
      <c r="F88" s="4" t="s">
        <v>1611</v>
      </c>
      <c r="G88" s="4" t="n">
        <v>5</v>
      </c>
      <c r="H88" s="4" t="s">
        <v>38</v>
      </c>
      <c r="I88" s="4" t="s">
        <v>38</v>
      </c>
      <c r="J88" s="4"/>
      <c r="K88" s="4"/>
      <c r="L88" s="4" t="s">
        <v>38</v>
      </c>
      <c r="M88" s="4" t="s">
        <v>38</v>
      </c>
      <c r="N88" s="5" t="s">
        <v>1506</v>
      </c>
      <c r="O88" s="4" t="s">
        <v>143</v>
      </c>
      <c r="P88" s="5" t="s">
        <v>1507</v>
      </c>
      <c r="Q88" s="4" t="n">
        <v>0</v>
      </c>
      <c r="R88" s="4" t="n">
        <v>0</v>
      </c>
      <c r="S88" s="4"/>
      <c r="T88" s="4"/>
    </row>
    <row r="89" customFormat="false" ht="26.85" hidden="false" customHeight="false" outlineLevel="0" collapsed="false">
      <c r="A89" s="4" t="s">
        <v>1850</v>
      </c>
      <c r="B89" s="4" t="s">
        <v>1837</v>
      </c>
      <c r="C89" s="4" t="n">
        <v>10</v>
      </c>
      <c r="D89" s="5" t="s">
        <v>1851</v>
      </c>
      <c r="E89" s="4" t="s">
        <v>421</v>
      </c>
      <c r="F89" s="4" t="s">
        <v>1616</v>
      </c>
      <c r="G89" s="4" t="n">
        <v>5</v>
      </c>
      <c r="H89" s="4" t="s">
        <v>38</v>
      </c>
      <c r="I89" s="4" t="s">
        <v>38</v>
      </c>
      <c r="J89" s="4"/>
      <c r="K89" s="4"/>
      <c r="L89" s="4" t="s">
        <v>38</v>
      </c>
      <c r="M89" s="4" t="s">
        <v>38</v>
      </c>
      <c r="N89" s="5" t="s">
        <v>1506</v>
      </c>
      <c r="O89" s="4" t="s">
        <v>143</v>
      </c>
      <c r="P89" s="5" t="s">
        <v>1507</v>
      </c>
      <c r="Q89" s="4" t="n">
        <v>0</v>
      </c>
      <c r="R89" s="4" t="n">
        <v>0</v>
      </c>
      <c r="S89" s="4"/>
      <c r="T89" s="4"/>
    </row>
    <row r="90" customFormat="false" ht="26.85" hidden="false" customHeight="false" outlineLevel="0" collapsed="false">
      <c r="A90" s="4" t="s">
        <v>1852</v>
      </c>
      <c r="B90" s="4" t="s">
        <v>1837</v>
      </c>
      <c r="C90" s="4" t="n">
        <v>11</v>
      </c>
      <c r="D90" s="5" t="s">
        <v>1853</v>
      </c>
      <c r="E90" s="4" t="s">
        <v>421</v>
      </c>
      <c r="F90" s="4" t="s">
        <v>1621</v>
      </c>
      <c r="G90" s="4" t="n">
        <v>5</v>
      </c>
      <c r="H90" s="4" t="s">
        <v>38</v>
      </c>
      <c r="I90" s="4" t="s">
        <v>38</v>
      </c>
      <c r="J90" s="4"/>
      <c r="K90" s="4"/>
      <c r="L90" s="4" t="s">
        <v>38</v>
      </c>
      <c r="M90" s="4" t="s">
        <v>38</v>
      </c>
      <c r="N90" s="5" t="s">
        <v>1506</v>
      </c>
      <c r="O90" s="4" t="s">
        <v>143</v>
      </c>
      <c r="P90" s="5" t="s">
        <v>1507</v>
      </c>
      <c r="Q90" s="4" t="n">
        <v>0</v>
      </c>
      <c r="R90" s="4" t="n">
        <v>0</v>
      </c>
      <c r="S90" s="4"/>
      <c r="T90" s="4"/>
    </row>
    <row r="91" customFormat="false" ht="26.85" hidden="false" customHeight="false" outlineLevel="0" collapsed="false">
      <c r="A91" s="4" t="s">
        <v>1854</v>
      </c>
      <c r="B91" s="4" t="s">
        <v>1837</v>
      </c>
      <c r="C91" s="4" t="n">
        <v>12</v>
      </c>
      <c r="D91" s="5" t="s">
        <v>1855</v>
      </c>
      <c r="E91" s="5" t="s">
        <v>529</v>
      </c>
      <c r="F91" s="4" t="s">
        <v>1626</v>
      </c>
      <c r="G91" s="4" t="n">
        <v>5</v>
      </c>
      <c r="H91" s="4" t="s">
        <v>38</v>
      </c>
      <c r="I91" s="4" t="s">
        <v>38</v>
      </c>
      <c r="J91" s="4"/>
      <c r="K91" s="4"/>
      <c r="L91" s="4" t="s">
        <v>38</v>
      </c>
      <c r="M91" s="4" t="s">
        <v>38</v>
      </c>
      <c r="N91" s="5" t="s">
        <v>1506</v>
      </c>
      <c r="O91" s="4" t="s">
        <v>143</v>
      </c>
      <c r="P91" s="5" t="s">
        <v>1507</v>
      </c>
      <c r="Q91" s="4" t="n">
        <v>0</v>
      </c>
      <c r="R91" s="4" t="n">
        <v>0</v>
      </c>
      <c r="S91" s="4"/>
      <c r="T91" s="4"/>
    </row>
    <row r="92" customFormat="false" ht="29.85" hidden="false" customHeight="false" outlineLevel="0" collapsed="false">
      <c r="A92" s="4" t="s">
        <v>1856</v>
      </c>
      <c r="B92" s="4" t="s">
        <v>1837</v>
      </c>
      <c r="C92" s="4" t="n">
        <v>13</v>
      </c>
      <c r="D92" s="4" t="s">
        <v>1857</v>
      </c>
      <c r="E92" s="4" t="s">
        <v>559</v>
      </c>
      <c r="F92" s="4" t="s">
        <v>1631</v>
      </c>
      <c r="G92" s="4" t="n">
        <v>5</v>
      </c>
      <c r="H92" s="4"/>
      <c r="I92" s="4"/>
      <c r="J92" s="4"/>
      <c r="K92" s="4"/>
      <c r="L92" s="5" t="s">
        <v>1602</v>
      </c>
      <c r="M92" s="13" t="s">
        <v>39</v>
      </c>
      <c r="N92" s="5" t="s">
        <v>1526</v>
      </c>
      <c r="O92" s="4" t="s">
        <v>143</v>
      </c>
      <c r="P92" s="4" t="s">
        <v>1858</v>
      </c>
      <c r="Q92" s="4" t="n">
        <v>0</v>
      </c>
      <c r="R92" s="4" t="n">
        <v>0</v>
      </c>
      <c r="S92" s="4"/>
      <c r="T92" s="4"/>
    </row>
    <row r="93" customFormat="false" ht="29.85" hidden="false" customHeight="false" outlineLevel="0" collapsed="false">
      <c r="A93" s="4" t="s">
        <v>1859</v>
      </c>
      <c r="B93" s="4" t="s">
        <v>1837</v>
      </c>
      <c r="C93" s="4" t="n">
        <v>14</v>
      </c>
      <c r="D93" s="5" t="s">
        <v>1860</v>
      </c>
      <c r="E93" s="4" t="s">
        <v>559</v>
      </c>
      <c r="F93" s="4" t="s">
        <v>1861</v>
      </c>
      <c r="G93" s="4" t="n">
        <v>5</v>
      </c>
      <c r="H93" s="4"/>
      <c r="I93" s="4"/>
      <c r="J93" s="4"/>
      <c r="K93" s="4"/>
      <c r="L93" s="5" t="s">
        <v>1602</v>
      </c>
      <c r="M93" s="13" t="s">
        <v>39</v>
      </c>
      <c r="N93" s="5" t="s">
        <v>1526</v>
      </c>
      <c r="O93" s="4" t="s">
        <v>143</v>
      </c>
      <c r="P93" s="4" t="s">
        <v>1862</v>
      </c>
      <c r="Q93" s="4" t="n">
        <v>0</v>
      </c>
      <c r="R93" s="4" t="n">
        <v>0</v>
      </c>
      <c r="S93" s="4"/>
      <c r="T93" s="4"/>
    </row>
    <row r="94" customFormat="false" ht="29.85" hidden="false" customHeight="false" outlineLevel="0" collapsed="false">
      <c r="A94" s="4" t="s">
        <v>1863</v>
      </c>
      <c r="B94" s="4" t="s">
        <v>1837</v>
      </c>
      <c r="C94" s="4" t="n">
        <v>40</v>
      </c>
      <c r="D94" s="5" t="s">
        <v>1864</v>
      </c>
      <c r="E94" s="4" t="s">
        <v>559</v>
      </c>
      <c r="F94" s="4" t="s">
        <v>1865</v>
      </c>
      <c r="G94" s="4" t="n">
        <v>3</v>
      </c>
      <c r="H94" s="4" t="s">
        <v>1300</v>
      </c>
      <c r="I94" s="4" t="s">
        <v>1300</v>
      </c>
      <c r="J94" s="4"/>
      <c r="K94" s="4" t="s">
        <v>1221</v>
      </c>
      <c r="L94" s="5" t="s">
        <v>1525</v>
      </c>
      <c r="M94" s="5" t="s">
        <v>34</v>
      </c>
      <c r="N94" s="5" t="s">
        <v>1506</v>
      </c>
      <c r="O94" s="4" t="s">
        <v>54</v>
      </c>
      <c r="P94" s="4" t="s">
        <v>1866</v>
      </c>
      <c r="Q94" s="4" t="n">
        <v>2</v>
      </c>
      <c r="R94" s="4" t="n">
        <v>0</v>
      </c>
      <c r="S94" s="4" t="s">
        <v>1357</v>
      </c>
      <c r="T94" s="4"/>
    </row>
    <row r="95" customFormat="false" ht="29.85" hidden="false" customHeight="false" outlineLevel="0" collapsed="false">
      <c r="A95" s="4" t="s">
        <v>1867</v>
      </c>
      <c r="B95" s="4" t="s">
        <v>1868</v>
      </c>
      <c r="C95" s="4" t="n">
        <v>5</v>
      </c>
      <c r="D95" s="4" t="s">
        <v>1869</v>
      </c>
      <c r="E95" s="4" t="s">
        <v>421</v>
      </c>
      <c r="F95" s="4" t="s">
        <v>1870</v>
      </c>
      <c r="G95" s="4" t="n">
        <v>1</v>
      </c>
      <c r="H95" s="4" t="s">
        <v>37</v>
      </c>
      <c r="I95" s="4" t="s">
        <v>37</v>
      </c>
      <c r="J95" s="4"/>
      <c r="K95" s="4" t="s">
        <v>820</v>
      </c>
      <c r="L95" s="4" t="s">
        <v>37</v>
      </c>
      <c r="M95" s="4" t="s">
        <v>37</v>
      </c>
      <c r="N95" s="5" t="s">
        <v>1506</v>
      </c>
      <c r="O95" s="4" t="s">
        <v>143</v>
      </c>
      <c r="P95" s="5" t="s">
        <v>1871</v>
      </c>
      <c r="Q95" s="4" t="n">
        <v>0</v>
      </c>
      <c r="R95" s="4" t="n">
        <v>0</v>
      </c>
      <c r="S95" s="4"/>
      <c r="T95" s="4"/>
    </row>
    <row r="96" customFormat="false" ht="29.85" hidden="false" customHeight="false" outlineLevel="0" collapsed="false">
      <c r="A96" s="4" t="s">
        <v>1872</v>
      </c>
      <c r="B96" s="4" t="s">
        <v>1868</v>
      </c>
      <c r="C96" s="4" t="n">
        <v>10</v>
      </c>
      <c r="D96" s="5" t="s">
        <v>1873</v>
      </c>
      <c r="E96" s="4"/>
      <c r="F96" s="4" t="s">
        <v>1874</v>
      </c>
      <c r="G96" s="4" t="n">
        <v>7</v>
      </c>
      <c r="H96" s="4"/>
      <c r="I96" s="4"/>
      <c r="J96" s="4"/>
      <c r="K96" s="4"/>
      <c r="L96" s="5" t="s">
        <v>40</v>
      </c>
      <c r="M96" s="5" t="s">
        <v>40</v>
      </c>
      <c r="N96" s="5" t="s">
        <v>1506</v>
      </c>
      <c r="O96" s="4" t="s">
        <v>143</v>
      </c>
      <c r="P96" s="5" t="s">
        <v>1507</v>
      </c>
      <c r="Q96" s="4" t="n">
        <v>0</v>
      </c>
      <c r="R96" s="4" t="n">
        <v>0</v>
      </c>
      <c r="S96" s="4"/>
      <c r="T96" s="4"/>
    </row>
    <row r="97" customFormat="false" ht="29.85" hidden="false" customHeight="false" outlineLevel="0" collapsed="false">
      <c r="A97" s="4" t="s">
        <v>1875</v>
      </c>
      <c r="B97" s="4" t="s">
        <v>1868</v>
      </c>
      <c r="C97" s="4" t="n">
        <v>13</v>
      </c>
      <c r="D97" s="4" t="s">
        <v>1876</v>
      </c>
      <c r="E97" s="4"/>
      <c r="F97" s="4" t="s">
        <v>1877</v>
      </c>
      <c r="G97" s="4" t="n">
        <v>7</v>
      </c>
      <c r="H97" s="4"/>
      <c r="I97" s="4"/>
      <c r="J97" s="4"/>
      <c r="K97" s="4"/>
      <c r="L97" s="5" t="s">
        <v>1602</v>
      </c>
      <c r="M97" s="14" t="s">
        <v>34</v>
      </c>
      <c r="N97" s="5" t="s">
        <v>1526</v>
      </c>
      <c r="O97" s="4" t="s">
        <v>50</v>
      </c>
      <c r="P97" s="5" t="s">
        <v>1878</v>
      </c>
      <c r="Q97" s="4" t="n">
        <v>0</v>
      </c>
      <c r="R97" s="4" t="n">
        <v>0</v>
      </c>
      <c r="S97" s="4"/>
      <c r="T97" s="4"/>
    </row>
    <row r="98" customFormat="false" ht="29.85" hidden="false" customHeight="false" outlineLevel="0" collapsed="false">
      <c r="A98" s="4" t="s">
        <v>1879</v>
      </c>
      <c r="B98" s="4" t="s">
        <v>1868</v>
      </c>
      <c r="C98" s="4" t="n">
        <v>14</v>
      </c>
      <c r="D98" s="5" t="s">
        <v>1880</v>
      </c>
      <c r="E98" s="4" t="s">
        <v>1826</v>
      </c>
      <c r="F98" s="4" t="s">
        <v>1881</v>
      </c>
      <c r="G98" s="4" t="n">
        <v>7</v>
      </c>
      <c r="H98" s="4"/>
      <c r="I98" s="4"/>
      <c r="J98" s="4"/>
      <c r="K98" s="4"/>
      <c r="L98" s="5" t="s">
        <v>1602</v>
      </c>
      <c r="M98" s="14" t="s">
        <v>34</v>
      </c>
      <c r="N98" s="5" t="s">
        <v>1526</v>
      </c>
      <c r="O98" s="4" t="s">
        <v>50</v>
      </c>
      <c r="P98" s="5" t="s">
        <v>1882</v>
      </c>
      <c r="Q98" s="4" t="n">
        <v>0</v>
      </c>
      <c r="R98" s="4" t="n">
        <v>0</v>
      </c>
      <c r="S98" s="4"/>
      <c r="T98" s="4"/>
    </row>
    <row r="99" customFormat="false" ht="29.85" hidden="false" customHeight="false" outlineLevel="0" collapsed="false">
      <c r="A99" s="4" t="s">
        <v>1883</v>
      </c>
      <c r="B99" s="4" t="s">
        <v>1868</v>
      </c>
      <c r="C99" s="4" t="n">
        <v>15</v>
      </c>
      <c r="D99" s="4" t="s">
        <v>1884</v>
      </c>
      <c r="E99" s="4" t="s">
        <v>563</v>
      </c>
      <c r="F99" s="4" t="s">
        <v>1885</v>
      </c>
      <c r="G99" s="4" t="n">
        <v>7</v>
      </c>
      <c r="H99" s="4"/>
      <c r="I99" s="4"/>
      <c r="J99" s="4"/>
      <c r="K99" s="4"/>
      <c r="L99" s="5" t="s">
        <v>1602</v>
      </c>
      <c r="M99" s="14" t="s">
        <v>34</v>
      </c>
      <c r="N99" s="5" t="s">
        <v>1526</v>
      </c>
      <c r="O99" s="4" t="s">
        <v>50</v>
      </c>
      <c r="P99" s="5" t="s">
        <v>1886</v>
      </c>
      <c r="Q99" s="4" t="n">
        <v>0</v>
      </c>
      <c r="R99" s="4" t="n">
        <v>0</v>
      </c>
      <c r="S99" s="4"/>
      <c r="T99" s="4"/>
    </row>
    <row r="100" customFormat="false" ht="29.85" hidden="false" customHeight="false" outlineLevel="0" collapsed="false">
      <c r="A100" s="4" t="s">
        <v>1887</v>
      </c>
      <c r="B100" s="4" t="s">
        <v>1868</v>
      </c>
      <c r="C100" s="4" t="n">
        <v>16</v>
      </c>
      <c r="D100" s="4" t="s">
        <v>1888</v>
      </c>
      <c r="E100" s="4" t="s">
        <v>563</v>
      </c>
      <c r="F100" s="4" t="s">
        <v>1889</v>
      </c>
      <c r="G100" s="4" t="n">
        <v>7</v>
      </c>
      <c r="H100" s="4"/>
      <c r="I100" s="4"/>
      <c r="J100" s="4"/>
      <c r="K100" s="4"/>
      <c r="L100" s="5" t="s">
        <v>1602</v>
      </c>
      <c r="M100" s="14" t="s">
        <v>34</v>
      </c>
      <c r="N100" s="5" t="s">
        <v>1526</v>
      </c>
      <c r="O100" s="4" t="s">
        <v>50</v>
      </c>
      <c r="P100" s="5" t="s">
        <v>1890</v>
      </c>
      <c r="Q100" s="4" t="n">
        <v>0</v>
      </c>
      <c r="R100" s="4" t="n">
        <v>0</v>
      </c>
      <c r="S100" s="4"/>
      <c r="T100" s="4"/>
    </row>
    <row r="101" customFormat="false" ht="58.2" hidden="false" customHeight="false" outlineLevel="0" collapsed="false">
      <c r="A101" s="4" t="s">
        <v>1891</v>
      </c>
      <c r="B101" s="4" t="s">
        <v>1868</v>
      </c>
      <c r="C101" s="4" t="n">
        <v>17</v>
      </c>
      <c r="D101" s="5" t="s">
        <v>1892</v>
      </c>
      <c r="E101" s="4" t="s">
        <v>1826</v>
      </c>
      <c r="F101" s="4" t="s">
        <v>1893</v>
      </c>
      <c r="G101" s="4" t="n">
        <v>7</v>
      </c>
      <c r="H101" s="4"/>
      <c r="I101" s="4"/>
      <c r="J101" s="4"/>
      <c r="K101" s="4"/>
      <c r="L101" s="5" t="s">
        <v>1602</v>
      </c>
      <c r="M101" s="14" t="s">
        <v>34</v>
      </c>
      <c r="N101" s="5" t="s">
        <v>1526</v>
      </c>
      <c r="O101" s="4" t="s">
        <v>50</v>
      </c>
      <c r="P101" s="4" t="s">
        <v>1894</v>
      </c>
      <c r="Q101" s="4" t="n">
        <v>7</v>
      </c>
      <c r="R101" s="4" t="n">
        <v>0</v>
      </c>
      <c r="S101" s="4" t="s">
        <v>1895</v>
      </c>
      <c r="T101" s="4"/>
    </row>
    <row r="102" customFormat="false" ht="29.85" hidden="false" customHeight="false" outlineLevel="0" collapsed="false">
      <c r="A102" s="4" t="s">
        <v>1896</v>
      </c>
      <c r="B102" s="4" t="s">
        <v>1868</v>
      </c>
      <c r="C102" s="4" t="n">
        <v>67</v>
      </c>
      <c r="D102" s="4" t="s">
        <v>1897</v>
      </c>
      <c r="E102" s="4" t="s">
        <v>559</v>
      </c>
      <c r="F102" s="4" t="s">
        <v>1898</v>
      </c>
      <c r="G102" s="4" t="n">
        <v>5</v>
      </c>
      <c r="H102" s="4" t="s">
        <v>1667</v>
      </c>
      <c r="I102" s="4" t="s">
        <v>37</v>
      </c>
      <c r="J102" s="5" t="s">
        <v>1506</v>
      </c>
      <c r="K102" s="4" t="s">
        <v>820</v>
      </c>
      <c r="L102" s="4" t="s">
        <v>37</v>
      </c>
      <c r="M102" s="4" t="s">
        <v>37</v>
      </c>
      <c r="N102" s="5" t="s">
        <v>1506</v>
      </c>
      <c r="O102" s="4" t="s">
        <v>143</v>
      </c>
      <c r="P102" s="4" t="s">
        <v>1899</v>
      </c>
      <c r="Q102" s="4" t="n">
        <v>0</v>
      </c>
      <c r="R102" s="4" t="n">
        <v>0</v>
      </c>
      <c r="S102" s="4"/>
      <c r="T102" s="4"/>
    </row>
    <row r="103" customFormat="false" ht="26.85" hidden="false" customHeight="false" outlineLevel="0" collapsed="false">
      <c r="A103" s="4" t="s">
        <v>1900</v>
      </c>
      <c r="B103" s="4" t="s">
        <v>1868</v>
      </c>
      <c r="C103" s="4" t="n">
        <v>68</v>
      </c>
      <c r="D103" s="5" t="s">
        <v>1901</v>
      </c>
      <c r="E103" s="4" t="s">
        <v>559</v>
      </c>
      <c r="F103" s="4" t="s">
        <v>1902</v>
      </c>
      <c r="G103" s="4" t="n">
        <v>5</v>
      </c>
      <c r="H103" s="4" t="s">
        <v>38</v>
      </c>
      <c r="I103" s="4" t="s">
        <v>38</v>
      </c>
      <c r="J103" s="4"/>
      <c r="K103" s="4"/>
      <c r="L103" s="4" t="s">
        <v>38</v>
      </c>
      <c r="M103" s="4" t="s">
        <v>38</v>
      </c>
      <c r="N103" s="5" t="s">
        <v>1506</v>
      </c>
      <c r="O103" s="4" t="s">
        <v>143</v>
      </c>
      <c r="P103" s="5" t="s">
        <v>1507</v>
      </c>
      <c r="Q103" s="4" t="n">
        <v>0</v>
      </c>
      <c r="R103" s="4" t="n">
        <v>0</v>
      </c>
      <c r="S103" s="4"/>
      <c r="T103" s="4"/>
    </row>
    <row r="104" customFormat="false" ht="29.85" hidden="false" customHeight="false" outlineLevel="0" collapsed="false">
      <c r="A104" s="4" t="s">
        <v>1903</v>
      </c>
      <c r="B104" s="4" t="s">
        <v>1868</v>
      </c>
      <c r="C104" s="4" t="n">
        <v>69</v>
      </c>
      <c r="D104" s="4" t="s">
        <v>1904</v>
      </c>
      <c r="E104" s="4" t="s">
        <v>559</v>
      </c>
      <c r="F104" s="4" t="s">
        <v>1905</v>
      </c>
      <c r="G104" s="4" t="n">
        <v>5</v>
      </c>
      <c r="H104" s="4"/>
      <c r="I104" s="4"/>
      <c r="J104" s="4"/>
      <c r="K104" s="4" t="s">
        <v>820</v>
      </c>
      <c r="L104" s="5" t="s">
        <v>1602</v>
      </c>
      <c r="M104" s="13" t="s">
        <v>38</v>
      </c>
      <c r="N104" s="5" t="s">
        <v>1526</v>
      </c>
      <c r="O104" s="4" t="s">
        <v>143</v>
      </c>
      <c r="P104" s="4" t="s">
        <v>1906</v>
      </c>
      <c r="Q104" s="4" t="n">
        <v>0</v>
      </c>
      <c r="R104" s="4" t="n">
        <v>0</v>
      </c>
      <c r="S104" s="4"/>
      <c r="T104" s="4"/>
    </row>
    <row r="105" customFormat="false" ht="15" hidden="false" customHeight="false" outlineLevel="0" collapsed="false">
      <c r="A105" s="4" t="s">
        <v>1907</v>
      </c>
      <c r="B105" s="4" t="s">
        <v>1868</v>
      </c>
      <c r="C105" s="4" t="n">
        <v>90</v>
      </c>
      <c r="D105" s="4" t="s">
        <v>1908</v>
      </c>
      <c r="E105" s="4"/>
      <c r="F105" s="4" t="s">
        <v>1909</v>
      </c>
      <c r="G105" s="4" t="n">
        <v>3</v>
      </c>
      <c r="H105" s="4"/>
      <c r="I105" s="4"/>
      <c r="J105" s="4"/>
      <c r="K105" s="4"/>
      <c r="L105" s="5" t="s">
        <v>1602</v>
      </c>
      <c r="M105" s="14" t="s">
        <v>41</v>
      </c>
      <c r="N105" s="5" t="s">
        <v>1526</v>
      </c>
      <c r="O105" s="4" t="s">
        <v>143</v>
      </c>
      <c r="P105" s="4" t="s">
        <v>1910</v>
      </c>
      <c r="Q105" s="4" t="n">
        <v>0</v>
      </c>
      <c r="R105" s="4" t="n">
        <v>0</v>
      </c>
      <c r="S105" s="4"/>
      <c r="T105" s="4"/>
    </row>
    <row r="106" customFormat="false" ht="15" hidden="false" customHeight="false" outlineLevel="0" collapsed="false">
      <c r="A106" s="4" t="s">
        <v>1911</v>
      </c>
      <c r="B106" s="4" t="s">
        <v>1868</v>
      </c>
      <c r="C106" s="4" t="n">
        <v>100</v>
      </c>
      <c r="D106" s="5" t="s">
        <v>1708</v>
      </c>
      <c r="E106" s="4" t="s">
        <v>498</v>
      </c>
      <c r="F106" s="4" t="s">
        <v>1912</v>
      </c>
      <c r="G106" s="4" t="n">
        <v>1</v>
      </c>
      <c r="H106" s="4" t="s">
        <v>1294</v>
      </c>
      <c r="I106" s="4" t="s">
        <v>1294</v>
      </c>
      <c r="J106" s="4"/>
      <c r="K106" s="4" t="s">
        <v>858</v>
      </c>
      <c r="L106" s="5" t="s">
        <v>1525</v>
      </c>
      <c r="M106" s="5" t="s">
        <v>34</v>
      </c>
      <c r="N106" s="5" t="s">
        <v>1506</v>
      </c>
      <c r="O106" s="4" t="s">
        <v>49</v>
      </c>
      <c r="P106" s="4" t="s">
        <v>1913</v>
      </c>
      <c r="Q106" s="4" t="n">
        <v>1</v>
      </c>
      <c r="R106" s="4" t="n">
        <v>0</v>
      </c>
      <c r="S106" s="4" t="s">
        <v>573</v>
      </c>
      <c r="T106" s="4"/>
    </row>
    <row r="107" customFormat="false" ht="15" hidden="false" customHeight="false" outlineLevel="0" collapsed="false">
      <c r="A107" s="4" t="s">
        <v>1914</v>
      </c>
      <c r="B107" s="4" t="s">
        <v>1868</v>
      </c>
      <c r="C107" s="4" t="n">
        <v>101</v>
      </c>
      <c r="D107" s="5" t="s">
        <v>1714</v>
      </c>
      <c r="E107" s="4" t="s">
        <v>498</v>
      </c>
      <c r="F107" s="4" t="s">
        <v>1915</v>
      </c>
      <c r="G107" s="4" t="n">
        <v>1</v>
      </c>
      <c r="H107" s="4"/>
      <c r="I107" s="4"/>
      <c r="J107" s="4"/>
      <c r="K107" s="4"/>
      <c r="L107" s="5" t="s">
        <v>1602</v>
      </c>
      <c r="M107" s="14" t="s">
        <v>34</v>
      </c>
      <c r="N107" s="5" t="s">
        <v>1526</v>
      </c>
      <c r="O107" s="4" t="s">
        <v>49</v>
      </c>
      <c r="P107" s="4" t="s">
        <v>1916</v>
      </c>
      <c r="Q107" s="4" t="n">
        <v>1</v>
      </c>
      <c r="R107" s="4" t="n">
        <v>0</v>
      </c>
      <c r="S107" s="4" t="s">
        <v>577</v>
      </c>
      <c r="T107" s="4"/>
    </row>
    <row r="108" customFormat="false" ht="15" hidden="false" customHeight="false" outlineLevel="0" collapsed="false">
      <c r="A108" s="4" t="s">
        <v>1917</v>
      </c>
      <c r="B108" s="4" t="s">
        <v>1868</v>
      </c>
      <c r="C108" s="4" t="n">
        <v>102</v>
      </c>
      <c r="D108" s="5" t="s">
        <v>1719</v>
      </c>
      <c r="E108" s="4"/>
      <c r="F108" s="4" t="s">
        <v>1918</v>
      </c>
      <c r="G108" s="4" t="n">
        <v>1</v>
      </c>
      <c r="H108" s="4"/>
      <c r="I108" s="4"/>
      <c r="J108" s="4"/>
      <c r="K108" s="4"/>
      <c r="L108" s="5" t="s">
        <v>1602</v>
      </c>
      <c r="M108" s="14" t="s">
        <v>34</v>
      </c>
      <c r="N108" s="5" t="s">
        <v>1526</v>
      </c>
      <c r="O108" s="4" t="s">
        <v>49</v>
      </c>
      <c r="P108" s="4" t="s">
        <v>1919</v>
      </c>
      <c r="Q108" s="4" t="n">
        <v>1</v>
      </c>
      <c r="R108" s="4" t="n">
        <v>0</v>
      </c>
      <c r="S108" s="4" t="s">
        <v>580</v>
      </c>
      <c r="T108" s="4"/>
    </row>
    <row r="109" customFormat="false" ht="15" hidden="false" customHeight="false" outlineLevel="0" collapsed="false">
      <c r="A109" s="4" t="s">
        <v>1920</v>
      </c>
      <c r="B109" s="4" t="s">
        <v>1868</v>
      </c>
      <c r="C109" s="4" t="n">
        <v>103</v>
      </c>
      <c r="D109" s="4" t="s">
        <v>1724</v>
      </c>
      <c r="E109" s="4"/>
      <c r="F109" s="4" t="s">
        <v>1921</v>
      </c>
      <c r="G109" s="4" t="n">
        <v>1</v>
      </c>
      <c r="H109" s="4"/>
      <c r="I109" s="4"/>
      <c r="J109" s="4"/>
      <c r="K109" s="4"/>
      <c r="L109" s="5" t="s">
        <v>1602</v>
      </c>
      <c r="M109" s="14" t="s">
        <v>34</v>
      </c>
      <c r="N109" s="5" t="s">
        <v>1526</v>
      </c>
      <c r="O109" s="4" t="s">
        <v>49</v>
      </c>
      <c r="P109" s="4" t="s">
        <v>1922</v>
      </c>
      <c r="Q109" s="4" t="n">
        <v>1</v>
      </c>
      <c r="R109" s="4" t="n">
        <v>0</v>
      </c>
      <c r="S109" s="4" t="s">
        <v>583</v>
      </c>
      <c r="T109" s="4"/>
    </row>
    <row r="110" customFormat="false" ht="15" hidden="false" customHeight="false" outlineLevel="0" collapsed="false">
      <c r="A110" s="4" t="s">
        <v>1923</v>
      </c>
      <c r="B110" s="4" t="s">
        <v>1868</v>
      </c>
      <c r="C110" s="4" t="n">
        <v>104</v>
      </c>
      <c r="D110" s="4" t="s">
        <v>1737</v>
      </c>
      <c r="E110" s="4"/>
      <c r="F110" s="4" t="s">
        <v>1924</v>
      </c>
      <c r="G110" s="4" t="n">
        <v>1</v>
      </c>
      <c r="H110" s="4"/>
      <c r="I110" s="4"/>
      <c r="J110" s="4"/>
      <c r="K110" s="4"/>
      <c r="L110" s="5" t="s">
        <v>1602</v>
      </c>
      <c r="M110" s="14" t="s">
        <v>34</v>
      </c>
      <c r="N110" s="5" t="s">
        <v>1526</v>
      </c>
      <c r="O110" s="4" t="s">
        <v>49</v>
      </c>
      <c r="P110" s="4" t="s">
        <v>1925</v>
      </c>
      <c r="Q110" s="4" t="n">
        <v>1</v>
      </c>
      <c r="R110" s="4" t="n">
        <v>0</v>
      </c>
      <c r="S110" s="4" t="s">
        <v>586</v>
      </c>
      <c r="T110" s="4"/>
    </row>
    <row r="111" customFormat="false" ht="15" hidden="false" customHeight="false" outlineLevel="0" collapsed="false">
      <c r="A111" s="4" t="s">
        <v>1926</v>
      </c>
      <c r="B111" s="4" t="s">
        <v>1868</v>
      </c>
      <c r="C111" s="4" t="n">
        <v>105</v>
      </c>
      <c r="D111" s="5" t="s">
        <v>1927</v>
      </c>
      <c r="E111" s="4"/>
      <c r="F111" s="4" t="s">
        <v>1928</v>
      </c>
      <c r="G111" s="4" t="n">
        <v>1</v>
      </c>
      <c r="H111" s="4"/>
      <c r="I111" s="4"/>
      <c r="J111" s="4"/>
      <c r="K111" s="4"/>
      <c r="L111" s="5" t="s">
        <v>1602</v>
      </c>
      <c r="M111" s="14" t="s">
        <v>34</v>
      </c>
      <c r="N111" s="5" t="s">
        <v>1526</v>
      </c>
      <c r="O111" s="4" t="s">
        <v>49</v>
      </c>
      <c r="P111" s="4" t="s">
        <v>1929</v>
      </c>
      <c r="Q111" s="4" t="n">
        <v>1</v>
      </c>
      <c r="R111" s="4" t="n">
        <v>0</v>
      </c>
      <c r="S111" s="4" t="s">
        <v>589</v>
      </c>
      <c r="T111" s="4"/>
    </row>
    <row r="112" customFormat="false" ht="15" hidden="false" customHeight="false" outlineLevel="0" collapsed="false">
      <c r="A112" s="4" t="s">
        <v>1930</v>
      </c>
      <c r="B112" s="4" t="s">
        <v>1868</v>
      </c>
      <c r="C112" s="4" t="n">
        <v>106</v>
      </c>
      <c r="D112" s="4" t="s">
        <v>1746</v>
      </c>
      <c r="E112" s="4"/>
      <c r="F112" s="4" t="s">
        <v>1931</v>
      </c>
      <c r="G112" s="4" t="n">
        <v>1</v>
      </c>
      <c r="H112" s="4"/>
      <c r="I112" s="4"/>
      <c r="J112" s="4"/>
      <c r="K112" s="4"/>
      <c r="L112" s="5" t="s">
        <v>1602</v>
      </c>
      <c r="M112" s="14" t="s">
        <v>34</v>
      </c>
      <c r="N112" s="5" t="s">
        <v>1526</v>
      </c>
      <c r="O112" s="4" t="s">
        <v>49</v>
      </c>
      <c r="P112" s="4" t="s">
        <v>1932</v>
      </c>
      <c r="Q112" s="4" t="n">
        <v>1</v>
      </c>
      <c r="R112" s="4" t="n">
        <v>0</v>
      </c>
      <c r="S112" s="4" t="s">
        <v>592</v>
      </c>
      <c r="T112" s="4"/>
    </row>
    <row r="113" customFormat="false" ht="15" hidden="false" customHeight="false" outlineLevel="0" collapsed="false">
      <c r="A113" s="4" t="s">
        <v>1933</v>
      </c>
      <c r="B113" s="4" t="s">
        <v>1868</v>
      </c>
      <c r="C113" s="4" t="n">
        <v>107</v>
      </c>
      <c r="D113" s="4" t="s">
        <v>1750</v>
      </c>
      <c r="E113" s="4"/>
      <c r="F113" s="4" t="s">
        <v>1934</v>
      </c>
      <c r="G113" s="4" t="n">
        <v>1</v>
      </c>
      <c r="H113" s="4"/>
      <c r="I113" s="4"/>
      <c r="J113" s="4"/>
      <c r="K113" s="4"/>
      <c r="L113" s="5" t="s">
        <v>1602</v>
      </c>
      <c r="M113" s="14" t="s">
        <v>34</v>
      </c>
      <c r="N113" s="5" t="s">
        <v>1526</v>
      </c>
      <c r="O113" s="4" t="s">
        <v>49</v>
      </c>
      <c r="P113" s="4" t="s">
        <v>1935</v>
      </c>
      <c r="Q113" s="4" t="n">
        <v>1</v>
      </c>
      <c r="R113" s="4" t="n">
        <v>0</v>
      </c>
      <c r="S113" s="4" t="s">
        <v>595</v>
      </c>
      <c r="T113" s="4"/>
    </row>
    <row r="114" customFormat="false" ht="29.85" hidden="false" customHeight="false" outlineLevel="0" collapsed="false">
      <c r="A114" s="4" t="s">
        <v>1936</v>
      </c>
      <c r="B114" s="4" t="s">
        <v>1868</v>
      </c>
      <c r="C114" s="4" t="n">
        <v>108</v>
      </c>
      <c r="D114" s="4" t="s">
        <v>1937</v>
      </c>
      <c r="E114" s="4" t="s">
        <v>498</v>
      </c>
      <c r="F114" s="4" t="s">
        <v>1938</v>
      </c>
      <c r="G114" s="4" t="n">
        <v>1</v>
      </c>
      <c r="H114" s="4"/>
      <c r="I114" s="4"/>
      <c r="J114" s="4"/>
      <c r="K114" s="4"/>
      <c r="L114" s="5" t="s">
        <v>1602</v>
      </c>
      <c r="M114" s="13" t="s">
        <v>36</v>
      </c>
      <c r="N114" s="5" t="s">
        <v>1526</v>
      </c>
      <c r="O114" s="4" t="s">
        <v>49</v>
      </c>
      <c r="P114" s="4" t="s">
        <v>1939</v>
      </c>
      <c r="Q114" s="4" t="n">
        <v>0</v>
      </c>
      <c r="R114" s="4" t="n">
        <v>1</v>
      </c>
      <c r="S114" s="4" t="s">
        <v>598</v>
      </c>
      <c r="T114" s="4"/>
    </row>
    <row r="115" customFormat="false" ht="29.85" hidden="false" customHeight="false" outlineLevel="0" collapsed="false">
      <c r="A115" s="4" t="s">
        <v>1940</v>
      </c>
      <c r="B115" s="4" t="s">
        <v>1868</v>
      </c>
      <c r="C115" s="4" t="n">
        <v>109</v>
      </c>
      <c r="D115" s="5" t="s">
        <v>1941</v>
      </c>
      <c r="E115" s="4" t="s">
        <v>623</v>
      </c>
      <c r="F115" s="4" t="s">
        <v>1942</v>
      </c>
      <c r="G115" s="4" t="n">
        <v>1</v>
      </c>
      <c r="H115" s="4"/>
      <c r="I115" s="4"/>
      <c r="J115" s="4"/>
      <c r="K115" s="4"/>
      <c r="L115" s="5" t="s">
        <v>1602</v>
      </c>
      <c r="M115" s="13" t="s">
        <v>36</v>
      </c>
      <c r="N115" s="5" t="s">
        <v>1526</v>
      </c>
      <c r="O115" s="4" t="s">
        <v>49</v>
      </c>
      <c r="P115" s="4" t="s">
        <v>1943</v>
      </c>
      <c r="Q115" s="4" t="n">
        <v>0</v>
      </c>
      <c r="R115" s="4" t="n">
        <v>0</v>
      </c>
      <c r="S115" s="4"/>
      <c r="T115" s="4"/>
    </row>
    <row r="116" customFormat="false" ht="15" hidden="false" customHeight="false" outlineLevel="0" collapsed="false">
      <c r="A116" s="4" t="s">
        <v>1944</v>
      </c>
      <c r="B116" s="4" t="s">
        <v>1868</v>
      </c>
      <c r="C116" s="4" t="n">
        <v>110</v>
      </c>
      <c r="D116" s="5" t="s">
        <v>1945</v>
      </c>
      <c r="E116" s="4" t="s">
        <v>563</v>
      </c>
      <c r="F116" s="4" t="s">
        <v>1946</v>
      </c>
      <c r="G116" s="4" t="n">
        <v>1</v>
      </c>
      <c r="H116" s="4"/>
      <c r="I116" s="4"/>
      <c r="J116" s="4"/>
      <c r="K116" s="4"/>
      <c r="L116" s="5" t="s">
        <v>1602</v>
      </c>
      <c r="M116" s="14" t="s">
        <v>34</v>
      </c>
      <c r="N116" s="5" t="s">
        <v>1526</v>
      </c>
      <c r="O116" s="4" t="s">
        <v>50</v>
      </c>
      <c r="P116" s="4" t="s">
        <v>1947</v>
      </c>
      <c r="Q116" s="4" t="n">
        <v>1</v>
      </c>
      <c r="R116" s="4" t="n">
        <v>0</v>
      </c>
      <c r="S116" s="4" t="s">
        <v>857</v>
      </c>
      <c r="T116" s="4"/>
    </row>
    <row r="117" customFormat="false" ht="15" hidden="false" customHeight="false" outlineLevel="0" collapsed="false">
      <c r="A117" s="4" t="s">
        <v>1948</v>
      </c>
      <c r="B117" s="4" t="s">
        <v>1868</v>
      </c>
      <c r="C117" s="4" t="n">
        <v>111</v>
      </c>
      <c r="D117" s="5" t="s">
        <v>1949</v>
      </c>
      <c r="E117" s="4" t="s">
        <v>563</v>
      </c>
      <c r="F117" s="4" t="s">
        <v>1950</v>
      </c>
      <c r="G117" s="4" t="n">
        <v>1</v>
      </c>
      <c r="H117" s="4"/>
      <c r="I117" s="4"/>
      <c r="J117" s="4"/>
      <c r="K117" s="4"/>
      <c r="L117" s="5" t="s">
        <v>1602</v>
      </c>
      <c r="M117" s="14" t="s">
        <v>34</v>
      </c>
      <c r="N117" s="5" t="s">
        <v>1526</v>
      </c>
      <c r="O117" s="4" t="s">
        <v>50</v>
      </c>
      <c r="P117" s="4" t="s">
        <v>1951</v>
      </c>
      <c r="Q117" s="4" t="n">
        <v>1</v>
      </c>
      <c r="R117" s="4" t="n">
        <v>0</v>
      </c>
      <c r="S117" s="4" t="s">
        <v>865</v>
      </c>
      <c r="T117" s="4"/>
    </row>
    <row r="118" customFormat="false" ht="26.85" hidden="false" customHeight="false" outlineLevel="0" collapsed="false">
      <c r="A118" s="4" t="s">
        <v>1952</v>
      </c>
      <c r="B118" s="4" t="s">
        <v>1868</v>
      </c>
      <c r="C118" s="4" t="n">
        <v>117</v>
      </c>
      <c r="D118" s="5" t="s">
        <v>1873</v>
      </c>
      <c r="E118" s="4"/>
      <c r="F118" s="4" t="s">
        <v>1953</v>
      </c>
      <c r="G118" s="4" t="n">
        <v>4</v>
      </c>
      <c r="H118" s="4"/>
      <c r="I118" s="4"/>
      <c r="J118" s="4"/>
      <c r="K118" s="4"/>
      <c r="L118" s="5" t="s">
        <v>40</v>
      </c>
      <c r="M118" s="5" t="s">
        <v>40</v>
      </c>
      <c r="N118" s="5" t="s">
        <v>1506</v>
      </c>
      <c r="O118" s="4" t="s">
        <v>143</v>
      </c>
      <c r="P118" s="5" t="s">
        <v>1507</v>
      </c>
      <c r="Q118" s="4" t="n">
        <v>0</v>
      </c>
      <c r="R118" s="4" t="n">
        <v>0</v>
      </c>
      <c r="S118" s="4"/>
      <c r="T118" s="4"/>
    </row>
    <row r="119" customFormat="false" ht="29.85" hidden="false" customHeight="false" outlineLevel="0" collapsed="false">
      <c r="A119" s="4" t="s">
        <v>1954</v>
      </c>
      <c r="B119" s="4" t="s">
        <v>1868</v>
      </c>
      <c r="C119" s="4" t="n">
        <v>119</v>
      </c>
      <c r="D119" s="5" t="s">
        <v>1955</v>
      </c>
      <c r="E119" s="4"/>
      <c r="F119" s="4" t="s">
        <v>1956</v>
      </c>
      <c r="G119" s="4" t="n">
        <v>4</v>
      </c>
      <c r="H119" s="4"/>
      <c r="I119" s="4"/>
      <c r="J119" s="4"/>
      <c r="K119" s="4"/>
      <c r="L119" s="5" t="s">
        <v>1602</v>
      </c>
      <c r="M119" s="14" t="s">
        <v>34</v>
      </c>
      <c r="N119" s="5" t="s">
        <v>1526</v>
      </c>
      <c r="O119" s="4" t="s">
        <v>50</v>
      </c>
      <c r="P119" s="4" t="s">
        <v>1957</v>
      </c>
      <c r="Q119" s="4" t="n">
        <v>0</v>
      </c>
      <c r="R119" s="4" t="n">
        <v>1</v>
      </c>
      <c r="S119" s="4" t="s">
        <v>882</v>
      </c>
      <c r="T119" s="4"/>
    </row>
    <row r="120" customFormat="false" ht="29.85" hidden="false" customHeight="false" outlineLevel="0" collapsed="false">
      <c r="A120" s="4" t="s">
        <v>1958</v>
      </c>
      <c r="B120" s="4" t="s">
        <v>1868</v>
      </c>
      <c r="C120" s="4" t="n">
        <v>120</v>
      </c>
      <c r="D120" s="4" t="s">
        <v>1959</v>
      </c>
      <c r="E120" s="4" t="s">
        <v>726</v>
      </c>
      <c r="F120" s="4" t="s">
        <v>1960</v>
      </c>
      <c r="G120" s="4" t="n">
        <v>1</v>
      </c>
      <c r="H120" s="4"/>
      <c r="I120" s="4"/>
      <c r="J120" s="4"/>
      <c r="K120" s="4"/>
      <c r="L120" s="5" t="s">
        <v>1602</v>
      </c>
      <c r="M120" s="14" t="s">
        <v>34</v>
      </c>
      <c r="N120" s="5" t="s">
        <v>1526</v>
      </c>
      <c r="O120" s="4" t="s">
        <v>50</v>
      </c>
      <c r="P120" s="4" t="s">
        <v>1961</v>
      </c>
      <c r="Q120" s="4" t="n">
        <v>1</v>
      </c>
      <c r="R120" s="4" t="n">
        <v>0</v>
      </c>
      <c r="S120" s="4" t="s">
        <v>840</v>
      </c>
      <c r="T120" s="4"/>
    </row>
    <row r="121" customFormat="false" ht="44" hidden="false" customHeight="false" outlineLevel="0" collapsed="false">
      <c r="A121" s="4" t="s">
        <v>1962</v>
      </c>
      <c r="B121" s="4" t="s">
        <v>1963</v>
      </c>
      <c r="C121" s="4" t="n">
        <v>5</v>
      </c>
      <c r="D121" s="4" t="s">
        <v>1964</v>
      </c>
      <c r="E121" s="4" t="s">
        <v>1965</v>
      </c>
      <c r="F121" s="4" t="s">
        <v>1966</v>
      </c>
      <c r="G121" s="4" t="n">
        <v>9</v>
      </c>
      <c r="H121" s="4" t="s">
        <v>1294</v>
      </c>
      <c r="I121" s="4" t="s">
        <v>1294</v>
      </c>
      <c r="J121" s="4"/>
      <c r="K121" s="4"/>
      <c r="L121" s="5" t="s">
        <v>1525</v>
      </c>
      <c r="M121" s="13" t="s">
        <v>42</v>
      </c>
      <c r="N121" s="5" t="s">
        <v>1526</v>
      </c>
      <c r="O121" s="4" t="s">
        <v>49</v>
      </c>
      <c r="P121" s="5" t="s">
        <v>1967</v>
      </c>
      <c r="Q121" s="4" t="n">
        <v>0</v>
      </c>
      <c r="R121" s="4" t="n">
        <v>0</v>
      </c>
      <c r="S121" s="4"/>
      <c r="T121" s="15" t="s">
        <v>1506</v>
      </c>
    </row>
    <row r="122" customFormat="false" ht="83.55" hidden="false" customHeight="false" outlineLevel="0" collapsed="false">
      <c r="A122" s="4" t="s">
        <v>1968</v>
      </c>
      <c r="B122" s="4" t="s">
        <v>1963</v>
      </c>
      <c r="C122" s="4" t="n">
        <v>6</v>
      </c>
      <c r="D122" s="4" t="s">
        <v>1969</v>
      </c>
      <c r="E122" s="5" t="s">
        <v>1970</v>
      </c>
      <c r="F122" s="4" t="s">
        <v>1971</v>
      </c>
      <c r="G122" s="4" t="n">
        <v>9</v>
      </c>
      <c r="H122" s="4" t="s">
        <v>1294</v>
      </c>
      <c r="I122" s="4" t="s">
        <v>1294</v>
      </c>
      <c r="J122" s="4"/>
      <c r="K122" s="4" t="s">
        <v>1972</v>
      </c>
      <c r="L122" s="5" t="s">
        <v>1525</v>
      </c>
      <c r="M122" s="13" t="s">
        <v>42</v>
      </c>
      <c r="N122" s="5" t="s">
        <v>1526</v>
      </c>
      <c r="O122" s="4" t="s">
        <v>49</v>
      </c>
      <c r="P122" s="5" t="s">
        <v>784</v>
      </c>
      <c r="Q122" s="4" t="n">
        <v>0</v>
      </c>
      <c r="R122" s="4" t="n">
        <v>0</v>
      </c>
      <c r="S122" s="4"/>
      <c r="T122" s="15" t="s">
        <v>1506</v>
      </c>
    </row>
    <row r="123" customFormat="false" ht="83.55" hidden="false" customHeight="false" outlineLevel="0" collapsed="false">
      <c r="A123" s="4" t="s">
        <v>1973</v>
      </c>
      <c r="B123" s="4" t="s">
        <v>1963</v>
      </c>
      <c r="C123" s="4" t="n">
        <v>7</v>
      </c>
      <c r="D123" s="4" t="s">
        <v>1974</v>
      </c>
      <c r="E123" s="4" t="s">
        <v>1975</v>
      </c>
      <c r="F123" s="4" t="s">
        <v>1976</v>
      </c>
      <c r="G123" s="4" t="n">
        <v>9</v>
      </c>
      <c r="H123" s="4" t="s">
        <v>1294</v>
      </c>
      <c r="I123" s="4" t="s">
        <v>1294</v>
      </c>
      <c r="J123" s="4"/>
      <c r="K123" s="4"/>
      <c r="L123" s="5" t="s">
        <v>1525</v>
      </c>
      <c r="M123" s="13" t="s">
        <v>42</v>
      </c>
      <c r="N123" s="5" t="s">
        <v>1526</v>
      </c>
      <c r="O123" s="4" t="s">
        <v>49</v>
      </c>
      <c r="P123" s="5" t="s">
        <v>784</v>
      </c>
      <c r="Q123" s="4" t="n">
        <v>0</v>
      </c>
      <c r="R123" s="4" t="n">
        <v>0</v>
      </c>
      <c r="S123" s="4"/>
      <c r="T123" s="15" t="s">
        <v>1506</v>
      </c>
    </row>
    <row r="124" customFormat="false" ht="72.35" hidden="false" customHeight="false" outlineLevel="0" collapsed="false">
      <c r="A124" s="4" t="s">
        <v>1977</v>
      </c>
      <c r="B124" s="4" t="s">
        <v>1963</v>
      </c>
      <c r="C124" s="4" t="n">
        <v>8</v>
      </c>
      <c r="D124" s="4" t="s">
        <v>1978</v>
      </c>
      <c r="E124" s="4" t="s">
        <v>1979</v>
      </c>
      <c r="F124" s="4" t="s">
        <v>1980</v>
      </c>
      <c r="G124" s="4" t="n">
        <v>9</v>
      </c>
      <c r="H124" s="4" t="s">
        <v>1300</v>
      </c>
      <c r="I124" s="4" t="s">
        <v>1300</v>
      </c>
      <c r="J124" s="4"/>
      <c r="K124" s="4" t="s">
        <v>604</v>
      </c>
      <c r="L124" s="5" t="s">
        <v>1525</v>
      </c>
      <c r="M124" s="13" t="s">
        <v>42</v>
      </c>
      <c r="N124" s="5" t="s">
        <v>1526</v>
      </c>
      <c r="O124" s="4" t="s">
        <v>49</v>
      </c>
      <c r="P124" s="5" t="s">
        <v>784</v>
      </c>
      <c r="Q124" s="4" t="n">
        <v>0</v>
      </c>
      <c r="R124" s="4" t="n">
        <v>0</v>
      </c>
      <c r="S124" s="4"/>
      <c r="T124" s="15" t="s">
        <v>1506</v>
      </c>
    </row>
    <row r="125" customFormat="false" ht="66.4" hidden="false" customHeight="false" outlineLevel="0" collapsed="false">
      <c r="A125" s="4" t="s">
        <v>1981</v>
      </c>
      <c r="B125" s="4" t="s">
        <v>1963</v>
      </c>
      <c r="C125" s="4" t="n">
        <v>9</v>
      </c>
      <c r="D125" s="4" t="s">
        <v>1982</v>
      </c>
      <c r="E125" s="4" t="s">
        <v>1983</v>
      </c>
      <c r="F125" s="4" t="s">
        <v>1984</v>
      </c>
      <c r="G125" s="4" t="n">
        <v>9</v>
      </c>
      <c r="H125" s="4" t="s">
        <v>1300</v>
      </c>
      <c r="I125" s="4" t="s">
        <v>1300</v>
      </c>
      <c r="J125" s="4"/>
      <c r="K125" s="4" t="s">
        <v>604</v>
      </c>
      <c r="L125" s="5" t="s">
        <v>1525</v>
      </c>
      <c r="M125" s="13" t="s">
        <v>42</v>
      </c>
      <c r="N125" s="5" t="s">
        <v>1526</v>
      </c>
      <c r="O125" s="4" t="s">
        <v>49</v>
      </c>
      <c r="P125" s="5" t="s">
        <v>784</v>
      </c>
      <c r="Q125" s="4" t="n">
        <v>0</v>
      </c>
      <c r="R125" s="4" t="n">
        <v>0</v>
      </c>
      <c r="S125" s="4"/>
      <c r="T125" s="15" t="s">
        <v>1506</v>
      </c>
    </row>
    <row r="126" customFormat="false" ht="29.85" hidden="false" customHeight="false" outlineLevel="0" collapsed="false">
      <c r="A126" s="4" t="s">
        <v>1985</v>
      </c>
      <c r="B126" s="4" t="s">
        <v>1963</v>
      </c>
      <c r="C126" s="4" t="n">
        <v>10</v>
      </c>
      <c r="D126" s="4" t="s">
        <v>1986</v>
      </c>
      <c r="E126" s="4" t="s">
        <v>1987</v>
      </c>
      <c r="F126" s="4" t="s">
        <v>1988</v>
      </c>
      <c r="G126" s="4" t="n">
        <v>9</v>
      </c>
      <c r="H126" s="4" t="s">
        <v>1300</v>
      </c>
      <c r="I126" s="4" t="s">
        <v>1300</v>
      </c>
      <c r="J126" s="4"/>
      <c r="K126" s="4"/>
      <c r="L126" s="5" t="s">
        <v>1525</v>
      </c>
      <c r="M126" s="13" t="s">
        <v>42</v>
      </c>
      <c r="N126" s="5" t="s">
        <v>1526</v>
      </c>
      <c r="O126" s="4" t="s">
        <v>49</v>
      </c>
      <c r="P126" s="5" t="s">
        <v>784</v>
      </c>
      <c r="Q126" s="4" t="n">
        <v>0</v>
      </c>
      <c r="R126" s="4" t="n">
        <v>0</v>
      </c>
      <c r="S126" s="4"/>
      <c r="T126" s="15" t="s">
        <v>1506</v>
      </c>
    </row>
    <row r="127" customFormat="false" ht="29.85" hidden="false" customHeight="false" outlineLevel="0" collapsed="false">
      <c r="A127" s="4" t="s">
        <v>1989</v>
      </c>
      <c r="B127" s="4" t="s">
        <v>1963</v>
      </c>
      <c r="C127" s="4" t="n">
        <v>11</v>
      </c>
      <c r="D127" s="4" t="s">
        <v>1990</v>
      </c>
      <c r="E127" s="4" t="s">
        <v>1991</v>
      </c>
      <c r="F127" s="4" t="s">
        <v>1992</v>
      </c>
      <c r="G127" s="4" t="n">
        <v>9</v>
      </c>
      <c r="H127" s="4" t="s">
        <v>1693</v>
      </c>
      <c r="I127" s="4" t="s">
        <v>1300</v>
      </c>
      <c r="J127" s="5" t="s">
        <v>1506</v>
      </c>
      <c r="K127" s="4"/>
      <c r="L127" s="5" t="s">
        <v>1525</v>
      </c>
      <c r="M127" s="13" t="s">
        <v>42</v>
      </c>
      <c r="N127" s="5" t="s">
        <v>1526</v>
      </c>
      <c r="O127" s="4" t="s">
        <v>49</v>
      </c>
      <c r="P127" s="4" t="s">
        <v>1993</v>
      </c>
      <c r="Q127" s="4" t="n">
        <v>0</v>
      </c>
      <c r="R127" s="4" t="n">
        <v>0</v>
      </c>
      <c r="S127" s="4"/>
      <c r="T127" s="15" t="s">
        <v>1506</v>
      </c>
    </row>
    <row r="128" customFormat="false" ht="94.75" hidden="false" customHeight="false" outlineLevel="0" collapsed="false">
      <c r="A128" s="4" t="s">
        <v>1994</v>
      </c>
      <c r="B128" s="4" t="s">
        <v>1963</v>
      </c>
      <c r="C128" s="4" t="n">
        <v>12</v>
      </c>
      <c r="D128" s="4" t="s">
        <v>1995</v>
      </c>
      <c r="E128" s="4" t="s">
        <v>1996</v>
      </c>
      <c r="F128" s="4" t="s">
        <v>1997</v>
      </c>
      <c r="G128" s="4" t="n">
        <v>9</v>
      </c>
      <c r="H128" s="4" t="s">
        <v>38</v>
      </c>
      <c r="I128" s="4" t="s">
        <v>38</v>
      </c>
      <c r="J128" s="4"/>
      <c r="K128" s="4"/>
      <c r="L128" s="4" t="s">
        <v>38</v>
      </c>
      <c r="M128" s="4" t="s">
        <v>38</v>
      </c>
      <c r="N128" s="5" t="s">
        <v>1506</v>
      </c>
      <c r="O128" s="4" t="s">
        <v>143</v>
      </c>
      <c r="P128" s="5" t="s">
        <v>1507</v>
      </c>
      <c r="Q128" s="4" t="n">
        <v>0</v>
      </c>
      <c r="R128" s="4" t="n">
        <v>0</v>
      </c>
      <c r="S128" s="4"/>
      <c r="T128" s="4"/>
    </row>
    <row r="129" customFormat="false" ht="63.4" hidden="false" customHeight="false" outlineLevel="0" collapsed="false">
      <c r="A129" s="4" t="s">
        <v>1998</v>
      </c>
      <c r="B129" s="4" t="s">
        <v>1963</v>
      </c>
      <c r="C129" s="4" t="n">
        <v>13</v>
      </c>
      <c r="D129" s="4" t="s">
        <v>1999</v>
      </c>
      <c r="E129" s="4" t="s">
        <v>2000</v>
      </c>
      <c r="F129" s="4" t="s">
        <v>2001</v>
      </c>
      <c r="G129" s="4" t="n">
        <v>9</v>
      </c>
      <c r="H129" s="4" t="s">
        <v>38</v>
      </c>
      <c r="I129" s="4" t="s">
        <v>38</v>
      </c>
      <c r="J129" s="4"/>
      <c r="K129" s="4"/>
      <c r="L129" s="4" t="s">
        <v>38</v>
      </c>
      <c r="M129" s="4" t="s">
        <v>38</v>
      </c>
      <c r="N129" s="5" t="s">
        <v>1506</v>
      </c>
      <c r="O129" s="4" t="s">
        <v>143</v>
      </c>
      <c r="P129" s="5" t="s">
        <v>1507</v>
      </c>
      <c r="Q129" s="4" t="n">
        <v>0</v>
      </c>
      <c r="R129" s="4" t="n">
        <v>0</v>
      </c>
      <c r="S129" s="4"/>
      <c r="T129" s="4"/>
    </row>
    <row r="130" customFormat="false" ht="111.9" hidden="false" customHeight="false" outlineLevel="0" collapsed="false">
      <c r="A130" s="4" t="s">
        <v>2002</v>
      </c>
      <c r="B130" s="4" t="s">
        <v>1963</v>
      </c>
      <c r="C130" s="4" t="n">
        <v>14</v>
      </c>
      <c r="D130" s="4" t="s">
        <v>2003</v>
      </c>
      <c r="E130" s="5" t="s">
        <v>2004</v>
      </c>
      <c r="F130" s="4" t="s">
        <v>2005</v>
      </c>
      <c r="G130" s="4" t="n">
        <v>9</v>
      </c>
      <c r="H130" s="4" t="s">
        <v>1300</v>
      </c>
      <c r="I130" s="4" t="s">
        <v>1300</v>
      </c>
      <c r="J130" s="4"/>
      <c r="K130" s="4" t="s">
        <v>2006</v>
      </c>
      <c r="L130" s="5" t="s">
        <v>1525</v>
      </c>
      <c r="M130" s="13" t="s">
        <v>42</v>
      </c>
      <c r="N130" s="5" t="s">
        <v>1526</v>
      </c>
      <c r="O130" s="4" t="s">
        <v>49</v>
      </c>
      <c r="P130" s="4" t="s">
        <v>2007</v>
      </c>
      <c r="Q130" s="4" t="n">
        <v>0</v>
      </c>
      <c r="R130" s="4" t="n">
        <v>1</v>
      </c>
      <c r="S130" s="4" t="s">
        <v>2008</v>
      </c>
      <c r="T130" s="15" t="s">
        <v>1506</v>
      </c>
    </row>
    <row r="131" customFormat="false" ht="58.2" hidden="false" customHeight="false" outlineLevel="0" collapsed="false">
      <c r="A131" s="4" t="s">
        <v>2009</v>
      </c>
      <c r="B131" s="4" t="s">
        <v>1963</v>
      </c>
      <c r="C131" s="4" t="n">
        <v>15</v>
      </c>
      <c r="D131" s="4" t="s">
        <v>2010</v>
      </c>
      <c r="E131" s="4" t="s">
        <v>2011</v>
      </c>
      <c r="F131" s="4" t="s">
        <v>2012</v>
      </c>
      <c r="G131" s="4" t="n">
        <v>9</v>
      </c>
      <c r="H131" s="4" t="s">
        <v>38</v>
      </c>
      <c r="I131" s="4" t="s">
        <v>38</v>
      </c>
      <c r="J131" s="4"/>
      <c r="K131" s="4"/>
      <c r="L131" s="4" t="s">
        <v>38</v>
      </c>
      <c r="M131" s="4" t="s">
        <v>38</v>
      </c>
      <c r="N131" s="5" t="s">
        <v>1506</v>
      </c>
      <c r="O131" s="4" t="s">
        <v>143</v>
      </c>
      <c r="P131" s="5" t="s">
        <v>1507</v>
      </c>
      <c r="Q131" s="4" t="n">
        <v>0</v>
      </c>
      <c r="R131" s="4" t="n">
        <v>0</v>
      </c>
      <c r="S131" s="4"/>
      <c r="T131" s="4"/>
    </row>
    <row r="132" customFormat="false" ht="41" hidden="false" customHeight="false" outlineLevel="0" collapsed="false">
      <c r="A132" s="4" t="s">
        <v>2013</v>
      </c>
      <c r="B132" s="4" t="s">
        <v>1963</v>
      </c>
      <c r="C132" s="4" t="n">
        <v>16</v>
      </c>
      <c r="D132" s="4" t="s">
        <v>2014</v>
      </c>
      <c r="E132" s="4" t="s">
        <v>2015</v>
      </c>
      <c r="F132" s="4" t="s">
        <v>2016</v>
      </c>
      <c r="G132" s="4" t="n">
        <v>9</v>
      </c>
      <c r="H132" s="4" t="s">
        <v>38</v>
      </c>
      <c r="I132" s="4" t="s">
        <v>38</v>
      </c>
      <c r="J132" s="4"/>
      <c r="K132" s="4" t="s">
        <v>1232</v>
      </c>
      <c r="L132" s="4" t="s">
        <v>38</v>
      </c>
      <c r="M132" s="4" t="s">
        <v>38</v>
      </c>
      <c r="N132" s="5" t="s">
        <v>1506</v>
      </c>
      <c r="O132" s="4" t="s">
        <v>143</v>
      </c>
      <c r="P132" s="5" t="s">
        <v>2017</v>
      </c>
      <c r="Q132" s="4" t="n">
        <v>0</v>
      </c>
      <c r="R132" s="4" t="n">
        <v>0</v>
      </c>
      <c r="S132" s="4"/>
      <c r="T132" s="4"/>
    </row>
    <row r="133" customFormat="false" ht="44" hidden="false" customHeight="false" outlineLevel="0" collapsed="false">
      <c r="A133" s="4" t="s">
        <v>2018</v>
      </c>
      <c r="B133" s="4" t="s">
        <v>2019</v>
      </c>
      <c r="C133" s="4" t="n">
        <v>6</v>
      </c>
      <c r="D133" s="5" t="s">
        <v>1873</v>
      </c>
      <c r="E133" s="4"/>
      <c r="F133" s="4" t="s">
        <v>2020</v>
      </c>
      <c r="G133" s="4" t="n">
        <v>15</v>
      </c>
      <c r="H133" s="4"/>
      <c r="I133" s="4"/>
      <c r="J133" s="4"/>
      <c r="K133" s="4"/>
      <c r="L133" s="5" t="s">
        <v>40</v>
      </c>
      <c r="M133" s="5" t="s">
        <v>40</v>
      </c>
      <c r="N133" s="5" t="s">
        <v>1506</v>
      </c>
      <c r="O133" s="4" t="s">
        <v>143</v>
      </c>
      <c r="P133" s="5" t="s">
        <v>1507</v>
      </c>
      <c r="Q133" s="4" t="n">
        <v>0</v>
      </c>
      <c r="R133" s="4" t="n">
        <v>0</v>
      </c>
      <c r="S133" s="4"/>
      <c r="T133" s="4"/>
    </row>
    <row r="134" customFormat="false" ht="44" hidden="false" customHeight="false" outlineLevel="0" collapsed="false">
      <c r="A134" s="4" t="s">
        <v>2021</v>
      </c>
      <c r="B134" s="4" t="s">
        <v>2019</v>
      </c>
      <c r="C134" s="4" t="n">
        <v>7</v>
      </c>
      <c r="D134" s="5" t="s">
        <v>2022</v>
      </c>
      <c r="E134" s="4"/>
      <c r="F134" s="4" t="s">
        <v>2023</v>
      </c>
      <c r="G134" s="4" t="n">
        <v>15</v>
      </c>
      <c r="H134" s="4"/>
      <c r="I134" s="4"/>
      <c r="J134" s="4"/>
      <c r="K134" s="4"/>
      <c r="L134" s="5" t="s">
        <v>40</v>
      </c>
      <c r="M134" s="5" t="s">
        <v>40</v>
      </c>
      <c r="N134" s="5" t="s">
        <v>1506</v>
      </c>
      <c r="O134" s="4" t="s">
        <v>143</v>
      </c>
      <c r="P134" s="5" t="s">
        <v>1507</v>
      </c>
      <c r="Q134" s="4" t="n">
        <v>0</v>
      </c>
      <c r="R134" s="4" t="n">
        <v>0</v>
      </c>
      <c r="S134" s="4"/>
      <c r="T134" s="4"/>
    </row>
    <row r="135" customFormat="false" ht="100.7" hidden="false" customHeight="false" outlineLevel="0" collapsed="false">
      <c r="A135" s="4" t="s">
        <v>2024</v>
      </c>
      <c r="B135" s="4" t="s">
        <v>2025</v>
      </c>
      <c r="C135" s="4" t="n">
        <v>6</v>
      </c>
      <c r="D135" s="5" t="s">
        <v>1873</v>
      </c>
      <c r="E135" s="4"/>
      <c r="F135" s="4" t="s">
        <v>2026</v>
      </c>
      <c r="G135" s="4" t="n">
        <v>32</v>
      </c>
      <c r="H135" s="4"/>
      <c r="I135" s="4"/>
      <c r="J135" s="4"/>
      <c r="K135" s="4"/>
      <c r="L135" s="5" t="s">
        <v>40</v>
      </c>
      <c r="M135" s="5" t="s">
        <v>40</v>
      </c>
      <c r="N135" s="5" t="s">
        <v>1506</v>
      </c>
      <c r="O135" s="4" t="s">
        <v>143</v>
      </c>
      <c r="P135" s="5" t="s">
        <v>1507</v>
      </c>
      <c r="Q135" s="4" t="n">
        <v>0</v>
      </c>
      <c r="R135" s="4" t="n">
        <v>0</v>
      </c>
      <c r="S135" s="4"/>
      <c r="T135" s="4"/>
    </row>
    <row r="136" customFormat="false" ht="100.7" hidden="false" customHeight="false" outlineLevel="0" collapsed="false">
      <c r="A136" s="4" t="s">
        <v>2027</v>
      </c>
      <c r="B136" s="4" t="s">
        <v>2025</v>
      </c>
      <c r="C136" s="4" t="n">
        <v>7</v>
      </c>
      <c r="D136" s="5" t="s">
        <v>2022</v>
      </c>
      <c r="E136" s="4"/>
      <c r="F136" s="4" t="s">
        <v>2028</v>
      </c>
      <c r="G136" s="4" t="n">
        <v>32</v>
      </c>
      <c r="H136" s="4"/>
      <c r="I136" s="4"/>
      <c r="J136" s="4"/>
      <c r="K136" s="4"/>
      <c r="L136" s="5" t="s">
        <v>40</v>
      </c>
      <c r="M136" s="5" t="s">
        <v>40</v>
      </c>
      <c r="N136" s="5" t="s">
        <v>1506</v>
      </c>
      <c r="O136" s="4" t="s">
        <v>143</v>
      </c>
      <c r="P136" s="5" t="s">
        <v>1507</v>
      </c>
      <c r="Q136" s="4" t="n">
        <v>0</v>
      </c>
      <c r="R136" s="4" t="n">
        <v>0</v>
      </c>
      <c r="S136" s="4"/>
      <c r="T136" s="4"/>
    </row>
    <row r="137" customFormat="false" ht="23.85" hidden="false" customHeight="false" outlineLevel="0" collapsed="false">
      <c r="A137" s="4" t="s">
        <v>2029</v>
      </c>
      <c r="B137" s="4" t="s">
        <v>2025</v>
      </c>
      <c r="C137" s="4" t="n">
        <v>14</v>
      </c>
      <c r="D137" s="5" t="s">
        <v>2030</v>
      </c>
      <c r="E137" s="4" t="s">
        <v>258</v>
      </c>
      <c r="F137" s="4" t="s">
        <v>2031</v>
      </c>
      <c r="G137" s="4" t="n">
        <v>1</v>
      </c>
      <c r="H137" s="4"/>
      <c r="I137" s="4"/>
      <c r="J137" s="4"/>
      <c r="K137" s="4"/>
      <c r="L137" s="5" t="s">
        <v>40</v>
      </c>
      <c r="M137" s="14" t="s">
        <v>41</v>
      </c>
      <c r="N137" s="5" t="s">
        <v>1526</v>
      </c>
      <c r="O137" s="4" t="s">
        <v>143</v>
      </c>
      <c r="P137" s="5" t="s">
        <v>1507</v>
      </c>
      <c r="Q137" s="4" t="n">
        <v>0</v>
      </c>
      <c r="R137" s="4" t="n">
        <v>0</v>
      </c>
      <c r="S137" s="4"/>
      <c r="T137" s="4"/>
    </row>
    <row r="138" customFormat="false" ht="15" hidden="false" customHeight="false" outlineLevel="0" collapsed="false">
      <c r="A138" s="4" t="s">
        <v>2032</v>
      </c>
      <c r="B138" s="4" t="s">
        <v>2025</v>
      </c>
      <c r="C138" s="4" t="n">
        <v>41</v>
      </c>
      <c r="D138" s="4" t="s">
        <v>1825</v>
      </c>
      <c r="E138" s="4" t="s">
        <v>1826</v>
      </c>
      <c r="F138" s="4" t="s">
        <v>2033</v>
      </c>
      <c r="G138" s="4" t="n">
        <v>4</v>
      </c>
      <c r="H138" s="4"/>
      <c r="I138" s="4"/>
      <c r="J138" s="4"/>
      <c r="K138" s="4"/>
      <c r="L138" s="5" t="s">
        <v>40</v>
      </c>
      <c r="M138" s="14" t="s">
        <v>41</v>
      </c>
      <c r="N138" s="5" t="s">
        <v>1526</v>
      </c>
      <c r="O138" s="4" t="s">
        <v>143</v>
      </c>
      <c r="P138" s="5" t="s">
        <v>1507</v>
      </c>
      <c r="Q138" s="4" t="n">
        <v>0</v>
      </c>
      <c r="R138" s="4" t="n">
        <v>0</v>
      </c>
      <c r="S138" s="4"/>
      <c r="T138" s="4"/>
    </row>
    <row r="139" customFormat="false" ht="15" hidden="false" customHeight="false" outlineLevel="0" collapsed="false">
      <c r="A139" s="4" t="s">
        <v>2034</v>
      </c>
      <c r="B139" s="4" t="s">
        <v>2025</v>
      </c>
      <c r="C139" s="4" t="n">
        <v>43</v>
      </c>
      <c r="D139" s="5" t="s">
        <v>2035</v>
      </c>
      <c r="E139" s="4" t="s">
        <v>563</v>
      </c>
      <c r="F139" s="4" t="s">
        <v>2036</v>
      </c>
      <c r="G139" s="4" t="n">
        <v>4</v>
      </c>
      <c r="H139" s="4"/>
      <c r="I139" s="4"/>
      <c r="J139" s="4"/>
      <c r="K139" s="4"/>
      <c r="L139" s="5" t="s">
        <v>40</v>
      </c>
      <c r="M139" s="14" t="s">
        <v>41</v>
      </c>
      <c r="N139" s="5" t="s">
        <v>1526</v>
      </c>
      <c r="O139" s="4" t="s">
        <v>143</v>
      </c>
      <c r="P139" s="5" t="s">
        <v>1507</v>
      </c>
      <c r="Q139" s="4" t="n">
        <v>0</v>
      </c>
      <c r="R139" s="4" t="n">
        <v>0</v>
      </c>
      <c r="S139" s="4"/>
      <c r="T139" s="4"/>
    </row>
    <row r="140" customFormat="false" ht="15" hidden="false" customHeight="false" outlineLevel="0" collapsed="false">
      <c r="A140" s="4" t="s">
        <v>2037</v>
      </c>
      <c r="B140" s="4" t="s">
        <v>2025</v>
      </c>
      <c r="C140" s="4" t="n">
        <v>48</v>
      </c>
      <c r="D140" s="5" t="s">
        <v>2038</v>
      </c>
      <c r="E140" s="4" t="s">
        <v>421</v>
      </c>
      <c r="F140" s="4" t="s">
        <v>2039</v>
      </c>
      <c r="G140" s="4" t="n">
        <v>4</v>
      </c>
      <c r="H140" s="4"/>
      <c r="I140" s="4"/>
      <c r="J140" s="4"/>
      <c r="K140" s="4"/>
      <c r="L140" s="5" t="s">
        <v>40</v>
      </c>
      <c r="M140" s="14" t="s">
        <v>41</v>
      </c>
      <c r="N140" s="5" t="s">
        <v>1526</v>
      </c>
      <c r="O140" s="4" t="s">
        <v>143</v>
      </c>
      <c r="P140" s="5" t="s">
        <v>1507</v>
      </c>
      <c r="Q140" s="4" t="n">
        <v>0</v>
      </c>
      <c r="R140" s="4" t="n">
        <v>0</v>
      </c>
      <c r="S140" s="4"/>
      <c r="T140" s="4"/>
    </row>
    <row r="141" customFormat="false" ht="15" hidden="false" customHeight="false" outlineLevel="0" collapsed="false">
      <c r="A141" s="4" t="s">
        <v>2040</v>
      </c>
      <c r="B141" s="4" t="s">
        <v>2025</v>
      </c>
      <c r="C141" s="4" t="n">
        <v>50</v>
      </c>
      <c r="D141" s="5" t="s">
        <v>1822</v>
      </c>
      <c r="E141" s="4" t="s">
        <v>559</v>
      </c>
      <c r="F141" s="4" t="s">
        <v>2041</v>
      </c>
      <c r="G141" s="4" t="n">
        <v>2</v>
      </c>
      <c r="H141" s="4"/>
      <c r="I141" s="4"/>
      <c r="J141" s="4"/>
      <c r="K141" s="4"/>
      <c r="L141" s="5" t="s">
        <v>40</v>
      </c>
      <c r="M141" s="14" t="s">
        <v>41</v>
      </c>
      <c r="N141" s="5" t="s">
        <v>1526</v>
      </c>
      <c r="O141" s="4" t="s">
        <v>143</v>
      </c>
      <c r="P141" s="5" t="s">
        <v>1507</v>
      </c>
      <c r="Q141" s="4" t="n">
        <v>0</v>
      </c>
      <c r="R141" s="4" t="n">
        <v>0</v>
      </c>
      <c r="S141" s="4"/>
      <c r="T141" s="4"/>
    </row>
    <row r="142" customFormat="false" ht="29.85" hidden="false" customHeight="false" outlineLevel="0" collapsed="false">
      <c r="A142" s="4" t="s">
        <v>2042</v>
      </c>
      <c r="B142" s="4" t="s">
        <v>2025</v>
      </c>
      <c r="C142" s="4" t="n">
        <v>52</v>
      </c>
      <c r="D142" s="4" t="s">
        <v>2043</v>
      </c>
      <c r="E142" s="4" t="s">
        <v>559</v>
      </c>
      <c r="F142" s="4" t="s">
        <v>2044</v>
      </c>
      <c r="G142" s="4" t="n">
        <v>2</v>
      </c>
      <c r="H142" s="4"/>
      <c r="I142" s="4"/>
      <c r="J142" s="4"/>
      <c r="K142" s="4"/>
      <c r="L142" s="5" t="s">
        <v>40</v>
      </c>
      <c r="M142" s="14" t="s">
        <v>41</v>
      </c>
      <c r="N142" s="5" t="s">
        <v>1526</v>
      </c>
      <c r="O142" s="4" t="s">
        <v>143</v>
      </c>
      <c r="P142" s="5" t="s">
        <v>1507</v>
      </c>
      <c r="Q142" s="4" t="n">
        <v>0</v>
      </c>
      <c r="R142" s="4" t="n">
        <v>0</v>
      </c>
      <c r="S142" s="4"/>
      <c r="T142" s="4"/>
    </row>
    <row r="143" customFormat="false" ht="29.85" hidden="false" customHeight="false" outlineLevel="0" collapsed="false">
      <c r="A143" s="4" t="s">
        <v>2045</v>
      </c>
      <c r="B143" s="4" t="s">
        <v>2025</v>
      </c>
      <c r="C143" s="4" t="n">
        <v>54</v>
      </c>
      <c r="D143" s="5" t="s">
        <v>2046</v>
      </c>
      <c r="E143" s="4" t="s">
        <v>559</v>
      </c>
      <c r="F143" s="4" t="s">
        <v>2047</v>
      </c>
      <c r="G143" s="4" t="n">
        <v>2</v>
      </c>
      <c r="H143" s="4"/>
      <c r="I143" s="4"/>
      <c r="J143" s="4"/>
      <c r="K143" s="4"/>
      <c r="L143" s="5" t="s">
        <v>40</v>
      </c>
      <c r="M143" s="14" t="s">
        <v>41</v>
      </c>
      <c r="N143" s="5" t="s">
        <v>1526</v>
      </c>
      <c r="O143" s="4" t="s">
        <v>143</v>
      </c>
      <c r="P143" s="5" t="s">
        <v>1507</v>
      </c>
      <c r="Q143" s="4" t="n">
        <v>0</v>
      </c>
      <c r="R143" s="4" t="n">
        <v>0</v>
      </c>
      <c r="S143" s="4"/>
      <c r="T143" s="4"/>
    </row>
    <row r="144" customFormat="false" ht="44" hidden="false" customHeight="false" outlineLevel="0" collapsed="false">
      <c r="A144" s="4" t="s">
        <v>2048</v>
      </c>
      <c r="B144" s="4" t="s">
        <v>2049</v>
      </c>
      <c r="C144" s="4" t="n">
        <v>6</v>
      </c>
      <c r="D144" s="5" t="s">
        <v>1873</v>
      </c>
      <c r="E144" s="4"/>
      <c r="F144" s="4" t="s">
        <v>2020</v>
      </c>
      <c r="G144" s="4" t="n">
        <v>15</v>
      </c>
      <c r="H144" s="4"/>
      <c r="I144" s="4"/>
      <c r="J144" s="4"/>
      <c r="K144" s="4"/>
      <c r="L144" s="5" t="s">
        <v>40</v>
      </c>
      <c r="M144" s="5" t="s">
        <v>40</v>
      </c>
      <c r="N144" s="5" t="s">
        <v>1506</v>
      </c>
      <c r="O144" s="4" t="s">
        <v>143</v>
      </c>
      <c r="P144" s="5" t="s">
        <v>1507</v>
      </c>
      <c r="Q144" s="4" t="n">
        <v>0</v>
      </c>
      <c r="R144" s="4" t="n">
        <v>0</v>
      </c>
      <c r="S144" s="4"/>
      <c r="T144" s="4"/>
    </row>
    <row r="145" customFormat="false" ht="15" hidden="false" customHeight="false" outlineLevel="0" collapsed="false">
      <c r="A145" s="4" t="s">
        <v>2050</v>
      </c>
      <c r="B145" s="4" t="s">
        <v>2051</v>
      </c>
      <c r="C145" s="4" t="n">
        <v>5</v>
      </c>
      <c r="D145" s="5" t="s">
        <v>2052</v>
      </c>
      <c r="E145" s="4"/>
      <c r="F145" s="4" t="s">
        <v>1870</v>
      </c>
      <c r="G145" s="4" t="n">
        <v>1</v>
      </c>
      <c r="H145" s="4" t="s">
        <v>39</v>
      </c>
      <c r="I145" s="4" t="s">
        <v>39</v>
      </c>
      <c r="J145" s="4"/>
      <c r="K145" s="4" t="s">
        <v>604</v>
      </c>
      <c r="L145" s="4" t="s">
        <v>39</v>
      </c>
      <c r="M145" s="4" t="s">
        <v>39</v>
      </c>
      <c r="N145" s="5" t="s">
        <v>1506</v>
      </c>
      <c r="O145" s="4" t="s">
        <v>143</v>
      </c>
      <c r="P145" s="5" t="s">
        <v>1507</v>
      </c>
      <c r="Q145" s="4" t="n">
        <v>0</v>
      </c>
      <c r="R145" s="4" t="n">
        <v>0</v>
      </c>
      <c r="S145" s="4"/>
      <c r="T145" s="4"/>
    </row>
    <row r="146" customFormat="false" ht="29.85" hidden="false" customHeight="false" outlineLevel="0" collapsed="false">
      <c r="A146" s="4" t="s">
        <v>2053</v>
      </c>
      <c r="B146" s="4" t="s">
        <v>2051</v>
      </c>
      <c r="C146" s="4" t="n">
        <v>6</v>
      </c>
      <c r="D146" s="5" t="s">
        <v>2054</v>
      </c>
      <c r="E146" s="4" t="s">
        <v>421</v>
      </c>
      <c r="F146" s="4" t="s">
        <v>1789</v>
      </c>
      <c r="G146" s="4" t="n">
        <v>1</v>
      </c>
      <c r="H146" s="4" t="s">
        <v>37</v>
      </c>
      <c r="I146" s="4" t="s">
        <v>37</v>
      </c>
      <c r="J146" s="4"/>
      <c r="K146" s="4" t="s">
        <v>889</v>
      </c>
      <c r="L146" s="4" t="s">
        <v>37</v>
      </c>
      <c r="M146" s="4" t="s">
        <v>37</v>
      </c>
      <c r="N146" s="5" t="s">
        <v>1506</v>
      </c>
      <c r="O146" s="4" t="s">
        <v>143</v>
      </c>
      <c r="P146" s="5" t="s">
        <v>2055</v>
      </c>
      <c r="Q146" s="4" t="n">
        <v>0</v>
      </c>
      <c r="R146" s="4" t="n">
        <v>0</v>
      </c>
      <c r="S146" s="4"/>
      <c r="T146" s="4"/>
    </row>
    <row r="147" customFormat="false" ht="29.85" hidden="false" customHeight="false" outlineLevel="0" collapsed="false">
      <c r="A147" s="4" t="s">
        <v>2056</v>
      </c>
      <c r="B147" s="4" t="s">
        <v>2051</v>
      </c>
      <c r="C147" s="4" t="n">
        <v>7</v>
      </c>
      <c r="D147" s="4" t="s">
        <v>2057</v>
      </c>
      <c r="E147" s="4" t="s">
        <v>421</v>
      </c>
      <c r="F147" s="4" t="s">
        <v>1792</v>
      </c>
      <c r="G147" s="4" t="n">
        <v>1</v>
      </c>
      <c r="H147" s="4" t="s">
        <v>37</v>
      </c>
      <c r="I147" s="4" t="s">
        <v>37</v>
      </c>
      <c r="J147" s="4"/>
      <c r="K147" s="4" t="s">
        <v>889</v>
      </c>
      <c r="L147" s="4" t="s">
        <v>37</v>
      </c>
      <c r="M147" s="4" t="s">
        <v>37</v>
      </c>
      <c r="N147" s="5" t="s">
        <v>1506</v>
      </c>
      <c r="O147" s="4" t="s">
        <v>50</v>
      </c>
      <c r="P147" s="4" t="s">
        <v>2058</v>
      </c>
      <c r="Q147" s="4" t="n">
        <v>0</v>
      </c>
      <c r="R147" s="4" t="n">
        <v>1</v>
      </c>
      <c r="S147" s="4" t="s">
        <v>895</v>
      </c>
      <c r="T147" s="4"/>
    </row>
    <row r="148" customFormat="false" ht="15" hidden="false" customHeight="false" outlineLevel="0" collapsed="false">
      <c r="A148" s="4" t="s">
        <v>2059</v>
      </c>
      <c r="B148" s="4" t="s">
        <v>2051</v>
      </c>
      <c r="C148" s="4" t="n">
        <v>8</v>
      </c>
      <c r="D148" s="4" t="s">
        <v>2060</v>
      </c>
      <c r="E148" s="4" t="s">
        <v>559</v>
      </c>
      <c r="F148" s="4" t="s">
        <v>2061</v>
      </c>
      <c r="G148" s="4" t="n">
        <v>1</v>
      </c>
      <c r="H148" s="4" t="s">
        <v>38</v>
      </c>
      <c r="I148" s="4" t="s">
        <v>38</v>
      </c>
      <c r="J148" s="4"/>
      <c r="K148" s="4"/>
      <c r="L148" s="4" t="s">
        <v>38</v>
      </c>
      <c r="M148" s="4" t="s">
        <v>38</v>
      </c>
      <c r="N148" s="5" t="s">
        <v>1506</v>
      </c>
      <c r="O148" s="4" t="s">
        <v>143</v>
      </c>
      <c r="P148" s="5" t="s">
        <v>1507</v>
      </c>
      <c r="Q148" s="4" t="n">
        <v>0</v>
      </c>
      <c r="R148" s="4" t="n">
        <v>0</v>
      </c>
      <c r="S148" s="4"/>
      <c r="T148" s="4"/>
    </row>
    <row r="149" customFormat="false" ht="15" hidden="false" customHeight="false" outlineLevel="0" collapsed="false">
      <c r="A149" s="4" t="s">
        <v>2062</v>
      </c>
      <c r="B149" s="4" t="s">
        <v>2051</v>
      </c>
      <c r="C149" s="4" t="n">
        <v>9</v>
      </c>
      <c r="D149" s="4" t="s">
        <v>2063</v>
      </c>
      <c r="E149" s="4" t="s">
        <v>559</v>
      </c>
      <c r="F149" s="4" t="s">
        <v>1796</v>
      </c>
      <c r="G149" s="4" t="n">
        <v>1</v>
      </c>
      <c r="H149" s="4" t="s">
        <v>38</v>
      </c>
      <c r="I149" s="4" t="s">
        <v>38</v>
      </c>
      <c r="J149" s="4"/>
      <c r="K149" s="4"/>
      <c r="L149" s="4" t="s">
        <v>38</v>
      </c>
      <c r="M149" s="4" t="s">
        <v>38</v>
      </c>
      <c r="N149" s="5" t="s">
        <v>1506</v>
      </c>
      <c r="O149" s="4" t="s">
        <v>143</v>
      </c>
      <c r="P149" s="5" t="s">
        <v>1507</v>
      </c>
      <c r="Q149" s="4" t="n">
        <v>0</v>
      </c>
      <c r="R149" s="4" t="n">
        <v>0</v>
      </c>
      <c r="S149" s="4"/>
      <c r="T149" s="4"/>
    </row>
    <row r="150" customFormat="false" ht="29.85" hidden="false" customHeight="false" outlineLevel="0" collapsed="false">
      <c r="A150" s="4" t="s">
        <v>2064</v>
      </c>
      <c r="B150" s="4" t="s">
        <v>2051</v>
      </c>
      <c r="C150" s="4" t="n">
        <v>10</v>
      </c>
      <c r="D150" s="5" t="s">
        <v>2065</v>
      </c>
      <c r="E150" s="5" t="s">
        <v>1510</v>
      </c>
      <c r="F150" s="4" t="s">
        <v>1799</v>
      </c>
      <c r="G150" s="4" t="n">
        <v>1</v>
      </c>
      <c r="H150" s="4" t="s">
        <v>38</v>
      </c>
      <c r="I150" s="4" t="s">
        <v>38</v>
      </c>
      <c r="J150" s="4"/>
      <c r="K150" s="4"/>
      <c r="L150" s="4" t="s">
        <v>38</v>
      </c>
      <c r="M150" s="4" t="s">
        <v>38</v>
      </c>
      <c r="N150" s="5" t="s">
        <v>1506</v>
      </c>
      <c r="O150" s="4" t="s">
        <v>143</v>
      </c>
      <c r="P150" s="5" t="s">
        <v>1507</v>
      </c>
      <c r="Q150" s="4" t="n">
        <v>0</v>
      </c>
      <c r="R150" s="4" t="n">
        <v>0</v>
      </c>
      <c r="S150" s="4"/>
      <c r="T150" s="4"/>
    </row>
    <row r="151" customFormat="false" ht="29.85" hidden="false" customHeight="false" outlineLevel="0" collapsed="false">
      <c r="A151" s="4" t="s">
        <v>2066</v>
      </c>
      <c r="B151" s="4" t="s">
        <v>2051</v>
      </c>
      <c r="C151" s="4" t="n">
        <v>11</v>
      </c>
      <c r="D151" s="4" t="s">
        <v>2067</v>
      </c>
      <c r="E151" s="4" t="s">
        <v>421</v>
      </c>
      <c r="F151" s="4" t="s">
        <v>1802</v>
      </c>
      <c r="G151" s="4" t="n">
        <v>1</v>
      </c>
      <c r="H151" s="4" t="s">
        <v>37</v>
      </c>
      <c r="I151" s="4" t="s">
        <v>37</v>
      </c>
      <c r="J151" s="4"/>
      <c r="K151" s="4" t="s">
        <v>2068</v>
      </c>
      <c r="L151" s="4" t="s">
        <v>37</v>
      </c>
      <c r="M151" s="4" t="s">
        <v>37</v>
      </c>
      <c r="N151" s="5" t="s">
        <v>1506</v>
      </c>
      <c r="O151" s="4" t="s">
        <v>143</v>
      </c>
      <c r="P151" s="5" t="s">
        <v>2069</v>
      </c>
      <c r="Q151" s="4" t="n">
        <v>0</v>
      </c>
      <c r="R151" s="4" t="n">
        <v>0</v>
      </c>
      <c r="S151" s="4"/>
      <c r="T151" s="4"/>
    </row>
    <row r="152" customFormat="false" ht="29.85" hidden="false" customHeight="false" outlineLevel="0" collapsed="false">
      <c r="A152" s="4" t="s">
        <v>2070</v>
      </c>
      <c r="B152" s="4" t="s">
        <v>2051</v>
      </c>
      <c r="C152" s="4" t="n">
        <v>12</v>
      </c>
      <c r="D152" s="4" t="s">
        <v>2071</v>
      </c>
      <c r="E152" s="5" t="s">
        <v>529</v>
      </c>
      <c r="F152" s="4" t="s">
        <v>1805</v>
      </c>
      <c r="G152" s="4" t="n">
        <v>1</v>
      </c>
      <c r="H152" s="4" t="s">
        <v>37</v>
      </c>
      <c r="I152" s="4" t="s">
        <v>37</v>
      </c>
      <c r="J152" s="4"/>
      <c r="K152" s="4"/>
      <c r="L152" s="4" t="s">
        <v>37</v>
      </c>
      <c r="M152" s="4" t="s">
        <v>37</v>
      </c>
      <c r="N152" s="5" t="s">
        <v>1506</v>
      </c>
      <c r="O152" s="4" t="s">
        <v>143</v>
      </c>
      <c r="P152" s="5" t="s">
        <v>1507</v>
      </c>
      <c r="Q152" s="4" t="n">
        <v>0</v>
      </c>
      <c r="R152" s="4" t="n">
        <v>0</v>
      </c>
      <c r="S152" s="4"/>
      <c r="T152" s="4"/>
    </row>
    <row r="153" customFormat="false" ht="29.85" hidden="false" customHeight="false" outlineLevel="0" collapsed="false">
      <c r="A153" s="4" t="s">
        <v>2072</v>
      </c>
      <c r="B153" s="4" t="s">
        <v>2051</v>
      </c>
      <c r="C153" s="4" t="n">
        <v>13</v>
      </c>
      <c r="D153" s="5" t="s">
        <v>2073</v>
      </c>
      <c r="E153" s="4" t="s">
        <v>559</v>
      </c>
      <c r="F153" s="4" t="s">
        <v>1808</v>
      </c>
      <c r="G153" s="4" t="n">
        <v>1</v>
      </c>
      <c r="H153" s="4" t="s">
        <v>37</v>
      </c>
      <c r="I153" s="4" t="s">
        <v>37</v>
      </c>
      <c r="J153" s="4"/>
      <c r="K153" s="4" t="s">
        <v>1181</v>
      </c>
      <c r="L153" s="4" t="s">
        <v>37</v>
      </c>
      <c r="M153" s="4" t="s">
        <v>37</v>
      </c>
      <c r="N153" s="5" t="s">
        <v>1506</v>
      </c>
      <c r="O153" s="4" t="s">
        <v>143</v>
      </c>
      <c r="P153" s="5" t="s">
        <v>2074</v>
      </c>
      <c r="Q153" s="4" t="n">
        <v>0</v>
      </c>
      <c r="R153" s="4" t="n">
        <v>0</v>
      </c>
      <c r="S153" s="4"/>
      <c r="T153" s="4"/>
    </row>
    <row r="154" customFormat="false" ht="15" hidden="false" customHeight="false" outlineLevel="0" collapsed="false">
      <c r="A154" s="4" t="s">
        <v>2075</v>
      </c>
      <c r="B154" s="4" t="s">
        <v>2051</v>
      </c>
      <c r="C154" s="4" t="n">
        <v>14</v>
      </c>
      <c r="D154" s="5" t="s">
        <v>2076</v>
      </c>
      <c r="E154" s="4"/>
      <c r="F154" s="4" t="s">
        <v>1811</v>
      </c>
      <c r="G154" s="4" t="n">
        <v>1</v>
      </c>
      <c r="H154" s="4" t="s">
        <v>39</v>
      </c>
      <c r="I154" s="4" t="s">
        <v>39</v>
      </c>
      <c r="J154" s="4"/>
      <c r="K154" s="4"/>
      <c r="L154" s="4" t="s">
        <v>39</v>
      </c>
      <c r="M154" s="4" t="s">
        <v>39</v>
      </c>
      <c r="N154" s="5" t="s">
        <v>1506</v>
      </c>
      <c r="O154" s="4" t="s">
        <v>143</v>
      </c>
      <c r="P154" s="5" t="s">
        <v>1507</v>
      </c>
      <c r="Q154" s="4" t="n">
        <v>0</v>
      </c>
      <c r="R154" s="4" t="n">
        <v>0</v>
      </c>
      <c r="S154" s="4"/>
      <c r="T154" s="4"/>
    </row>
    <row r="155" customFormat="false" ht="29.85" hidden="false" customHeight="false" outlineLevel="0" collapsed="false">
      <c r="A155" s="4" t="s">
        <v>2077</v>
      </c>
      <c r="B155" s="4" t="s">
        <v>2051</v>
      </c>
      <c r="C155" s="4" t="n">
        <v>15</v>
      </c>
      <c r="D155" s="5" t="s">
        <v>2078</v>
      </c>
      <c r="E155" s="5" t="s">
        <v>1510</v>
      </c>
      <c r="F155" s="4" t="s">
        <v>1814</v>
      </c>
      <c r="G155" s="4" t="n">
        <v>1</v>
      </c>
      <c r="H155" s="4" t="s">
        <v>38</v>
      </c>
      <c r="I155" s="4" t="s">
        <v>38</v>
      </c>
      <c r="J155" s="4"/>
      <c r="K155" s="4"/>
      <c r="L155" s="4" t="s">
        <v>38</v>
      </c>
      <c r="M155" s="4" t="s">
        <v>38</v>
      </c>
      <c r="N155" s="5" t="s">
        <v>1506</v>
      </c>
      <c r="O155" s="4" t="s">
        <v>143</v>
      </c>
      <c r="P155" s="5" t="s">
        <v>1507</v>
      </c>
      <c r="Q155" s="4" t="n">
        <v>0</v>
      </c>
      <c r="R155" s="4" t="n">
        <v>0</v>
      </c>
      <c r="S155" s="4"/>
      <c r="T155" s="4"/>
    </row>
    <row r="156" customFormat="false" ht="15" hidden="false" customHeight="false" outlineLevel="0" collapsed="false">
      <c r="A156" s="4" t="s">
        <v>2079</v>
      </c>
      <c r="B156" s="4" t="s">
        <v>2051</v>
      </c>
      <c r="C156" s="4" t="n">
        <v>16</v>
      </c>
      <c r="D156" s="5" t="s">
        <v>2080</v>
      </c>
      <c r="E156" s="5" t="s">
        <v>2081</v>
      </c>
      <c r="F156" s="4" t="s">
        <v>1817</v>
      </c>
      <c r="G156" s="4" t="n">
        <v>1</v>
      </c>
      <c r="H156" s="4" t="s">
        <v>39</v>
      </c>
      <c r="I156" s="4" t="s">
        <v>39</v>
      </c>
      <c r="J156" s="4"/>
      <c r="K156" s="4"/>
      <c r="L156" s="4" t="s">
        <v>39</v>
      </c>
      <c r="M156" s="4" t="s">
        <v>39</v>
      </c>
      <c r="N156" s="5" t="s">
        <v>1506</v>
      </c>
      <c r="O156" s="4" t="s">
        <v>143</v>
      </c>
      <c r="P156" s="5" t="s">
        <v>1507</v>
      </c>
      <c r="Q156" s="4" t="n">
        <v>0</v>
      </c>
      <c r="R156" s="4" t="n">
        <v>0</v>
      </c>
      <c r="S156" s="4"/>
      <c r="T156" s="4"/>
    </row>
    <row r="157" customFormat="false" ht="15" hidden="false" customHeight="false" outlineLevel="0" collapsed="false">
      <c r="A157" s="4" t="s">
        <v>2082</v>
      </c>
      <c r="B157" s="4" t="s">
        <v>2051</v>
      </c>
      <c r="C157" s="4" t="n">
        <v>17</v>
      </c>
      <c r="D157" s="5" t="s">
        <v>2083</v>
      </c>
      <c r="E157" s="5" t="s">
        <v>2081</v>
      </c>
      <c r="F157" s="4" t="s">
        <v>1820</v>
      </c>
      <c r="G157" s="4" t="n">
        <v>1</v>
      </c>
      <c r="H157" s="4" t="s">
        <v>39</v>
      </c>
      <c r="I157" s="4" t="s">
        <v>39</v>
      </c>
      <c r="J157" s="4"/>
      <c r="K157" s="4"/>
      <c r="L157" s="4" t="s">
        <v>39</v>
      </c>
      <c r="M157" s="4" t="s">
        <v>39</v>
      </c>
      <c r="N157" s="5" t="s">
        <v>1506</v>
      </c>
      <c r="O157" s="4" t="s">
        <v>143</v>
      </c>
      <c r="P157" s="5" t="s">
        <v>1507</v>
      </c>
      <c r="Q157" s="4" t="n">
        <v>0</v>
      </c>
      <c r="R157" s="4" t="n">
        <v>0</v>
      </c>
      <c r="S157" s="4"/>
      <c r="T157" s="4"/>
    </row>
    <row r="158" customFormat="false" ht="26.85" hidden="false" customHeight="false" outlineLevel="0" collapsed="false">
      <c r="A158" s="4" t="s">
        <v>2084</v>
      </c>
      <c r="B158" s="4" t="s">
        <v>2051</v>
      </c>
      <c r="C158" s="4" t="n">
        <v>21</v>
      </c>
      <c r="D158" s="5" t="s">
        <v>2085</v>
      </c>
      <c r="E158" s="4" t="s">
        <v>559</v>
      </c>
      <c r="F158" s="4" t="s">
        <v>2086</v>
      </c>
      <c r="G158" s="4" t="n">
        <v>5</v>
      </c>
      <c r="H158" s="4" t="s">
        <v>1704</v>
      </c>
      <c r="I158" s="4" t="s">
        <v>38</v>
      </c>
      <c r="J158" s="5" t="s">
        <v>1506</v>
      </c>
      <c r="K158" s="4"/>
      <c r="L158" s="4" t="s">
        <v>38</v>
      </c>
      <c r="M158" s="4" t="s">
        <v>38</v>
      </c>
      <c r="N158" s="5" t="s">
        <v>1506</v>
      </c>
      <c r="O158" s="4" t="s">
        <v>143</v>
      </c>
      <c r="P158" s="4" t="s">
        <v>2087</v>
      </c>
      <c r="Q158" s="4" t="n">
        <v>0</v>
      </c>
      <c r="R158" s="4" t="n">
        <v>0</v>
      </c>
      <c r="S158" s="4"/>
      <c r="T158" s="4"/>
    </row>
    <row r="159" customFormat="false" ht="15" hidden="false" customHeight="false" outlineLevel="0" collapsed="false">
      <c r="A159" s="4" t="s">
        <v>2088</v>
      </c>
      <c r="B159" s="4" t="s">
        <v>2051</v>
      </c>
      <c r="C159" s="4" t="n">
        <v>25</v>
      </c>
      <c r="D159" s="5" t="s">
        <v>2089</v>
      </c>
      <c r="E159" s="4" t="s">
        <v>606</v>
      </c>
      <c r="F159" s="4" t="s">
        <v>2090</v>
      </c>
      <c r="G159" s="4" t="n">
        <v>3</v>
      </c>
      <c r="H159" s="4" t="s">
        <v>1710</v>
      </c>
      <c r="I159" s="4" t="s">
        <v>1294</v>
      </c>
      <c r="J159" s="5" t="s">
        <v>1506</v>
      </c>
      <c r="K159" s="4" t="s">
        <v>604</v>
      </c>
      <c r="L159" s="5" t="s">
        <v>1525</v>
      </c>
      <c r="M159" s="14" t="s">
        <v>35</v>
      </c>
      <c r="N159" s="5" t="s">
        <v>1526</v>
      </c>
      <c r="O159" s="4" t="s">
        <v>49</v>
      </c>
      <c r="P159" s="4" t="s">
        <v>2091</v>
      </c>
      <c r="Q159" s="4" t="n">
        <v>2</v>
      </c>
      <c r="R159" s="4" t="n">
        <v>0</v>
      </c>
      <c r="S159" s="4" t="s">
        <v>2092</v>
      </c>
      <c r="T159" s="4"/>
    </row>
    <row r="160" customFormat="false" ht="29.85" hidden="false" customHeight="false" outlineLevel="0" collapsed="false">
      <c r="A160" s="4" t="s">
        <v>2093</v>
      </c>
      <c r="B160" s="4" t="s">
        <v>2051</v>
      </c>
      <c r="C160" s="4" t="n">
        <v>26</v>
      </c>
      <c r="D160" s="5" t="s">
        <v>2094</v>
      </c>
      <c r="E160" s="4" t="s">
        <v>563</v>
      </c>
      <c r="F160" s="4" t="s">
        <v>2095</v>
      </c>
      <c r="G160" s="4" t="n">
        <v>3</v>
      </c>
      <c r="H160" s="4" t="s">
        <v>38</v>
      </c>
      <c r="I160" s="4" t="s">
        <v>38</v>
      </c>
      <c r="J160" s="4"/>
      <c r="K160" s="4" t="s">
        <v>604</v>
      </c>
      <c r="L160" s="4" t="s">
        <v>38</v>
      </c>
      <c r="M160" s="4" t="s">
        <v>38</v>
      </c>
      <c r="N160" s="5" t="s">
        <v>1506</v>
      </c>
      <c r="O160" s="4" t="s">
        <v>143</v>
      </c>
      <c r="P160" s="5" t="s">
        <v>2096</v>
      </c>
      <c r="Q160" s="4" t="n">
        <v>2</v>
      </c>
      <c r="R160" s="4" t="n">
        <v>0</v>
      </c>
      <c r="S160" s="4" t="s">
        <v>613</v>
      </c>
      <c r="T160" s="4"/>
    </row>
    <row r="161" customFormat="false" ht="15" hidden="false" customHeight="false" outlineLevel="0" collapsed="false">
      <c r="A161" s="4" t="s">
        <v>2097</v>
      </c>
      <c r="B161" s="4" t="s">
        <v>2051</v>
      </c>
      <c r="C161" s="4" t="n">
        <v>27</v>
      </c>
      <c r="D161" s="5" t="s">
        <v>2098</v>
      </c>
      <c r="E161" s="4" t="s">
        <v>606</v>
      </c>
      <c r="F161" s="4" t="s">
        <v>2099</v>
      </c>
      <c r="G161" s="4" t="n">
        <v>3</v>
      </c>
      <c r="H161" s="4" t="s">
        <v>38</v>
      </c>
      <c r="I161" s="4" t="s">
        <v>38</v>
      </c>
      <c r="J161" s="4"/>
      <c r="K161" s="4"/>
      <c r="L161" s="4" t="s">
        <v>38</v>
      </c>
      <c r="M161" s="4" t="s">
        <v>38</v>
      </c>
      <c r="N161" s="5" t="s">
        <v>1506</v>
      </c>
      <c r="O161" s="4" t="s">
        <v>143</v>
      </c>
      <c r="P161" s="5" t="s">
        <v>1507</v>
      </c>
      <c r="Q161" s="4" t="n">
        <v>0</v>
      </c>
      <c r="R161" s="4" t="n">
        <v>0</v>
      </c>
      <c r="S161" s="4"/>
      <c r="T161" s="4"/>
    </row>
    <row r="162" customFormat="false" ht="29.85" hidden="false" customHeight="false" outlineLevel="0" collapsed="false">
      <c r="A162" s="4" t="s">
        <v>2100</v>
      </c>
      <c r="B162" s="4" t="s">
        <v>2051</v>
      </c>
      <c r="C162" s="4" t="n">
        <v>28</v>
      </c>
      <c r="D162" s="5" t="s">
        <v>2101</v>
      </c>
      <c r="E162" s="4" t="s">
        <v>563</v>
      </c>
      <c r="F162" s="4" t="s">
        <v>2102</v>
      </c>
      <c r="G162" s="4" t="n">
        <v>3</v>
      </c>
      <c r="H162" s="4" t="s">
        <v>38</v>
      </c>
      <c r="I162" s="4" t="s">
        <v>38</v>
      </c>
      <c r="J162" s="4"/>
      <c r="K162" s="4"/>
      <c r="L162" s="4" t="s">
        <v>38</v>
      </c>
      <c r="M162" s="4" t="s">
        <v>38</v>
      </c>
      <c r="N162" s="5" t="s">
        <v>1506</v>
      </c>
      <c r="O162" s="4" t="s">
        <v>143</v>
      </c>
      <c r="P162" s="5" t="s">
        <v>1507</v>
      </c>
      <c r="Q162" s="4" t="n">
        <v>0</v>
      </c>
      <c r="R162" s="4" t="n">
        <v>0</v>
      </c>
      <c r="S162" s="4"/>
      <c r="T162" s="4"/>
    </row>
    <row r="163" customFormat="false" ht="15" hidden="false" customHeight="false" outlineLevel="0" collapsed="false">
      <c r="A163" s="4" t="s">
        <v>2103</v>
      </c>
      <c r="B163" s="4" t="s">
        <v>2051</v>
      </c>
      <c r="C163" s="4" t="n">
        <v>29</v>
      </c>
      <c r="D163" s="4" t="s">
        <v>2104</v>
      </c>
      <c r="E163" s="4" t="s">
        <v>606</v>
      </c>
      <c r="F163" s="4" t="s">
        <v>2105</v>
      </c>
      <c r="G163" s="4" t="n">
        <v>3</v>
      </c>
      <c r="H163" s="4" t="s">
        <v>38</v>
      </c>
      <c r="I163" s="4" t="s">
        <v>38</v>
      </c>
      <c r="J163" s="4"/>
      <c r="K163" s="4"/>
      <c r="L163" s="4" t="s">
        <v>38</v>
      </c>
      <c r="M163" s="4" t="s">
        <v>38</v>
      </c>
      <c r="N163" s="5" t="s">
        <v>1506</v>
      </c>
      <c r="O163" s="4" t="s">
        <v>143</v>
      </c>
      <c r="P163" s="5" t="s">
        <v>1507</v>
      </c>
      <c r="Q163" s="4" t="n">
        <v>0</v>
      </c>
      <c r="R163" s="4" t="n">
        <v>0</v>
      </c>
      <c r="S163" s="4"/>
      <c r="T163" s="4"/>
    </row>
    <row r="164" customFormat="false" ht="15" hidden="false" customHeight="false" outlineLevel="0" collapsed="false">
      <c r="A164" s="4" t="s">
        <v>2106</v>
      </c>
      <c r="B164" s="4" t="s">
        <v>2051</v>
      </c>
      <c r="C164" s="4" t="n">
        <v>30</v>
      </c>
      <c r="D164" s="4" t="s">
        <v>2107</v>
      </c>
      <c r="E164" s="4" t="s">
        <v>563</v>
      </c>
      <c r="F164" s="4" t="s">
        <v>2108</v>
      </c>
      <c r="G164" s="4" t="n">
        <v>3</v>
      </c>
      <c r="H164" s="4" t="s">
        <v>38</v>
      </c>
      <c r="I164" s="4" t="s">
        <v>38</v>
      </c>
      <c r="J164" s="4"/>
      <c r="K164" s="4"/>
      <c r="L164" s="4" t="s">
        <v>38</v>
      </c>
      <c r="M164" s="4" t="s">
        <v>38</v>
      </c>
      <c r="N164" s="5" t="s">
        <v>1506</v>
      </c>
      <c r="O164" s="4" t="s">
        <v>143</v>
      </c>
      <c r="P164" s="5" t="s">
        <v>1507</v>
      </c>
      <c r="Q164" s="4" t="n">
        <v>0</v>
      </c>
      <c r="R164" s="4" t="n">
        <v>0</v>
      </c>
      <c r="S164" s="4"/>
      <c r="T164" s="4"/>
    </row>
    <row r="165" customFormat="false" ht="29.85" hidden="false" customHeight="false" outlineLevel="0" collapsed="false">
      <c r="A165" s="4" t="s">
        <v>2109</v>
      </c>
      <c r="B165" s="4" t="s">
        <v>2051</v>
      </c>
      <c r="C165" s="4" t="n">
        <v>31</v>
      </c>
      <c r="D165" s="5" t="s">
        <v>2110</v>
      </c>
      <c r="E165" s="4" t="s">
        <v>1826</v>
      </c>
      <c r="F165" s="4" t="s">
        <v>2111</v>
      </c>
      <c r="G165" s="4" t="n">
        <v>3</v>
      </c>
      <c r="H165" s="4" t="s">
        <v>38</v>
      </c>
      <c r="I165" s="4" t="s">
        <v>38</v>
      </c>
      <c r="J165" s="4"/>
      <c r="K165" s="4"/>
      <c r="L165" s="4" t="s">
        <v>38</v>
      </c>
      <c r="M165" s="4" t="s">
        <v>38</v>
      </c>
      <c r="N165" s="5" t="s">
        <v>1506</v>
      </c>
      <c r="O165" s="4" t="s">
        <v>143</v>
      </c>
      <c r="P165" s="5" t="s">
        <v>1507</v>
      </c>
      <c r="Q165" s="4" t="n">
        <v>0</v>
      </c>
      <c r="R165" s="4" t="n">
        <v>0</v>
      </c>
      <c r="S165" s="4"/>
      <c r="T165" s="4"/>
    </row>
    <row r="166" customFormat="false" ht="15" hidden="false" customHeight="false" outlineLevel="0" collapsed="false">
      <c r="A166" s="4" t="s">
        <v>2112</v>
      </c>
      <c r="B166" s="4" t="s">
        <v>2051</v>
      </c>
      <c r="C166" s="4" t="n">
        <v>32</v>
      </c>
      <c r="D166" s="4" t="s">
        <v>2113</v>
      </c>
      <c r="E166" s="4" t="s">
        <v>563</v>
      </c>
      <c r="F166" s="4" t="s">
        <v>2114</v>
      </c>
      <c r="G166" s="4" t="n">
        <v>3</v>
      </c>
      <c r="H166" s="4" t="s">
        <v>38</v>
      </c>
      <c r="I166" s="4" t="s">
        <v>38</v>
      </c>
      <c r="J166" s="4"/>
      <c r="K166" s="4"/>
      <c r="L166" s="4" t="s">
        <v>38</v>
      </c>
      <c r="M166" s="4" t="s">
        <v>38</v>
      </c>
      <c r="N166" s="5" t="s">
        <v>1506</v>
      </c>
      <c r="O166" s="4" t="s">
        <v>143</v>
      </c>
      <c r="P166" s="5" t="s">
        <v>1507</v>
      </c>
      <c r="Q166" s="4" t="n">
        <v>0</v>
      </c>
      <c r="R166" s="4" t="n">
        <v>0</v>
      </c>
      <c r="S166" s="4"/>
      <c r="T166" s="4"/>
    </row>
    <row r="167" customFormat="false" ht="15" hidden="false" customHeight="false" outlineLevel="0" collapsed="false">
      <c r="A167" s="4" t="s">
        <v>2115</v>
      </c>
      <c r="B167" s="4" t="s">
        <v>2051</v>
      </c>
      <c r="C167" s="4" t="n">
        <v>33</v>
      </c>
      <c r="D167" s="4" t="s">
        <v>2116</v>
      </c>
      <c r="E167" s="4" t="s">
        <v>563</v>
      </c>
      <c r="F167" s="4" t="s">
        <v>2117</v>
      </c>
      <c r="G167" s="4" t="n">
        <v>3</v>
      </c>
      <c r="H167" s="4" t="s">
        <v>38</v>
      </c>
      <c r="I167" s="4" t="s">
        <v>38</v>
      </c>
      <c r="J167" s="4"/>
      <c r="K167" s="4"/>
      <c r="L167" s="4" t="s">
        <v>38</v>
      </c>
      <c r="M167" s="4" t="s">
        <v>38</v>
      </c>
      <c r="N167" s="5" t="s">
        <v>1506</v>
      </c>
      <c r="O167" s="4" t="s">
        <v>143</v>
      </c>
      <c r="P167" s="5" t="s">
        <v>1507</v>
      </c>
      <c r="Q167" s="4" t="n">
        <v>0</v>
      </c>
      <c r="R167" s="4" t="n">
        <v>0</v>
      </c>
      <c r="S167" s="4"/>
      <c r="T167" s="4"/>
    </row>
    <row r="168" customFormat="false" ht="29.85" hidden="false" customHeight="false" outlineLevel="0" collapsed="false">
      <c r="A168" s="4" t="s">
        <v>2118</v>
      </c>
      <c r="B168" s="4" t="s">
        <v>2051</v>
      </c>
      <c r="C168" s="4" t="n">
        <v>34</v>
      </c>
      <c r="D168" s="4" t="s">
        <v>2119</v>
      </c>
      <c r="E168" s="4" t="s">
        <v>606</v>
      </c>
      <c r="F168" s="4" t="s">
        <v>2120</v>
      </c>
      <c r="G168" s="4" t="n">
        <v>3</v>
      </c>
      <c r="H168" s="4"/>
      <c r="I168" s="4"/>
      <c r="J168" s="4"/>
      <c r="K168" s="4" t="s">
        <v>2121</v>
      </c>
      <c r="L168" s="5" t="s">
        <v>1602</v>
      </c>
      <c r="M168" s="13" t="s">
        <v>38</v>
      </c>
      <c r="N168" s="5" t="s">
        <v>1526</v>
      </c>
      <c r="O168" s="4" t="s">
        <v>143</v>
      </c>
      <c r="P168" s="4" t="s">
        <v>2122</v>
      </c>
      <c r="Q168" s="4" t="n">
        <v>0</v>
      </c>
      <c r="R168" s="4" t="n">
        <v>0</v>
      </c>
      <c r="S168" s="4"/>
      <c r="T168" s="4"/>
    </row>
    <row r="169" customFormat="false" ht="15" hidden="false" customHeight="false" outlineLevel="0" collapsed="false">
      <c r="A169" s="4" t="s">
        <v>2123</v>
      </c>
      <c r="B169" s="4" t="s">
        <v>2051</v>
      </c>
      <c r="C169" s="4" t="n">
        <v>35</v>
      </c>
      <c r="D169" s="4" t="s">
        <v>2124</v>
      </c>
      <c r="E169" s="4" t="s">
        <v>606</v>
      </c>
      <c r="F169" s="4" t="s">
        <v>2125</v>
      </c>
      <c r="G169" s="4" t="n">
        <v>3</v>
      </c>
      <c r="H169" s="4" t="s">
        <v>38</v>
      </c>
      <c r="I169" s="4" t="s">
        <v>38</v>
      </c>
      <c r="J169" s="4"/>
      <c r="K169" s="4"/>
      <c r="L169" s="4" t="s">
        <v>38</v>
      </c>
      <c r="M169" s="4" t="s">
        <v>38</v>
      </c>
      <c r="N169" s="5" t="s">
        <v>1506</v>
      </c>
      <c r="O169" s="4" t="s">
        <v>143</v>
      </c>
      <c r="P169" s="5" t="s">
        <v>1507</v>
      </c>
      <c r="Q169" s="4" t="n">
        <v>0</v>
      </c>
      <c r="R169" s="4" t="n">
        <v>0</v>
      </c>
      <c r="S169" s="4"/>
      <c r="T169" s="4"/>
    </row>
    <row r="170" customFormat="false" ht="23.85" hidden="false" customHeight="false" outlineLevel="0" collapsed="false">
      <c r="A170" s="4" t="s">
        <v>2126</v>
      </c>
      <c r="B170" s="4" t="s">
        <v>2051</v>
      </c>
      <c r="C170" s="4" t="n">
        <v>36</v>
      </c>
      <c r="D170" s="5" t="s">
        <v>2127</v>
      </c>
      <c r="E170" s="5" t="s">
        <v>1510</v>
      </c>
      <c r="F170" s="4" t="s">
        <v>2128</v>
      </c>
      <c r="G170" s="4" t="n">
        <v>3</v>
      </c>
      <c r="H170" s="4" t="s">
        <v>1300</v>
      </c>
      <c r="I170" s="4" t="s">
        <v>1300</v>
      </c>
      <c r="J170" s="4"/>
      <c r="K170" s="4" t="s">
        <v>604</v>
      </c>
      <c r="L170" s="5" t="s">
        <v>1525</v>
      </c>
      <c r="M170" s="13" t="s">
        <v>39</v>
      </c>
      <c r="N170" s="5" t="s">
        <v>1526</v>
      </c>
      <c r="O170" s="4" t="s">
        <v>143</v>
      </c>
      <c r="P170" s="5" t="s">
        <v>2129</v>
      </c>
      <c r="Q170" s="4" t="n">
        <v>0</v>
      </c>
      <c r="R170" s="4" t="n">
        <v>0</v>
      </c>
      <c r="S170" s="4"/>
      <c r="T170" s="4"/>
    </row>
    <row r="171" customFormat="false" ht="15" hidden="false" customHeight="false" outlineLevel="0" collapsed="false">
      <c r="A171" s="4" t="s">
        <v>2130</v>
      </c>
      <c r="B171" s="4" t="s">
        <v>2051</v>
      </c>
      <c r="C171" s="4" t="n">
        <v>37</v>
      </c>
      <c r="D171" s="5" t="s">
        <v>2131</v>
      </c>
      <c r="E171" s="4" t="s">
        <v>606</v>
      </c>
      <c r="F171" s="4" t="s">
        <v>2132</v>
      </c>
      <c r="G171" s="4" t="n">
        <v>3</v>
      </c>
      <c r="H171" s="4" t="s">
        <v>38</v>
      </c>
      <c r="I171" s="4" t="s">
        <v>38</v>
      </c>
      <c r="J171" s="4"/>
      <c r="K171" s="4"/>
      <c r="L171" s="4" t="s">
        <v>38</v>
      </c>
      <c r="M171" s="4" t="s">
        <v>38</v>
      </c>
      <c r="N171" s="5" t="s">
        <v>1506</v>
      </c>
      <c r="O171" s="4" t="s">
        <v>143</v>
      </c>
      <c r="P171" s="5" t="s">
        <v>1507</v>
      </c>
      <c r="Q171" s="4" t="n">
        <v>0</v>
      </c>
      <c r="R171" s="4" t="n">
        <v>0</v>
      </c>
      <c r="S171" s="4"/>
      <c r="T171" s="4"/>
    </row>
    <row r="172" customFormat="false" ht="15" hidden="false" customHeight="false" outlineLevel="0" collapsed="false">
      <c r="A172" s="4" t="s">
        <v>2133</v>
      </c>
      <c r="B172" s="4" t="s">
        <v>2051</v>
      </c>
      <c r="C172" s="4" t="n">
        <v>38</v>
      </c>
      <c r="D172" s="5" t="s">
        <v>2134</v>
      </c>
      <c r="E172" s="4" t="s">
        <v>606</v>
      </c>
      <c r="F172" s="4" t="s">
        <v>2135</v>
      </c>
      <c r="G172" s="4" t="n">
        <v>3</v>
      </c>
      <c r="H172" s="4" t="s">
        <v>38</v>
      </c>
      <c r="I172" s="4" t="s">
        <v>38</v>
      </c>
      <c r="J172" s="4"/>
      <c r="K172" s="4"/>
      <c r="L172" s="4" t="s">
        <v>38</v>
      </c>
      <c r="M172" s="4" t="s">
        <v>38</v>
      </c>
      <c r="N172" s="5" t="s">
        <v>1506</v>
      </c>
      <c r="O172" s="4" t="s">
        <v>143</v>
      </c>
      <c r="P172" s="5" t="s">
        <v>1507</v>
      </c>
      <c r="Q172" s="4" t="n">
        <v>0</v>
      </c>
      <c r="R172" s="4" t="n">
        <v>0</v>
      </c>
      <c r="S172" s="4"/>
      <c r="T172" s="4"/>
    </row>
    <row r="173" customFormat="false" ht="23.85" hidden="false" customHeight="false" outlineLevel="0" collapsed="false">
      <c r="A173" s="4" t="s">
        <v>2136</v>
      </c>
      <c r="B173" s="4" t="s">
        <v>2051</v>
      </c>
      <c r="C173" s="4" t="n">
        <v>41</v>
      </c>
      <c r="D173" s="4" t="s">
        <v>2137</v>
      </c>
      <c r="E173" s="4" t="s">
        <v>606</v>
      </c>
      <c r="F173" s="4" t="s">
        <v>2138</v>
      </c>
      <c r="G173" s="4" t="n">
        <v>1</v>
      </c>
      <c r="H173" s="4" t="s">
        <v>1300</v>
      </c>
      <c r="I173" s="4" t="s">
        <v>1300</v>
      </c>
      <c r="J173" s="4"/>
      <c r="K173" s="4" t="s">
        <v>664</v>
      </c>
      <c r="L173" s="5" t="s">
        <v>1525</v>
      </c>
      <c r="M173" s="5" t="s">
        <v>34</v>
      </c>
      <c r="N173" s="5" t="s">
        <v>1506</v>
      </c>
      <c r="O173" s="4" t="s">
        <v>49</v>
      </c>
      <c r="P173" s="4" t="s">
        <v>2139</v>
      </c>
      <c r="Q173" s="4" t="n">
        <v>1</v>
      </c>
      <c r="R173" s="4" t="n">
        <v>0</v>
      </c>
      <c r="S173" s="4" t="s">
        <v>663</v>
      </c>
      <c r="T173" s="4"/>
    </row>
    <row r="174" customFormat="false" ht="15" hidden="false" customHeight="false" outlineLevel="0" collapsed="false">
      <c r="A174" s="4" t="s">
        <v>2140</v>
      </c>
      <c r="B174" s="4" t="s">
        <v>2051</v>
      </c>
      <c r="C174" s="4" t="n">
        <v>42</v>
      </c>
      <c r="D174" s="4" t="s">
        <v>2141</v>
      </c>
      <c r="E174" s="4" t="s">
        <v>2142</v>
      </c>
      <c r="F174" s="4" t="s">
        <v>2143</v>
      </c>
      <c r="G174" s="4" t="n">
        <v>1</v>
      </c>
      <c r="H174" s="4"/>
      <c r="I174" s="4"/>
      <c r="J174" s="4"/>
      <c r="K174" s="4" t="s">
        <v>664</v>
      </c>
      <c r="L174" s="5" t="s">
        <v>1602</v>
      </c>
      <c r="M174" s="14" t="s">
        <v>34</v>
      </c>
      <c r="N174" s="5" t="s">
        <v>1526</v>
      </c>
      <c r="O174" s="4" t="s">
        <v>49</v>
      </c>
      <c r="P174" s="4" t="s">
        <v>2144</v>
      </c>
      <c r="Q174" s="4" t="n">
        <v>1</v>
      </c>
      <c r="R174" s="4" t="n">
        <v>0</v>
      </c>
      <c r="S174" s="4" t="s">
        <v>670</v>
      </c>
      <c r="T174" s="4"/>
    </row>
    <row r="175" customFormat="false" ht="15" hidden="false" customHeight="false" outlineLevel="0" collapsed="false">
      <c r="A175" s="4" t="s">
        <v>2145</v>
      </c>
      <c r="B175" s="4" t="s">
        <v>2051</v>
      </c>
      <c r="C175" s="4" t="n">
        <v>43</v>
      </c>
      <c r="D175" s="4" t="s">
        <v>2146</v>
      </c>
      <c r="E175" s="4" t="s">
        <v>563</v>
      </c>
      <c r="F175" s="4" t="s">
        <v>2147</v>
      </c>
      <c r="G175" s="4" t="n">
        <v>1</v>
      </c>
      <c r="H175" s="4"/>
      <c r="I175" s="4"/>
      <c r="J175" s="4"/>
      <c r="K175" s="4" t="s">
        <v>664</v>
      </c>
      <c r="L175" s="5" t="s">
        <v>1602</v>
      </c>
      <c r="M175" s="14" t="s">
        <v>34</v>
      </c>
      <c r="N175" s="5" t="s">
        <v>1526</v>
      </c>
      <c r="O175" s="4" t="s">
        <v>49</v>
      </c>
      <c r="P175" s="4" t="s">
        <v>2148</v>
      </c>
      <c r="Q175" s="4" t="n">
        <v>1</v>
      </c>
      <c r="R175" s="4" t="n">
        <v>0</v>
      </c>
      <c r="S175" s="4" t="s">
        <v>678</v>
      </c>
      <c r="T175" s="4"/>
    </row>
    <row r="176" customFormat="false" ht="29.85" hidden="false" customHeight="false" outlineLevel="0" collapsed="false">
      <c r="A176" s="4" t="s">
        <v>2149</v>
      </c>
      <c r="B176" s="4" t="s">
        <v>2051</v>
      </c>
      <c r="C176" s="4" t="n">
        <v>44</v>
      </c>
      <c r="D176" s="4" t="s">
        <v>2150</v>
      </c>
      <c r="E176" s="4" t="s">
        <v>559</v>
      </c>
      <c r="F176" s="4" t="s">
        <v>2151</v>
      </c>
      <c r="G176" s="4" t="n">
        <v>1</v>
      </c>
      <c r="H176" s="4"/>
      <c r="I176" s="4"/>
      <c r="J176" s="4"/>
      <c r="K176" s="4" t="s">
        <v>632</v>
      </c>
      <c r="L176" s="5" t="s">
        <v>1602</v>
      </c>
      <c r="M176" s="13" t="s">
        <v>36</v>
      </c>
      <c r="N176" s="5" t="s">
        <v>1526</v>
      </c>
      <c r="O176" s="4" t="s">
        <v>49</v>
      </c>
      <c r="P176" s="4" t="s">
        <v>2152</v>
      </c>
      <c r="Q176" s="4" t="n">
        <v>0</v>
      </c>
      <c r="R176" s="4" t="n">
        <v>1</v>
      </c>
      <c r="S176" s="4" t="s">
        <v>631</v>
      </c>
      <c r="T176" s="15" t="s">
        <v>1506</v>
      </c>
    </row>
    <row r="177" customFormat="false" ht="23.85" hidden="false" customHeight="false" outlineLevel="0" collapsed="false">
      <c r="A177" s="4" t="s">
        <v>2153</v>
      </c>
      <c r="B177" s="4" t="s">
        <v>2051</v>
      </c>
      <c r="C177" s="4" t="n">
        <v>45</v>
      </c>
      <c r="D177" s="4" t="s">
        <v>2154</v>
      </c>
      <c r="E177" s="4" t="s">
        <v>559</v>
      </c>
      <c r="F177" s="4" t="s">
        <v>2155</v>
      </c>
      <c r="G177" s="4" t="n">
        <v>1</v>
      </c>
      <c r="H177" s="4" t="s">
        <v>1300</v>
      </c>
      <c r="I177" s="4" t="s">
        <v>1300</v>
      </c>
      <c r="J177" s="4"/>
      <c r="K177" s="4" t="s">
        <v>650</v>
      </c>
      <c r="L177" s="5" t="s">
        <v>1525</v>
      </c>
      <c r="M177" s="13" t="s">
        <v>37</v>
      </c>
      <c r="N177" s="5" t="s">
        <v>1526</v>
      </c>
      <c r="O177" s="4" t="s">
        <v>49</v>
      </c>
      <c r="P177" s="5" t="s">
        <v>2156</v>
      </c>
      <c r="Q177" s="4" t="n">
        <v>1</v>
      </c>
      <c r="R177" s="4" t="n">
        <v>0</v>
      </c>
      <c r="S177" s="4" t="s">
        <v>649</v>
      </c>
      <c r="T177" s="4"/>
    </row>
    <row r="178" customFormat="false" ht="29.85" hidden="false" customHeight="false" outlineLevel="0" collapsed="false">
      <c r="A178" s="4" t="s">
        <v>2157</v>
      </c>
      <c r="B178" s="4" t="s">
        <v>2051</v>
      </c>
      <c r="C178" s="4" t="n">
        <v>46</v>
      </c>
      <c r="D178" s="5" t="s">
        <v>2158</v>
      </c>
      <c r="E178" s="4" t="s">
        <v>623</v>
      </c>
      <c r="F178" s="4" t="s">
        <v>2159</v>
      </c>
      <c r="G178" s="4" t="n">
        <v>1</v>
      </c>
      <c r="H178" s="4" t="s">
        <v>37</v>
      </c>
      <c r="I178" s="4" t="s">
        <v>37</v>
      </c>
      <c r="J178" s="4"/>
      <c r="K178" s="4" t="s">
        <v>621</v>
      </c>
      <c r="L178" s="4" t="s">
        <v>37</v>
      </c>
      <c r="M178" s="4" t="s">
        <v>37</v>
      </c>
      <c r="N178" s="5" t="s">
        <v>1506</v>
      </c>
      <c r="O178" s="4" t="s">
        <v>49</v>
      </c>
      <c r="P178" s="5" t="s">
        <v>2160</v>
      </c>
      <c r="Q178" s="4" t="n">
        <v>0</v>
      </c>
      <c r="R178" s="4" t="n">
        <v>1</v>
      </c>
      <c r="S178" s="4" t="s">
        <v>620</v>
      </c>
      <c r="T178" s="4"/>
    </row>
    <row r="179" customFormat="false" ht="15" hidden="false" customHeight="false" outlineLevel="0" collapsed="false">
      <c r="A179" s="4" t="s">
        <v>2161</v>
      </c>
      <c r="B179" s="4" t="s">
        <v>2051</v>
      </c>
      <c r="C179" s="4" t="n">
        <v>47</v>
      </c>
      <c r="D179" s="5" t="s">
        <v>2162</v>
      </c>
      <c r="E179" s="4" t="s">
        <v>623</v>
      </c>
      <c r="F179" s="4" t="s">
        <v>2163</v>
      </c>
      <c r="G179" s="4" t="n">
        <v>1</v>
      </c>
      <c r="H179" s="4"/>
      <c r="I179" s="4"/>
      <c r="J179" s="4"/>
      <c r="K179" s="4"/>
      <c r="L179" s="5" t="s">
        <v>1602</v>
      </c>
      <c r="M179" s="13" t="s">
        <v>37</v>
      </c>
      <c r="N179" s="5" t="s">
        <v>1526</v>
      </c>
      <c r="O179" s="4" t="s">
        <v>49</v>
      </c>
      <c r="P179" s="5" t="s">
        <v>784</v>
      </c>
      <c r="Q179" s="4" t="n">
        <v>0</v>
      </c>
      <c r="R179" s="4" t="n">
        <v>1</v>
      </c>
      <c r="S179" s="4" t="s">
        <v>620</v>
      </c>
      <c r="T179" s="4"/>
    </row>
    <row r="180" customFormat="false" ht="15" hidden="false" customHeight="false" outlineLevel="0" collapsed="false">
      <c r="A180" s="4" t="s">
        <v>2164</v>
      </c>
      <c r="B180" s="4" t="s">
        <v>2051</v>
      </c>
      <c r="C180" s="4" t="n">
        <v>48</v>
      </c>
      <c r="D180" s="5" t="s">
        <v>2165</v>
      </c>
      <c r="E180" s="4" t="s">
        <v>623</v>
      </c>
      <c r="F180" s="4" t="s">
        <v>2166</v>
      </c>
      <c r="G180" s="4" t="n">
        <v>1</v>
      </c>
      <c r="H180" s="4"/>
      <c r="I180" s="4"/>
      <c r="J180" s="4"/>
      <c r="K180" s="4"/>
      <c r="L180" s="5" t="s">
        <v>1602</v>
      </c>
      <c r="M180" s="13" t="s">
        <v>37</v>
      </c>
      <c r="N180" s="5" t="s">
        <v>1526</v>
      </c>
      <c r="O180" s="4" t="s">
        <v>49</v>
      </c>
      <c r="P180" s="5" t="s">
        <v>784</v>
      </c>
      <c r="Q180" s="4" t="n">
        <v>0</v>
      </c>
      <c r="R180" s="4" t="n">
        <v>1</v>
      </c>
      <c r="S180" s="4" t="s">
        <v>620</v>
      </c>
      <c r="T180" s="4"/>
    </row>
    <row r="181" customFormat="false" ht="58.2" hidden="false" customHeight="false" outlineLevel="0" collapsed="false">
      <c r="A181" s="4" t="s">
        <v>2167</v>
      </c>
      <c r="B181" s="4" t="s">
        <v>2168</v>
      </c>
      <c r="C181" s="4" t="n">
        <v>6</v>
      </c>
      <c r="D181" s="5" t="s">
        <v>1873</v>
      </c>
      <c r="E181" s="4"/>
      <c r="F181" s="4" t="s">
        <v>2169</v>
      </c>
      <c r="G181" s="4" t="n">
        <v>17</v>
      </c>
      <c r="H181" s="4"/>
      <c r="I181" s="4"/>
      <c r="J181" s="4"/>
      <c r="K181" s="4"/>
      <c r="L181" s="5" t="s">
        <v>40</v>
      </c>
      <c r="M181" s="5" t="s">
        <v>40</v>
      </c>
      <c r="N181" s="5" t="s">
        <v>1506</v>
      </c>
      <c r="O181" s="4" t="s">
        <v>143</v>
      </c>
      <c r="P181" s="5" t="s">
        <v>1507</v>
      </c>
      <c r="Q181" s="4" t="n">
        <v>0</v>
      </c>
      <c r="R181" s="4" t="n">
        <v>0</v>
      </c>
      <c r="S181" s="4"/>
      <c r="T181" s="4"/>
    </row>
    <row r="182" customFormat="false" ht="58.2" hidden="false" customHeight="false" outlineLevel="0" collapsed="false">
      <c r="A182" s="4" t="s">
        <v>2170</v>
      </c>
      <c r="B182" s="4" t="s">
        <v>2168</v>
      </c>
      <c r="C182" s="4" t="n">
        <v>7</v>
      </c>
      <c r="D182" s="5" t="s">
        <v>2022</v>
      </c>
      <c r="E182" s="4"/>
      <c r="F182" s="4" t="s">
        <v>2171</v>
      </c>
      <c r="G182" s="4" t="n">
        <v>17</v>
      </c>
      <c r="H182" s="4"/>
      <c r="I182" s="4"/>
      <c r="J182" s="4"/>
      <c r="K182" s="4"/>
      <c r="L182" s="5" t="s">
        <v>40</v>
      </c>
      <c r="M182" s="5" t="s">
        <v>40</v>
      </c>
      <c r="N182" s="5" t="s">
        <v>1506</v>
      </c>
      <c r="O182" s="4" t="s">
        <v>143</v>
      </c>
      <c r="P182" s="5" t="s">
        <v>1507</v>
      </c>
      <c r="Q182" s="4" t="n">
        <v>0</v>
      </c>
      <c r="R182" s="4" t="n">
        <v>0</v>
      </c>
      <c r="S182" s="4"/>
      <c r="T182" s="4"/>
    </row>
    <row r="183" customFormat="false" ht="15" hidden="false" customHeight="false" outlineLevel="0" collapsed="false">
      <c r="A183" s="4" t="s">
        <v>2172</v>
      </c>
      <c r="B183" s="4" t="s">
        <v>2168</v>
      </c>
      <c r="C183" s="4" t="n">
        <v>19</v>
      </c>
      <c r="D183" s="5" t="s">
        <v>2173</v>
      </c>
      <c r="E183" s="4" t="s">
        <v>498</v>
      </c>
      <c r="F183" s="4" t="s">
        <v>2174</v>
      </c>
      <c r="G183" s="4" t="n">
        <v>2</v>
      </c>
      <c r="H183" s="4"/>
      <c r="I183" s="4"/>
      <c r="J183" s="4"/>
      <c r="K183" s="4"/>
      <c r="L183" s="5" t="s">
        <v>1602</v>
      </c>
      <c r="M183" s="14" t="s">
        <v>41</v>
      </c>
      <c r="N183" s="5" t="s">
        <v>1526</v>
      </c>
      <c r="O183" s="4" t="s">
        <v>143</v>
      </c>
      <c r="P183" s="4" t="s">
        <v>2175</v>
      </c>
      <c r="Q183" s="4" t="n">
        <v>0</v>
      </c>
      <c r="R183" s="4" t="n">
        <v>0</v>
      </c>
      <c r="S183" s="4"/>
      <c r="T183" s="4"/>
    </row>
    <row r="184" customFormat="false" ht="15" hidden="false" customHeight="false" outlineLevel="0" collapsed="false">
      <c r="A184" s="4" t="s">
        <v>2176</v>
      </c>
      <c r="B184" s="4" t="s">
        <v>2168</v>
      </c>
      <c r="C184" s="4" t="n">
        <v>20</v>
      </c>
      <c r="D184" s="5" t="s">
        <v>2177</v>
      </c>
      <c r="E184" s="4" t="s">
        <v>498</v>
      </c>
      <c r="F184" s="4" t="s">
        <v>2178</v>
      </c>
      <c r="G184" s="4" t="n">
        <v>2</v>
      </c>
      <c r="H184" s="4"/>
      <c r="I184" s="4"/>
      <c r="J184" s="4"/>
      <c r="K184" s="4"/>
      <c r="L184" s="5" t="s">
        <v>1602</v>
      </c>
      <c r="M184" s="14" t="s">
        <v>41</v>
      </c>
      <c r="N184" s="5" t="s">
        <v>1526</v>
      </c>
      <c r="O184" s="4" t="s">
        <v>143</v>
      </c>
      <c r="P184" s="5" t="s">
        <v>784</v>
      </c>
      <c r="Q184" s="4" t="n">
        <v>0</v>
      </c>
      <c r="R184" s="4" t="n">
        <v>0</v>
      </c>
      <c r="S184" s="4"/>
      <c r="T184" s="4"/>
    </row>
    <row r="185" customFormat="false" ht="44" hidden="false" customHeight="false" outlineLevel="0" collapsed="false">
      <c r="A185" s="4" t="s">
        <v>2179</v>
      </c>
      <c r="B185" s="4" t="s">
        <v>2180</v>
      </c>
      <c r="C185" s="4" t="n">
        <v>6</v>
      </c>
      <c r="D185" s="5" t="s">
        <v>1873</v>
      </c>
      <c r="E185" s="4"/>
      <c r="F185" s="4" t="s">
        <v>2020</v>
      </c>
      <c r="G185" s="4" t="n">
        <v>15</v>
      </c>
      <c r="H185" s="4"/>
      <c r="I185" s="4"/>
      <c r="J185" s="4"/>
      <c r="K185" s="4"/>
      <c r="L185" s="5" t="s">
        <v>40</v>
      </c>
      <c r="M185" s="5" t="s">
        <v>40</v>
      </c>
      <c r="N185" s="5" t="s">
        <v>1506</v>
      </c>
      <c r="O185" s="4" t="s">
        <v>143</v>
      </c>
      <c r="P185" s="5" t="s">
        <v>1507</v>
      </c>
      <c r="Q185" s="4" t="n">
        <v>0</v>
      </c>
      <c r="R185" s="4" t="n">
        <v>0</v>
      </c>
      <c r="S185" s="4"/>
      <c r="T185" s="4"/>
    </row>
    <row r="186" customFormat="false" ht="44" hidden="false" customHeight="false" outlineLevel="0" collapsed="false">
      <c r="A186" s="4" t="s">
        <v>2181</v>
      </c>
      <c r="B186" s="4" t="s">
        <v>2180</v>
      </c>
      <c r="C186" s="4" t="n">
        <v>7</v>
      </c>
      <c r="D186" s="5" t="s">
        <v>2022</v>
      </c>
      <c r="E186" s="4"/>
      <c r="F186" s="4" t="s">
        <v>2023</v>
      </c>
      <c r="G186" s="4" t="n">
        <v>15</v>
      </c>
      <c r="H186" s="4"/>
      <c r="I186" s="4"/>
      <c r="J186" s="4"/>
      <c r="K186" s="4"/>
      <c r="L186" s="5" t="s">
        <v>40</v>
      </c>
      <c r="M186" s="5" t="s">
        <v>40</v>
      </c>
      <c r="N186" s="5" t="s">
        <v>1506</v>
      </c>
      <c r="O186" s="4" t="s">
        <v>143</v>
      </c>
      <c r="P186" s="5" t="s">
        <v>1507</v>
      </c>
      <c r="Q186" s="4" t="n">
        <v>0</v>
      </c>
      <c r="R186" s="4" t="n">
        <v>0</v>
      </c>
      <c r="S186" s="4"/>
      <c r="T186" s="4"/>
    </row>
    <row r="187" customFormat="false" ht="100.7" hidden="false" customHeight="false" outlineLevel="0" collapsed="false">
      <c r="A187" s="4" t="s">
        <v>2182</v>
      </c>
      <c r="B187" s="4" t="s">
        <v>2183</v>
      </c>
      <c r="C187" s="4" t="n">
        <v>6</v>
      </c>
      <c r="D187" s="5" t="s">
        <v>1873</v>
      </c>
      <c r="E187" s="4"/>
      <c r="F187" s="4" t="s">
        <v>2026</v>
      </c>
      <c r="G187" s="4" t="n">
        <v>32</v>
      </c>
      <c r="H187" s="4"/>
      <c r="I187" s="4"/>
      <c r="J187" s="4"/>
      <c r="K187" s="4"/>
      <c r="L187" s="5" t="s">
        <v>40</v>
      </c>
      <c r="M187" s="5" t="s">
        <v>40</v>
      </c>
      <c r="N187" s="5" t="s">
        <v>1506</v>
      </c>
      <c r="O187" s="4" t="s">
        <v>143</v>
      </c>
      <c r="P187" s="5" t="s">
        <v>1507</v>
      </c>
      <c r="Q187" s="4" t="n">
        <v>0</v>
      </c>
      <c r="R187" s="4" t="n">
        <v>0</v>
      </c>
      <c r="S187" s="4"/>
      <c r="T187" s="4"/>
    </row>
    <row r="188" customFormat="false" ht="100.7" hidden="false" customHeight="false" outlineLevel="0" collapsed="false">
      <c r="A188" s="4" t="s">
        <v>2184</v>
      </c>
      <c r="B188" s="4" t="s">
        <v>2183</v>
      </c>
      <c r="C188" s="4" t="n">
        <v>7</v>
      </c>
      <c r="D188" s="5" t="s">
        <v>2022</v>
      </c>
      <c r="E188" s="4"/>
      <c r="F188" s="4" t="s">
        <v>2028</v>
      </c>
      <c r="G188" s="4" t="n">
        <v>32</v>
      </c>
      <c r="H188" s="4"/>
      <c r="I188" s="4"/>
      <c r="J188" s="4"/>
      <c r="K188" s="4"/>
      <c r="L188" s="5" t="s">
        <v>40</v>
      </c>
      <c r="M188" s="5" t="s">
        <v>40</v>
      </c>
      <c r="N188" s="5" t="s">
        <v>1506</v>
      </c>
      <c r="O188" s="4" t="s">
        <v>143</v>
      </c>
      <c r="P188" s="5" t="s">
        <v>1507</v>
      </c>
      <c r="Q188" s="4" t="n">
        <v>0</v>
      </c>
      <c r="R188" s="4" t="n">
        <v>0</v>
      </c>
      <c r="S188" s="4"/>
      <c r="T188" s="4"/>
    </row>
    <row r="189" customFormat="false" ht="15" hidden="false" customHeight="false" outlineLevel="0" collapsed="false">
      <c r="A189" s="4" t="s">
        <v>2185</v>
      </c>
      <c r="B189" s="4" t="s">
        <v>2183</v>
      </c>
      <c r="C189" s="4" t="n">
        <v>13</v>
      </c>
      <c r="D189" s="5" t="s">
        <v>2186</v>
      </c>
      <c r="E189" s="4" t="s">
        <v>421</v>
      </c>
      <c r="F189" s="4" t="s">
        <v>2187</v>
      </c>
      <c r="G189" s="4" t="n">
        <v>4</v>
      </c>
      <c r="H189" s="4"/>
      <c r="I189" s="4"/>
      <c r="J189" s="4"/>
      <c r="K189" s="4"/>
      <c r="L189" s="5" t="s">
        <v>40</v>
      </c>
      <c r="M189" s="14" t="s">
        <v>41</v>
      </c>
      <c r="N189" s="5" t="s">
        <v>1526</v>
      </c>
      <c r="O189" s="4" t="s">
        <v>143</v>
      </c>
      <c r="P189" s="5" t="s">
        <v>1507</v>
      </c>
      <c r="Q189" s="4" t="n">
        <v>0</v>
      </c>
      <c r="R189" s="4" t="n">
        <v>0</v>
      </c>
      <c r="S189" s="4"/>
      <c r="T189" s="4"/>
    </row>
    <row r="190" customFormat="false" ht="15" hidden="false" customHeight="false" outlineLevel="0" collapsed="false">
      <c r="A190" s="4" t="s">
        <v>2188</v>
      </c>
      <c r="B190" s="4" t="s">
        <v>2183</v>
      </c>
      <c r="C190" s="4" t="n">
        <v>17</v>
      </c>
      <c r="D190" s="4" t="s">
        <v>2189</v>
      </c>
      <c r="E190" s="4" t="s">
        <v>421</v>
      </c>
      <c r="F190" s="4" t="s">
        <v>2190</v>
      </c>
      <c r="G190" s="4" t="n">
        <v>2</v>
      </c>
      <c r="H190" s="4"/>
      <c r="I190" s="4"/>
      <c r="J190" s="4"/>
      <c r="K190" s="4"/>
      <c r="L190" s="5" t="s">
        <v>40</v>
      </c>
      <c r="M190" s="14" t="s">
        <v>41</v>
      </c>
      <c r="N190" s="5" t="s">
        <v>1526</v>
      </c>
      <c r="O190" s="4" t="s">
        <v>143</v>
      </c>
      <c r="P190" s="5" t="s">
        <v>1507</v>
      </c>
      <c r="Q190" s="4" t="n">
        <v>0</v>
      </c>
      <c r="R190" s="4" t="n">
        <v>0</v>
      </c>
      <c r="S190" s="4"/>
      <c r="T190" s="4"/>
    </row>
    <row r="191" customFormat="false" ht="15" hidden="false" customHeight="false" outlineLevel="0" collapsed="false">
      <c r="A191" s="4" t="s">
        <v>2191</v>
      </c>
      <c r="B191" s="4" t="s">
        <v>2183</v>
      </c>
      <c r="C191" s="4" t="n">
        <v>30</v>
      </c>
      <c r="D191" s="5" t="s">
        <v>2192</v>
      </c>
      <c r="E191" s="4" t="s">
        <v>559</v>
      </c>
      <c r="F191" s="4" t="s">
        <v>2193</v>
      </c>
      <c r="G191" s="4" t="n">
        <v>4</v>
      </c>
      <c r="H191" s="4"/>
      <c r="I191" s="4"/>
      <c r="J191" s="4"/>
      <c r="K191" s="4"/>
      <c r="L191" s="5" t="s">
        <v>40</v>
      </c>
      <c r="M191" s="14" t="s">
        <v>41</v>
      </c>
      <c r="N191" s="5" t="s">
        <v>1526</v>
      </c>
      <c r="O191" s="4" t="s">
        <v>143</v>
      </c>
      <c r="P191" s="5" t="s">
        <v>1507</v>
      </c>
      <c r="Q191" s="4" t="n">
        <v>0</v>
      </c>
      <c r="R191" s="4" t="n">
        <v>0</v>
      </c>
      <c r="S191" s="4"/>
      <c r="T191" s="4"/>
    </row>
    <row r="192" customFormat="false" ht="15" hidden="false" customHeight="false" outlineLevel="0" collapsed="false">
      <c r="A192" s="4" t="s">
        <v>2194</v>
      </c>
      <c r="B192" s="4" t="s">
        <v>2183</v>
      </c>
      <c r="C192" s="4" t="n">
        <v>64</v>
      </c>
      <c r="D192" s="4" t="s">
        <v>2195</v>
      </c>
      <c r="E192" s="4" t="s">
        <v>421</v>
      </c>
      <c r="F192" s="4" t="s">
        <v>2196</v>
      </c>
      <c r="G192" s="4" t="n">
        <v>4</v>
      </c>
      <c r="H192" s="4"/>
      <c r="I192" s="4"/>
      <c r="J192" s="4"/>
      <c r="K192" s="4"/>
      <c r="L192" s="5" t="s">
        <v>40</v>
      </c>
      <c r="M192" s="14" t="s">
        <v>41</v>
      </c>
      <c r="N192" s="5" t="s">
        <v>1526</v>
      </c>
      <c r="O192" s="4" t="s">
        <v>143</v>
      </c>
      <c r="P192" s="5" t="s">
        <v>1507</v>
      </c>
      <c r="Q192" s="4" t="n">
        <v>0</v>
      </c>
      <c r="R192" s="4" t="n">
        <v>0</v>
      </c>
      <c r="S192" s="4"/>
      <c r="T192" s="4"/>
    </row>
    <row r="193" customFormat="false" ht="15" hidden="false" customHeight="false" outlineLevel="0" collapsed="false">
      <c r="A193" s="4" t="s">
        <v>2197</v>
      </c>
      <c r="B193" s="4" t="s">
        <v>2183</v>
      </c>
      <c r="C193" s="4" t="n">
        <v>93</v>
      </c>
      <c r="D193" s="5" t="s">
        <v>2198</v>
      </c>
      <c r="E193" s="4" t="s">
        <v>606</v>
      </c>
      <c r="F193" s="4" t="s">
        <v>2199</v>
      </c>
      <c r="G193" s="4" t="n">
        <v>2</v>
      </c>
      <c r="H193" s="4"/>
      <c r="I193" s="4"/>
      <c r="J193" s="4"/>
      <c r="K193" s="4"/>
      <c r="L193" s="5" t="s">
        <v>40</v>
      </c>
      <c r="M193" s="14" t="s">
        <v>41</v>
      </c>
      <c r="N193" s="5" t="s">
        <v>1526</v>
      </c>
      <c r="O193" s="4" t="s">
        <v>143</v>
      </c>
      <c r="P193" s="5" t="s">
        <v>1507</v>
      </c>
      <c r="Q193" s="4" t="n">
        <v>0</v>
      </c>
      <c r="R193" s="4" t="n">
        <v>0</v>
      </c>
      <c r="S193" s="4"/>
      <c r="T193" s="4"/>
    </row>
    <row r="194" customFormat="false" ht="29.85" hidden="false" customHeight="false" outlineLevel="0" collapsed="false">
      <c r="A194" s="4" t="s">
        <v>2200</v>
      </c>
      <c r="B194" s="4" t="s">
        <v>2183</v>
      </c>
      <c r="C194" s="4" t="n">
        <v>119</v>
      </c>
      <c r="D194" s="5" t="s">
        <v>2201</v>
      </c>
      <c r="E194" s="4" t="s">
        <v>559</v>
      </c>
      <c r="F194" s="4" t="s">
        <v>2202</v>
      </c>
      <c r="G194" s="4" t="n">
        <v>4</v>
      </c>
      <c r="H194" s="4"/>
      <c r="I194" s="4"/>
      <c r="J194" s="4"/>
      <c r="K194" s="4"/>
      <c r="L194" s="5" t="s">
        <v>40</v>
      </c>
      <c r="M194" s="14" t="s">
        <v>41</v>
      </c>
      <c r="N194" s="5" t="s">
        <v>1526</v>
      </c>
      <c r="O194" s="4" t="s">
        <v>143</v>
      </c>
      <c r="P194" s="5" t="s">
        <v>1507</v>
      </c>
      <c r="Q194" s="4" t="n">
        <v>0</v>
      </c>
      <c r="R194" s="4" t="n">
        <v>0</v>
      </c>
      <c r="S194" s="4"/>
      <c r="T194" s="4"/>
    </row>
    <row r="195" customFormat="false" ht="26.85" hidden="false" customHeight="false" outlineLevel="0" collapsed="false">
      <c r="A195" s="4" t="s">
        <v>2203</v>
      </c>
      <c r="B195" s="4" t="s">
        <v>2204</v>
      </c>
      <c r="C195" s="4" t="n">
        <v>6</v>
      </c>
      <c r="D195" s="5" t="s">
        <v>2205</v>
      </c>
      <c r="E195" s="4" t="s">
        <v>933</v>
      </c>
      <c r="F195" s="4" t="s">
        <v>1709</v>
      </c>
      <c r="G195" s="4" t="n">
        <v>3</v>
      </c>
      <c r="H195" s="4" t="s">
        <v>1294</v>
      </c>
      <c r="I195" s="4" t="s">
        <v>1294</v>
      </c>
      <c r="J195" s="4"/>
      <c r="K195" s="4" t="s">
        <v>931</v>
      </c>
      <c r="L195" s="5" t="s">
        <v>1525</v>
      </c>
      <c r="M195" s="5" t="s">
        <v>34</v>
      </c>
      <c r="N195" s="5" t="s">
        <v>1506</v>
      </c>
      <c r="O195" s="4" t="s">
        <v>51</v>
      </c>
      <c r="P195" s="4" t="s">
        <v>2206</v>
      </c>
      <c r="Q195" s="4" t="n">
        <v>3</v>
      </c>
      <c r="R195" s="4" t="n">
        <v>0</v>
      </c>
      <c r="S195" s="4" t="s">
        <v>2207</v>
      </c>
      <c r="T195" s="4"/>
    </row>
    <row r="196" customFormat="false" ht="26.85" hidden="false" customHeight="false" outlineLevel="0" collapsed="false">
      <c r="A196" s="4" t="s">
        <v>2208</v>
      </c>
      <c r="B196" s="4" t="s">
        <v>2204</v>
      </c>
      <c r="C196" s="4" t="n">
        <v>7</v>
      </c>
      <c r="D196" s="5" t="s">
        <v>2209</v>
      </c>
      <c r="E196" s="4" t="s">
        <v>933</v>
      </c>
      <c r="F196" s="4" t="s">
        <v>1715</v>
      </c>
      <c r="G196" s="4" t="n">
        <v>3</v>
      </c>
      <c r="H196" s="4" t="s">
        <v>1294</v>
      </c>
      <c r="I196" s="4" t="s">
        <v>1294</v>
      </c>
      <c r="J196" s="4"/>
      <c r="K196" s="4" t="s">
        <v>931</v>
      </c>
      <c r="L196" s="5" t="s">
        <v>1525</v>
      </c>
      <c r="M196" s="5" t="s">
        <v>34</v>
      </c>
      <c r="N196" s="5" t="s">
        <v>1506</v>
      </c>
      <c r="O196" s="4" t="s">
        <v>51</v>
      </c>
      <c r="P196" s="4" t="s">
        <v>2206</v>
      </c>
      <c r="Q196" s="4" t="n">
        <v>3</v>
      </c>
      <c r="R196" s="4" t="n">
        <v>0</v>
      </c>
      <c r="S196" s="4" t="s">
        <v>2210</v>
      </c>
      <c r="T196" s="4"/>
    </row>
    <row r="197" customFormat="false" ht="26.85" hidden="false" customHeight="false" outlineLevel="0" collapsed="false">
      <c r="A197" s="4" t="s">
        <v>2211</v>
      </c>
      <c r="B197" s="4" t="s">
        <v>2204</v>
      </c>
      <c r="C197" s="4" t="n">
        <v>8</v>
      </c>
      <c r="D197" s="5" t="s">
        <v>2212</v>
      </c>
      <c r="E197" s="4" t="s">
        <v>933</v>
      </c>
      <c r="F197" s="4" t="s">
        <v>1720</v>
      </c>
      <c r="G197" s="4" t="n">
        <v>3</v>
      </c>
      <c r="H197" s="4" t="s">
        <v>1294</v>
      </c>
      <c r="I197" s="4" t="s">
        <v>1294</v>
      </c>
      <c r="J197" s="4"/>
      <c r="K197" s="4" t="s">
        <v>2213</v>
      </c>
      <c r="L197" s="5" t="s">
        <v>1525</v>
      </c>
      <c r="M197" s="5" t="s">
        <v>34</v>
      </c>
      <c r="N197" s="5" t="s">
        <v>1506</v>
      </c>
      <c r="O197" s="4" t="s">
        <v>51</v>
      </c>
      <c r="P197" s="4" t="s">
        <v>2206</v>
      </c>
      <c r="Q197" s="4" t="n">
        <v>3</v>
      </c>
      <c r="R197" s="4" t="n">
        <v>0</v>
      </c>
      <c r="S197" s="4" t="s">
        <v>2214</v>
      </c>
      <c r="T197" s="4"/>
    </row>
    <row r="198" customFormat="false" ht="29.85" hidden="false" customHeight="false" outlineLevel="0" collapsed="false">
      <c r="A198" s="4" t="s">
        <v>2215</v>
      </c>
      <c r="B198" s="4" t="s">
        <v>2204</v>
      </c>
      <c r="C198" s="4" t="n">
        <v>12</v>
      </c>
      <c r="D198" s="5" t="s">
        <v>2216</v>
      </c>
      <c r="E198" s="4" t="s">
        <v>421</v>
      </c>
      <c r="F198" s="4" t="s">
        <v>1738</v>
      </c>
      <c r="G198" s="4" t="n">
        <v>3</v>
      </c>
      <c r="H198" s="4" t="s">
        <v>2217</v>
      </c>
      <c r="I198" s="4" t="s">
        <v>1294</v>
      </c>
      <c r="J198" s="5" t="s">
        <v>1506</v>
      </c>
      <c r="K198" s="4"/>
      <c r="L198" s="5" t="s">
        <v>1525</v>
      </c>
      <c r="M198" s="13" t="s">
        <v>38</v>
      </c>
      <c r="N198" s="5" t="s">
        <v>1526</v>
      </c>
      <c r="O198" s="4" t="s">
        <v>143</v>
      </c>
      <c r="P198" s="5" t="s">
        <v>2218</v>
      </c>
      <c r="Q198" s="4" t="n">
        <v>0</v>
      </c>
      <c r="R198" s="4" t="n">
        <v>0</v>
      </c>
      <c r="S198" s="4"/>
      <c r="T198" s="4"/>
    </row>
    <row r="199" customFormat="false" ht="29.85" hidden="false" customHeight="false" outlineLevel="0" collapsed="false">
      <c r="A199" s="4" t="s">
        <v>2219</v>
      </c>
      <c r="B199" s="4" t="s">
        <v>2204</v>
      </c>
      <c r="C199" s="4" t="n">
        <v>13</v>
      </c>
      <c r="D199" s="5" t="s">
        <v>2220</v>
      </c>
      <c r="E199" s="4" t="s">
        <v>421</v>
      </c>
      <c r="F199" s="4" t="s">
        <v>1743</v>
      </c>
      <c r="G199" s="4" t="n">
        <v>3</v>
      </c>
      <c r="H199" s="4" t="s">
        <v>38</v>
      </c>
      <c r="I199" s="4" t="s">
        <v>38</v>
      </c>
      <c r="J199" s="4"/>
      <c r="K199" s="4"/>
      <c r="L199" s="4" t="s">
        <v>38</v>
      </c>
      <c r="M199" s="4" t="s">
        <v>38</v>
      </c>
      <c r="N199" s="5" t="s">
        <v>1506</v>
      </c>
      <c r="O199" s="4" t="s">
        <v>143</v>
      </c>
      <c r="P199" s="5" t="s">
        <v>1507</v>
      </c>
      <c r="Q199" s="4" t="n">
        <v>0</v>
      </c>
      <c r="R199" s="4" t="n">
        <v>0</v>
      </c>
      <c r="S199" s="4"/>
      <c r="T199" s="4"/>
    </row>
    <row r="200" customFormat="false" ht="29.85" hidden="false" customHeight="false" outlineLevel="0" collapsed="false">
      <c r="A200" s="4" t="s">
        <v>2221</v>
      </c>
      <c r="B200" s="4" t="s">
        <v>2204</v>
      </c>
      <c r="C200" s="4" t="n">
        <v>14</v>
      </c>
      <c r="D200" s="5" t="s">
        <v>2222</v>
      </c>
      <c r="E200" s="4" t="s">
        <v>559</v>
      </c>
      <c r="F200" s="4" t="s">
        <v>1747</v>
      </c>
      <c r="G200" s="4" t="n">
        <v>3</v>
      </c>
      <c r="H200" s="4" t="s">
        <v>38</v>
      </c>
      <c r="I200" s="4" t="s">
        <v>38</v>
      </c>
      <c r="J200" s="4"/>
      <c r="K200" s="4"/>
      <c r="L200" s="4" t="s">
        <v>38</v>
      </c>
      <c r="M200" s="4" t="s">
        <v>38</v>
      </c>
      <c r="N200" s="5" t="s">
        <v>1506</v>
      </c>
      <c r="O200" s="4" t="s">
        <v>143</v>
      </c>
      <c r="P200" s="5" t="s">
        <v>1507</v>
      </c>
      <c r="Q200" s="4" t="n">
        <v>0</v>
      </c>
      <c r="R200" s="4" t="n">
        <v>0</v>
      </c>
      <c r="S200" s="4"/>
      <c r="T200" s="4"/>
    </row>
    <row r="201" customFormat="false" ht="29.85" hidden="false" customHeight="false" outlineLevel="0" collapsed="false">
      <c r="A201" s="4" t="s">
        <v>2223</v>
      </c>
      <c r="B201" s="4" t="s">
        <v>2204</v>
      </c>
      <c r="C201" s="4" t="n">
        <v>15</v>
      </c>
      <c r="D201" s="5" t="s">
        <v>2224</v>
      </c>
      <c r="E201" s="4" t="s">
        <v>559</v>
      </c>
      <c r="F201" s="4" t="s">
        <v>1751</v>
      </c>
      <c r="G201" s="4" t="n">
        <v>3</v>
      </c>
      <c r="H201" s="4" t="s">
        <v>38</v>
      </c>
      <c r="I201" s="4" t="s">
        <v>38</v>
      </c>
      <c r="J201" s="4"/>
      <c r="K201" s="4"/>
      <c r="L201" s="4" t="s">
        <v>38</v>
      </c>
      <c r="M201" s="4" t="s">
        <v>38</v>
      </c>
      <c r="N201" s="5" t="s">
        <v>1506</v>
      </c>
      <c r="O201" s="4" t="s">
        <v>143</v>
      </c>
      <c r="P201" s="5" t="s">
        <v>1507</v>
      </c>
      <c r="Q201" s="4" t="n">
        <v>0</v>
      </c>
      <c r="R201" s="4" t="n">
        <v>0</v>
      </c>
      <c r="S201" s="4"/>
      <c r="T201" s="4"/>
    </row>
    <row r="202" customFormat="false" ht="29.85" hidden="false" customHeight="false" outlineLevel="0" collapsed="false">
      <c r="A202" s="4" t="s">
        <v>2225</v>
      </c>
      <c r="B202" s="4" t="s">
        <v>2204</v>
      </c>
      <c r="C202" s="4" t="n">
        <v>16</v>
      </c>
      <c r="D202" s="5" t="s">
        <v>2226</v>
      </c>
      <c r="E202" s="5" t="s">
        <v>1510</v>
      </c>
      <c r="F202" s="4" t="s">
        <v>1755</v>
      </c>
      <c r="G202" s="4" t="n">
        <v>3</v>
      </c>
      <c r="H202" s="4" t="s">
        <v>39</v>
      </c>
      <c r="I202" s="4" t="s">
        <v>39</v>
      </c>
      <c r="J202" s="4"/>
      <c r="K202" s="4"/>
      <c r="L202" s="4" t="s">
        <v>39</v>
      </c>
      <c r="M202" s="4" t="s">
        <v>39</v>
      </c>
      <c r="N202" s="5" t="s">
        <v>1506</v>
      </c>
      <c r="O202" s="4" t="s">
        <v>143</v>
      </c>
      <c r="P202" s="5" t="s">
        <v>1507</v>
      </c>
      <c r="Q202" s="4" t="n">
        <v>0</v>
      </c>
      <c r="R202" s="4" t="n">
        <v>0</v>
      </c>
      <c r="S202" s="4"/>
      <c r="T202" s="4"/>
    </row>
    <row r="203" customFormat="false" ht="15" hidden="false" customHeight="false" outlineLevel="0" collapsed="false">
      <c r="A203" s="4" t="s">
        <v>2227</v>
      </c>
      <c r="B203" s="4" t="s">
        <v>2204</v>
      </c>
      <c r="C203" s="4" t="n">
        <v>17</v>
      </c>
      <c r="D203" s="5" t="s">
        <v>2228</v>
      </c>
      <c r="E203" s="4" t="s">
        <v>2229</v>
      </c>
      <c r="F203" s="4" t="s">
        <v>1820</v>
      </c>
      <c r="G203" s="4" t="n">
        <v>1</v>
      </c>
      <c r="H203" s="4" t="s">
        <v>1294</v>
      </c>
      <c r="I203" s="4" t="s">
        <v>1294</v>
      </c>
      <c r="J203" s="4"/>
      <c r="K203" s="4" t="s">
        <v>1001</v>
      </c>
      <c r="L203" s="5" t="s">
        <v>1525</v>
      </c>
      <c r="M203" s="5" t="s">
        <v>34</v>
      </c>
      <c r="N203" s="5" t="s">
        <v>1506</v>
      </c>
      <c r="O203" s="4" t="s">
        <v>51</v>
      </c>
      <c r="P203" s="4" t="s">
        <v>2230</v>
      </c>
      <c r="Q203" s="4" t="n">
        <v>1</v>
      </c>
      <c r="R203" s="4" t="n">
        <v>0</v>
      </c>
      <c r="S203" s="4" t="s">
        <v>1028</v>
      </c>
      <c r="T203" s="4"/>
    </row>
    <row r="204" customFormat="false" ht="15" hidden="false" customHeight="false" outlineLevel="0" collapsed="false">
      <c r="A204" s="4" t="s">
        <v>2231</v>
      </c>
      <c r="B204" s="4" t="s">
        <v>2204</v>
      </c>
      <c r="C204" s="4" t="n">
        <v>18</v>
      </c>
      <c r="D204" s="5" t="s">
        <v>2232</v>
      </c>
      <c r="E204" s="4" t="s">
        <v>559</v>
      </c>
      <c r="F204" s="4" t="s">
        <v>1823</v>
      </c>
      <c r="G204" s="4" t="n">
        <v>1</v>
      </c>
      <c r="H204" s="4" t="s">
        <v>1294</v>
      </c>
      <c r="I204" s="4" t="s">
        <v>1294</v>
      </c>
      <c r="J204" s="4"/>
      <c r="K204" s="4" t="s">
        <v>1001</v>
      </c>
      <c r="L204" s="5" t="s">
        <v>1525</v>
      </c>
      <c r="M204" s="5" t="s">
        <v>34</v>
      </c>
      <c r="N204" s="5" t="s">
        <v>1506</v>
      </c>
      <c r="O204" s="4" t="s">
        <v>51</v>
      </c>
      <c r="P204" s="4" t="s">
        <v>2233</v>
      </c>
      <c r="Q204" s="4" t="n">
        <v>1</v>
      </c>
      <c r="R204" s="4" t="n">
        <v>0</v>
      </c>
      <c r="S204" s="4" t="s">
        <v>1025</v>
      </c>
      <c r="T204" s="4"/>
    </row>
    <row r="205" customFormat="false" ht="15" hidden="false" customHeight="false" outlineLevel="0" collapsed="false">
      <c r="A205" s="4" t="s">
        <v>2234</v>
      </c>
      <c r="B205" s="4" t="s">
        <v>2204</v>
      </c>
      <c r="C205" s="4" t="n">
        <v>22</v>
      </c>
      <c r="D205" s="5" t="s">
        <v>2235</v>
      </c>
      <c r="E205" s="5" t="s">
        <v>2236</v>
      </c>
      <c r="F205" s="4" t="s">
        <v>1780</v>
      </c>
      <c r="G205" s="4" t="n">
        <v>3</v>
      </c>
      <c r="H205" s="4" t="s">
        <v>38</v>
      </c>
      <c r="I205" s="4" t="s">
        <v>38</v>
      </c>
      <c r="J205" s="4"/>
      <c r="K205" s="4"/>
      <c r="L205" s="4" t="s">
        <v>38</v>
      </c>
      <c r="M205" s="4" t="s">
        <v>38</v>
      </c>
      <c r="N205" s="5" t="s">
        <v>1506</v>
      </c>
      <c r="O205" s="4" t="s">
        <v>143</v>
      </c>
      <c r="P205" s="5" t="s">
        <v>1507</v>
      </c>
      <c r="Q205" s="4" t="n">
        <v>0</v>
      </c>
      <c r="R205" s="4" t="n">
        <v>0</v>
      </c>
      <c r="S205" s="4"/>
      <c r="T205" s="4"/>
    </row>
    <row r="206" customFormat="false" ht="15" hidden="false" customHeight="false" outlineLevel="0" collapsed="false">
      <c r="A206" s="4" t="s">
        <v>2237</v>
      </c>
      <c r="B206" s="4" t="s">
        <v>2204</v>
      </c>
      <c r="C206" s="4" t="n">
        <v>23</v>
      </c>
      <c r="D206" s="5" t="s">
        <v>2238</v>
      </c>
      <c r="E206" s="5" t="s">
        <v>2236</v>
      </c>
      <c r="F206" s="4" t="s">
        <v>1784</v>
      </c>
      <c r="G206" s="4" t="n">
        <v>3</v>
      </c>
      <c r="H206" s="4" t="s">
        <v>38</v>
      </c>
      <c r="I206" s="4" t="s">
        <v>38</v>
      </c>
      <c r="J206" s="4"/>
      <c r="K206" s="4"/>
      <c r="L206" s="4" t="s">
        <v>38</v>
      </c>
      <c r="M206" s="4" t="s">
        <v>38</v>
      </c>
      <c r="N206" s="5" t="s">
        <v>1506</v>
      </c>
      <c r="O206" s="4" t="s">
        <v>143</v>
      </c>
      <c r="P206" s="5" t="s">
        <v>1507</v>
      </c>
      <c r="Q206" s="4" t="n">
        <v>0</v>
      </c>
      <c r="R206" s="4" t="n">
        <v>0</v>
      </c>
      <c r="S206" s="4"/>
      <c r="T206" s="4"/>
    </row>
    <row r="207" customFormat="false" ht="15" hidden="false" customHeight="false" outlineLevel="0" collapsed="false">
      <c r="A207" s="4" t="s">
        <v>2239</v>
      </c>
      <c r="B207" s="4" t="s">
        <v>2204</v>
      </c>
      <c r="C207" s="4" t="n">
        <v>24</v>
      </c>
      <c r="D207" s="5" t="s">
        <v>2240</v>
      </c>
      <c r="E207" s="5" t="s">
        <v>2236</v>
      </c>
      <c r="F207" s="4" t="s">
        <v>1835</v>
      </c>
      <c r="G207" s="4" t="n">
        <v>3</v>
      </c>
      <c r="H207" s="4" t="s">
        <v>38</v>
      </c>
      <c r="I207" s="4" t="s">
        <v>38</v>
      </c>
      <c r="J207" s="4"/>
      <c r="K207" s="4"/>
      <c r="L207" s="4" t="s">
        <v>38</v>
      </c>
      <c r="M207" s="4" t="s">
        <v>38</v>
      </c>
      <c r="N207" s="5" t="s">
        <v>1506</v>
      </c>
      <c r="O207" s="4" t="s">
        <v>143</v>
      </c>
      <c r="P207" s="5" t="s">
        <v>1507</v>
      </c>
      <c r="Q207" s="4" t="n">
        <v>0</v>
      </c>
      <c r="R207" s="4" t="n">
        <v>0</v>
      </c>
      <c r="S207" s="4"/>
      <c r="T207" s="4"/>
    </row>
    <row r="208" customFormat="false" ht="29.85" hidden="false" customHeight="false" outlineLevel="0" collapsed="false">
      <c r="A208" s="4" t="s">
        <v>2241</v>
      </c>
      <c r="B208" s="4" t="s">
        <v>2204</v>
      </c>
      <c r="C208" s="4" t="n">
        <v>28</v>
      </c>
      <c r="D208" s="5" t="s">
        <v>2242</v>
      </c>
      <c r="E208" s="4" t="s">
        <v>421</v>
      </c>
      <c r="F208" s="4" t="s">
        <v>2102</v>
      </c>
      <c r="G208" s="4" t="n">
        <v>3</v>
      </c>
      <c r="H208" s="4" t="s">
        <v>1637</v>
      </c>
      <c r="I208" s="4" t="s">
        <v>1300</v>
      </c>
      <c r="J208" s="5" t="s">
        <v>1506</v>
      </c>
      <c r="K208" s="4"/>
      <c r="L208" s="5" t="s">
        <v>1525</v>
      </c>
      <c r="M208" s="13" t="s">
        <v>36</v>
      </c>
      <c r="N208" s="5" t="s">
        <v>1526</v>
      </c>
      <c r="O208" s="4" t="s">
        <v>53</v>
      </c>
      <c r="P208" s="4" t="s">
        <v>2243</v>
      </c>
      <c r="Q208" s="4" t="n">
        <v>0</v>
      </c>
      <c r="R208" s="4" t="n">
        <v>1</v>
      </c>
      <c r="S208" s="4" t="s">
        <v>2244</v>
      </c>
      <c r="T208" s="15" t="s">
        <v>1506</v>
      </c>
    </row>
    <row r="209" customFormat="false" ht="26.85" hidden="false" customHeight="false" outlineLevel="0" collapsed="false">
      <c r="A209" s="4" t="s">
        <v>2245</v>
      </c>
      <c r="B209" s="4" t="s">
        <v>2204</v>
      </c>
      <c r="C209" s="4" t="n">
        <v>29</v>
      </c>
      <c r="D209" s="5" t="s">
        <v>2246</v>
      </c>
      <c r="E209" s="4" t="s">
        <v>421</v>
      </c>
      <c r="F209" s="4" t="s">
        <v>2105</v>
      </c>
      <c r="G209" s="4" t="n">
        <v>3</v>
      </c>
      <c r="H209" s="4" t="s">
        <v>1300</v>
      </c>
      <c r="I209" s="4" t="s">
        <v>1300</v>
      </c>
      <c r="J209" s="4"/>
      <c r="K209" s="4"/>
      <c r="L209" s="5" t="s">
        <v>1525</v>
      </c>
      <c r="M209" s="13" t="s">
        <v>36</v>
      </c>
      <c r="N209" s="5" t="s">
        <v>1526</v>
      </c>
      <c r="O209" s="4" t="s">
        <v>53</v>
      </c>
      <c r="P209" s="4" t="s">
        <v>2247</v>
      </c>
      <c r="Q209" s="4" t="n">
        <v>0</v>
      </c>
      <c r="R209" s="4" t="n">
        <v>1</v>
      </c>
      <c r="S209" s="4" t="s">
        <v>1202</v>
      </c>
      <c r="T209" s="15" t="s">
        <v>1506</v>
      </c>
    </row>
    <row r="210" customFormat="false" ht="15" hidden="false" customHeight="false" outlineLevel="0" collapsed="false">
      <c r="A210" s="4" t="s">
        <v>2248</v>
      </c>
      <c r="B210" s="4" t="s">
        <v>2204</v>
      </c>
      <c r="C210" s="4" t="n">
        <v>31</v>
      </c>
      <c r="D210" s="5" t="s">
        <v>2249</v>
      </c>
      <c r="E210" s="4" t="s">
        <v>421</v>
      </c>
      <c r="F210" s="4" t="s">
        <v>2111</v>
      </c>
      <c r="G210" s="4" t="n">
        <v>3</v>
      </c>
      <c r="H210" s="4" t="s">
        <v>38</v>
      </c>
      <c r="I210" s="4" t="s">
        <v>38</v>
      </c>
      <c r="J210" s="4"/>
      <c r="K210" s="4"/>
      <c r="L210" s="4" t="s">
        <v>38</v>
      </c>
      <c r="M210" s="4" t="s">
        <v>38</v>
      </c>
      <c r="N210" s="5" t="s">
        <v>1506</v>
      </c>
      <c r="O210" s="4" t="s">
        <v>143</v>
      </c>
      <c r="P210" s="5" t="s">
        <v>1507</v>
      </c>
      <c r="Q210" s="4" t="n">
        <v>0</v>
      </c>
      <c r="R210" s="4" t="n">
        <v>0</v>
      </c>
      <c r="S210" s="4"/>
      <c r="T210" s="4"/>
    </row>
    <row r="211" customFormat="false" ht="15" hidden="false" customHeight="false" outlineLevel="0" collapsed="false">
      <c r="A211" s="4" t="s">
        <v>2250</v>
      </c>
      <c r="B211" s="4" t="s">
        <v>2204</v>
      </c>
      <c r="C211" s="4" t="n">
        <v>32</v>
      </c>
      <c r="D211" s="5" t="s">
        <v>2251</v>
      </c>
      <c r="E211" s="4" t="s">
        <v>421</v>
      </c>
      <c r="F211" s="4" t="s">
        <v>2114</v>
      </c>
      <c r="G211" s="4" t="n">
        <v>3</v>
      </c>
      <c r="H211" s="4" t="s">
        <v>38</v>
      </c>
      <c r="I211" s="4" t="s">
        <v>38</v>
      </c>
      <c r="J211" s="4"/>
      <c r="K211" s="4"/>
      <c r="L211" s="4" t="s">
        <v>38</v>
      </c>
      <c r="M211" s="4" t="s">
        <v>38</v>
      </c>
      <c r="N211" s="5" t="s">
        <v>1506</v>
      </c>
      <c r="O211" s="4" t="s">
        <v>143</v>
      </c>
      <c r="P211" s="5" t="s">
        <v>1507</v>
      </c>
      <c r="Q211" s="4" t="n">
        <v>0</v>
      </c>
      <c r="R211" s="4" t="n">
        <v>0</v>
      </c>
      <c r="S211" s="4"/>
      <c r="T211" s="4"/>
    </row>
    <row r="212" customFormat="false" ht="29.85" hidden="false" customHeight="false" outlineLevel="0" collapsed="false">
      <c r="A212" s="4" t="s">
        <v>2252</v>
      </c>
      <c r="B212" s="4" t="s">
        <v>2204</v>
      </c>
      <c r="C212" s="4" t="n">
        <v>36</v>
      </c>
      <c r="D212" s="5" t="s">
        <v>2253</v>
      </c>
      <c r="E212" s="5" t="s">
        <v>1510</v>
      </c>
      <c r="F212" s="4" t="s">
        <v>2128</v>
      </c>
      <c r="G212" s="4" t="n">
        <v>3</v>
      </c>
      <c r="H212" s="4" t="s">
        <v>38</v>
      </c>
      <c r="I212" s="4" t="s">
        <v>38</v>
      </c>
      <c r="J212" s="4"/>
      <c r="K212" s="4" t="s">
        <v>965</v>
      </c>
      <c r="L212" s="4" t="s">
        <v>38</v>
      </c>
      <c r="M212" s="4" t="s">
        <v>38</v>
      </c>
      <c r="N212" s="5" t="s">
        <v>1506</v>
      </c>
      <c r="O212" s="4" t="s">
        <v>143</v>
      </c>
      <c r="P212" s="5" t="s">
        <v>2254</v>
      </c>
      <c r="Q212" s="4" t="n">
        <v>0</v>
      </c>
      <c r="R212" s="4" t="n">
        <v>0</v>
      </c>
      <c r="S212" s="4"/>
      <c r="T212" s="4"/>
    </row>
    <row r="213" customFormat="false" ht="29.85" hidden="false" customHeight="false" outlineLevel="0" collapsed="false">
      <c r="A213" s="4" t="s">
        <v>2255</v>
      </c>
      <c r="B213" s="4" t="s">
        <v>2204</v>
      </c>
      <c r="C213" s="4" t="n">
        <v>37</v>
      </c>
      <c r="D213" s="5" t="s">
        <v>2256</v>
      </c>
      <c r="E213" s="4" t="s">
        <v>2229</v>
      </c>
      <c r="F213" s="4" t="s">
        <v>2132</v>
      </c>
      <c r="G213" s="4" t="n">
        <v>3</v>
      </c>
      <c r="H213" s="4" t="s">
        <v>37</v>
      </c>
      <c r="I213" s="4" t="s">
        <v>37</v>
      </c>
      <c r="J213" s="4"/>
      <c r="K213" s="4" t="s">
        <v>965</v>
      </c>
      <c r="L213" s="4" t="s">
        <v>37</v>
      </c>
      <c r="M213" s="4" t="s">
        <v>37</v>
      </c>
      <c r="N213" s="5" t="s">
        <v>1506</v>
      </c>
      <c r="O213" s="4" t="s">
        <v>143</v>
      </c>
      <c r="P213" s="5" t="s">
        <v>2254</v>
      </c>
      <c r="Q213" s="4" t="n">
        <v>0</v>
      </c>
      <c r="R213" s="4" t="n">
        <v>0</v>
      </c>
      <c r="S213" s="4"/>
      <c r="T213" s="4"/>
    </row>
    <row r="214" customFormat="false" ht="15" hidden="false" customHeight="false" outlineLevel="0" collapsed="false">
      <c r="A214" s="4" t="s">
        <v>2257</v>
      </c>
      <c r="B214" s="4" t="s">
        <v>2204</v>
      </c>
      <c r="C214" s="4" t="n">
        <v>38</v>
      </c>
      <c r="D214" s="5" t="s">
        <v>2258</v>
      </c>
      <c r="E214" s="5" t="s">
        <v>2259</v>
      </c>
      <c r="F214" s="4" t="s">
        <v>2135</v>
      </c>
      <c r="G214" s="4" t="n">
        <v>3</v>
      </c>
      <c r="H214" s="4" t="s">
        <v>38</v>
      </c>
      <c r="I214" s="4" t="s">
        <v>38</v>
      </c>
      <c r="J214" s="4"/>
      <c r="K214" s="4"/>
      <c r="L214" s="4" t="s">
        <v>38</v>
      </c>
      <c r="M214" s="4" t="s">
        <v>38</v>
      </c>
      <c r="N214" s="5" t="s">
        <v>1506</v>
      </c>
      <c r="O214" s="4" t="s">
        <v>143</v>
      </c>
      <c r="P214" s="5" t="s">
        <v>1507</v>
      </c>
      <c r="Q214" s="4" t="n">
        <v>0</v>
      </c>
      <c r="R214" s="4" t="n">
        <v>0</v>
      </c>
      <c r="S214" s="4"/>
      <c r="T214" s="4"/>
    </row>
    <row r="215" customFormat="false" ht="15" hidden="false" customHeight="false" outlineLevel="0" collapsed="false">
      <c r="A215" s="4" t="s">
        <v>2260</v>
      </c>
      <c r="B215" s="4" t="s">
        <v>2204</v>
      </c>
      <c r="C215" s="4" t="n">
        <v>39</v>
      </c>
      <c r="D215" s="4" t="s">
        <v>2261</v>
      </c>
      <c r="E215" s="4" t="s">
        <v>2262</v>
      </c>
      <c r="F215" s="4" t="s">
        <v>2263</v>
      </c>
      <c r="G215" s="4" t="n">
        <v>3</v>
      </c>
      <c r="H215" s="4" t="s">
        <v>38</v>
      </c>
      <c r="I215" s="4" t="s">
        <v>38</v>
      </c>
      <c r="J215" s="4"/>
      <c r="K215" s="4"/>
      <c r="L215" s="4" t="s">
        <v>38</v>
      </c>
      <c r="M215" s="4" t="s">
        <v>38</v>
      </c>
      <c r="N215" s="5" t="s">
        <v>1506</v>
      </c>
      <c r="O215" s="4" t="s">
        <v>143</v>
      </c>
      <c r="P215" s="5" t="s">
        <v>1507</v>
      </c>
      <c r="Q215" s="4" t="n">
        <v>0</v>
      </c>
      <c r="R215" s="4" t="n">
        <v>0</v>
      </c>
      <c r="S215" s="4"/>
      <c r="T215" s="4"/>
    </row>
    <row r="216" customFormat="false" ht="15" hidden="false" customHeight="false" outlineLevel="0" collapsed="false">
      <c r="A216" s="4" t="s">
        <v>2264</v>
      </c>
      <c r="B216" s="4" t="s">
        <v>2204</v>
      </c>
      <c r="C216" s="4" t="n">
        <v>40</v>
      </c>
      <c r="D216" s="4" t="s">
        <v>2265</v>
      </c>
      <c r="E216" s="5" t="s">
        <v>459</v>
      </c>
      <c r="F216" s="4" t="s">
        <v>2266</v>
      </c>
      <c r="G216" s="4" t="n">
        <v>3</v>
      </c>
      <c r="H216" s="4" t="s">
        <v>38</v>
      </c>
      <c r="I216" s="4" t="s">
        <v>38</v>
      </c>
      <c r="J216" s="4"/>
      <c r="K216" s="4"/>
      <c r="L216" s="4" t="s">
        <v>38</v>
      </c>
      <c r="M216" s="4" t="s">
        <v>38</v>
      </c>
      <c r="N216" s="5" t="s">
        <v>1506</v>
      </c>
      <c r="O216" s="4" t="s">
        <v>143</v>
      </c>
      <c r="P216" s="5" t="s">
        <v>1507</v>
      </c>
      <c r="Q216" s="4" t="n">
        <v>0</v>
      </c>
      <c r="R216" s="4" t="n">
        <v>0</v>
      </c>
      <c r="S216" s="4"/>
      <c r="T216" s="4"/>
    </row>
    <row r="217" customFormat="false" ht="15" hidden="false" customHeight="false" outlineLevel="0" collapsed="false">
      <c r="A217" s="4" t="s">
        <v>2267</v>
      </c>
      <c r="B217" s="4" t="s">
        <v>2204</v>
      </c>
      <c r="C217" s="4" t="n">
        <v>41</v>
      </c>
      <c r="D217" s="4" t="s">
        <v>2268</v>
      </c>
      <c r="E217" s="4" t="s">
        <v>2262</v>
      </c>
      <c r="F217" s="4" t="s">
        <v>2269</v>
      </c>
      <c r="G217" s="4" t="n">
        <v>3</v>
      </c>
      <c r="H217" s="4" t="s">
        <v>38</v>
      </c>
      <c r="I217" s="4" t="s">
        <v>38</v>
      </c>
      <c r="J217" s="4"/>
      <c r="K217" s="4"/>
      <c r="L217" s="4" t="s">
        <v>38</v>
      </c>
      <c r="M217" s="4" t="s">
        <v>38</v>
      </c>
      <c r="N217" s="5" t="s">
        <v>1506</v>
      </c>
      <c r="O217" s="4" t="s">
        <v>143</v>
      </c>
      <c r="P217" s="5" t="s">
        <v>1507</v>
      </c>
      <c r="Q217" s="4" t="n">
        <v>0</v>
      </c>
      <c r="R217" s="4" t="n">
        <v>0</v>
      </c>
      <c r="S217" s="4"/>
      <c r="T217" s="4"/>
    </row>
    <row r="218" customFormat="false" ht="15" hidden="false" customHeight="false" outlineLevel="0" collapsed="false">
      <c r="A218" s="4" t="s">
        <v>2270</v>
      </c>
      <c r="B218" s="4" t="s">
        <v>2204</v>
      </c>
      <c r="C218" s="4" t="n">
        <v>42</v>
      </c>
      <c r="D218" s="4" t="s">
        <v>2271</v>
      </c>
      <c r="E218" s="5" t="s">
        <v>459</v>
      </c>
      <c r="F218" s="4" t="s">
        <v>2272</v>
      </c>
      <c r="G218" s="4" t="n">
        <v>3</v>
      </c>
      <c r="H218" s="4" t="s">
        <v>38</v>
      </c>
      <c r="I218" s="4" t="s">
        <v>38</v>
      </c>
      <c r="J218" s="4"/>
      <c r="K218" s="4"/>
      <c r="L218" s="4" t="s">
        <v>38</v>
      </c>
      <c r="M218" s="4" t="s">
        <v>38</v>
      </c>
      <c r="N218" s="5" t="s">
        <v>1506</v>
      </c>
      <c r="O218" s="4" t="s">
        <v>143</v>
      </c>
      <c r="P218" s="5" t="s">
        <v>1507</v>
      </c>
      <c r="Q218" s="4" t="n">
        <v>0</v>
      </c>
      <c r="R218" s="4" t="n">
        <v>0</v>
      </c>
      <c r="S218" s="4"/>
      <c r="T218" s="4"/>
    </row>
    <row r="219" customFormat="false" ht="44" hidden="false" customHeight="false" outlineLevel="0" collapsed="false">
      <c r="A219" s="4" t="s">
        <v>2273</v>
      </c>
      <c r="B219" s="4" t="s">
        <v>2204</v>
      </c>
      <c r="C219" s="4" t="n">
        <v>46</v>
      </c>
      <c r="D219" s="4" t="s">
        <v>935</v>
      </c>
      <c r="E219" s="4" t="s">
        <v>1184</v>
      </c>
      <c r="F219" s="4" t="s">
        <v>2274</v>
      </c>
      <c r="G219" s="4" t="n">
        <v>13</v>
      </c>
      <c r="H219" s="4" t="s">
        <v>1294</v>
      </c>
      <c r="I219" s="4" t="s">
        <v>1294</v>
      </c>
      <c r="J219" s="4"/>
      <c r="K219" s="4" t="s">
        <v>2275</v>
      </c>
      <c r="L219" s="5" t="s">
        <v>1525</v>
      </c>
      <c r="M219" s="14" t="s">
        <v>35</v>
      </c>
      <c r="N219" s="5" t="s">
        <v>1526</v>
      </c>
      <c r="O219" s="4" t="s">
        <v>2276</v>
      </c>
      <c r="P219" s="5" t="s">
        <v>2277</v>
      </c>
      <c r="Q219" s="4" t="n">
        <v>4</v>
      </c>
      <c r="R219" s="4" t="n">
        <v>0</v>
      </c>
      <c r="S219" s="4" t="s">
        <v>2278</v>
      </c>
      <c r="T219" s="15" t="s">
        <v>1506</v>
      </c>
    </row>
    <row r="220" customFormat="false" ht="44" hidden="false" customHeight="false" outlineLevel="0" collapsed="false">
      <c r="A220" s="4" t="s">
        <v>2279</v>
      </c>
      <c r="B220" s="4" t="s">
        <v>2204</v>
      </c>
      <c r="C220" s="4" t="n">
        <v>47</v>
      </c>
      <c r="D220" s="4" t="s">
        <v>947</v>
      </c>
      <c r="E220" s="4" t="s">
        <v>1184</v>
      </c>
      <c r="F220" s="4" t="s">
        <v>2280</v>
      </c>
      <c r="G220" s="4" t="n">
        <v>13</v>
      </c>
      <c r="H220" s="4" t="s">
        <v>1294</v>
      </c>
      <c r="I220" s="4" t="s">
        <v>1294</v>
      </c>
      <c r="J220" s="4"/>
      <c r="K220" s="4" t="s">
        <v>2275</v>
      </c>
      <c r="L220" s="5" t="s">
        <v>1525</v>
      </c>
      <c r="M220" s="14" t="s">
        <v>35</v>
      </c>
      <c r="N220" s="5" t="s">
        <v>1526</v>
      </c>
      <c r="O220" s="4" t="s">
        <v>2276</v>
      </c>
      <c r="P220" s="5" t="s">
        <v>2281</v>
      </c>
      <c r="Q220" s="4" t="n">
        <v>4</v>
      </c>
      <c r="R220" s="4" t="n">
        <v>0</v>
      </c>
      <c r="S220" s="4" t="s">
        <v>2282</v>
      </c>
      <c r="T220" s="15" t="s">
        <v>1506</v>
      </c>
    </row>
    <row r="221" customFormat="false" ht="44" hidden="false" customHeight="false" outlineLevel="0" collapsed="false">
      <c r="A221" s="4" t="s">
        <v>2283</v>
      </c>
      <c r="B221" s="4" t="s">
        <v>2204</v>
      </c>
      <c r="C221" s="4" t="n">
        <v>48</v>
      </c>
      <c r="D221" s="4" t="s">
        <v>810</v>
      </c>
      <c r="E221" s="4" t="s">
        <v>1184</v>
      </c>
      <c r="F221" s="4" t="s">
        <v>2284</v>
      </c>
      <c r="G221" s="4" t="n">
        <v>13</v>
      </c>
      <c r="H221" s="4" t="s">
        <v>1294</v>
      </c>
      <c r="I221" s="4" t="s">
        <v>1294</v>
      </c>
      <c r="J221" s="4"/>
      <c r="K221" s="4" t="s">
        <v>2285</v>
      </c>
      <c r="L221" s="5" t="s">
        <v>1525</v>
      </c>
      <c r="M221" s="14" t="s">
        <v>35</v>
      </c>
      <c r="N221" s="5" t="s">
        <v>1526</v>
      </c>
      <c r="O221" s="4" t="s">
        <v>2276</v>
      </c>
      <c r="P221" s="5" t="s">
        <v>2286</v>
      </c>
      <c r="Q221" s="4" t="n">
        <v>4</v>
      </c>
      <c r="R221" s="4" t="n">
        <v>0</v>
      </c>
      <c r="S221" s="4" t="s">
        <v>2287</v>
      </c>
      <c r="T221" s="4"/>
    </row>
    <row r="222" customFormat="false" ht="44" hidden="false" customHeight="false" outlineLevel="0" collapsed="false">
      <c r="A222" s="4" t="s">
        <v>2288</v>
      </c>
      <c r="B222" s="4" t="s">
        <v>2204</v>
      </c>
      <c r="C222" s="4" t="n">
        <v>49</v>
      </c>
      <c r="D222" s="4" t="s">
        <v>967</v>
      </c>
      <c r="E222" s="4" t="s">
        <v>997</v>
      </c>
      <c r="F222" s="4" t="s">
        <v>2289</v>
      </c>
      <c r="G222" s="4" t="n">
        <v>13</v>
      </c>
      <c r="H222" s="4" t="s">
        <v>1300</v>
      </c>
      <c r="I222" s="4" t="s">
        <v>1300</v>
      </c>
      <c r="J222" s="4"/>
      <c r="K222" s="4" t="s">
        <v>2290</v>
      </c>
      <c r="L222" s="5" t="s">
        <v>1525</v>
      </c>
      <c r="M222" s="14" t="s">
        <v>35</v>
      </c>
      <c r="N222" s="5" t="s">
        <v>1526</v>
      </c>
      <c r="O222" s="4" t="s">
        <v>2276</v>
      </c>
      <c r="P222" s="5" t="s">
        <v>2291</v>
      </c>
      <c r="Q222" s="4" t="n">
        <v>4</v>
      </c>
      <c r="R222" s="4" t="n">
        <v>0</v>
      </c>
      <c r="S222" s="4" t="s">
        <v>2292</v>
      </c>
      <c r="T222" s="4"/>
    </row>
    <row r="223" customFormat="false" ht="44" hidden="false" customHeight="false" outlineLevel="0" collapsed="false">
      <c r="A223" s="4" t="s">
        <v>2293</v>
      </c>
      <c r="B223" s="4" t="s">
        <v>2204</v>
      </c>
      <c r="C223" s="4" t="n">
        <v>50</v>
      </c>
      <c r="D223" s="4" t="s">
        <v>815</v>
      </c>
      <c r="E223" s="4" t="s">
        <v>997</v>
      </c>
      <c r="F223" s="4" t="s">
        <v>2294</v>
      </c>
      <c r="G223" s="4" t="n">
        <v>13</v>
      </c>
      <c r="H223" s="4" t="s">
        <v>1300</v>
      </c>
      <c r="I223" s="4" t="s">
        <v>1300</v>
      </c>
      <c r="J223" s="4"/>
      <c r="K223" s="4" t="s">
        <v>2290</v>
      </c>
      <c r="L223" s="5" t="s">
        <v>1525</v>
      </c>
      <c r="M223" s="14" t="s">
        <v>35</v>
      </c>
      <c r="N223" s="5" t="s">
        <v>1526</v>
      </c>
      <c r="O223" s="4" t="s">
        <v>2276</v>
      </c>
      <c r="P223" s="5" t="s">
        <v>2295</v>
      </c>
      <c r="Q223" s="4" t="n">
        <v>3</v>
      </c>
      <c r="R223" s="4" t="n">
        <v>0</v>
      </c>
      <c r="S223" s="4" t="s">
        <v>2296</v>
      </c>
      <c r="T223" s="4"/>
    </row>
    <row r="224" customFormat="false" ht="44" hidden="false" customHeight="false" outlineLevel="0" collapsed="false">
      <c r="A224" s="4" t="s">
        <v>2297</v>
      </c>
      <c r="B224" s="4" t="s">
        <v>2204</v>
      </c>
      <c r="C224" s="4" t="n">
        <v>51</v>
      </c>
      <c r="D224" s="4" t="s">
        <v>987</v>
      </c>
      <c r="E224" s="4" t="s">
        <v>997</v>
      </c>
      <c r="F224" s="4" t="s">
        <v>2298</v>
      </c>
      <c r="G224" s="4" t="n">
        <v>12</v>
      </c>
      <c r="H224" s="4" t="s">
        <v>1300</v>
      </c>
      <c r="I224" s="4" t="s">
        <v>1300</v>
      </c>
      <c r="J224" s="4"/>
      <c r="K224" s="4" t="s">
        <v>965</v>
      </c>
      <c r="L224" s="5" t="s">
        <v>1525</v>
      </c>
      <c r="M224" s="14" t="s">
        <v>35</v>
      </c>
      <c r="N224" s="5" t="s">
        <v>1526</v>
      </c>
      <c r="O224" s="4" t="s">
        <v>51</v>
      </c>
      <c r="P224" s="5" t="s">
        <v>2299</v>
      </c>
      <c r="Q224" s="4" t="n">
        <v>2</v>
      </c>
      <c r="R224" s="4" t="n">
        <v>0</v>
      </c>
      <c r="S224" s="4" t="s">
        <v>2300</v>
      </c>
      <c r="T224" s="4"/>
    </row>
    <row r="225" customFormat="false" ht="44" hidden="false" customHeight="false" outlineLevel="0" collapsed="false">
      <c r="A225" s="4" t="s">
        <v>2301</v>
      </c>
      <c r="B225" s="4" t="s">
        <v>2204</v>
      </c>
      <c r="C225" s="4" t="n">
        <v>52</v>
      </c>
      <c r="D225" s="4" t="s">
        <v>1004</v>
      </c>
      <c r="E225" s="4" t="s">
        <v>686</v>
      </c>
      <c r="F225" s="4" t="s">
        <v>2302</v>
      </c>
      <c r="G225" s="4" t="n">
        <v>13</v>
      </c>
      <c r="H225" s="4" t="s">
        <v>1294</v>
      </c>
      <c r="I225" s="4" t="s">
        <v>1294</v>
      </c>
      <c r="J225" s="4"/>
      <c r="K225" s="4" t="s">
        <v>2303</v>
      </c>
      <c r="L225" s="5" t="s">
        <v>1525</v>
      </c>
      <c r="M225" s="14" t="s">
        <v>35</v>
      </c>
      <c r="N225" s="5" t="s">
        <v>1526</v>
      </c>
      <c r="O225" s="4" t="s">
        <v>2276</v>
      </c>
      <c r="P225" s="4" t="s">
        <v>2303</v>
      </c>
      <c r="Q225" s="4" t="n">
        <v>4</v>
      </c>
      <c r="R225" s="4" t="n">
        <v>0</v>
      </c>
      <c r="S225" s="4" t="s">
        <v>2304</v>
      </c>
      <c r="T225" s="4"/>
    </row>
    <row r="226" customFormat="false" ht="44" hidden="false" customHeight="false" outlineLevel="0" collapsed="false">
      <c r="A226" s="4" t="s">
        <v>2305</v>
      </c>
      <c r="B226" s="4" t="s">
        <v>2204</v>
      </c>
      <c r="C226" s="4" t="n">
        <v>53</v>
      </c>
      <c r="D226" s="4" t="s">
        <v>1017</v>
      </c>
      <c r="E226" s="4" t="s">
        <v>686</v>
      </c>
      <c r="F226" s="4" t="s">
        <v>2306</v>
      </c>
      <c r="G226" s="4" t="n">
        <v>13</v>
      </c>
      <c r="H226" s="4" t="s">
        <v>1294</v>
      </c>
      <c r="I226" s="4" t="s">
        <v>1294</v>
      </c>
      <c r="J226" s="4"/>
      <c r="K226" s="4" t="s">
        <v>2307</v>
      </c>
      <c r="L226" s="5" t="s">
        <v>1525</v>
      </c>
      <c r="M226" s="14" t="s">
        <v>35</v>
      </c>
      <c r="N226" s="5" t="s">
        <v>1526</v>
      </c>
      <c r="O226" s="4" t="s">
        <v>2276</v>
      </c>
      <c r="P226" s="5" t="s">
        <v>2308</v>
      </c>
      <c r="Q226" s="4" t="n">
        <v>3</v>
      </c>
      <c r="R226" s="4" t="n">
        <v>1</v>
      </c>
      <c r="S226" s="4" t="s">
        <v>2309</v>
      </c>
      <c r="T226" s="4"/>
    </row>
    <row r="227" customFormat="false" ht="44" hidden="false" customHeight="false" outlineLevel="0" collapsed="false">
      <c r="A227" s="4" t="s">
        <v>2310</v>
      </c>
      <c r="B227" s="4" t="s">
        <v>2204</v>
      </c>
      <c r="C227" s="4" t="n">
        <v>54</v>
      </c>
      <c r="D227" s="4" t="s">
        <v>1037</v>
      </c>
      <c r="E227" s="4" t="s">
        <v>1193</v>
      </c>
      <c r="F227" s="4" t="s">
        <v>2311</v>
      </c>
      <c r="G227" s="4" t="n">
        <v>13</v>
      </c>
      <c r="H227" s="4" t="s">
        <v>1294</v>
      </c>
      <c r="I227" s="4" t="s">
        <v>1294</v>
      </c>
      <c r="J227" s="4"/>
      <c r="K227" s="4" t="s">
        <v>2312</v>
      </c>
      <c r="L227" s="5" t="s">
        <v>1525</v>
      </c>
      <c r="M227" s="14" t="s">
        <v>35</v>
      </c>
      <c r="N227" s="5" t="s">
        <v>1526</v>
      </c>
      <c r="O227" s="4" t="s">
        <v>2276</v>
      </c>
      <c r="P227" s="4" t="s">
        <v>2312</v>
      </c>
      <c r="Q227" s="4" t="n">
        <v>4</v>
      </c>
      <c r="R227" s="4" t="n">
        <v>0</v>
      </c>
      <c r="S227" s="4" t="s">
        <v>2313</v>
      </c>
      <c r="T227" s="4"/>
    </row>
    <row r="228" customFormat="false" ht="44" hidden="false" customHeight="false" outlineLevel="0" collapsed="false">
      <c r="A228" s="4" t="s">
        <v>2314</v>
      </c>
      <c r="B228" s="4" t="s">
        <v>2204</v>
      </c>
      <c r="C228" s="4" t="n">
        <v>55</v>
      </c>
      <c r="D228" s="4" t="s">
        <v>1048</v>
      </c>
      <c r="E228" s="4" t="s">
        <v>1193</v>
      </c>
      <c r="F228" s="4" t="s">
        <v>2315</v>
      </c>
      <c r="G228" s="4" t="n">
        <v>13</v>
      </c>
      <c r="H228" s="4" t="s">
        <v>1294</v>
      </c>
      <c r="I228" s="4" t="s">
        <v>1294</v>
      </c>
      <c r="J228" s="4"/>
      <c r="K228" s="4" t="s">
        <v>2316</v>
      </c>
      <c r="L228" s="5" t="s">
        <v>1525</v>
      </c>
      <c r="M228" s="14" t="s">
        <v>35</v>
      </c>
      <c r="N228" s="5" t="s">
        <v>1526</v>
      </c>
      <c r="O228" s="4" t="s">
        <v>2276</v>
      </c>
      <c r="P228" s="4" t="s">
        <v>2316</v>
      </c>
      <c r="Q228" s="4" t="n">
        <v>4</v>
      </c>
      <c r="R228" s="4" t="n">
        <v>0</v>
      </c>
      <c r="S228" s="4" t="s">
        <v>2317</v>
      </c>
      <c r="T228" s="4"/>
    </row>
    <row r="229" customFormat="false" ht="44" hidden="false" customHeight="false" outlineLevel="0" collapsed="false">
      <c r="A229" s="4" t="s">
        <v>2318</v>
      </c>
      <c r="B229" s="4" t="s">
        <v>2204</v>
      </c>
      <c r="C229" s="4" t="n">
        <v>56</v>
      </c>
      <c r="D229" s="4" t="s">
        <v>1071</v>
      </c>
      <c r="E229" s="4" t="s">
        <v>2319</v>
      </c>
      <c r="F229" s="4" t="s">
        <v>2320</v>
      </c>
      <c r="G229" s="4" t="n">
        <v>13</v>
      </c>
      <c r="H229" s="4" t="s">
        <v>1300</v>
      </c>
      <c r="I229" s="4" t="s">
        <v>1300</v>
      </c>
      <c r="J229" s="4"/>
      <c r="K229" s="4" t="s">
        <v>2321</v>
      </c>
      <c r="L229" s="5" t="s">
        <v>1525</v>
      </c>
      <c r="M229" s="14" t="s">
        <v>35</v>
      </c>
      <c r="N229" s="5" t="s">
        <v>1526</v>
      </c>
      <c r="O229" s="4" t="s">
        <v>2276</v>
      </c>
      <c r="P229" s="5" t="s">
        <v>2322</v>
      </c>
      <c r="Q229" s="4" t="n">
        <v>3</v>
      </c>
      <c r="R229" s="4" t="n">
        <v>1</v>
      </c>
      <c r="S229" s="4" t="s">
        <v>2323</v>
      </c>
      <c r="T229" s="4"/>
    </row>
    <row r="230" customFormat="false" ht="44" hidden="false" customHeight="false" outlineLevel="0" collapsed="false">
      <c r="A230" s="4" t="s">
        <v>2324</v>
      </c>
      <c r="B230" s="4" t="s">
        <v>2204</v>
      </c>
      <c r="C230" s="4" t="n">
        <v>57</v>
      </c>
      <c r="D230" s="4" t="s">
        <v>1059</v>
      </c>
      <c r="E230" s="4" t="s">
        <v>698</v>
      </c>
      <c r="F230" s="4" t="s">
        <v>2325</v>
      </c>
      <c r="G230" s="4" t="n">
        <v>12</v>
      </c>
      <c r="H230" s="4" t="s">
        <v>1300</v>
      </c>
      <c r="I230" s="4" t="s">
        <v>1300</v>
      </c>
      <c r="J230" s="4"/>
      <c r="K230" s="4" t="s">
        <v>1057</v>
      </c>
      <c r="L230" s="5" t="s">
        <v>1525</v>
      </c>
      <c r="M230" s="14" t="s">
        <v>35</v>
      </c>
      <c r="N230" s="5" t="s">
        <v>1526</v>
      </c>
      <c r="O230" s="4" t="s">
        <v>51</v>
      </c>
      <c r="P230" s="5" t="s">
        <v>2326</v>
      </c>
      <c r="Q230" s="4" t="n">
        <v>3</v>
      </c>
      <c r="R230" s="4" t="n">
        <v>0</v>
      </c>
      <c r="S230" s="4" t="s">
        <v>2327</v>
      </c>
      <c r="T230" s="4"/>
    </row>
    <row r="231" customFormat="false" ht="44" hidden="false" customHeight="false" outlineLevel="0" collapsed="false">
      <c r="A231" s="4" t="s">
        <v>2328</v>
      </c>
      <c r="B231" s="4" t="s">
        <v>2204</v>
      </c>
      <c r="C231" s="4" t="n">
        <v>58</v>
      </c>
      <c r="D231" s="4" t="s">
        <v>1088</v>
      </c>
      <c r="E231" s="4" t="s">
        <v>1190</v>
      </c>
      <c r="F231" s="4" t="s">
        <v>2329</v>
      </c>
      <c r="G231" s="4" t="n">
        <v>11</v>
      </c>
      <c r="H231" s="4" t="s">
        <v>1300</v>
      </c>
      <c r="I231" s="4" t="s">
        <v>1300</v>
      </c>
      <c r="J231" s="4"/>
      <c r="K231" s="4" t="s">
        <v>1057</v>
      </c>
      <c r="L231" s="5" t="s">
        <v>1525</v>
      </c>
      <c r="M231" s="14" t="s">
        <v>35</v>
      </c>
      <c r="N231" s="5" t="s">
        <v>1526</v>
      </c>
      <c r="O231" s="4" t="s">
        <v>51</v>
      </c>
      <c r="P231" s="5" t="s">
        <v>2330</v>
      </c>
      <c r="Q231" s="4" t="n">
        <v>2</v>
      </c>
      <c r="R231" s="4" t="n">
        <v>0</v>
      </c>
      <c r="S231" s="4" t="s">
        <v>2331</v>
      </c>
      <c r="T231" s="4"/>
    </row>
    <row r="232" customFormat="false" ht="15" hidden="false" customHeight="false" outlineLevel="0" collapsed="false">
      <c r="A232" s="4" t="s">
        <v>2332</v>
      </c>
      <c r="B232" s="4" t="s">
        <v>2333</v>
      </c>
      <c r="C232" s="4" t="n">
        <v>6</v>
      </c>
      <c r="D232" s="5" t="s">
        <v>2334</v>
      </c>
      <c r="E232" s="4" t="s">
        <v>2335</v>
      </c>
      <c r="F232" s="4" t="s">
        <v>2336</v>
      </c>
      <c r="G232" s="4" t="n">
        <v>1</v>
      </c>
      <c r="H232" s="4"/>
      <c r="I232" s="4"/>
      <c r="J232" s="4"/>
      <c r="K232" s="4"/>
      <c r="L232" s="5" t="s">
        <v>40</v>
      </c>
      <c r="M232" s="14" t="s">
        <v>41</v>
      </c>
      <c r="N232" s="5" t="s">
        <v>1526</v>
      </c>
      <c r="O232" s="4" t="s">
        <v>143</v>
      </c>
      <c r="P232" s="5" t="s">
        <v>1507</v>
      </c>
      <c r="Q232" s="4" t="n">
        <v>0</v>
      </c>
      <c r="R232" s="4" t="n">
        <v>0</v>
      </c>
      <c r="S232" s="4"/>
      <c r="T232" s="4"/>
    </row>
    <row r="233" customFormat="false" ht="15" hidden="false" customHeight="false" outlineLevel="0" collapsed="false">
      <c r="A233" s="4" t="s">
        <v>2337</v>
      </c>
      <c r="B233" s="4" t="s">
        <v>2333</v>
      </c>
      <c r="C233" s="4" t="n">
        <v>7</v>
      </c>
      <c r="D233" s="5" t="s">
        <v>2338</v>
      </c>
      <c r="E233" s="4" t="s">
        <v>2339</v>
      </c>
      <c r="F233" s="4" t="s">
        <v>2340</v>
      </c>
      <c r="G233" s="4" t="n">
        <v>1</v>
      </c>
      <c r="H233" s="4"/>
      <c r="I233" s="4"/>
      <c r="J233" s="4"/>
      <c r="K233" s="4"/>
      <c r="L233" s="5" t="s">
        <v>40</v>
      </c>
      <c r="M233" s="14" t="s">
        <v>41</v>
      </c>
      <c r="N233" s="5" t="s">
        <v>1526</v>
      </c>
      <c r="O233" s="4" t="s">
        <v>143</v>
      </c>
      <c r="P233" s="5" t="s">
        <v>1507</v>
      </c>
      <c r="Q233" s="4" t="n">
        <v>0</v>
      </c>
      <c r="R233" s="4" t="n">
        <v>0</v>
      </c>
      <c r="S233" s="4"/>
      <c r="T233" s="4"/>
    </row>
    <row r="234" customFormat="false" ht="15" hidden="false" customHeight="false" outlineLevel="0" collapsed="false">
      <c r="A234" s="4" t="s">
        <v>2341</v>
      </c>
      <c r="B234" s="4" t="s">
        <v>2333</v>
      </c>
      <c r="C234" s="4" t="n">
        <v>8</v>
      </c>
      <c r="D234" s="5" t="s">
        <v>2342</v>
      </c>
      <c r="E234" s="4" t="s">
        <v>2343</v>
      </c>
      <c r="F234" s="4" t="s">
        <v>2344</v>
      </c>
      <c r="G234" s="4" t="n">
        <v>1</v>
      </c>
      <c r="H234" s="4"/>
      <c r="I234" s="4"/>
      <c r="J234" s="4"/>
      <c r="K234" s="4"/>
      <c r="L234" s="5" t="s">
        <v>40</v>
      </c>
      <c r="M234" s="14" t="s">
        <v>41</v>
      </c>
      <c r="N234" s="5" t="s">
        <v>1526</v>
      </c>
      <c r="O234" s="4" t="s">
        <v>143</v>
      </c>
      <c r="P234" s="5" t="s">
        <v>1507</v>
      </c>
      <c r="Q234" s="4" t="n">
        <v>0</v>
      </c>
      <c r="R234" s="4" t="n">
        <v>0</v>
      </c>
      <c r="S234" s="4"/>
      <c r="T234" s="4"/>
    </row>
    <row r="235" customFormat="false" ht="15" hidden="false" customHeight="false" outlineLevel="0" collapsed="false">
      <c r="A235" s="4" t="s">
        <v>2345</v>
      </c>
      <c r="B235" s="4" t="s">
        <v>2333</v>
      </c>
      <c r="C235" s="4" t="n">
        <v>9</v>
      </c>
      <c r="D235" s="5" t="s">
        <v>2346</v>
      </c>
      <c r="E235" s="4" t="s">
        <v>2347</v>
      </c>
      <c r="F235" s="4" t="s">
        <v>2348</v>
      </c>
      <c r="G235" s="4" t="n">
        <v>1</v>
      </c>
      <c r="H235" s="4"/>
      <c r="I235" s="4"/>
      <c r="J235" s="4"/>
      <c r="K235" s="4"/>
      <c r="L235" s="5" t="s">
        <v>40</v>
      </c>
      <c r="M235" s="14" t="s">
        <v>41</v>
      </c>
      <c r="N235" s="5" t="s">
        <v>1526</v>
      </c>
      <c r="O235" s="4" t="s">
        <v>143</v>
      </c>
      <c r="P235" s="5" t="s">
        <v>1507</v>
      </c>
      <c r="Q235" s="4" t="n">
        <v>0</v>
      </c>
      <c r="R235" s="4" t="n">
        <v>0</v>
      </c>
      <c r="S235" s="4"/>
      <c r="T235" s="4"/>
    </row>
    <row r="236" customFormat="false" ht="15" hidden="false" customHeight="false" outlineLevel="0" collapsed="false">
      <c r="A236" s="4" t="s">
        <v>2349</v>
      </c>
      <c r="B236" s="4" t="s">
        <v>2333</v>
      </c>
      <c r="C236" s="4" t="n">
        <v>10</v>
      </c>
      <c r="D236" s="5" t="s">
        <v>2350</v>
      </c>
      <c r="E236" s="4" t="s">
        <v>2347</v>
      </c>
      <c r="F236" s="4" t="s">
        <v>2351</v>
      </c>
      <c r="G236" s="4" t="n">
        <v>1</v>
      </c>
      <c r="H236" s="4"/>
      <c r="I236" s="4"/>
      <c r="J236" s="4"/>
      <c r="K236" s="4"/>
      <c r="L236" s="5" t="s">
        <v>40</v>
      </c>
      <c r="M236" s="14" t="s">
        <v>41</v>
      </c>
      <c r="N236" s="5" t="s">
        <v>1526</v>
      </c>
      <c r="O236" s="4" t="s">
        <v>143</v>
      </c>
      <c r="P236" s="5" t="s">
        <v>1507</v>
      </c>
      <c r="Q236" s="4" t="n">
        <v>0</v>
      </c>
      <c r="R236" s="4" t="n">
        <v>0</v>
      </c>
      <c r="S236" s="4"/>
      <c r="T236" s="4"/>
    </row>
    <row r="237" customFormat="false" ht="15" hidden="false" customHeight="false" outlineLevel="0" collapsed="false">
      <c r="A237" s="4" t="s">
        <v>2352</v>
      </c>
      <c r="B237" s="4" t="s">
        <v>2333</v>
      </c>
      <c r="C237" s="4" t="n">
        <v>11</v>
      </c>
      <c r="D237" s="5" t="s">
        <v>2353</v>
      </c>
      <c r="E237" s="4" t="s">
        <v>2354</v>
      </c>
      <c r="F237" s="4" t="s">
        <v>2355</v>
      </c>
      <c r="G237" s="4" t="n">
        <v>1</v>
      </c>
      <c r="H237" s="4"/>
      <c r="I237" s="4"/>
      <c r="J237" s="4"/>
      <c r="K237" s="4"/>
      <c r="L237" s="5" t="s">
        <v>40</v>
      </c>
      <c r="M237" s="14" t="s">
        <v>41</v>
      </c>
      <c r="N237" s="5" t="s">
        <v>1526</v>
      </c>
      <c r="O237" s="4" t="s">
        <v>143</v>
      </c>
      <c r="P237" s="5" t="s">
        <v>1507</v>
      </c>
      <c r="Q237" s="4" t="n">
        <v>0</v>
      </c>
      <c r="R237" s="4" t="n">
        <v>0</v>
      </c>
      <c r="S237" s="4"/>
      <c r="T237" s="4"/>
    </row>
    <row r="238" customFormat="false" ht="15" hidden="false" customHeight="false" outlineLevel="0" collapsed="false">
      <c r="A238" s="4" t="s">
        <v>2356</v>
      </c>
      <c r="B238" s="4" t="s">
        <v>2333</v>
      </c>
      <c r="C238" s="4" t="n">
        <v>12</v>
      </c>
      <c r="D238" s="5" t="s">
        <v>2357</v>
      </c>
      <c r="E238" s="4" t="s">
        <v>2347</v>
      </c>
      <c r="F238" s="4" t="s">
        <v>2358</v>
      </c>
      <c r="G238" s="4" t="n">
        <v>1</v>
      </c>
      <c r="H238" s="4"/>
      <c r="I238" s="4"/>
      <c r="J238" s="4"/>
      <c r="K238" s="4"/>
      <c r="L238" s="5" t="s">
        <v>40</v>
      </c>
      <c r="M238" s="14" t="s">
        <v>41</v>
      </c>
      <c r="N238" s="5" t="s">
        <v>1526</v>
      </c>
      <c r="O238" s="4" t="s">
        <v>143</v>
      </c>
      <c r="P238" s="5" t="s">
        <v>1507</v>
      </c>
      <c r="Q238" s="4" t="n">
        <v>0</v>
      </c>
      <c r="R238" s="4" t="n">
        <v>0</v>
      </c>
      <c r="S238" s="4"/>
      <c r="T238" s="4"/>
    </row>
    <row r="239" customFormat="false" ht="15" hidden="false" customHeight="false" outlineLevel="0" collapsed="false">
      <c r="A239" s="4" t="s">
        <v>2359</v>
      </c>
      <c r="B239" s="4" t="s">
        <v>2333</v>
      </c>
      <c r="C239" s="4" t="n">
        <v>13</v>
      </c>
      <c r="D239" s="5" t="s">
        <v>2360</v>
      </c>
      <c r="E239" s="4" t="s">
        <v>2361</v>
      </c>
      <c r="F239" s="4" t="s">
        <v>2362</v>
      </c>
      <c r="G239" s="4" t="n">
        <v>1</v>
      </c>
      <c r="H239" s="4"/>
      <c r="I239" s="4"/>
      <c r="J239" s="4"/>
      <c r="K239" s="4"/>
      <c r="L239" s="5" t="s">
        <v>40</v>
      </c>
      <c r="M239" s="14" t="s">
        <v>41</v>
      </c>
      <c r="N239" s="5" t="s">
        <v>1526</v>
      </c>
      <c r="O239" s="4" t="s">
        <v>143</v>
      </c>
      <c r="P239" s="5" t="s">
        <v>1507</v>
      </c>
      <c r="Q239" s="4" t="n">
        <v>0</v>
      </c>
      <c r="R239" s="4" t="n">
        <v>0</v>
      </c>
      <c r="S239" s="4"/>
      <c r="T239" s="4"/>
    </row>
    <row r="240" customFormat="false" ht="15" hidden="false" customHeight="false" outlineLevel="0" collapsed="false">
      <c r="A240" s="4" t="s">
        <v>2363</v>
      </c>
      <c r="B240" s="4" t="s">
        <v>2333</v>
      </c>
      <c r="C240" s="4" t="n">
        <v>14</v>
      </c>
      <c r="D240" s="5" t="s">
        <v>2364</v>
      </c>
      <c r="E240" s="4" t="s">
        <v>2365</v>
      </c>
      <c r="F240" s="4" t="s">
        <v>2366</v>
      </c>
      <c r="G240" s="4" t="n">
        <v>1</v>
      </c>
      <c r="H240" s="4"/>
      <c r="I240" s="4"/>
      <c r="J240" s="4"/>
      <c r="K240" s="4"/>
      <c r="L240" s="5" t="s">
        <v>40</v>
      </c>
      <c r="M240" s="14" t="s">
        <v>41</v>
      </c>
      <c r="N240" s="5" t="s">
        <v>1526</v>
      </c>
      <c r="O240" s="4" t="s">
        <v>143</v>
      </c>
      <c r="P240" s="5" t="s">
        <v>1507</v>
      </c>
      <c r="Q240" s="4" t="n">
        <v>0</v>
      </c>
      <c r="R240" s="4" t="n">
        <v>0</v>
      </c>
      <c r="S240" s="4"/>
      <c r="T240" s="4"/>
    </row>
    <row r="241" customFormat="false" ht="15" hidden="false" customHeight="false" outlineLevel="0" collapsed="false">
      <c r="A241" s="4" t="s">
        <v>2367</v>
      </c>
      <c r="B241" s="4" t="s">
        <v>2333</v>
      </c>
      <c r="C241" s="4" t="n">
        <v>15</v>
      </c>
      <c r="D241" s="5" t="s">
        <v>2368</v>
      </c>
      <c r="E241" s="4" t="s">
        <v>2361</v>
      </c>
      <c r="F241" s="4" t="s">
        <v>2369</v>
      </c>
      <c r="G241" s="4" t="n">
        <v>1</v>
      </c>
      <c r="H241" s="4"/>
      <c r="I241" s="4"/>
      <c r="J241" s="4"/>
      <c r="K241" s="4"/>
      <c r="L241" s="5" t="s">
        <v>40</v>
      </c>
      <c r="M241" s="14" t="s">
        <v>41</v>
      </c>
      <c r="N241" s="5" t="s">
        <v>1526</v>
      </c>
      <c r="O241" s="4" t="s">
        <v>143</v>
      </c>
      <c r="P241" s="5" t="s">
        <v>1507</v>
      </c>
      <c r="Q241" s="4" t="n">
        <v>0</v>
      </c>
      <c r="R241" s="4" t="n">
        <v>0</v>
      </c>
      <c r="S241" s="4"/>
      <c r="T241" s="4"/>
    </row>
    <row r="242" customFormat="false" ht="29.85" hidden="false" customHeight="false" outlineLevel="0" collapsed="false">
      <c r="A242" s="4" t="s">
        <v>2370</v>
      </c>
      <c r="B242" s="4" t="s">
        <v>2333</v>
      </c>
      <c r="C242" s="4" t="n">
        <v>17</v>
      </c>
      <c r="D242" s="4" t="s">
        <v>2371</v>
      </c>
      <c r="E242" s="4" t="s">
        <v>2372</v>
      </c>
      <c r="F242" s="4" t="s">
        <v>2373</v>
      </c>
      <c r="G242" s="4" t="n">
        <v>1</v>
      </c>
      <c r="H242" s="4"/>
      <c r="I242" s="4"/>
      <c r="J242" s="4"/>
      <c r="K242" s="4"/>
      <c r="L242" s="5" t="s">
        <v>40</v>
      </c>
      <c r="M242" s="14" t="s">
        <v>41</v>
      </c>
      <c r="N242" s="5" t="s">
        <v>1526</v>
      </c>
      <c r="O242" s="4" t="s">
        <v>143</v>
      </c>
      <c r="P242" s="5" t="s">
        <v>1507</v>
      </c>
      <c r="Q242" s="4" t="n">
        <v>0</v>
      </c>
      <c r="R242" s="4" t="n">
        <v>0</v>
      </c>
      <c r="S242" s="4"/>
      <c r="T242" s="4"/>
    </row>
    <row r="243" customFormat="false" ht="15" hidden="false" customHeight="false" outlineLevel="0" collapsed="false">
      <c r="A243" s="4" t="s">
        <v>2374</v>
      </c>
      <c r="B243" s="4" t="s">
        <v>2333</v>
      </c>
      <c r="C243" s="4" t="n">
        <v>20</v>
      </c>
      <c r="D243" s="5" t="s">
        <v>2375</v>
      </c>
      <c r="E243" s="4" t="s">
        <v>2376</v>
      </c>
      <c r="F243" s="4" t="s">
        <v>2377</v>
      </c>
      <c r="G243" s="4" t="n">
        <v>1</v>
      </c>
      <c r="H243" s="4"/>
      <c r="I243" s="4"/>
      <c r="J243" s="4"/>
      <c r="K243" s="4"/>
      <c r="L243" s="5" t="s">
        <v>40</v>
      </c>
      <c r="M243" s="14" t="s">
        <v>41</v>
      </c>
      <c r="N243" s="5" t="s">
        <v>1526</v>
      </c>
      <c r="O243" s="4" t="s">
        <v>143</v>
      </c>
      <c r="P243" s="5" t="s">
        <v>1507</v>
      </c>
      <c r="Q243" s="4" t="n">
        <v>0</v>
      </c>
      <c r="R243" s="4" t="n">
        <v>0</v>
      </c>
      <c r="S243" s="4"/>
      <c r="T243" s="4"/>
    </row>
    <row r="244" customFormat="false" ht="15" hidden="false" customHeight="false" outlineLevel="0" collapsed="false">
      <c r="A244" s="4" t="s">
        <v>2378</v>
      </c>
      <c r="B244" s="4" t="s">
        <v>2333</v>
      </c>
      <c r="C244" s="4" t="n">
        <v>21</v>
      </c>
      <c r="D244" s="5" t="s">
        <v>2379</v>
      </c>
      <c r="E244" s="4" t="s">
        <v>2380</v>
      </c>
      <c r="F244" s="4" t="s">
        <v>2381</v>
      </c>
      <c r="G244" s="4" t="n">
        <v>1</v>
      </c>
      <c r="H244" s="4"/>
      <c r="I244" s="4"/>
      <c r="J244" s="4"/>
      <c r="K244" s="4"/>
      <c r="L244" s="5" t="s">
        <v>40</v>
      </c>
      <c r="M244" s="14" t="s">
        <v>41</v>
      </c>
      <c r="N244" s="5" t="s">
        <v>1526</v>
      </c>
      <c r="O244" s="4" t="s">
        <v>143</v>
      </c>
      <c r="P244" s="5" t="s">
        <v>1507</v>
      </c>
      <c r="Q244" s="4" t="n">
        <v>0</v>
      </c>
      <c r="R244" s="4" t="n">
        <v>0</v>
      </c>
      <c r="S244" s="4"/>
      <c r="T244" s="4"/>
    </row>
    <row r="245" customFormat="false" ht="29.85" hidden="false" customHeight="false" outlineLevel="0" collapsed="false">
      <c r="A245" s="4" t="s">
        <v>2382</v>
      </c>
      <c r="B245" s="4" t="s">
        <v>2383</v>
      </c>
      <c r="C245" s="4" t="n">
        <v>5</v>
      </c>
      <c r="D245" s="5" t="s">
        <v>2384</v>
      </c>
      <c r="E245" s="5" t="s">
        <v>1510</v>
      </c>
      <c r="F245" s="4" t="s">
        <v>1870</v>
      </c>
      <c r="G245" s="4" t="n">
        <v>1</v>
      </c>
      <c r="H245" s="4" t="s">
        <v>39</v>
      </c>
      <c r="I245" s="4" t="s">
        <v>39</v>
      </c>
      <c r="J245" s="4"/>
      <c r="K245" s="4"/>
      <c r="L245" s="4" t="s">
        <v>39</v>
      </c>
      <c r="M245" s="4" t="s">
        <v>39</v>
      </c>
      <c r="N245" s="5" t="s">
        <v>1506</v>
      </c>
      <c r="O245" s="4" t="s">
        <v>143</v>
      </c>
      <c r="P245" s="5" t="s">
        <v>1507</v>
      </c>
      <c r="Q245" s="4" t="n">
        <v>0</v>
      </c>
      <c r="R245" s="4" t="n">
        <v>0</v>
      </c>
      <c r="S245" s="4"/>
      <c r="T245" s="4"/>
    </row>
    <row r="246" customFormat="false" ht="29.85" hidden="false" customHeight="false" outlineLevel="0" collapsed="false">
      <c r="A246" s="4" t="s">
        <v>2385</v>
      </c>
      <c r="B246" s="4" t="s">
        <v>2383</v>
      </c>
      <c r="C246" s="4" t="n">
        <v>8</v>
      </c>
      <c r="D246" s="5" t="s">
        <v>2386</v>
      </c>
      <c r="E246" s="4" t="s">
        <v>421</v>
      </c>
      <c r="F246" s="4" t="s">
        <v>2061</v>
      </c>
      <c r="G246" s="4" t="n">
        <v>1</v>
      </c>
      <c r="H246" s="4" t="s">
        <v>39</v>
      </c>
      <c r="I246" s="4" t="s">
        <v>39</v>
      </c>
      <c r="J246" s="4"/>
      <c r="K246" s="4"/>
      <c r="L246" s="4" t="s">
        <v>39</v>
      </c>
      <c r="M246" s="4" t="s">
        <v>39</v>
      </c>
      <c r="N246" s="5" t="s">
        <v>1506</v>
      </c>
      <c r="O246" s="4" t="s">
        <v>143</v>
      </c>
      <c r="P246" s="5" t="s">
        <v>1507</v>
      </c>
      <c r="Q246" s="4" t="n">
        <v>0</v>
      </c>
      <c r="R246" s="4" t="n">
        <v>0</v>
      </c>
      <c r="S246" s="4"/>
      <c r="T246" s="4"/>
    </row>
    <row r="247" customFormat="false" ht="26.85" hidden="false" customHeight="false" outlineLevel="0" collapsed="false">
      <c r="A247" s="4" t="s">
        <v>2387</v>
      </c>
      <c r="B247" s="4" t="s">
        <v>2383</v>
      </c>
      <c r="C247" s="4" t="n">
        <v>12</v>
      </c>
      <c r="D247" s="5" t="s">
        <v>2388</v>
      </c>
      <c r="E247" s="4" t="s">
        <v>559</v>
      </c>
      <c r="F247" s="4" t="s">
        <v>1626</v>
      </c>
      <c r="G247" s="4" t="n">
        <v>5</v>
      </c>
      <c r="H247" s="4" t="s">
        <v>38</v>
      </c>
      <c r="I247" s="4" t="s">
        <v>38</v>
      </c>
      <c r="J247" s="4"/>
      <c r="K247" s="4"/>
      <c r="L247" s="4" t="s">
        <v>38</v>
      </c>
      <c r="M247" s="4" t="s">
        <v>38</v>
      </c>
      <c r="N247" s="5" t="s">
        <v>1506</v>
      </c>
      <c r="O247" s="4" t="s">
        <v>143</v>
      </c>
      <c r="P247" s="5" t="s">
        <v>1507</v>
      </c>
      <c r="Q247" s="4" t="n">
        <v>0</v>
      </c>
      <c r="R247" s="4" t="n">
        <v>0</v>
      </c>
      <c r="S247" s="4"/>
      <c r="T247" s="4"/>
    </row>
    <row r="248" customFormat="false" ht="29.85" hidden="false" customHeight="false" outlineLevel="0" collapsed="false">
      <c r="A248" s="4" t="s">
        <v>2389</v>
      </c>
      <c r="B248" s="4" t="s">
        <v>2383</v>
      </c>
      <c r="C248" s="4" t="n">
        <v>13</v>
      </c>
      <c r="D248" s="5" t="s">
        <v>2390</v>
      </c>
      <c r="E248" s="4" t="s">
        <v>421</v>
      </c>
      <c r="F248" s="4" t="s">
        <v>1631</v>
      </c>
      <c r="G248" s="4" t="n">
        <v>5</v>
      </c>
      <c r="H248" s="4" t="s">
        <v>1294</v>
      </c>
      <c r="I248" s="4" t="s">
        <v>1294</v>
      </c>
      <c r="J248" s="4"/>
      <c r="K248" s="4" t="s">
        <v>1232</v>
      </c>
      <c r="L248" s="5" t="s">
        <v>1525</v>
      </c>
      <c r="M248" s="13" t="s">
        <v>38</v>
      </c>
      <c r="N248" s="5" t="s">
        <v>1526</v>
      </c>
      <c r="O248" s="4" t="s">
        <v>143</v>
      </c>
      <c r="P248" s="5" t="s">
        <v>2391</v>
      </c>
      <c r="Q248" s="4" t="n">
        <v>0</v>
      </c>
      <c r="R248" s="4" t="n">
        <v>0</v>
      </c>
      <c r="S248" s="4"/>
      <c r="T248" s="4"/>
    </row>
    <row r="249" customFormat="false" ht="26.85" hidden="false" customHeight="false" outlineLevel="0" collapsed="false">
      <c r="A249" s="4" t="s">
        <v>2392</v>
      </c>
      <c r="B249" s="4" t="s">
        <v>2383</v>
      </c>
      <c r="C249" s="4" t="n">
        <v>14</v>
      </c>
      <c r="D249" s="5" t="s">
        <v>2393</v>
      </c>
      <c r="E249" s="4" t="s">
        <v>559</v>
      </c>
      <c r="F249" s="4" t="s">
        <v>1861</v>
      </c>
      <c r="G249" s="4" t="n">
        <v>5</v>
      </c>
      <c r="H249" s="4" t="s">
        <v>38</v>
      </c>
      <c r="I249" s="4" t="s">
        <v>38</v>
      </c>
      <c r="J249" s="4"/>
      <c r="K249" s="4"/>
      <c r="L249" s="4" t="s">
        <v>38</v>
      </c>
      <c r="M249" s="4" t="s">
        <v>38</v>
      </c>
      <c r="N249" s="5" t="s">
        <v>1506</v>
      </c>
      <c r="O249" s="4" t="s">
        <v>143</v>
      </c>
      <c r="P249" s="5" t="s">
        <v>1507</v>
      </c>
      <c r="Q249" s="4" t="n">
        <v>0</v>
      </c>
      <c r="R249" s="4" t="n">
        <v>0</v>
      </c>
      <c r="S249" s="4"/>
      <c r="T249" s="4"/>
    </row>
    <row r="250" customFormat="false" ht="29.85" hidden="false" customHeight="false" outlineLevel="0" collapsed="false">
      <c r="A250" s="4" t="s">
        <v>2394</v>
      </c>
      <c r="B250" s="4" t="s">
        <v>2383</v>
      </c>
      <c r="C250" s="4" t="n">
        <v>15</v>
      </c>
      <c r="D250" s="5" t="s">
        <v>2395</v>
      </c>
      <c r="E250" s="4" t="s">
        <v>559</v>
      </c>
      <c r="F250" s="4" t="s">
        <v>2396</v>
      </c>
      <c r="G250" s="4" t="n">
        <v>5</v>
      </c>
      <c r="H250" s="4" t="s">
        <v>38</v>
      </c>
      <c r="I250" s="4" t="s">
        <v>38</v>
      </c>
      <c r="J250" s="4"/>
      <c r="K250" s="4" t="s">
        <v>1232</v>
      </c>
      <c r="L250" s="4" t="s">
        <v>38</v>
      </c>
      <c r="M250" s="4" t="s">
        <v>38</v>
      </c>
      <c r="N250" s="5" t="s">
        <v>1506</v>
      </c>
      <c r="O250" s="4" t="s">
        <v>143</v>
      </c>
      <c r="P250" s="5" t="s">
        <v>2017</v>
      </c>
      <c r="Q250" s="4" t="n">
        <v>0</v>
      </c>
      <c r="R250" s="4" t="n">
        <v>0</v>
      </c>
      <c r="S250" s="4"/>
      <c r="T250" s="4"/>
    </row>
    <row r="251" customFormat="false" ht="26.85" hidden="false" customHeight="false" outlineLevel="0" collapsed="false">
      <c r="A251" s="4" t="s">
        <v>2397</v>
      </c>
      <c r="B251" s="4" t="s">
        <v>2383</v>
      </c>
      <c r="C251" s="4" t="n">
        <v>16</v>
      </c>
      <c r="D251" s="5" t="s">
        <v>2398</v>
      </c>
      <c r="E251" s="5" t="s">
        <v>2399</v>
      </c>
      <c r="F251" s="4" t="s">
        <v>2400</v>
      </c>
      <c r="G251" s="4" t="n">
        <v>5</v>
      </c>
      <c r="H251" s="4" t="s">
        <v>38</v>
      </c>
      <c r="I251" s="4" t="s">
        <v>38</v>
      </c>
      <c r="J251" s="4"/>
      <c r="K251" s="4"/>
      <c r="L251" s="4" t="s">
        <v>38</v>
      </c>
      <c r="M251" s="4" t="s">
        <v>38</v>
      </c>
      <c r="N251" s="5" t="s">
        <v>1506</v>
      </c>
      <c r="O251" s="4" t="s">
        <v>143</v>
      </c>
      <c r="P251" s="5" t="s">
        <v>1507</v>
      </c>
      <c r="Q251" s="4" t="n">
        <v>0</v>
      </c>
      <c r="R251" s="4" t="n">
        <v>0</v>
      </c>
      <c r="S251" s="4"/>
      <c r="T251" s="4"/>
    </row>
    <row r="252" customFormat="false" ht="26.85" hidden="false" customHeight="false" outlineLevel="0" collapsed="false">
      <c r="A252" s="4" t="s">
        <v>2401</v>
      </c>
      <c r="B252" s="4" t="s">
        <v>2383</v>
      </c>
      <c r="C252" s="4" t="n">
        <v>17</v>
      </c>
      <c r="D252" s="5" t="s">
        <v>2402</v>
      </c>
      <c r="E252" s="5" t="s">
        <v>529</v>
      </c>
      <c r="F252" s="4" t="s">
        <v>2403</v>
      </c>
      <c r="G252" s="4" t="n">
        <v>5</v>
      </c>
      <c r="H252" s="4" t="s">
        <v>38</v>
      </c>
      <c r="I252" s="4" t="s">
        <v>38</v>
      </c>
      <c r="J252" s="4"/>
      <c r="K252" s="4"/>
      <c r="L252" s="4" t="s">
        <v>38</v>
      </c>
      <c r="M252" s="4" t="s">
        <v>38</v>
      </c>
      <c r="N252" s="5" t="s">
        <v>1506</v>
      </c>
      <c r="O252" s="4" t="s">
        <v>143</v>
      </c>
      <c r="P252" s="5" t="s">
        <v>1507</v>
      </c>
      <c r="Q252" s="4" t="n">
        <v>0</v>
      </c>
      <c r="R252" s="4" t="n">
        <v>0</v>
      </c>
      <c r="S252" s="4"/>
      <c r="T252" s="4"/>
    </row>
    <row r="253" customFormat="false" ht="29.85" hidden="false" customHeight="false" outlineLevel="0" collapsed="false">
      <c r="A253" s="4" t="s">
        <v>2404</v>
      </c>
      <c r="B253" s="4" t="s">
        <v>2383</v>
      </c>
      <c r="C253" s="4" t="n">
        <v>18</v>
      </c>
      <c r="D253" s="5" t="s">
        <v>2405</v>
      </c>
      <c r="E253" s="4" t="s">
        <v>2229</v>
      </c>
      <c r="F253" s="4" t="s">
        <v>2406</v>
      </c>
      <c r="G253" s="4" t="n">
        <v>5</v>
      </c>
      <c r="H253" s="4" t="s">
        <v>37</v>
      </c>
      <c r="I253" s="4" t="s">
        <v>37</v>
      </c>
      <c r="J253" s="4"/>
      <c r="K253" s="4" t="s">
        <v>1232</v>
      </c>
      <c r="L253" s="4" t="s">
        <v>37</v>
      </c>
      <c r="M253" s="4" t="s">
        <v>37</v>
      </c>
      <c r="N253" s="5" t="s">
        <v>1506</v>
      </c>
      <c r="O253" s="4" t="s">
        <v>143</v>
      </c>
      <c r="P253" s="5" t="s">
        <v>2017</v>
      </c>
      <c r="Q253" s="4" t="n">
        <v>0</v>
      </c>
      <c r="R253" s="4" t="n">
        <v>0</v>
      </c>
      <c r="S253" s="4"/>
      <c r="T253" s="4"/>
    </row>
    <row r="254" customFormat="false" ht="26.85" hidden="false" customHeight="false" outlineLevel="0" collapsed="false">
      <c r="A254" s="4" t="s">
        <v>2407</v>
      </c>
      <c r="B254" s="4" t="s">
        <v>2383</v>
      </c>
      <c r="C254" s="4" t="n">
        <v>19</v>
      </c>
      <c r="D254" s="5" t="s">
        <v>2408</v>
      </c>
      <c r="E254" s="4" t="s">
        <v>559</v>
      </c>
      <c r="F254" s="4" t="s">
        <v>2409</v>
      </c>
      <c r="G254" s="4" t="n">
        <v>5</v>
      </c>
      <c r="H254" s="4" t="s">
        <v>38</v>
      </c>
      <c r="I254" s="4" t="s">
        <v>38</v>
      </c>
      <c r="J254" s="4"/>
      <c r="K254" s="4"/>
      <c r="L254" s="4" t="s">
        <v>38</v>
      </c>
      <c r="M254" s="4" t="s">
        <v>38</v>
      </c>
      <c r="N254" s="5" t="s">
        <v>1506</v>
      </c>
      <c r="O254" s="4" t="s">
        <v>143</v>
      </c>
      <c r="P254" s="5" t="s">
        <v>1507</v>
      </c>
      <c r="Q254" s="4" t="n">
        <v>0</v>
      </c>
      <c r="R254" s="4" t="n">
        <v>0</v>
      </c>
      <c r="S254" s="4"/>
      <c r="T254" s="4"/>
    </row>
    <row r="255" customFormat="false" ht="26.85" hidden="false" customHeight="false" outlineLevel="0" collapsed="false">
      <c r="A255" s="4" t="s">
        <v>2410</v>
      </c>
      <c r="B255" s="4" t="s">
        <v>2383</v>
      </c>
      <c r="C255" s="4" t="n">
        <v>20</v>
      </c>
      <c r="D255" s="5" t="s">
        <v>2411</v>
      </c>
      <c r="E255" s="5" t="s">
        <v>2412</v>
      </c>
      <c r="F255" s="4" t="s">
        <v>2413</v>
      </c>
      <c r="G255" s="4" t="n">
        <v>5</v>
      </c>
      <c r="H255" s="4" t="s">
        <v>1294</v>
      </c>
      <c r="I255" s="4" t="s">
        <v>1294</v>
      </c>
      <c r="J255" s="4"/>
      <c r="K255" s="4"/>
      <c r="L255" s="5" t="s">
        <v>1525</v>
      </c>
      <c r="M255" s="13" t="s">
        <v>39</v>
      </c>
      <c r="N255" s="5" t="s">
        <v>1526</v>
      </c>
      <c r="O255" s="4" t="s">
        <v>143</v>
      </c>
      <c r="P255" s="5" t="s">
        <v>2414</v>
      </c>
      <c r="Q255" s="4" t="n">
        <v>0</v>
      </c>
      <c r="R255" s="4" t="n">
        <v>0</v>
      </c>
      <c r="S255" s="4"/>
      <c r="T255" s="4"/>
    </row>
    <row r="256" customFormat="false" ht="26.85" hidden="false" customHeight="false" outlineLevel="0" collapsed="false">
      <c r="A256" s="4" t="s">
        <v>2415</v>
      </c>
      <c r="B256" s="4" t="s">
        <v>2383</v>
      </c>
      <c r="C256" s="4" t="n">
        <v>24</v>
      </c>
      <c r="D256" s="5" t="s">
        <v>2388</v>
      </c>
      <c r="E256" s="4" t="s">
        <v>559</v>
      </c>
      <c r="F256" s="4" t="s">
        <v>1642</v>
      </c>
      <c r="G256" s="4" t="n">
        <v>5</v>
      </c>
      <c r="H256" s="4" t="s">
        <v>38</v>
      </c>
      <c r="I256" s="4" t="s">
        <v>38</v>
      </c>
      <c r="J256" s="4"/>
      <c r="K256" s="4"/>
      <c r="L256" s="4" t="s">
        <v>38</v>
      </c>
      <c r="M256" s="4" t="s">
        <v>38</v>
      </c>
      <c r="N256" s="5" t="s">
        <v>1506</v>
      </c>
      <c r="O256" s="4" t="s">
        <v>143</v>
      </c>
      <c r="P256" s="5" t="s">
        <v>1507</v>
      </c>
      <c r="Q256" s="4" t="n">
        <v>0</v>
      </c>
      <c r="R256" s="4" t="n">
        <v>0</v>
      </c>
      <c r="S256" s="4"/>
      <c r="T256" s="4"/>
    </row>
    <row r="257" customFormat="false" ht="26.85" hidden="false" customHeight="false" outlineLevel="0" collapsed="false">
      <c r="A257" s="4" t="s">
        <v>2416</v>
      </c>
      <c r="B257" s="4" t="s">
        <v>2383</v>
      </c>
      <c r="C257" s="4" t="n">
        <v>25</v>
      </c>
      <c r="D257" s="5" t="s">
        <v>2390</v>
      </c>
      <c r="E257" s="4" t="s">
        <v>421</v>
      </c>
      <c r="F257" s="4" t="s">
        <v>1647</v>
      </c>
      <c r="G257" s="4" t="n">
        <v>5</v>
      </c>
      <c r="H257" s="4" t="s">
        <v>38</v>
      </c>
      <c r="I257" s="4" t="s">
        <v>38</v>
      </c>
      <c r="J257" s="4"/>
      <c r="K257" s="4"/>
      <c r="L257" s="4" t="s">
        <v>38</v>
      </c>
      <c r="M257" s="4" t="s">
        <v>38</v>
      </c>
      <c r="N257" s="5" t="s">
        <v>1506</v>
      </c>
      <c r="O257" s="4" t="s">
        <v>143</v>
      </c>
      <c r="P257" s="5" t="s">
        <v>1507</v>
      </c>
      <c r="Q257" s="4" t="n">
        <v>0</v>
      </c>
      <c r="R257" s="4" t="n">
        <v>0</v>
      </c>
      <c r="S257" s="4"/>
      <c r="T257" s="4"/>
    </row>
    <row r="258" customFormat="false" ht="26.85" hidden="false" customHeight="false" outlineLevel="0" collapsed="false">
      <c r="A258" s="4" t="s">
        <v>2417</v>
      </c>
      <c r="B258" s="4" t="s">
        <v>2383</v>
      </c>
      <c r="C258" s="4" t="n">
        <v>26</v>
      </c>
      <c r="D258" s="5" t="s">
        <v>2393</v>
      </c>
      <c r="E258" s="4" t="s">
        <v>559</v>
      </c>
      <c r="F258" s="4" t="s">
        <v>1652</v>
      </c>
      <c r="G258" s="4" t="n">
        <v>5</v>
      </c>
      <c r="H258" s="4" t="s">
        <v>38</v>
      </c>
      <c r="I258" s="4" t="s">
        <v>38</v>
      </c>
      <c r="J258" s="4"/>
      <c r="K258" s="4"/>
      <c r="L258" s="4" t="s">
        <v>38</v>
      </c>
      <c r="M258" s="4" t="s">
        <v>38</v>
      </c>
      <c r="N258" s="5" t="s">
        <v>1506</v>
      </c>
      <c r="O258" s="4" t="s">
        <v>143</v>
      </c>
      <c r="P258" s="5" t="s">
        <v>1507</v>
      </c>
      <c r="Q258" s="4" t="n">
        <v>0</v>
      </c>
      <c r="R258" s="4" t="n">
        <v>0</v>
      </c>
      <c r="S258" s="4"/>
      <c r="T258" s="4"/>
    </row>
    <row r="259" customFormat="false" ht="26.85" hidden="false" customHeight="false" outlineLevel="0" collapsed="false">
      <c r="A259" s="4" t="s">
        <v>2418</v>
      </c>
      <c r="B259" s="4" t="s">
        <v>2383</v>
      </c>
      <c r="C259" s="4" t="n">
        <v>27</v>
      </c>
      <c r="D259" s="5" t="s">
        <v>2395</v>
      </c>
      <c r="E259" s="4" t="s">
        <v>559</v>
      </c>
      <c r="F259" s="4" t="s">
        <v>1657</v>
      </c>
      <c r="G259" s="4" t="n">
        <v>5</v>
      </c>
      <c r="H259" s="4" t="s">
        <v>38</v>
      </c>
      <c r="I259" s="4" t="s">
        <v>38</v>
      </c>
      <c r="J259" s="4"/>
      <c r="K259" s="4"/>
      <c r="L259" s="4" t="s">
        <v>38</v>
      </c>
      <c r="M259" s="4" t="s">
        <v>38</v>
      </c>
      <c r="N259" s="5" t="s">
        <v>1506</v>
      </c>
      <c r="O259" s="4" t="s">
        <v>143</v>
      </c>
      <c r="P259" s="5" t="s">
        <v>1507</v>
      </c>
      <c r="Q259" s="4" t="n">
        <v>0</v>
      </c>
      <c r="R259" s="4" t="n">
        <v>0</v>
      </c>
      <c r="S259" s="4"/>
      <c r="T259" s="4"/>
    </row>
    <row r="260" customFormat="false" ht="26.85" hidden="false" customHeight="false" outlineLevel="0" collapsed="false">
      <c r="A260" s="4" t="s">
        <v>2419</v>
      </c>
      <c r="B260" s="4" t="s">
        <v>2383</v>
      </c>
      <c r="C260" s="4" t="n">
        <v>28</v>
      </c>
      <c r="D260" s="5" t="s">
        <v>2398</v>
      </c>
      <c r="E260" s="5" t="s">
        <v>2399</v>
      </c>
      <c r="F260" s="4" t="s">
        <v>1662</v>
      </c>
      <c r="G260" s="4" t="n">
        <v>5</v>
      </c>
      <c r="H260" s="4" t="s">
        <v>38</v>
      </c>
      <c r="I260" s="4" t="s">
        <v>38</v>
      </c>
      <c r="J260" s="4"/>
      <c r="K260" s="4"/>
      <c r="L260" s="4" t="s">
        <v>38</v>
      </c>
      <c r="M260" s="4" t="s">
        <v>38</v>
      </c>
      <c r="N260" s="5" t="s">
        <v>1506</v>
      </c>
      <c r="O260" s="4" t="s">
        <v>143</v>
      </c>
      <c r="P260" s="5" t="s">
        <v>1507</v>
      </c>
      <c r="Q260" s="4" t="n">
        <v>0</v>
      </c>
      <c r="R260" s="4" t="n">
        <v>0</v>
      </c>
      <c r="S260" s="4"/>
      <c r="T260" s="4"/>
    </row>
    <row r="261" customFormat="false" ht="26.85" hidden="false" customHeight="false" outlineLevel="0" collapsed="false">
      <c r="A261" s="4" t="s">
        <v>2420</v>
      </c>
      <c r="B261" s="4" t="s">
        <v>2383</v>
      </c>
      <c r="C261" s="4" t="n">
        <v>29</v>
      </c>
      <c r="D261" s="5" t="s">
        <v>2402</v>
      </c>
      <c r="E261" s="5" t="s">
        <v>529</v>
      </c>
      <c r="F261" s="4" t="s">
        <v>1666</v>
      </c>
      <c r="G261" s="4" t="n">
        <v>5</v>
      </c>
      <c r="H261" s="4" t="s">
        <v>2421</v>
      </c>
      <c r="I261" s="4" t="s">
        <v>1300</v>
      </c>
      <c r="J261" s="5" t="s">
        <v>1506</v>
      </c>
      <c r="K261" s="4" t="s">
        <v>1221</v>
      </c>
      <c r="L261" s="5" t="s">
        <v>1525</v>
      </c>
      <c r="M261" s="13" t="s">
        <v>37</v>
      </c>
      <c r="N261" s="5" t="s">
        <v>1526</v>
      </c>
      <c r="O261" s="4" t="s">
        <v>54</v>
      </c>
      <c r="P261" s="5" t="s">
        <v>2422</v>
      </c>
      <c r="Q261" s="4" t="n">
        <v>0</v>
      </c>
      <c r="R261" s="4" t="n">
        <v>0</v>
      </c>
      <c r="S261" s="4"/>
      <c r="T261" s="4"/>
    </row>
    <row r="262" customFormat="false" ht="26.85" hidden="false" customHeight="false" outlineLevel="0" collapsed="false">
      <c r="A262" s="4" t="s">
        <v>2423</v>
      </c>
      <c r="B262" s="4" t="s">
        <v>2383</v>
      </c>
      <c r="C262" s="4" t="n">
        <v>30</v>
      </c>
      <c r="D262" s="5" t="s">
        <v>2405</v>
      </c>
      <c r="E262" s="4" t="s">
        <v>2229</v>
      </c>
      <c r="F262" s="4" t="s">
        <v>1671</v>
      </c>
      <c r="G262" s="4" t="n">
        <v>5</v>
      </c>
      <c r="H262" s="4" t="s">
        <v>38</v>
      </c>
      <c r="I262" s="4" t="s">
        <v>38</v>
      </c>
      <c r="J262" s="4"/>
      <c r="K262" s="4"/>
      <c r="L262" s="4" t="s">
        <v>38</v>
      </c>
      <c r="M262" s="4" t="s">
        <v>38</v>
      </c>
      <c r="N262" s="5" t="s">
        <v>1506</v>
      </c>
      <c r="O262" s="4" t="s">
        <v>143</v>
      </c>
      <c r="P262" s="5" t="s">
        <v>1507</v>
      </c>
      <c r="Q262" s="4" t="n">
        <v>0</v>
      </c>
      <c r="R262" s="4" t="n">
        <v>0</v>
      </c>
      <c r="S262" s="4"/>
      <c r="T262" s="4"/>
    </row>
    <row r="263" customFormat="false" ht="26.85" hidden="false" customHeight="false" outlineLevel="0" collapsed="false">
      <c r="A263" s="4" t="s">
        <v>2424</v>
      </c>
      <c r="B263" s="4" t="s">
        <v>2383</v>
      </c>
      <c r="C263" s="4" t="n">
        <v>31</v>
      </c>
      <c r="D263" s="5" t="s">
        <v>2408</v>
      </c>
      <c r="E263" s="4" t="s">
        <v>559</v>
      </c>
      <c r="F263" s="4" t="s">
        <v>1675</v>
      </c>
      <c r="G263" s="4" t="n">
        <v>5</v>
      </c>
      <c r="H263" s="4" t="s">
        <v>38</v>
      </c>
      <c r="I263" s="4" t="s">
        <v>38</v>
      </c>
      <c r="J263" s="4"/>
      <c r="K263" s="4"/>
      <c r="L263" s="4" t="s">
        <v>38</v>
      </c>
      <c r="M263" s="4" t="s">
        <v>38</v>
      </c>
      <c r="N263" s="5" t="s">
        <v>1506</v>
      </c>
      <c r="O263" s="4" t="s">
        <v>143</v>
      </c>
      <c r="P263" s="5" t="s">
        <v>1507</v>
      </c>
      <c r="Q263" s="4" t="n">
        <v>0</v>
      </c>
      <c r="R263" s="4" t="n">
        <v>0</v>
      </c>
      <c r="S263" s="4"/>
      <c r="T263" s="4"/>
    </row>
    <row r="264" customFormat="false" ht="26.85" hidden="false" customHeight="false" outlineLevel="0" collapsed="false">
      <c r="A264" s="4" t="s">
        <v>2425</v>
      </c>
      <c r="B264" s="4" t="s">
        <v>2383</v>
      </c>
      <c r="C264" s="4" t="n">
        <v>32</v>
      </c>
      <c r="D264" s="5" t="s">
        <v>2411</v>
      </c>
      <c r="E264" s="5" t="s">
        <v>2412</v>
      </c>
      <c r="F264" s="4" t="s">
        <v>1679</v>
      </c>
      <c r="G264" s="4" t="n">
        <v>5</v>
      </c>
      <c r="H264" s="4" t="s">
        <v>38</v>
      </c>
      <c r="I264" s="4" t="s">
        <v>38</v>
      </c>
      <c r="J264" s="4"/>
      <c r="K264" s="4"/>
      <c r="L264" s="4" t="s">
        <v>38</v>
      </c>
      <c r="M264" s="4" t="s">
        <v>38</v>
      </c>
      <c r="N264" s="5" t="s">
        <v>1506</v>
      </c>
      <c r="O264" s="4" t="s">
        <v>143</v>
      </c>
      <c r="P264" s="5" t="s">
        <v>1507</v>
      </c>
      <c r="Q264" s="4" t="n">
        <v>0</v>
      </c>
      <c r="R264" s="4" t="n">
        <v>0</v>
      </c>
      <c r="S264" s="4"/>
      <c r="T264" s="4"/>
    </row>
    <row r="265" customFormat="false" ht="29.85" hidden="false" customHeight="false" outlineLevel="0" collapsed="false">
      <c r="A265" s="4" t="s">
        <v>2426</v>
      </c>
      <c r="B265" s="4" t="s">
        <v>2383</v>
      </c>
      <c r="C265" s="4" t="n">
        <v>48</v>
      </c>
      <c r="D265" s="4" t="s">
        <v>2427</v>
      </c>
      <c r="E265" s="4" t="s">
        <v>2229</v>
      </c>
      <c r="F265" s="4" t="s">
        <v>2428</v>
      </c>
      <c r="G265" s="4" t="n">
        <v>3</v>
      </c>
      <c r="H265" s="4" t="s">
        <v>37</v>
      </c>
      <c r="I265" s="4" t="s">
        <v>37</v>
      </c>
      <c r="J265" s="4"/>
      <c r="K265" s="4" t="s">
        <v>1139</v>
      </c>
      <c r="L265" s="4" t="s">
        <v>37</v>
      </c>
      <c r="M265" s="4" t="s">
        <v>37</v>
      </c>
      <c r="N265" s="5" t="s">
        <v>1506</v>
      </c>
      <c r="O265" s="4" t="s">
        <v>143</v>
      </c>
      <c r="P265" s="5" t="s">
        <v>2429</v>
      </c>
      <c r="Q265" s="4" t="n">
        <v>0</v>
      </c>
      <c r="R265" s="4" t="n">
        <v>0</v>
      </c>
      <c r="S265" s="4"/>
      <c r="T265" s="4"/>
    </row>
    <row r="266" customFormat="false" ht="15" hidden="false" customHeight="false" outlineLevel="0" collapsed="false">
      <c r="A266" s="4" t="s">
        <v>2430</v>
      </c>
      <c r="B266" s="4" t="s">
        <v>2383</v>
      </c>
      <c r="C266" s="4" t="n">
        <v>49</v>
      </c>
      <c r="D266" s="4" t="s">
        <v>2431</v>
      </c>
      <c r="E266" s="4" t="s">
        <v>2229</v>
      </c>
      <c r="F266" s="4" t="s">
        <v>2432</v>
      </c>
      <c r="G266" s="4" t="n">
        <v>3</v>
      </c>
      <c r="H266" s="4" t="s">
        <v>37</v>
      </c>
      <c r="I266" s="4" t="s">
        <v>37</v>
      </c>
      <c r="J266" s="4"/>
      <c r="K266" s="4"/>
      <c r="L266" s="4" t="s">
        <v>37</v>
      </c>
      <c r="M266" s="4" t="s">
        <v>37</v>
      </c>
      <c r="N266" s="5" t="s">
        <v>1506</v>
      </c>
      <c r="O266" s="4" t="s">
        <v>143</v>
      </c>
      <c r="P266" s="5" t="s">
        <v>1507</v>
      </c>
      <c r="Q266" s="4" t="n">
        <v>0</v>
      </c>
      <c r="R266" s="4" t="n">
        <v>0</v>
      </c>
      <c r="S266" s="4"/>
      <c r="T266" s="4"/>
    </row>
    <row r="267" customFormat="false" ht="29.85" hidden="false" customHeight="false" outlineLevel="0" collapsed="false">
      <c r="A267" s="4" t="s">
        <v>2433</v>
      </c>
      <c r="B267" s="4" t="s">
        <v>2383</v>
      </c>
      <c r="C267" s="4" t="n">
        <v>50</v>
      </c>
      <c r="D267" s="4" t="s">
        <v>2434</v>
      </c>
      <c r="E267" s="4" t="s">
        <v>2229</v>
      </c>
      <c r="F267" s="4" t="s">
        <v>2435</v>
      </c>
      <c r="G267" s="4" t="n">
        <v>3</v>
      </c>
      <c r="H267" s="4" t="s">
        <v>37</v>
      </c>
      <c r="I267" s="4" t="s">
        <v>37</v>
      </c>
      <c r="J267" s="4"/>
      <c r="K267" s="4" t="s">
        <v>1139</v>
      </c>
      <c r="L267" s="4" t="s">
        <v>37</v>
      </c>
      <c r="M267" s="4" t="s">
        <v>37</v>
      </c>
      <c r="N267" s="5" t="s">
        <v>1506</v>
      </c>
      <c r="O267" s="4" t="s">
        <v>143</v>
      </c>
      <c r="P267" s="5" t="s">
        <v>2429</v>
      </c>
      <c r="Q267" s="4" t="n">
        <v>0</v>
      </c>
      <c r="R267" s="4" t="n">
        <v>0</v>
      </c>
      <c r="S267" s="4"/>
      <c r="T267" s="4"/>
    </row>
    <row r="268" customFormat="false" ht="29.85" hidden="false" customHeight="false" outlineLevel="0" collapsed="false">
      <c r="A268" s="4" t="s">
        <v>2436</v>
      </c>
      <c r="B268" s="4" t="s">
        <v>2383</v>
      </c>
      <c r="C268" s="4" t="n">
        <v>51</v>
      </c>
      <c r="D268" s="5" t="s">
        <v>2437</v>
      </c>
      <c r="E268" s="4" t="s">
        <v>559</v>
      </c>
      <c r="F268" s="4" t="s">
        <v>2438</v>
      </c>
      <c r="G268" s="4" t="n">
        <v>3</v>
      </c>
      <c r="H268" s="4" t="s">
        <v>1334</v>
      </c>
      <c r="I268" s="4" t="s">
        <v>1334</v>
      </c>
      <c r="J268" s="4"/>
      <c r="K268" s="4"/>
      <c r="L268" s="4" t="s">
        <v>1760</v>
      </c>
      <c r="M268" s="13" t="s">
        <v>37</v>
      </c>
      <c r="N268" s="5" t="s">
        <v>1526</v>
      </c>
      <c r="O268" s="4" t="s">
        <v>52</v>
      </c>
      <c r="P268" s="4" t="s">
        <v>2439</v>
      </c>
      <c r="Q268" s="4" t="n">
        <v>0</v>
      </c>
      <c r="R268" s="4" t="n">
        <v>0</v>
      </c>
      <c r="S268" s="4"/>
      <c r="T268" s="4"/>
    </row>
    <row r="269" customFormat="false" ht="26.85" hidden="false" customHeight="false" outlineLevel="0" collapsed="false">
      <c r="A269" s="4" t="s">
        <v>2440</v>
      </c>
      <c r="B269" s="4" t="s">
        <v>2383</v>
      </c>
      <c r="C269" s="4" t="n">
        <v>53</v>
      </c>
      <c r="D269" s="5" t="s">
        <v>2441</v>
      </c>
      <c r="E269" s="4" t="s">
        <v>2229</v>
      </c>
      <c r="F269" s="4" t="s">
        <v>2442</v>
      </c>
      <c r="G269" s="4" t="n">
        <v>5</v>
      </c>
      <c r="H269" s="4" t="s">
        <v>38</v>
      </c>
      <c r="I269" s="4" t="s">
        <v>38</v>
      </c>
      <c r="J269" s="4"/>
      <c r="K269" s="4"/>
      <c r="L269" s="4" t="s">
        <v>38</v>
      </c>
      <c r="M269" s="4" t="s">
        <v>38</v>
      </c>
      <c r="N269" s="5" t="s">
        <v>1506</v>
      </c>
      <c r="O269" s="4" t="s">
        <v>143</v>
      </c>
      <c r="P269" s="5" t="s">
        <v>1507</v>
      </c>
      <c r="Q269" s="4" t="n">
        <v>0</v>
      </c>
      <c r="R269" s="4" t="n">
        <v>0</v>
      </c>
      <c r="S269" s="4"/>
      <c r="T269" s="4"/>
    </row>
    <row r="270" customFormat="false" ht="26.85" hidden="false" customHeight="false" outlineLevel="0" collapsed="false">
      <c r="A270" s="4" t="s">
        <v>2443</v>
      </c>
      <c r="B270" s="4" t="s">
        <v>2383</v>
      </c>
      <c r="C270" s="4" t="n">
        <v>54</v>
      </c>
      <c r="D270" s="5" t="s">
        <v>2444</v>
      </c>
      <c r="E270" s="4"/>
      <c r="F270" s="4" t="s">
        <v>2445</v>
      </c>
      <c r="G270" s="4" t="n">
        <v>5</v>
      </c>
      <c r="H270" s="4"/>
      <c r="I270" s="4"/>
      <c r="J270" s="4"/>
      <c r="K270" s="4"/>
      <c r="L270" s="5" t="s">
        <v>1602</v>
      </c>
      <c r="M270" s="13" t="s">
        <v>39</v>
      </c>
      <c r="N270" s="5" t="s">
        <v>1526</v>
      </c>
      <c r="O270" s="4" t="s">
        <v>143</v>
      </c>
      <c r="P270" s="5" t="s">
        <v>2446</v>
      </c>
      <c r="Q270" s="4" t="n">
        <v>0</v>
      </c>
      <c r="R270" s="4" t="n">
        <v>0</v>
      </c>
      <c r="S270" s="4"/>
      <c r="T270" s="4"/>
    </row>
    <row r="271" customFormat="false" ht="15" hidden="false" customHeight="false" outlineLevel="0" collapsed="false">
      <c r="A271" s="4" t="s">
        <v>2447</v>
      </c>
      <c r="B271" s="4" t="s">
        <v>2383</v>
      </c>
      <c r="C271" s="4" t="n">
        <v>61</v>
      </c>
      <c r="D271" s="5" t="s">
        <v>2388</v>
      </c>
      <c r="E271" s="4"/>
      <c r="F271" s="4" t="s">
        <v>2448</v>
      </c>
      <c r="G271" s="4" t="n">
        <v>2</v>
      </c>
      <c r="H271" s="4" t="s">
        <v>38</v>
      </c>
      <c r="I271" s="4" t="s">
        <v>38</v>
      </c>
      <c r="J271" s="4"/>
      <c r="K271" s="4"/>
      <c r="L271" s="4" t="s">
        <v>38</v>
      </c>
      <c r="M271" s="4" t="s">
        <v>38</v>
      </c>
      <c r="N271" s="5" t="s">
        <v>1506</v>
      </c>
      <c r="O271" s="4" t="s">
        <v>143</v>
      </c>
      <c r="P271" s="5" t="s">
        <v>1507</v>
      </c>
      <c r="Q271" s="4" t="n">
        <v>0</v>
      </c>
      <c r="R271" s="4" t="n">
        <v>0</v>
      </c>
      <c r="S271" s="4"/>
      <c r="T271" s="4"/>
    </row>
    <row r="272" customFormat="false" ht="15" hidden="false" customHeight="false" outlineLevel="0" collapsed="false">
      <c r="A272" s="4" t="s">
        <v>2449</v>
      </c>
      <c r="B272" s="4" t="s">
        <v>2383</v>
      </c>
      <c r="C272" s="4" t="n">
        <v>62</v>
      </c>
      <c r="D272" s="5" t="s">
        <v>2393</v>
      </c>
      <c r="E272" s="4"/>
      <c r="F272" s="4" t="s">
        <v>2450</v>
      </c>
      <c r="G272" s="4" t="n">
        <v>2</v>
      </c>
      <c r="H272" s="4" t="s">
        <v>38</v>
      </c>
      <c r="I272" s="4" t="s">
        <v>38</v>
      </c>
      <c r="J272" s="4"/>
      <c r="K272" s="4"/>
      <c r="L272" s="4" t="s">
        <v>38</v>
      </c>
      <c r="M272" s="4" t="s">
        <v>38</v>
      </c>
      <c r="N272" s="5" t="s">
        <v>1506</v>
      </c>
      <c r="O272" s="4" t="s">
        <v>143</v>
      </c>
      <c r="P272" s="5" t="s">
        <v>1507</v>
      </c>
      <c r="Q272" s="4" t="n">
        <v>0</v>
      </c>
      <c r="R272" s="4" t="n">
        <v>0</v>
      </c>
      <c r="S272" s="4"/>
      <c r="T272" s="4"/>
    </row>
    <row r="273" customFormat="false" ht="15" hidden="false" customHeight="false" outlineLevel="0" collapsed="false">
      <c r="A273" s="4" t="s">
        <v>2451</v>
      </c>
      <c r="B273" s="4" t="s">
        <v>2383</v>
      </c>
      <c r="C273" s="4" t="n">
        <v>63</v>
      </c>
      <c r="D273" s="5" t="s">
        <v>2390</v>
      </c>
      <c r="E273" s="4"/>
      <c r="F273" s="4" t="s">
        <v>2452</v>
      </c>
      <c r="G273" s="4" t="n">
        <v>2</v>
      </c>
      <c r="H273" s="4" t="s">
        <v>38</v>
      </c>
      <c r="I273" s="4" t="s">
        <v>38</v>
      </c>
      <c r="J273" s="4"/>
      <c r="K273" s="4"/>
      <c r="L273" s="4" t="s">
        <v>38</v>
      </c>
      <c r="M273" s="4" t="s">
        <v>38</v>
      </c>
      <c r="N273" s="5" t="s">
        <v>1506</v>
      </c>
      <c r="O273" s="4" t="s">
        <v>143</v>
      </c>
      <c r="P273" s="5" t="s">
        <v>1507</v>
      </c>
      <c r="Q273" s="4" t="n">
        <v>0</v>
      </c>
      <c r="R273" s="4" t="n">
        <v>0</v>
      </c>
      <c r="S273" s="4"/>
      <c r="T273" s="4"/>
    </row>
    <row r="274" customFormat="false" ht="15" hidden="false" customHeight="false" outlineLevel="0" collapsed="false">
      <c r="A274" s="4" t="s">
        <v>2453</v>
      </c>
      <c r="B274" s="4" t="s">
        <v>2383</v>
      </c>
      <c r="C274" s="4" t="n">
        <v>64</v>
      </c>
      <c r="D274" s="5" t="s">
        <v>2454</v>
      </c>
      <c r="E274" s="4"/>
      <c r="F274" s="4" t="s">
        <v>2455</v>
      </c>
      <c r="G274" s="4" t="n">
        <v>2</v>
      </c>
      <c r="H274" s="4" t="s">
        <v>38</v>
      </c>
      <c r="I274" s="4" t="s">
        <v>38</v>
      </c>
      <c r="J274" s="4"/>
      <c r="K274" s="4"/>
      <c r="L274" s="4" t="s">
        <v>38</v>
      </c>
      <c r="M274" s="4" t="s">
        <v>38</v>
      </c>
      <c r="N274" s="5" t="s">
        <v>1506</v>
      </c>
      <c r="O274" s="4" t="s">
        <v>143</v>
      </c>
      <c r="P274" s="5" t="s">
        <v>1507</v>
      </c>
      <c r="Q274" s="4" t="n">
        <v>0</v>
      </c>
      <c r="R274" s="4" t="n">
        <v>0</v>
      </c>
      <c r="S274" s="4"/>
      <c r="T274" s="4"/>
    </row>
    <row r="275" customFormat="false" ht="15" hidden="false" customHeight="false" outlineLevel="0" collapsed="false">
      <c r="A275" s="4" t="s">
        <v>2456</v>
      </c>
      <c r="B275" s="4" t="s">
        <v>2383</v>
      </c>
      <c r="C275" s="4" t="n">
        <v>65</v>
      </c>
      <c r="D275" s="5" t="s">
        <v>2457</v>
      </c>
      <c r="E275" s="4"/>
      <c r="F275" s="4" t="s">
        <v>2458</v>
      </c>
      <c r="G275" s="4" t="n">
        <v>2</v>
      </c>
      <c r="H275" s="4" t="s">
        <v>38</v>
      </c>
      <c r="I275" s="4" t="s">
        <v>38</v>
      </c>
      <c r="J275" s="4"/>
      <c r="K275" s="4"/>
      <c r="L275" s="4" t="s">
        <v>38</v>
      </c>
      <c r="M275" s="4" t="s">
        <v>38</v>
      </c>
      <c r="N275" s="5" t="s">
        <v>1506</v>
      </c>
      <c r="O275" s="4" t="s">
        <v>143</v>
      </c>
      <c r="P275" s="5" t="s">
        <v>1507</v>
      </c>
      <c r="Q275" s="4" t="n">
        <v>0</v>
      </c>
      <c r="R275" s="4" t="n">
        <v>0</v>
      </c>
      <c r="S275" s="4"/>
      <c r="T275" s="4"/>
    </row>
    <row r="276" customFormat="false" ht="15" hidden="false" customHeight="false" outlineLevel="0" collapsed="false">
      <c r="A276" s="4" t="s">
        <v>2459</v>
      </c>
      <c r="B276" s="4" t="s">
        <v>2383</v>
      </c>
      <c r="C276" s="4" t="n">
        <v>66</v>
      </c>
      <c r="D276" s="5" t="s">
        <v>2405</v>
      </c>
      <c r="E276" s="4"/>
      <c r="F276" s="4" t="s">
        <v>2460</v>
      </c>
      <c r="G276" s="4" t="n">
        <v>2</v>
      </c>
      <c r="H276" s="4" t="s">
        <v>38</v>
      </c>
      <c r="I276" s="4" t="s">
        <v>38</v>
      </c>
      <c r="J276" s="4"/>
      <c r="K276" s="4"/>
      <c r="L276" s="4" t="s">
        <v>38</v>
      </c>
      <c r="M276" s="4" t="s">
        <v>38</v>
      </c>
      <c r="N276" s="5" t="s">
        <v>1506</v>
      </c>
      <c r="O276" s="4" t="s">
        <v>143</v>
      </c>
      <c r="P276" s="5" t="s">
        <v>1507</v>
      </c>
      <c r="Q276" s="4" t="n">
        <v>0</v>
      </c>
      <c r="R276" s="4" t="n">
        <v>0</v>
      </c>
      <c r="S276" s="4"/>
      <c r="T276" s="4"/>
    </row>
    <row r="277" customFormat="false" ht="29.85" hidden="false" customHeight="false" outlineLevel="0" collapsed="false">
      <c r="A277" s="4" t="s">
        <v>2461</v>
      </c>
      <c r="B277" s="4" t="s">
        <v>2383</v>
      </c>
      <c r="C277" s="4" t="n">
        <v>70</v>
      </c>
      <c r="D277" s="4" t="s">
        <v>2462</v>
      </c>
      <c r="E277" s="4"/>
      <c r="F277" s="4" t="s">
        <v>2463</v>
      </c>
      <c r="G277" s="4" t="n">
        <v>2</v>
      </c>
      <c r="H277" s="4" t="s">
        <v>1294</v>
      </c>
      <c r="I277" s="4" t="s">
        <v>1294</v>
      </c>
      <c r="J277" s="4"/>
      <c r="K277" s="4" t="s">
        <v>1232</v>
      </c>
      <c r="L277" s="5" t="s">
        <v>1525</v>
      </c>
      <c r="M277" s="5" t="s">
        <v>34</v>
      </c>
      <c r="N277" s="5" t="s">
        <v>1506</v>
      </c>
      <c r="O277" s="4" t="s">
        <v>54</v>
      </c>
      <c r="P277" s="4" t="s">
        <v>1232</v>
      </c>
      <c r="Q277" s="4" t="n">
        <v>2</v>
      </c>
      <c r="R277" s="4" t="n">
        <v>0</v>
      </c>
      <c r="S277" s="4" t="s">
        <v>2464</v>
      </c>
      <c r="T277" s="4"/>
    </row>
    <row r="278" customFormat="false" ht="29.85" hidden="false" customHeight="false" outlineLevel="0" collapsed="false">
      <c r="A278" s="4" t="s">
        <v>2465</v>
      </c>
      <c r="B278" s="4" t="s">
        <v>2383</v>
      </c>
      <c r="C278" s="4" t="n">
        <v>71</v>
      </c>
      <c r="D278" s="4" t="s">
        <v>2466</v>
      </c>
      <c r="E278" s="4"/>
      <c r="F278" s="4" t="s">
        <v>2467</v>
      </c>
      <c r="G278" s="4" t="n">
        <v>2</v>
      </c>
      <c r="H278" s="4" t="s">
        <v>1294</v>
      </c>
      <c r="I278" s="4" t="s">
        <v>1294</v>
      </c>
      <c r="J278" s="4"/>
      <c r="K278" s="4" t="s">
        <v>1232</v>
      </c>
      <c r="L278" s="5" t="s">
        <v>1525</v>
      </c>
      <c r="M278" s="5" t="s">
        <v>34</v>
      </c>
      <c r="N278" s="5" t="s">
        <v>1506</v>
      </c>
      <c r="O278" s="4" t="s">
        <v>54</v>
      </c>
      <c r="P278" s="4" t="s">
        <v>1232</v>
      </c>
      <c r="Q278" s="4" t="n">
        <v>2</v>
      </c>
      <c r="R278" s="4" t="n">
        <v>0</v>
      </c>
      <c r="S278" s="4" t="s">
        <v>2468</v>
      </c>
      <c r="T278" s="4"/>
    </row>
    <row r="279" customFormat="false" ht="29.85" hidden="false" customHeight="false" outlineLevel="0" collapsed="false">
      <c r="A279" s="4" t="s">
        <v>2469</v>
      </c>
      <c r="B279" s="4" t="s">
        <v>2383</v>
      </c>
      <c r="C279" s="4" t="n">
        <v>72</v>
      </c>
      <c r="D279" s="4" t="s">
        <v>2470</v>
      </c>
      <c r="E279" s="4"/>
      <c r="F279" s="4" t="s">
        <v>2471</v>
      </c>
      <c r="G279" s="4" t="n">
        <v>3</v>
      </c>
      <c r="H279" s="4" t="s">
        <v>1294</v>
      </c>
      <c r="I279" s="4" t="s">
        <v>1294</v>
      </c>
      <c r="J279" s="4"/>
      <c r="K279" s="4" t="s">
        <v>1232</v>
      </c>
      <c r="L279" s="5" t="s">
        <v>1525</v>
      </c>
      <c r="M279" s="5" t="s">
        <v>34</v>
      </c>
      <c r="N279" s="5" t="s">
        <v>1506</v>
      </c>
      <c r="O279" s="4" t="s">
        <v>54</v>
      </c>
      <c r="P279" s="4" t="s">
        <v>2472</v>
      </c>
      <c r="Q279" s="4" t="n">
        <v>3</v>
      </c>
      <c r="R279" s="4" t="n">
        <v>0</v>
      </c>
      <c r="S279" s="4" t="s">
        <v>2473</v>
      </c>
      <c r="T279" s="4"/>
    </row>
    <row r="280" customFormat="false" ht="26.85" hidden="false" customHeight="false" outlineLevel="0" collapsed="false">
      <c r="A280" s="4" t="s">
        <v>2474</v>
      </c>
      <c r="B280" s="4" t="s">
        <v>2383</v>
      </c>
      <c r="C280" s="4" t="n">
        <v>73</v>
      </c>
      <c r="D280" s="4" t="s">
        <v>2475</v>
      </c>
      <c r="E280" s="4"/>
      <c r="F280" s="4" t="s">
        <v>2476</v>
      </c>
      <c r="G280" s="4" t="n">
        <v>1</v>
      </c>
      <c r="H280" s="4" t="s">
        <v>1294</v>
      </c>
      <c r="I280" s="4" t="s">
        <v>1294</v>
      </c>
      <c r="J280" s="4"/>
      <c r="K280" s="4" t="s">
        <v>1232</v>
      </c>
      <c r="L280" s="5" t="s">
        <v>1525</v>
      </c>
      <c r="M280" s="5" t="s">
        <v>34</v>
      </c>
      <c r="N280" s="5" t="s">
        <v>1506</v>
      </c>
      <c r="O280" s="4" t="s">
        <v>54</v>
      </c>
      <c r="P280" s="4" t="s">
        <v>1232</v>
      </c>
      <c r="Q280" s="4" t="n">
        <v>1</v>
      </c>
      <c r="R280" s="4" t="n">
        <v>0</v>
      </c>
      <c r="S280" s="4" t="s">
        <v>1264</v>
      </c>
      <c r="T280" s="4"/>
    </row>
    <row r="281" customFormat="false" ht="29.85" hidden="false" customHeight="false" outlineLevel="0" collapsed="false">
      <c r="A281" s="4" t="s">
        <v>2477</v>
      </c>
      <c r="B281" s="4" t="s">
        <v>2383</v>
      </c>
      <c r="C281" s="4" t="n">
        <v>74</v>
      </c>
      <c r="D281" s="4" t="s">
        <v>2478</v>
      </c>
      <c r="E281" s="4"/>
      <c r="F281" s="4" t="s">
        <v>2479</v>
      </c>
      <c r="G281" s="4" t="n">
        <v>1</v>
      </c>
      <c r="H281" s="4" t="s">
        <v>1300</v>
      </c>
      <c r="I281" s="4" t="s">
        <v>1300</v>
      </c>
      <c r="J281" s="4"/>
      <c r="K281" s="4" t="s">
        <v>1278</v>
      </c>
      <c r="L281" s="5" t="s">
        <v>1525</v>
      </c>
      <c r="M281" s="5" t="s">
        <v>34</v>
      </c>
      <c r="N281" s="5" t="s">
        <v>1506</v>
      </c>
      <c r="O281" s="4" t="s">
        <v>54</v>
      </c>
      <c r="P281" s="4" t="s">
        <v>2480</v>
      </c>
      <c r="Q281" s="4" t="n">
        <v>1</v>
      </c>
      <c r="R281" s="4" t="n">
        <v>0</v>
      </c>
      <c r="S281" s="4" t="s">
        <v>1277</v>
      </c>
      <c r="T281" s="4"/>
    </row>
    <row r="282" customFormat="false" ht="29.85" hidden="false" customHeight="false" outlineLevel="0" collapsed="false">
      <c r="A282" s="4" t="s">
        <v>2481</v>
      </c>
      <c r="B282" s="4" t="s">
        <v>2383</v>
      </c>
      <c r="C282" s="4" t="n">
        <v>75</v>
      </c>
      <c r="D282" s="4" t="s">
        <v>2482</v>
      </c>
      <c r="E282" s="4"/>
      <c r="F282" s="4" t="s">
        <v>2483</v>
      </c>
      <c r="G282" s="4" t="n">
        <v>1</v>
      </c>
      <c r="H282" s="4" t="s">
        <v>1300</v>
      </c>
      <c r="I282" s="4" t="s">
        <v>1300</v>
      </c>
      <c r="J282" s="4"/>
      <c r="K282" s="4" t="s">
        <v>1221</v>
      </c>
      <c r="L282" s="5" t="s">
        <v>1525</v>
      </c>
      <c r="M282" s="13" t="s">
        <v>36</v>
      </c>
      <c r="N282" s="5" t="s">
        <v>1526</v>
      </c>
      <c r="O282" s="4" t="s">
        <v>54</v>
      </c>
      <c r="P282" s="4" t="s">
        <v>2484</v>
      </c>
      <c r="Q282" s="4" t="n">
        <v>0</v>
      </c>
      <c r="R282" s="4" t="n">
        <v>1</v>
      </c>
      <c r="S282" s="4" t="s">
        <v>1227</v>
      </c>
      <c r="T282" s="4"/>
    </row>
    <row r="283" customFormat="false" ht="15" hidden="false" customHeight="false" outlineLevel="0" collapsed="false">
      <c r="A283" s="4" t="s">
        <v>2485</v>
      </c>
      <c r="B283" s="4" t="s">
        <v>2383</v>
      </c>
      <c r="C283" s="4" t="n">
        <v>77</v>
      </c>
      <c r="D283" s="4" t="s">
        <v>1143</v>
      </c>
      <c r="E283" s="4"/>
      <c r="F283" s="4" t="s">
        <v>2486</v>
      </c>
      <c r="G283" s="4" t="n">
        <v>2</v>
      </c>
      <c r="H283" s="4" t="s">
        <v>1294</v>
      </c>
      <c r="I283" s="4" t="s">
        <v>1294</v>
      </c>
      <c r="J283" s="4"/>
      <c r="K283" s="4" t="s">
        <v>1139</v>
      </c>
      <c r="L283" s="5" t="s">
        <v>1525</v>
      </c>
      <c r="M283" s="5" t="s">
        <v>34</v>
      </c>
      <c r="N283" s="5" t="s">
        <v>1506</v>
      </c>
      <c r="O283" s="4" t="s">
        <v>52</v>
      </c>
      <c r="P283" s="4" t="s">
        <v>1139</v>
      </c>
      <c r="Q283" s="4" t="n">
        <v>2</v>
      </c>
      <c r="R283" s="4" t="n">
        <v>0</v>
      </c>
      <c r="S283" s="4" t="s">
        <v>2487</v>
      </c>
      <c r="T283" s="4"/>
    </row>
    <row r="284" customFormat="false" ht="15" hidden="false" customHeight="false" outlineLevel="0" collapsed="false">
      <c r="A284" s="4" t="s">
        <v>2488</v>
      </c>
      <c r="B284" s="4" t="s">
        <v>2383</v>
      </c>
      <c r="C284" s="4" t="n">
        <v>78</v>
      </c>
      <c r="D284" s="4" t="s">
        <v>2489</v>
      </c>
      <c r="E284" s="4"/>
      <c r="F284" s="4" t="s">
        <v>2490</v>
      </c>
      <c r="G284" s="4" t="n">
        <v>2</v>
      </c>
      <c r="H284" s="4" t="s">
        <v>1294</v>
      </c>
      <c r="I284" s="4" t="s">
        <v>1294</v>
      </c>
      <c r="J284" s="4"/>
      <c r="K284" s="4" t="s">
        <v>1139</v>
      </c>
      <c r="L284" s="5" t="s">
        <v>1525</v>
      </c>
      <c r="M284" s="5" t="s">
        <v>34</v>
      </c>
      <c r="N284" s="5" t="s">
        <v>1506</v>
      </c>
      <c r="O284" s="4" t="s">
        <v>52</v>
      </c>
      <c r="P284" s="4" t="s">
        <v>1139</v>
      </c>
      <c r="Q284" s="4" t="n">
        <v>2</v>
      </c>
      <c r="R284" s="4" t="n">
        <v>0</v>
      </c>
      <c r="S284" s="4" t="s">
        <v>2491</v>
      </c>
      <c r="T284" s="4"/>
    </row>
    <row r="285" customFormat="false" ht="15" hidden="false" customHeight="false" outlineLevel="0" collapsed="false">
      <c r="A285" s="4" t="s">
        <v>2492</v>
      </c>
      <c r="B285" s="4" t="s">
        <v>2383</v>
      </c>
      <c r="C285" s="4" t="n">
        <v>79</v>
      </c>
      <c r="D285" s="4" t="s">
        <v>2493</v>
      </c>
      <c r="E285" s="4"/>
      <c r="F285" s="4" t="s">
        <v>2494</v>
      </c>
      <c r="G285" s="4" t="n">
        <v>2</v>
      </c>
      <c r="H285" s="4" t="s">
        <v>1294</v>
      </c>
      <c r="I285" s="4" t="s">
        <v>1294</v>
      </c>
      <c r="J285" s="4"/>
      <c r="K285" s="4" t="s">
        <v>1139</v>
      </c>
      <c r="L285" s="5" t="s">
        <v>1525</v>
      </c>
      <c r="M285" s="5" t="s">
        <v>34</v>
      </c>
      <c r="N285" s="5" t="s">
        <v>1506</v>
      </c>
      <c r="O285" s="4" t="s">
        <v>52</v>
      </c>
      <c r="P285" s="4" t="s">
        <v>1139</v>
      </c>
      <c r="Q285" s="4" t="n">
        <v>2</v>
      </c>
      <c r="R285" s="4" t="n">
        <v>0</v>
      </c>
      <c r="S285" s="4" t="s">
        <v>2495</v>
      </c>
      <c r="T285" s="4"/>
    </row>
    <row r="286" customFormat="false" ht="15" hidden="false" customHeight="false" outlineLevel="0" collapsed="false">
      <c r="A286" s="4" t="s">
        <v>2496</v>
      </c>
      <c r="B286" s="4" t="s">
        <v>2383</v>
      </c>
      <c r="C286" s="4" t="n">
        <v>80</v>
      </c>
      <c r="D286" s="4" t="s">
        <v>1168</v>
      </c>
      <c r="E286" s="4"/>
      <c r="F286" s="4" t="s">
        <v>2497</v>
      </c>
      <c r="G286" s="4" t="n">
        <v>2</v>
      </c>
      <c r="H286" s="4" t="s">
        <v>1294</v>
      </c>
      <c r="I286" s="4" t="s">
        <v>1294</v>
      </c>
      <c r="J286" s="4"/>
      <c r="K286" s="4" t="s">
        <v>1139</v>
      </c>
      <c r="L286" s="5" t="s">
        <v>1525</v>
      </c>
      <c r="M286" s="5" t="s">
        <v>34</v>
      </c>
      <c r="N286" s="5" t="s">
        <v>1506</v>
      </c>
      <c r="O286" s="4" t="s">
        <v>52</v>
      </c>
      <c r="P286" s="4" t="s">
        <v>1139</v>
      </c>
      <c r="Q286" s="4" t="n">
        <v>2</v>
      </c>
      <c r="R286" s="4" t="n">
        <v>0</v>
      </c>
      <c r="S286" s="4" t="s">
        <v>2498</v>
      </c>
      <c r="T286" s="4"/>
    </row>
    <row r="287" customFormat="false" ht="15" hidden="false" customHeight="false" outlineLevel="0" collapsed="false">
      <c r="A287" s="4" t="s">
        <v>2499</v>
      </c>
      <c r="B287" s="4" t="s">
        <v>2500</v>
      </c>
      <c r="C287" s="4" t="n">
        <v>5</v>
      </c>
      <c r="D287" s="4" t="s">
        <v>2501</v>
      </c>
      <c r="E287" s="4" t="s">
        <v>421</v>
      </c>
      <c r="F287" s="4" t="s">
        <v>1870</v>
      </c>
      <c r="G287" s="4" t="n">
        <v>1</v>
      </c>
      <c r="H287" s="4" t="s">
        <v>38</v>
      </c>
      <c r="I287" s="4" t="s">
        <v>38</v>
      </c>
      <c r="J287" s="4"/>
      <c r="K287" s="4"/>
      <c r="L287" s="4" t="s">
        <v>38</v>
      </c>
      <c r="M287" s="4" t="s">
        <v>38</v>
      </c>
      <c r="N287" s="5" t="s">
        <v>1506</v>
      </c>
      <c r="O287" s="4" t="s">
        <v>143</v>
      </c>
      <c r="P287" s="5" t="s">
        <v>1507</v>
      </c>
      <c r="Q287" s="4" t="n">
        <v>0</v>
      </c>
      <c r="R287" s="4" t="n">
        <v>0</v>
      </c>
      <c r="S287" s="4"/>
      <c r="T287" s="4"/>
    </row>
    <row r="288" customFormat="false" ht="15" hidden="false" customHeight="false" outlineLevel="0" collapsed="false">
      <c r="A288" s="4" t="s">
        <v>2502</v>
      </c>
      <c r="B288" s="4" t="s">
        <v>2500</v>
      </c>
      <c r="C288" s="4" t="n">
        <v>6</v>
      </c>
      <c r="D288" s="4" t="s">
        <v>2503</v>
      </c>
      <c r="E288" s="4" t="s">
        <v>2504</v>
      </c>
      <c r="F288" s="4" t="s">
        <v>1789</v>
      </c>
      <c r="G288" s="4" t="n">
        <v>1</v>
      </c>
      <c r="H288" s="4" t="s">
        <v>37</v>
      </c>
      <c r="I288" s="4" t="s">
        <v>37</v>
      </c>
      <c r="J288" s="4"/>
      <c r="K288" s="4"/>
      <c r="L288" s="4" t="s">
        <v>37</v>
      </c>
      <c r="M288" s="4" t="s">
        <v>37</v>
      </c>
      <c r="N288" s="5" t="s">
        <v>1506</v>
      </c>
      <c r="O288" s="4" t="s">
        <v>143</v>
      </c>
      <c r="P288" s="5" t="s">
        <v>1507</v>
      </c>
      <c r="Q288" s="4" t="n">
        <v>0</v>
      </c>
      <c r="R288" s="4" t="n">
        <v>0</v>
      </c>
      <c r="S288" s="4"/>
      <c r="T288" s="4"/>
    </row>
    <row r="289" customFormat="false" ht="15" hidden="false" customHeight="false" outlineLevel="0" collapsed="false">
      <c r="A289" s="4" t="s">
        <v>2505</v>
      </c>
      <c r="B289" s="4" t="s">
        <v>2500</v>
      </c>
      <c r="C289" s="4" t="n">
        <v>7</v>
      </c>
      <c r="D289" s="4" t="s">
        <v>2506</v>
      </c>
      <c r="E289" s="4" t="s">
        <v>2504</v>
      </c>
      <c r="F289" s="4" t="s">
        <v>1792</v>
      </c>
      <c r="G289" s="4" t="n">
        <v>1</v>
      </c>
      <c r="H289" s="4" t="s">
        <v>37</v>
      </c>
      <c r="I289" s="4" t="s">
        <v>37</v>
      </c>
      <c r="J289" s="4"/>
      <c r="K289" s="4"/>
      <c r="L289" s="4" t="s">
        <v>37</v>
      </c>
      <c r="M289" s="4" t="s">
        <v>37</v>
      </c>
      <c r="N289" s="5" t="s">
        <v>1506</v>
      </c>
      <c r="O289" s="4" t="s">
        <v>143</v>
      </c>
      <c r="P289" s="5" t="s">
        <v>1507</v>
      </c>
      <c r="Q289" s="4" t="n">
        <v>0</v>
      </c>
      <c r="R289" s="4" t="n">
        <v>0</v>
      </c>
      <c r="S289" s="4"/>
      <c r="T289" s="4"/>
    </row>
    <row r="290" customFormat="false" ht="29.85" hidden="false" customHeight="false" outlineLevel="0" collapsed="false">
      <c r="A290" s="4" t="s">
        <v>2507</v>
      </c>
      <c r="B290" s="4" t="s">
        <v>2508</v>
      </c>
      <c r="C290" s="4" t="n">
        <v>5</v>
      </c>
      <c r="D290" s="4" t="s">
        <v>2509</v>
      </c>
      <c r="E290" s="4" t="s">
        <v>2510</v>
      </c>
      <c r="F290" s="4" t="s">
        <v>2511</v>
      </c>
      <c r="G290" s="4" t="n">
        <v>6</v>
      </c>
      <c r="H290" s="4" t="s">
        <v>38</v>
      </c>
      <c r="I290" s="4" t="s">
        <v>38</v>
      </c>
      <c r="J290" s="4"/>
      <c r="K290" s="4" t="s">
        <v>712</v>
      </c>
      <c r="L290" s="4" t="s">
        <v>38</v>
      </c>
      <c r="M290" s="4" t="s">
        <v>38</v>
      </c>
      <c r="N290" s="5" t="s">
        <v>1506</v>
      </c>
      <c r="O290" s="4" t="s">
        <v>143</v>
      </c>
      <c r="P290" s="5" t="s">
        <v>2512</v>
      </c>
      <c r="Q290" s="4" t="n">
        <v>0</v>
      </c>
      <c r="R290" s="4" t="n">
        <v>0</v>
      </c>
      <c r="S290" s="4"/>
      <c r="T290" s="4"/>
    </row>
    <row r="291" customFormat="false" ht="26.85" hidden="false" customHeight="false" outlineLevel="0" collapsed="false">
      <c r="A291" s="4" t="s">
        <v>2513</v>
      </c>
      <c r="B291" s="4" t="s">
        <v>2508</v>
      </c>
      <c r="C291" s="4" t="n">
        <v>6</v>
      </c>
      <c r="D291" s="4" t="s">
        <v>2514</v>
      </c>
      <c r="E291" s="4" t="s">
        <v>2361</v>
      </c>
      <c r="F291" s="4" t="s">
        <v>2515</v>
      </c>
      <c r="G291" s="4" t="n">
        <v>6</v>
      </c>
      <c r="H291" s="4" t="s">
        <v>38</v>
      </c>
      <c r="I291" s="4" t="s">
        <v>38</v>
      </c>
      <c r="J291" s="4"/>
      <c r="K291" s="4"/>
      <c r="L291" s="4" t="s">
        <v>38</v>
      </c>
      <c r="M291" s="4" t="s">
        <v>38</v>
      </c>
      <c r="N291" s="5" t="s">
        <v>1506</v>
      </c>
      <c r="O291" s="4" t="s">
        <v>143</v>
      </c>
      <c r="P291" s="5" t="s">
        <v>1507</v>
      </c>
      <c r="Q291" s="4" t="n">
        <v>0</v>
      </c>
      <c r="R291" s="4" t="n">
        <v>0</v>
      </c>
      <c r="S291" s="4"/>
      <c r="T291" s="4"/>
    </row>
    <row r="292" customFormat="false" ht="26.85" hidden="false" customHeight="false" outlineLevel="0" collapsed="false">
      <c r="A292" s="4" t="s">
        <v>2516</v>
      </c>
      <c r="B292" s="4" t="s">
        <v>2508</v>
      </c>
      <c r="C292" s="4" t="n">
        <v>7</v>
      </c>
      <c r="D292" s="4" t="s">
        <v>2517</v>
      </c>
      <c r="E292" s="4" t="s">
        <v>2347</v>
      </c>
      <c r="F292" s="4" t="s">
        <v>2518</v>
      </c>
      <c r="G292" s="4" t="n">
        <v>6</v>
      </c>
      <c r="H292" s="4" t="s">
        <v>38</v>
      </c>
      <c r="I292" s="4" t="s">
        <v>38</v>
      </c>
      <c r="J292" s="4"/>
      <c r="K292" s="4"/>
      <c r="L292" s="4" t="s">
        <v>38</v>
      </c>
      <c r="M292" s="4" t="s">
        <v>38</v>
      </c>
      <c r="N292" s="5" t="s">
        <v>1506</v>
      </c>
      <c r="O292" s="4" t="s">
        <v>143</v>
      </c>
      <c r="P292" s="5" t="s">
        <v>1507</v>
      </c>
      <c r="Q292" s="4" t="n">
        <v>0</v>
      </c>
      <c r="R292" s="4" t="n">
        <v>0</v>
      </c>
      <c r="S292" s="4"/>
      <c r="T292" s="4"/>
    </row>
    <row r="293" customFormat="false" ht="26.85" hidden="false" customHeight="false" outlineLevel="0" collapsed="false">
      <c r="A293" s="4" t="s">
        <v>2519</v>
      </c>
      <c r="B293" s="4" t="s">
        <v>2508</v>
      </c>
      <c r="C293" s="4" t="n">
        <v>8</v>
      </c>
      <c r="D293" s="4" t="s">
        <v>2520</v>
      </c>
      <c r="E293" s="4" t="s">
        <v>2521</v>
      </c>
      <c r="F293" s="4" t="s">
        <v>2522</v>
      </c>
      <c r="G293" s="4" t="n">
        <v>6</v>
      </c>
      <c r="H293" s="4" t="s">
        <v>38</v>
      </c>
      <c r="I293" s="4" t="s">
        <v>38</v>
      </c>
      <c r="J293" s="4"/>
      <c r="K293" s="4"/>
      <c r="L293" s="4" t="s">
        <v>38</v>
      </c>
      <c r="M293" s="4" t="s">
        <v>38</v>
      </c>
      <c r="N293" s="5" t="s">
        <v>1506</v>
      </c>
      <c r="O293" s="4" t="s">
        <v>143</v>
      </c>
      <c r="P293" s="5" t="s">
        <v>1507</v>
      </c>
      <c r="Q293" s="4" t="n">
        <v>0</v>
      </c>
      <c r="R293" s="4" t="n">
        <v>0</v>
      </c>
      <c r="S293" s="4"/>
      <c r="T293" s="4"/>
    </row>
    <row r="294" customFormat="false" ht="26.85" hidden="false" customHeight="false" outlineLevel="0" collapsed="false">
      <c r="A294" s="4" t="s">
        <v>2523</v>
      </c>
      <c r="B294" s="4" t="s">
        <v>2508</v>
      </c>
      <c r="C294" s="4" t="n">
        <v>9</v>
      </c>
      <c r="D294" s="4" t="s">
        <v>2524</v>
      </c>
      <c r="E294" s="4" t="s">
        <v>2335</v>
      </c>
      <c r="F294" s="4" t="s">
        <v>2525</v>
      </c>
      <c r="G294" s="4" t="n">
        <v>6</v>
      </c>
      <c r="H294" s="4" t="s">
        <v>38</v>
      </c>
      <c r="I294" s="4" t="s">
        <v>38</v>
      </c>
      <c r="J294" s="4"/>
      <c r="K294" s="4"/>
      <c r="L294" s="4" t="s">
        <v>38</v>
      </c>
      <c r="M294" s="4" t="s">
        <v>38</v>
      </c>
      <c r="N294" s="5" t="s">
        <v>1506</v>
      </c>
      <c r="O294" s="4" t="s">
        <v>143</v>
      </c>
      <c r="P294" s="5" t="s">
        <v>1507</v>
      </c>
      <c r="Q294" s="4" t="n">
        <v>0</v>
      </c>
      <c r="R294" s="4" t="n">
        <v>0</v>
      </c>
      <c r="S294" s="4"/>
      <c r="T294" s="4"/>
    </row>
    <row r="295" customFormat="false" ht="23.85" hidden="false" customHeight="false" outlineLevel="0" collapsed="false">
      <c r="A295" s="4" t="s">
        <v>2526</v>
      </c>
      <c r="B295" s="4" t="s">
        <v>2527</v>
      </c>
      <c r="C295" s="4" t="n">
        <v>4</v>
      </c>
      <c r="D295" s="4" t="s">
        <v>2528</v>
      </c>
      <c r="E295" s="4"/>
      <c r="F295" s="4" t="s">
        <v>2529</v>
      </c>
      <c r="G295" s="4" t="n">
        <v>1</v>
      </c>
      <c r="H295" s="4" t="s">
        <v>1300</v>
      </c>
      <c r="I295" s="4" t="s">
        <v>1300</v>
      </c>
      <c r="J295" s="4"/>
      <c r="K295" s="4" t="s">
        <v>473</v>
      </c>
      <c r="L295" s="4" t="s">
        <v>2530</v>
      </c>
      <c r="M295" s="4" t="s">
        <v>43</v>
      </c>
      <c r="N295" s="5" t="s">
        <v>1506</v>
      </c>
      <c r="O295" s="4" t="s">
        <v>143</v>
      </c>
      <c r="P295" s="4" t="s">
        <v>2531</v>
      </c>
      <c r="Q295" s="4" t="n">
        <v>0</v>
      </c>
      <c r="R295" s="4" t="n">
        <v>0</v>
      </c>
      <c r="S295" s="4" t="s">
        <v>472</v>
      </c>
      <c r="T295" s="4"/>
    </row>
    <row r="296" customFormat="false" ht="15" hidden="false" customHeight="false" outlineLevel="0" collapsed="false">
      <c r="A296" s="4" t="s">
        <v>2532</v>
      </c>
      <c r="B296" s="4" t="s">
        <v>2527</v>
      </c>
      <c r="C296" s="4" t="n">
        <v>5</v>
      </c>
      <c r="D296" s="4" t="s">
        <v>2533</v>
      </c>
      <c r="E296" s="4"/>
      <c r="F296" s="4" t="s">
        <v>1870</v>
      </c>
      <c r="G296" s="4" t="n">
        <v>1</v>
      </c>
      <c r="H296" s="4"/>
      <c r="I296" s="4"/>
      <c r="J296" s="4"/>
      <c r="K296" s="4"/>
      <c r="L296" s="4" t="s">
        <v>2530</v>
      </c>
      <c r="M296" s="4" t="s">
        <v>43</v>
      </c>
      <c r="N296" s="5" t="s">
        <v>1506</v>
      </c>
      <c r="O296" s="4" t="s">
        <v>143</v>
      </c>
      <c r="P296" s="4" t="s">
        <v>2531</v>
      </c>
      <c r="Q296" s="4" t="n">
        <v>0</v>
      </c>
      <c r="R296" s="4" t="n">
        <v>0</v>
      </c>
      <c r="S296" s="4" t="s">
        <v>480</v>
      </c>
      <c r="T296" s="4"/>
    </row>
    <row r="297" customFormat="false" ht="15" hidden="false" customHeight="false" outlineLevel="0" collapsed="false">
      <c r="A297" s="4" t="s">
        <v>2534</v>
      </c>
      <c r="B297" s="4" t="s">
        <v>2527</v>
      </c>
      <c r="C297" s="4" t="n">
        <v>6</v>
      </c>
      <c r="D297" s="5" t="s">
        <v>2535</v>
      </c>
      <c r="E297" s="4"/>
      <c r="F297" s="4" t="s">
        <v>1789</v>
      </c>
      <c r="G297" s="4" t="n">
        <v>1</v>
      </c>
      <c r="H297" s="4"/>
      <c r="I297" s="4"/>
      <c r="J297" s="4"/>
      <c r="K297" s="4" t="s">
        <v>432</v>
      </c>
      <c r="L297" s="4" t="s">
        <v>2530</v>
      </c>
      <c r="M297" s="4" t="s">
        <v>43</v>
      </c>
      <c r="N297" s="5" t="s">
        <v>1506</v>
      </c>
      <c r="O297" s="4" t="s">
        <v>143</v>
      </c>
      <c r="P297" s="4" t="s">
        <v>2531</v>
      </c>
      <c r="Q297" s="4" t="n">
        <v>0</v>
      </c>
      <c r="R297" s="4" t="n">
        <v>0</v>
      </c>
      <c r="S297" s="4" t="s">
        <v>1316</v>
      </c>
      <c r="T297" s="4"/>
    </row>
    <row r="298" customFormat="false" ht="15" hidden="false" customHeight="false" outlineLevel="0" collapsed="false">
      <c r="A298" s="4" t="s">
        <v>2536</v>
      </c>
      <c r="B298" s="4" t="s">
        <v>2527</v>
      </c>
      <c r="C298" s="4" t="n">
        <v>7</v>
      </c>
      <c r="D298" s="4" t="s">
        <v>2537</v>
      </c>
      <c r="E298" s="4"/>
      <c r="F298" s="4" t="s">
        <v>1792</v>
      </c>
      <c r="G298" s="4" t="n">
        <v>1</v>
      </c>
      <c r="H298" s="4"/>
      <c r="I298" s="4"/>
      <c r="J298" s="4"/>
      <c r="K298" s="4" t="s">
        <v>484</v>
      </c>
      <c r="L298" s="4" t="s">
        <v>2530</v>
      </c>
      <c r="M298" s="4" t="s">
        <v>43</v>
      </c>
      <c r="N298" s="5" t="s">
        <v>1506</v>
      </c>
      <c r="O298" s="4" t="s">
        <v>143</v>
      </c>
      <c r="P298" s="4" t="s">
        <v>2531</v>
      </c>
      <c r="Q298" s="4" t="n">
        <v>0</v>
      </c>
      <c r="R298" s="4" t="n">
        <v>0</v>
      </c>
      <c r="S298" s="4" t="s">
        <v>483</v>
      </c>
      <c r="T298" s="4"/>
    </row>
    <row r="299" customFormat="false" ht="15" hidden="false" customHeight="false" outlineLevel="0" collapsed="false">
      <c r="A299" s="4" t="s">
        <v>2538</v>
      </c>
      <c r="B299" s="4" t="s">
        <v>2527</v>
      </c>
      <c r="C299" s="4" t="n">
        <v>8</v>
      </c>
      <c r="D299" s="4" t="s">
        <v>2539</v>
      </c>
      <c r="E299" s="4"/>
      <c r="F299" s="4" t="s">
        <v>2061</v>
      </c>
      <c r="G299" s="4" t="n">
        <v>1</v>
      </c>
      <c r="H299" s="4"/>
      <c r="I299" s="4"/>
      <c r="J299" s="4"/>
      <c r="K299" s="4"/>
      <c r="L299" s="4" t="s">
        <v>2530</v>
      </c>
      <c r="M299" s="4" t="s">
        <v>43</v>
      </c>
      <c r="N299" s="5" t="s">
        <v>1506</v>
      </c>
      <c r="O299" s="4" t="s">
        <v>143</v>
      </c>
      <c r="P299" s="4" t="s">
        <v>2531</v>
      </c>
      <c r="Q299" s="4" t="n">
        <v>0</v>
      </c>
      <c r="R299" s="4" t="n">
        <v>0</v>
      </c>
      <c r="S299" s="4" t="s">
        <v>492</v>
      </c>
      <c r="T299" s="4"/>
    </row>
    <row r="300" customFormat="false" ht="15" hidden="false" customHeight="false" outlineLevel="0" collapsed="false">
      <c r="A300" s="4" t="s">
        <v>2540</v>
      </c>
      <c r="B300" s="4" t="s">
        <v>2527</v>
      </c>
      <c r="C300" s="4" t="n">
        <v>9</v>
      </c>
      <c r="D300" s="4" t="s">
        <v>2541</v>
      </c>
      <c r="E300" s="4"/>
      <c r="F300" s="4" t="s">
        <v>1796</v>
      </c>
      <c r="G300" s="4" t="n">
        <v>1</v>
      </c>
      <c r="H300" s="4"/>
      <c r="I300" s="4"/>
      <c r="J300" s="4"/>
      <c r="K300" s="4" t="s">
        <v>913</v>
      </c>
      <c r="L300" s="4" t="s">
        <v>2530</v>
      </c>
      <c r="M300" s="4" t="s">
        <v>43</v>
      </c>
      <c r="N300" s="5" t="s">
        <v>1506</v>
      </c>
      <c r="O300" s="4" t="s">
        <v>143</v>
      </c>
      <c r="P300" s="4" t="s">
        <v>2531</v>
      </c>
      <c r="Q300" s="4" t="n">
        <v>0</v>
      </c>
      <c r="R300" s="4" t="n">
        <v>1</v>
      </c>
      <c r="S300" s="4" t="s">
        <v>912</v>
      </c>
      <c r="T300" s="4"/>
    </row>
    <row r="301" customFormat="false" ht="15" hidden="false" customHeight="false" outlineLevel="0" collapsed="false">
      <c r="A301" s="4" t="s">
        <v>2542</v>
      </c>
      <c r="B301" s="4" t="s">
        <v>2527</v>
      </c>
      <c r="C301" s="4" t="n">
        <v>10</v>
      </c>
      <c r="D301" s="5" t="s">
        <v>2543</v>
      </c>
      <c r="E301" s="4"/>
      <c r="F301" s="4" t="s">
        <v>1799</v>
      </c>
      <c r="G301" s="4" t="n">
        <v>1</v>
      </c>
      <c r="H301" s="4"/>
      <c r="I301" s="4"/>
      <c r="J301" s="4"/>
      <c r="K301" s="4" t="s">
        <v>922</v>
      </c>
      <c r="L301" s="4" t="s">
        <v>2530</v>
      </c>
      <c r="M301" s="4" t="s">
        <v>43</v>
      </c>
      <c r="N301" s="5" t="s">
        <v>1506</v>
      </c>
      <c r="O301" s="4" t="s">
        <v>143</v>
      </c>
      <c r="P301" s="4" t="s">
        <v>2531</v>
      </c>
      <c r="Q301" s="4" t="n">
        <v>0</v>
      </c>
      <c r="R301" s="4" t="n">
        <v>0</v>
      </c>
      <c r="S301" s="4" t="s">
        <v>921</v>
      </c>
      <c r="T301" s="4"/>
    </row>
    <row r="302" customFormat="false" ht="44" hidden="false" customHeight="false" outlineLevel="0" collapsed="false">
      <c r="A302" s="4" t="s">
        <v>2544</v>
      </c>
      <c r="B302" s="4" t="s">
        <v>2527</v>
      </c>
      <c r="C302" s="4" t="n">
        <v>43</v>
      </c>
      <c r="D302" s="4" t="s">
        <v>2545</v>
      </c>
      <c r="E302" s="4"/>
      <c r="F302" s="4" t="s">
        <v>2546</v>
      </c>
      <c r="G302" s="4" t="n">
        <v>1</v>
      </c>
      <c r="H302" s="4"/>
      <c r="I302" s="4"/>
      <c r="J302" s="4"/>
      <c r="K302" s="4" t="s">
        <v>2547</v>
      </c>
      <c r="L302" s="4" t="s">
        <v>2530</v>
      </c>
      <c r="M302" s="4" t="s">
        <v>43</v>
      </c>
      <c r="N302" s="5" t="s">
        <v>1506</v>
      </c>
      <c r="O302" s="4" t="s">
        <v>143</v>
      </c>
      <c r="P302" s="4" t="s">
        <v>2531</v>
      </c>
      <c r="Q302" s="4" t="n">
        <v>0</v>
      </c>
      <c r="R302" s="4" t="n">
        <v>0</v>
      </c>
      <c r="S302" s="4"/>
      <c r="T302" s="4"/>
    </row>
    <row r="303" customFormat="false" ht="44" hidden="false" customHeight="false" outlineLevel="0" collapsed="false">
      <c r="A303" s="4" t="s">
        <v>2548</v>
      </c>
      <c r="B303" s="4" t="s">
        <v>2527</v>
      </c>
      <c r="C303" s="4" t="n">
        <v>44</v>
      </c>
      <c r="D303" s="4" t="s">
        <v>2549</v>
      </c>
      <c r="E303" s="4"/>
      <c r="F303" s="4" t="s">
        <v>2550</v>
      </c>
      <c r="G303" s="4" t="n">
        <v>1</v>
      </c>
      <c r="H303" s="4"/>
      <c r="I303" s="4"/>
      <c r="J303" s="4"/>
      <c r="K303" s="4" t="s">
        <v>2551</v>
      </c>
      <c r="L303" s="4" t="s">
        <v>2530</v>
      </c>
      <c r="M303" s="4" t="s">
        <v>43</v>
      </c>
      <c r="N303" s="5" t="s">
        <v>1506</v>
      </c>
      <c r="O303" s="4" t="s">
        <v>143</v>
      </c>
      <c r="P303" s="4" t="s">
        <v>2531</v>
      </c>
      <c r="Q303" s="4" t="n">
        <v>0</v>
      </c>
      <c r="R303" s="4" t="n">
        <v>0</v>
      </c>
      <c r="S303" s="4"/>
      <c r="T303" s="4"/>
    </row>
    <row r="304" customFormat="false" ht="29.85" hidden="false" customHeight="false" outlineLevel="0" collapsed="false">
      <c r="A304" s="4" t="s">
        <v>2552</v>
      </c>
      <c r="B304" s="4" t="s">
        <v>2527</v>
      </c>
      <c r="C304" s="4" t="n">
        <v>45</v>
      </c>
      <c r="D304" s="4" t="s">
        <v>2553</v>
      </c>
      <c r="E304" s="4"/>
      <c r="F304" s="4" t="s">
        <v>2554</v>
      </c>
      <c r="G304" s="4" t="n">
        <v>1</v>
      </c>
      <c r="H304" s="4"/>
      <c r="I304" s="4"/>
      <c r="J304" s="4"/>
      <c r="K304" s="4" t="s">
        <v>1001</v>
      </c>
      <c r="L304" s="4" t="s">
        <v>2530</v>
      </c>
      <c r="M304" s="4" t="s">
        <v>43</v>
      </c>
      <c r="N304" s="5" t="s">
        <v>1506</v>
      </c>
      <c r="O304" s="4" t="s">
        <v>143</v>
      </c>
      <c r="P304" s="4" t="s">
        <v>2531</v>
      </c>
      <c r="Q304" s="4" t="n">
        <v>0</v>
      </c>
      <c r="R304" s="4" t="n">
        <v>0</v>
      </c>
      <c r="S304" s="4"/>
      <c r="T304" s="4"/>
    </row>
    <row r="305" customFormat="false" ht="44" hidden="false" customHeight="false" outlineLevel="0" collapsed="false">
      <c r="A305" s="4" t="s">
        <v>2555</v>
      </c>
      <c r="B305" s="4" t="s">
        <v>2527</v>
      </c>
      <c r="C305" s="4" t="n">
        <v>46</v>
      </c>
      <c r="D305" s="4" t="s">
        <v>2556</v>
      </c>
      <c r="E305" s="4"/>
      <c r="F305" s="4" t="s">
        <v>2557</v>
      </c>
      <c r="G305" s="4" t="n">
        <v>1</v>
      </c>
      <c r="H305" s="4"/>
      <c r="I305" s="4"/>
      <c r="J305" s="4"/>
      <c r="K305" s="4" t="s">
        <v>1001</v>
      </c>
      <c r="L305" s="4" t="s">
        <v>2530</v>
      </c>
      <c r="M305" s="4" t="s">
        <v>43</v>
      </c>
      <c r="N305" s="5" t="s">
        <v>1506</v>
      </c>
      <c r="O305" s="4" t="s">
        <v>143</v>
      </c>
      <c r="P305" s="4" t="s">
        <v>2531</v>
      </c>
      <c r="Q305" s="4" t="n">
        <v>0</v>
      </c>
      <c r="R305" s="4" t="n">
        <v>0</v>
      </c>
      <c r="S305" s="4"/>
      <c r="T305" s="4"/>
    </row>
    <row r="306" customFormat="false" ht="29.85" hidden="false" customHeight="false" outlineLevel="0" collapsed="false">
      <c r="A306" s="4" t="s">
        <v>2558</v>
      </c>
      <c r="B306" s="4" t="s">
        <v>2559</v>
      </c>
      <c r="C306" s="4" t="n">
        <v>5</v>
      </c>
      <c r="D306" s="4" t="s">
        <v>352</v>
      </c>
      <c r="E306" s="4" t="s">
        <v>354</v>
      </c>
      <c r="F306" s="4" t="s">
        <v>2560</v>
      </c>
      <c r="G306" s="4" t="n">
        <v>11</v>
      </c>
      <c r="H306" s="4" t="s">
        <v>1300</v>
      </c>
      <c r="I306" s="4" t="s">
        <v>1300</v>
      </c>
      <c r="J306" s="4"/>
      <c r="K306" s="4" t="s">
        <v>2561</v>
      </c>
      <c r="L306" s="4" t="s">
        <v>2562</v>
      </c>
      <c r="M306" s="4" t="s">
        <v>44</v>
      </c>
      <c r="N306" s="5" t="s">
        <v>1506</v>
      </c>
      <c r="O306" s="4" t="s">
        <v>143</v>
      </c>
      <c r="P306" s="4" t="s">
        <v>2563</v>
      </c>
      <c r="Q306" s="4" t="n">
        <v>0</v>
      </c>
      <c r="R306" s="4" t="n">
        <v>0</v>
      </c>
      <c r="S306" s="4"/>
      <c r="T306" s="4"/>
    </row>
    <row r="307" customFormat="false" ht="29.85" hidden="false" customHeight="false" outlineLevel="0" collapsed="false">
      <c r="A307" s="4" t="s">
        <v>2564</v>
      </c>
      <c r="B307" s="4" t="s">
        <v>2559</v>
      </c>
      <c r="C307" s="4" t="n">
        <v>6</v>
      </c>
      <c r="D307" s="4" t="s">
        <v>2565</v>
      </c>
      <c r="E307" s="4" t="s">
        <v>354</v>
      </c>
      <c r="F307" s="4" t="s">
        <v>2566</v>
      </c>
      <c r="G307" s="4" t="n">
        <v>10</v>
      </c>
      <c r="H307" s="4" t="s">
        <v>1294</v>
      </c>
      <c r="I307" s="4" t="s">
        <v>1294</v>
      </c>
      <c r="J307" s="4"/>
      <c r="K307" s="4" t="s">
        <v>2567</v>
      </c>
      <c r="L307" s="4" t="s">
        <v>2562</v>
      </c>
      <c r="M307" s="4" t="s">
        <v>44</v>
      </c>
      <c r="N307" s="5" t="s">
        <v>1506</v>
      </c>
      <c r="O307" s="4" t="s">
        <v>143</v>
      </c>
      <c r="P307" s="4" t="s">
        <v>2563</v>
      </c>
      <c r="Q307" s="4" t="n">
        <v>0</v>
      </c>
      <c r="R307" s="4" t="n">
        <v>0</v>
      </c>
      <c r="S307" s="4"/>
      <c r="T307" s="4"/>
    </row>
    <row r="308" customFormat="false" ht="29.85" hidden="false" customHeight="false" outlineLevel="0" collapsed="false">
      <c r="A308" s="4" t="s">
        <v>2568</v>
      </c>
      <c r="B308" s="4" t="s">
        <v>2559</v>
      </c>
      <c r="C308" s="4" t="n">
        <v>7</v>
      </c>
      <c r="D308" s="4" t="s">
        <v>2569</v>
      </c>
      <c r="E308" s="4" t="s">
        <v>354</v>
      </c>
      <c r="F308" s="4" t="s">
        <v>2570</v>
      </c>
      <c r="G308" s="4" t="n">
        <v>10</v>
      </c>
      <c r="H308" s="4" t="s">
        <v>1300</v>
      </c>
      <c r="I308" s="4" t="s">
        <v>1300</v>
      </c>
      <c r="J308" s="4"/>
      <c r="K308" s="4" t="s">
        <v>2571</v>
      </c>
      <c r="L308" s="4" t="s">
        <v>2562</v>
      </c>
      <c r="M308" s="4" t="s">
        <v>44</v>
      </c>
      <c r="N308" s="5" t="s">
        <v>1506</v>
      </c>
      <c r="O308" s="4" t="s">
        <v>143</v>
      </c>
      <c r="P308" s="4" t="s">
        <v>2563</v>
      </c>
      <c r="Q308" s="4" t="n">
        <v>0</v>
      </c>
      <c r="R308" s="4" t="n">
        <v>0</v>
      </c>
      <c r="S308" s="4"/>
      <c r="T308" s="4"/>
    </row>
    <row r="309" customFormat="false" ht="29.85" hidden="false" customHeight="false" outlineLevel="0" collapsed="false">
      <c r="A309" s="4" t="s">
        <v>2572</v>
      </c>
      <c r="B309" s="4" t="s">
        <v>2559</v>
      </c>
      <c r="C309" s="4" t="n">
        <v>8</v>
      </c>
      <c r="D309" s="4" t="s">
        <v>2573</v>
      </c>
      <c r="E309" s="4" t="s">
        <v>354</v>
      </c>
      <c r="F309" s="4" t="s">
        <v>2574</v>
      </c>
      <c r="G309" s="4" t="n">
        <v>11</v>
      </c>
      <c r="H309" s="4" t="s">
        <v>37</v>
      </c>
      <c r="I309" s="4" t="s">
        <v>37</v>
      </c>
      <c r="J309" s="4"/>
      <c r="K309" s="4" t="s">
        <v>2575</v>
      </c>
      <c r="L309" s="4" t="s">
        <v>2562</v>
      </c>
      <c r="M309" s="4" t="s">
        <v>44</v>
      </c>
      <c r="N309" s="5" t="s">
        <v>1506</v>
      </c>
      <c r="O309" s="4" t="s">
        <v>143</v>
      </c>
      <c r="P309" s="4" t="s">
        <v>2563</v>
      </c>
      <c r="Q309" s="4" t="n">
        <v>0</v>
      </c>
      <c r="R309" s="4" t="n">
        <v>0</v>
      </c>
      <c r="S309" s="4"/>
      <c r="T309" s="4"/>
    </row>
    <row r="310" customFormat="false" ht="29.85" hidden="false" customHeight="false" outlineLevel="0" collapsed="false">
      <c r="A310" s="4" t="s">
        <v>2576</v>
      </c>
      <c r="B310" s="4" t="s">
        <v>2559</v>
      </c>
      <c r="C310" s="4" t="n">
        <v>9</v>
      </c>
      <c r="D310" s="4" t="s">
        <v>2577</v>
      </c>
      <c r="E310" s="4" t="s">
        <v>354</v>
      </c>
      <c r="F310" s="4" t="s">
        <v>2578</v>
      </c>
      <c r="G310" s="4" t="n">
        <v>11</v>
      </c>
      <c r="H310" s="4" t="s">
        <v>1300</v>
      </c>
      <c r="I310" s="4" t="s">
        <v>1300</v>
      </c>
      <c r="J310" s="4"/>
      <c r="K310" s="4" t="s">
        <v>2579</v>
      </c>
      <c r="L310" s="4" t="s">
        <v>2562</v>
      </c>
      <c r="M310" s="4" t="s">
        <v>44</v>
      </c>
      <c r="N310" s="5" t="s">
        <v>1506</v>
      </c>
      <c r="O310" s="4" t="s">
        <v>143</v>
      </c>
      <c r="P310" s="4" t="s">
        <v>2563</v>
      </c>
      <c r="Q310" s="4" t="n">
        <v>0</v>
      </c>
      <c r="R310" s="4" t="n">
        <v>0</v>
      </c>
      <c r="S310" s="4"/>
      <c r="T310" s="4"/>
    </row>
    <row r="311" customFormat="false" ht="44" hidden="false" customHeight="false" outlineLevel="0" collapsed="false">
      <c r="A311" s="4" t="s">
        <v>2580</v>
      </c>
      <c r="B311" s="4" t="s">
        <v>2559</v>
      </c>
      <c r="C311" s="4" t="n">
        <v>10</v>
      </c>
      <c r="D311" s="4" t="s">
        <v>2581</v>
      </c>
      <c r="E311" s="4" t="s">
        <v>354</v>
      </c>
      <c r="F311" s="4" t="s">
        <v>2582</v>
      </c>
      <c r="G311" s="4" t="n">
        <v>11</v>
      </c>
      <c r="H311" s="4" t="s">
        <v>37</v>
      </c>
      <c r="I311" s="4" t="s">
        <v>37</v>
      </c>
      <c r="J311" s="4"/>
      <c r="K311" s="4" t="s">
        <v>2583</v>
      </c>
      <c r="L311" s="4" t="s">
        <v>2562</v>
      </c>
      <c r="M311" s="4" t="s">
        <v>44</v>
      </c>
      <c r="N311" s="5" t="s">
        <v>1506</v>
      </c>
      <c r="O311" s="4" t="s">
        <v>143</v>
      </c>
      <c r="P311" s="4" t="s">
        <v>2563</v>
      </c>
      <c r="Q311" s="4" t="n">
        <v>0</v>
      </c>
      <c r="R311" s="4" t="n">
        <v>0</v>
      </c>
      <c r="S311" s="4"/>
      <c r="T311" s="4"/>
    </row>
    <row r="312" customFormat="false" ht="44" hidden="false" customHeight="false" outlineLevel="0" collapsed="false">
      <c r="A312" s="4" t="s">
        <v>2584</v>
      </c>
      <c r="B312" s="4" t="s">
        <v>2559</v>
      </c>
      <c r="C312" s="4" t="n">
        <v>11</v>
      </c>
      <c r="D312" s="4" t="s">
        <v>2585</v>
      </c>
      <c r="E312" s="4" t="s">
        <v>1005</v>
      </c>
      <c r="F312" s="4" t="s">
        <v>2586</v>
      </c>
      <c r="G312" s="4" t="n">
        <v>11</v>
      </c>
      <c r="H312" s="4" t="s">
        <v>1300</v>
      </c>
      <c r="I312" s="4" t="s">
        <v>1300</v>
      </c>
      <c r="J312" s="4"/>
      <c r="K312" s="4" t="s">
        <v>2587</v>
      </c>
      <c r="L312" s="4" t="s">
        <v>2562</v>
      </c>
      <c r="M312" s="4" t="s">
        <v>44</v>
      </c>
      <c r="N312" s="5" t="s">
        <v>1506</v>
      </c>
      <c r="O312" s="4" t="s">
        <v>143</v>
      </c>
      <c r="P312" s="4" t="s">
        <v>2563</v>
      </c>
      <c r="Q312" s="4" t="n">
        <v>0</v>
      </c>
      <c r="R312" s="4" t="n">
        <v>0</v>
      </c>
      <c r="S312" s="4"/>
      <c r="T312" s="4"/>
    </row>
    <row r="313" customFormat="false" ht="44" hidden="false" customHeight="false" outlineLevel="0" collapsed="false">
      <c r="A313" s="4" t="s">
        <v>2588</v>
      </c>
      <c r="B313" s="4" t="s">
        <v>2559</v>
      </c>
      <c r="C313" s="4" t="n">
        <v>12</v>
      </c>
      <c r="D313" s="4" t="s">
        <v>2589</v>
      </c>
      <c r="E313" s="4" t="s">
        <v>1005</v>
      </c>
      <c r="F313" s="4" t="s">
        <v>2590</v>
      </c>
      <c r="G313" s="4" t="n">
        <v>11</v>
      </c>
      <c r="H313" s="4" t="s">
        <v>1294</v>
      </c>
      <c r="I313" s="4" t="s">
        <v>1294</v>
      </c>
      <c r="J313" s="4"/>
      <c r="K313" s="4" t="s">
        <v>2591</v>
      </c>
      <c r="L313" s="4" t="s">
        <v>2562</v>
      </c>
      <c r="M313" s="4" t="s">
        <v>44</v>
      </c>
      <c r="N313" s="5" t="s">
        <v>1506</v>
      </c>
      <c r="O313" s="4" t="s">
        <v>143</v>
      </c>
      <c r="P313" s="4" t="s">
        <v>2563</v>
      </c>
      <c r="Q313" s="4" t="n">
        <v>0</v>
      </c>
      <c r="R313" s="4" t="n">
        <v>0</v>
      </c>
      <c r="S313" s="4"/>
      <c r="T313" s="4"/>
    </row>
    <row r="314" customFormat="false" ht="44" hidden="false" customHeight="false" outlineLevel="0" collapsed="false">
      <c r="A314" s="4" t="s">
        <v>2592</v>
      </c>
      <c r="B314" s="4" t="s">
        <v>2559</v>
      </c>
      <c r="C314" s="4" t="n">
        <v>13</v>
      </c>
      <c r="D314" s="4" t="s">
        <v>2593</v>
      </c>
      <c r="E314" s="4" t="s">
        <v>1005</v>
      </c>
      <c r="F314" s="4" t="s">
        <v>2594</v>
      </c>
      <c r="G314" s="4" t="n">
        <v>11</v>
      </c>
      <c r="H314" s="4" t="s">
        <v>37</v>
      </c>
      <c r="I314" s="4" t="s">
        <v>37</v>
      </c>
      <c r="J314" s="4"/>
      <c r="K314" s="4" t="s">
        <v>2595</v>
      </c>
      <c r="L314" s="4" t="s">
        <v>2562</v>
      </c>
      <c r="M314" s="4" t="s">
        <v>44</v>
      </c>
      <c r="N314" s="5" t="s">
        <v>1506</v>
      </c>
      <c r="O314" s="4" t="s">
        <v>143</v>
      </c>
      <c r="P314" s="4" t="s">
        <v>2563</v>
      </c>
      <c r="Q314" s="4" t="n">
        <v>0</v>
      </c>
      <c r="R314" s="4" t="n">
        <v>0</v>
      </c>
      <c r="S314" s="4"/>
      <c r="T314" s="4"/>
    </row>
    <row r="315" customFormat="false" ht="44" hidden="false" customHeight="false" outlineLevel="0" collapsed="false">
      <c r="A315" s="4" t="s">
        <v>2596</v>
      </c>
      <c r="B315" s="4" t="s">
        <v>2559</v>
      </c>
      <c r="C315" s="4" t="n">
        <v>14</v>
      </c>
      <c r="D315" s="4" t="s">
        <v>2547</v>
      </c>
      <c r="E315" s="4" t="s">
        <v>1005</v>
      </c>
      <c r="F315" s="4" t="s">
        <v>2597</v>
      </c>
      <c r="G315" s="4" t="n">
        <v>11</v>
      </c>
      <c r="H315" s="4" t="s">
        <v>1637</v>
      </c>
      <c r="I315" s="4" t="s">
        <v>1300</v>
      </c>
      <c r="J315" s="5" t="s">
        <v>1506</v>
      </c>
      <c r="K315" s="4" t="s">
        <v>2598</v>
      </c>
      <c r="L315" s="4" t="s">
        <v>2562</v>
      </c>
      <c r="M315" s="4" t="s">
        <v>44</v>
      </c>
      <c r="N315" s="5" t="s">
        <v>1506</v>
      </c>
      <c r="O315" s="4" t="s">
        <v>143</v>
      </c>
      <c r="P315" s="4" t="s">
        <v>2563</v>
      </c>
      <c r="Q315" s="4" t="n">
        <v>0</v>
      </c>
      <c r="R315" s="4" t="n">
        <v>0</v>
      </c>
      <c r="S315" s="4"/>
      <c r="T315" s="4"/>
    </row>
    <row r="316" customFormat="false" ht="44" hidden="false" customHeight="false" outlineLevel="0" collapsed="false">
      <c r="A316" s="4" t="s">
        <v>2599</v>
      </c>
      <c r="B316" s="4" t="s">
        <v>2559</v>
      </c>
      <c r="C316" s="4" t="n">
        <v>15</v>
      </c>
      <c r="D316" s="4" t="s">
        <v>2600</v>
      </c>
      <c r="E316" s="4" t="s">
        <v>1005</v>
      </c>
      <c r="F316" s="4" t="s">
        <v>2601</v>
      </c>
      <c r="G316" s="4" t="n">
        <v>11</v>
      </c>
      <c r="H316" s="4" t="s">
        <v>1294</v>
      </c>
      <c r="I316" s="4" t="s">
        <v>1294</v>
      </c>
      <c r="J316" s="4"/>
      <c r="K316" s="4" t="s">
        <v>2551</v>
      </c>
      <c r="L316" s="4" t="s">
        <v>2562</v>
      </c>
      <c r="M316" s="4" t="s">
        <v>44</v>
      </c>
      <c r="N316" s="5" t="s">
        <v>1506</v>
      </c>
      <c r="O316" s="4" t="s">
        <v>143</v>
      </c>
      <c r="P316" s="4" t="s">
        <v>2563</v>
      </c>
      <c r="Q316" s="4" t="n">
        <v>0</v>
      </c>
      <c r="R316" s="4" t="n">
        <v>0</v>
      </c>
      <c r="S316" s="4"/>
      <c r="T316" s="4"/>
    </row>
    <row r="317" customFormat="false" ht="44" hidden="false" customHeight="false" outlineLevel="0" collapsed="false">
      <c r="A317" s="4" t="s">
        <v>2602</v>
      </c>
      <c r="B317" s="4" t="s">
        <v>2559</v>
      </c>
      <c r="C317" s="4" t="n">
        <v>16</v>
      </c>
      <c r="D317" s="4" t="s">
        <v>2603</v>
      </c>
      <c r="E317" s="4" t="s">
        <v>1005</v>
      </c>
      <c r="F317" s="4" t="s">
        <v>2604</v>
      </c>
      <c r="G317" s="4" t="n">
        <v>11</v>
      </c>
      <c r="H317" s="4" t="s">
        <v>1300</v>
      </c>
      <c r="I317" s="4" t="s">
        <v>1300</v>
      </c>
      <c r="J317" s="4"/>
      <c r="K317" s="4" t="s">
        <v>2605</v>
      </c>
      <c r="L317" s="4" t="s">
        <v>2562</v>
      </c>
      <c r="M317" s="4" t="s">
        <v>44</v>
      </c>
      <c r="N317" s="5" t="s">
        <v>1506</v>
      </c>
      <c r="O317" s="4" t="s">
        <v>143</v>
      </c>
      <c r="P317" s="4" t="s">
        <v>2563</v>
      </c>
      <c r="Q317" s="4" t="n">
        <v>0</v>
      </c>
      <c r="R317" s="4" t="n">
        <v>0</v>
      </c>
      <c r="S317" s="4"/>
      <c r="T317" s="4"/>
    </row>
    <row r="318" customFormat="false" ht="44" hidden="false" customHeight="false" outlineLevel="0" collapsed="false">
      <c r="A318" s="4" t="s">
        <v>2606</v>
      </c>
      <c r="B318" s="4" t="s">
        <v>2559</v>
      </c>
      <c r="C318" s="4" t="n">
        <v>17</v>
      </c>
      <c r="D318" s="4" t="s">
        <v>2607</v>
      </c>
      <c r="E318" s="4" t="s">
        <v>1005</v>
      </c>
      <c r="F318" s="4" t="s">
        <v>2608</v>
      </c>
      <c r="G318" s="4" t="n">
        <v>11</v>
      </c>
      <c r="H318" s="4" t="s">
        <v>1294</v>
      </c>
      <c r="I318" s="4" t="s">
        <v>1294</v>
      </c>
      <c r="J318" s="4"/>
      <c r="K318" s="4" t="s">
        <v>2609</v>
      </c>
      <c r="L318" s="4" t="s">
        <v>2562</v>
      </c>
      <c r="M318" s="4" t="s">
        <v>44</v>
      </c>
      <c r="N318" s="5" t="s">
        <v>1506</v>
      </c>
      <c r="O318" s="4" t="s">
        <v>143</v>
      </c>
      <c r="P318" s="4" t="s">
        <v>2563</v>
      </c>
      <c r="Q318" s="4" t="n">
        <v>0</v>
      </c>
      <c r="R318" s="4" t="n">
        <v>0</v>
      </c>
      <c r="S318" s="4"/>
      <c r="T318" s="4"/>
    </row>
    <row r="319" customFormat="false" ht="44" hidden="false" customHeight="false" outlineLevel="0" collapsed="false">
      <c r="A319" s="4" t="s">
        <v>2610</v>
      </c>
      <c r="B319" s="4" t="s">
        <v>2559</v>
      </c>
      <c r="C319" s="4" t="n">
        <v>18</v>
      </c>
      <c r="D319" s="4" t="s">
        <v>2611</v>
      </c>
      <c r="E319" s="4" t="s">
        <v>1005</v>
      </c>
      <c r="F319" s="4" t="s">
        <v>2612</v>
      </c>
      <c r="G319" s="4" t="n">
        <v>11</v>
      </c>
      <c r="H319" s="4" t="s">
        <v>1300</v>
      </c>
      <c r="I319" s="4" t="s">
        <v>1300</v>
      </c>
      <c r="J319" s="4"/>
      <c r="K319" s="4" t="s">
        <v>2613</v>
      </c>
      <c r="L319" s="4" t="s">
        <v>2562</v>
      </c>
      <c r="M319" s="4" t="s">
        <v>44</v>
      </c>
      <c r="N319" s="5" t="s">
        <v>1506</v>
      </c>
      <c r="O319" s="4" t="s">
        <v>143</v>
      </c>
      <c r="P319" s="4" t="s">
        <v>2563</v>
      </c>
      <c r="Q319" s="4" t="n">
        <v>0</v>
      </c>
      <c r="R319" s="4" t="n">
        <v>0</v>
      </c>
      <c r="S319" s="4"/>
      <c r="T319" s="4"/>
    </row>
    <row r="320" customFormat="false" ht="44" hidden="false" customHeight="false" outlineLevel="0" collapsed="false">
      <c r="A320" s="4" t="s">
        <v>2614</v>
      </c>
      <c r="B320" s="4" t="s">
        <v>2559</v>
      </c>
      <c r="C320" s="4" t="n">
        <v>19</v>
      </c>
      <c r="D320" s="4" t="s">
        <v>2615</v>
      </c>
      <c r="E320" s="4" t="s">
        <v>1005</v>
      </c>
      <c r="F320" s="4" t="s">
        <v>2616</v>
      </c>
      <c r="G320" s="4" t="n">
        <v>10</v>
      </c>
      <c r="H320" s="4" t="s">
        <v>1300</v>
      </c>
      <c r="I320" s="4" t="s">
        <v>1300</v>
      </c>
      <c r="J320" s="4"/>
      <c r="K320" s="4" t="s">
        <v>2617</v>
      </c>
      <c r="L320" s="4" t="s">
        <v>2562</v>
      </c>
      <c r="M320" s="4" t="s">
        <v>44</v>
      </c>
      <c r="N320" s="5" t="s">
        <v>1506</v>
      </c>
      <c r="O320" s="4" t="s">
        <v>143</v>
      </c>
      <c r="P320" s="4" t="s">
        <v>2563</v>
      </c>
      <c r="Q320" s="4" t="n">
        <v>0</v>
      </c>
      <c r="R320" s="4" t="n">
        <v>0</v>
      </c>
      <c r="S320" s="4"/>
      <c r="T320" s="4"/>
    </row>
    <row r="321" customFormat="false" ht="44" hidden="false" customHeight="false" outlineLevel="0" collapsed="false">
      <c r="A321" s="4" t="s">
        <v>2618</v>
      </c>
      <c r="B321" s="4" t="s">
        <v>2559</v>
      </c>
      <c r="C321" s="4" t="n">
        <v>20</v>
      </c>
      <c r="D321" s="4" t="s">
        <v>2619</v>
      </c>
      <c r="E321" s="4" t="s">
        <v>1005</v>
      </c>
      <c r="F321" s="4" t="s">
        <v>2620</v>
      </c>
      <c r="G321" s="4" t="n">
        <v>11</v>
      </c>
      <c r="H321" s="4" t="s">
        <v>2621</v>
      </c>
      <c r="I321" s="4" t="s">
        <v>1294</v>
      </c>
      <c r="J321" s="5" t="s">
        <v>1506</v>
      </c>
      <c r="K321" s="4" t="s">
        <v>2622</v>
      </c>
      <c r="L321" s="4" t="s">
        <v>2562</v>
      </c>
      <c r="M321" s="4" t="s">
        <v>44</v>
      </c>
      <c r="N321" s="5" t="s">
        <v>1506</v>
      </c>
      <c r="O321" s="4" t="s">
        <v>143</v>
      </c>
      <c r="P321" s="4" t="s">
        <v>2563</v>
      </c>
      <c r="Q321" s="4" t="n">
        <v>0</v>
      </c>
      <c r="R321" s="4" t="n">
        <v>0</v>
      </c>
      <c r="S321" s="4"/>
      <c r="T321" s="4"/>
    </row>
    <row r="322" customFormat="false" ht="44" hidden="false" customHeight="false" outlineLevel="0" collapsed="false">
      <c r="A322" s="4" t="s">
        <v>2623</v>
      </c>
      <c r="B322" s="4" t="s">
        <v>2559</v>
      </c>
      <c r="C322" s="4" t="n">
        <v>21</v>
      </c>
      <c r="D322" s="4" t="s">
        <v>2624</v>
      </c>
      <c r="E322" s="4" t="s">
        <v>1005</v>
      </c>
      <c r="F322" s="4" t="s">
        <v>2625</v>
      </c>
      <c r="G322" s="4" t="n">
        <v>11</v>
      </c>
      <c r="H322" s="4" t="s">
        <v>1300</v>
      </c>
      <c r="I322" s="4" t="s">
        <v>1300</v>
      </c>
      <c r="J322" s="4"/>
      <c r="K322" s="4" t="s">
        <v>2626</v>
      </c>
      <c r="L322" s="4" t="s">
        <v>2562</v>
      </c>
      <c r="M322" s="4" t="s">
        <v>44</v>
      </c>
      <c r="N322" s="5" t="s">
        <v>1506</v>
      </c>
      <c r="O322" s="4" t="s">
        <v>143</v>
      </c>
      <c r="P322" s="4" t="s">
        <v>2563</v>
      </c>
      <c r="Q322" s="4" t="n">
        <v>0</v>
      </c>
      <c r="R322" s="4" t="n">
        <v>0</v>
      </c>
      <c r="S322" s="4"/>
      <c r="T322" s="4"/>
    </row>
    <row r="323" customFormat="false" ht="44" hidden="false" customHeight="false" outlineLevel="0" collapsed="false">
      <c r="A323" s="4" t="s">
        <v>2627</v>
      </c>
      <c r="B323" s="4" t="s">
        <v>2559</v>
      </c>
      <c r="C323" s="4" t="n">
        <v>22</v>
      </c>
      <c r="D323" s="4" t="s">
        <v>2628</v>
      </c>
      <c r="E323" s="4" t="s">
        <v>1005</v>
      </c>
      <c r="F323" s="4" t="s">
        <v>2629</v>
      </c>
      <c r="G323" s="4" t="n">
        <v>11</v>
      </c>
      <c r="H323" s="4" t="s">
        <v>1294</v>
      </c>
      <c r="I323" s="4" t="s">
        <v>1294</v>
      </c>
      <c r="J323" s="4"/>
      <c r="K323" s="4" t="s">
        <v>2630</v>
      </c>
      <c r="L323" s="4" t="s">
        <v>2562</v>
      </c>
      <c r="M323" s="4" t="s">
        <v>44</v>
      </c>
      <c r="N323" s="5" t="s">
        <v>1506</v>
      </c>
      <c r="O323" s="4" t="s">
        <v>143</v>
      </c>
      <c r="P323" s="4" t="s">
        <v>2563</v>
      </c>
      <c r="Q323" s="4" t="n">
        <v>0</v>
      </c>
      <c r="R323" s="4" t="n">
        <v>0</v>
      </c>
      <c r="S323" s="4"/>
      <c r="T323" s="4"/>
    </row>
    <row r="324" customFormat="false" ht="44" hidden="false" customHeight="false" outlineLevel="0" collapsed="false">
      <c r="A324" s="4" t="s">
        <v>2631</v>
      </c>
      <c r="B324" s="4" t="s">
        <v>2559</v>
      </c>
      <c r="C324" s="4" t="n">
        <v>23</v>
      </c>
      <c r="D324" s="4" t="s">
        <v>2632</v>
      </c>
      <c r="E324" s="4" t="s">
        <v>1005</v>
      </c>
      <c r="F324" s="4" t="s">
        <v>2633</v>
      </c>
      <c r="G324" s="4" t="n">
        <v>10</v>
      </c>
      <c r="H324" s="4" t="s">
        <v>1294</v>
      </c>
      <c r="I324" s="4" t="s">
        <v>1294</v>
      </c>
      <c r="J324" s="4"/>
      <c r="K324" s="4" t="s">
        <v>2634</v>
      </c>
      <c r="L324" s="4" t="s">
        <v>2562</v>
      </c>
      <c r="M324" s="4" t="s">
        <v>44</v>
      </c>
      <c r="N324" s="5" t="s">
        <v>1506</v>
      </c>
      <c r="O324" s="4" t="s">
        <v>143</v>
      </c>
      <c r="P324" s="4" t="s">
        <v>2563</v>
      </c>
      <c r="Q324" s="4" t="n">
        <v>0</v>
      </c>
      <c r="R324" s="4" t="n">
        <v>0</v>
      </c>
      <c r="S324" s="4"/>
      <c r="T324" s="4"/>
    </row>
    <row r="325" customFormat="false" ht="44" hidden="false" customHeight="false" outlineLevel="0" collapsed="false">
      <c r="A325" s="4" t="s">
        <v>2635</v>
      </c>
      <c r="B325" s="4" t="s">
        <v>2559</v>
      </c>
      <c r="C325" s="4" t="n">
        <v>24</v>
      </c>
      <c r="D325" s="4" t="s">
        <v>2636</v>
      </c>
      <c r="E325" s="4" t="s">
        <v>1005</v>
      </c>
      <c r="F325" s="4" t="s">
        <v>2637</v>
      </c>
      <c r="G325" s="4" t="n">
        <v>11</v>
      </c>
      <c r="H325" s="4" t="s">
        <v>1300</v>
      </c>
      <c r="I325" s="4" t="s">
        <v>1300</v>
      </c>
      <c r="J325" s="4"/>
      <c r="K325" s="4" t="s">
        <v>2638</v>
      </c>
      <c r="L325" s="4" t="s">
        <v>2562</v>
      </c>
      <c r="M325" s="4" t="s">
        <v>44</v>
      </c>
      <c r="N325" s="5" t="s">
        <v>1506</v>
      </c>
      <c r="O325" s="4" t="s">
        <v>143</v>
      </c>
      <c r="P325" s="4" t="s">
        <v>2563</v>
      </c>
      <c r="Q325" s="4" t="n">
        <v>0</v>
      </c>
      <c r="R325" s="4" t="n">
        <v>0</v>
      </c>
      <c r="S325" s="4"/>
      <c r="T325" s="4"/>
    </row>
  </sheetData>
  <autoFilter ref="A1:T3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8"/>
    <col collapsed="false" customWidth="true" hidden="false" outlineLevel="0" max="5" min="5" style="1" width="11"/>
    <col collapsed="false" customWidth="true" hidden="false" outlineLevel="0" max="7" min="6" style="1" width="9"/>
    <col collapsed="false" customWidth="true" hidden="false" outlineLevel="0" max="8" min="8" style="1" width="10"/>
    <col collapsed="false" customWidth="true" hidden="false" outlineLevel="0" max="9" min="9" style="1" width="8"/>
    <col collapsed="false" customWidth="true" hidden="false" outlineLevel="0" max="10" min="10" style="1" width="40"/>
  </cols>
  <sheetData>
    <row r="1" customFormat="false" ht="29.85" hidden="false" customHeight="false" outlineLevel="0" collapsed="false">
      <c r="A1" s="10" t="s">
        <v>2639</v>
      </c>
      <c r="B1" s="10" t="s">
        <v>2640</v>
      </c>
      <c r="C1" s="11" t="s">
        <v>2641</v>
      </c>
      <c r="D1" s="10" t="s">
        <v>2642</v>
      </c>
      <c r="E1" s="11" t="s">
        <v>2643</v>
      </c>
      <c r="F1" s="11" t="s">
        <v>2644</v>
      </c>
      <c r="G1" s="11" t="s">
        <v>2645</v>
      </c>
      <c r="H1" s="11" t="s">
        <v>2646</v>
      </c>
      <c r="I1" s="10" t="s">
        <v>2647</v>
      </c>
      <c r="J1" s="10" t="s">
        <v>117</v>
      </c>
    </row>
    <row r="2" customFormat="false" ht="15" hidden="false" customHeight="false" outlineLevel="0" collapsed="false">
      <c r="A2" s="4" t="s">
        <v>2648</v>
      </c>
      <c r="B2" s="4" t="n">
        <v>512</v>
      </c>
      <c r="C2" s="4" t="s">
        <v>533</v>
      </c>
      <c r="D2" s="5" t="s">
        <v>2649</v>
      </c>
      <c r="E2" s="4" t="n">
        <v>512</v>
      </c>
      <c r="F2" s="4"/>
      <c r="G2" s="4"/>
      <c r="H2" s="4" t="s">
        <v>141</v>
      </c>
      <c r="I2" s="5" t="s">
        <v>170</v>
      </c>
      <c r="J2" s="4" t="s">
        <v>534</v>
      </c>
    </row>
    <row r="3" customFormat="false" ht="15" hidden="false" customHeight="false" outlineLevel="0" collapsed="false">
      <c r="A3" s="4" t="s">
        <v>2650</v>
      </c>
      <c r="B3" s="4" t="n">
        <v>256</v>
      </c>
      <c r="C3" s="4" t="s">
        <v>538</v>
      </c>
      <c r="D3" s="5" t="s">
        <v>2649</v>
      </c>
      <c r="E3" s="4" t="n">
        <v>256</v>
      </c>
      <c r="F3" s="4"/>
      <c r="G3" s="4"/>
      <c r="H3" s="4" t="s">
        <v>141</v>
      </c>
      <c r="I3" s="5" t="s">
        <v>170</v>
      </c>
      <c r="J3" s="4" t="s">
        <v>539</v>
      </c>
    </row>
    <row r="4" customFormat="false" ht="15" hidden="false" customHeight="false" outlineLevel="0" collapsed="false">
      <c r="A4" s="4" t="s">
        <v>2651</v>
      </c>
      <c r="B4" s="4" t="n">
        <v>6</v>
      </c>
      <c r="C4" s="4" t="s">
        <v>544</v>
      </c>
      <c r="D4" s="5" t="s">
        <v>2649</v>
      </c>
      <c r="E4" s="4" t="n">
        <v>6</v>
      </c>
      <c r="F4" s="4"/>
      <c r="G4" s="4"/>
      <c r="H4" s="4" t="s">
        <v>141</v>
      </c>
      <c r="I4" s="5" t="s">
        <v>170</v>
      </c>
      <c r="J4" s="4" t="s">
        <v>545</v>
      </c>
    </row>
    <row r="5" customFormat="false" ht="15" hidden="false" customHeight="false" outlineLevel="0" collapsed="false">
      <c r="A5" s="4" t="s">
        <v>2652</v>
      </c>
      <c r="B5" s="4" t="n">
        <v>1</v>
      </c>
      <c r="C5" s="4" t="s">
        <v>547</v>
      </c>
      <c r="D5" s="5" t="s">
        <v>2649</v>
      </c>
      <c r="E5" s="4" t="n">
        <v>1</v>
      </c>
      <c r="F5" s="4"/>
      <c r="G5" s="4"/>
      <c r="H5" s="4" t="s">
        <v>141</v>
      </c>
      <c r="I5" s="5" t="s">
        <v>170</v>
      </c>
      <c r="J5" s="4" t="s">
        <v>548</v>
      </c>
    </row>
    <row r="6" customFormat="false" ht="15" hidden="false" customHeight="false" outlineLevel="0" collapsed="false">
      <c r="A6" s="4" t="s">
        <v>2653</v>
      </c>
      <c r="B6" s="4" t="n">
        <v>129280</v>
      </c>
      <c r="C6" s="4" t="s">
        <v>550</v>
      </c>
      <c r="D6" s="5" t="s">
        <v>2649</v>
      </c>
      <c r="E6" s="4" t="n">
        <v>129280</v>
      </c>
      <c r="F6" s="4"/>
      <c r="G6" s="4"/>
      <c r="H6" s="4" t="s">
        <v>141</v>
      </c>
      <c r="I6" s="5" t="s">
        <v>170</v>
      </c>
      <c r="J6" s="4" t="s">
        <v>551</v>
      </c>
    </row>
    <row r="7" customFormat="false" ht="29.85" hidden="false" customHeight="false" outlineLevel="0" collapsed="false">
      <c r="A7" s="4" t="s">
        <v>2654</v>
      </c>
      <c r="B7" s="4" t="n">
        <v>0.5</v>
      </c>
      <c r="C7" s="4" t="s">
        <v>554</v>
      </c>
      <c r="D7" s="5" t="s">
        <v>2649</v>
      </c>
      <c r="E7" s="4" t="n">
        <v>0.5</v>
      </c>
      <c r="F7" s="4"/>
      <c r="G7" s="4"/>
      <c r="H7" s="4" t="s">
        <v>141</v>
      </c>
      <c r="I7" s="5" t="s">
        <v>170</v>
      </c>
      <c r="J7" s="4" t="s">
        <v>555</v>
      </c>
    </row>
    <row r="8" customFormat="false" ht="15" hidden="false" customHeight="false" outlineLevel="0" collapsed="false">
      <c r="A8" s="4" t="s">
        <v>2655</v>
      </c>
      <c r="B8" s="4" t="n">
        <v>4224</v>
      </c>
      <c r="C8" s="4" t="s">
        <v>565</v>
      </c>
      <c r="D8" s="5" t="s">
        <v>2656</v>
      </c>
      <c r="E8" s="4" t="n">
        <v>1024</v>
      </c>
      <c r="F8" s="4"/>
      <c r="G8" s="4"/>
      <c r="H8" s="4" t="s">
        <v>141</v>
      </c>
      <c r="I8" s="4" t="s">
        <v>143</v>
      </c>
      <c r="J8" s="4" t="s">
        <v>566</v>
      </c>
    </row>
    <row r="9" customFormat="false" ht="15" hidden="false" customHeight="false" outlineLevel="0" collapsed="false">
      <c r="A9" s="4" t="s">
        <v>2655</v>
      </c>
      <c r="B9" s="4" t="n">
        <v>4224</v>
      </c>
      <c r="C9" s="4" t="s">
        <v>570</v>
      </c>
      <c r="D9" s="5" t="s">
        <v>2656</v>
      </c>
      <c r="E9" s="4" t="n">
        <v>4</v>
      </c>
      <c r="F9" s="4"/>
      <c r="G9" s="4"/>
      <c r="H9" s="4" t="s">
        <v>141</v>
      </c>
      <c r="I9" s="4" t="s">
        <v>143</v>
      </c>
      <c r="J9" s="4" t="s">
        <v>571</v>
      </c>
    </row>
    <row r="10" customFormat="false" ht="15" hidden="false" customHeight="false" outlineLevel="0" collapsed="false">
      <c r="A10" s="4" t="s">
        <v>2657</v>
      </c>
      <c r="B10" s="4" t="n">
        <v>128</v>
      </c>
      <c r="C10" s="4" t="s">
        <v>557</v>
      </c>
      <c r="D10" s="5" t="s">
        <v>2649</v>
      </c>
      <c r="E10" s="4" t="n">
        <v>128</v>
      </c>
      <c r="F10" s="4"/>
      <c r="G10" s="4"/>
      <c r="H10" s="4" t="s">
        <v>141</v>
      </c>
      <c r="I10" s="5" t="s">
        <v>170</v>
      </c>
      <c r="J10" s="4" t="s">
        <v>558</v>
      </c>
    </row>
    <row r="11" customFormat="false" ht="15" hidden="false" customHeight="false" outlineLevel="0" collapsed="false">
      <c r="A11" s="4" t="s">
        <v>2658</v>
      </c>
      <c r="B11" s="4" t="n">
        <v>128</v>
      </c>
      <c r="C11" s="4" t="s">
        <v>561</v>
      </c>
      <c r="D11" s="5" t="s">
        <v>2649</v>
      </c>
      <c r="E11" s="4" t="n">
        <v>128</v>
      </c>
      <c r="F11" s="4"/>
      <c r="G11" s="4"/>
      <c r="H11" s="4" t="s">
        <v>141</v>
      </c>
      <c r="I11" s="5" t="s">
        <v>170</v>
      </c>
      <c r="J11" s="4" t="s">
        <v>562</v>
      </c>
    </row>
    <row r="12" customFormat="false" ht="15" hidden="false" customHeight="false" outlineLevel="0" collapsed="false">
      <c r="A12" s="4" t="s">
        <v>2659</v>
      </c>
      <c r="B12" s="4" t="n">
        <v>284</v>
      </c>
      <c r="C12" s="4" t="s">
        <v>514</v>
      </c>
      <c r="D12" s="5" t="s">
        <v>2649</v>
      </c>
      <c r="E12" s="4" t="n">
        <v>284</v>
      </c>
      <c r="F12" s="4"/>
      <c r="G12" s="4"/>
      <c r="H12" s="4" t="s">
        <v>141</v>
      </c>
      <c r="I12" s="5" t="s">
        <v>170</v>
      </c>
      <c r="J12" s="4" t="s">
        <v>515</v>
      </c>
    </row>
    <row r="13" customFormat="false" ht="15" hidden="false" customHeight="false" outlineLevel="0" collapsed="false">
      <c r="A13" s="4" t="s">
        <v>2660</v>
      </c>
      <c r="B13" s="4" t="n">
        <v>13</v>
      </c>
      <c r="C13" s="4" t="s">
        <v>518</v>
      </c>
      <c r="D13" s="5" t="s">
        <v>2649</v>
      </c>
      <c r="E13" s="4" t="n">
        <v>13</v>
      </c>
      <c r="F13" s="4"/>
      <c r="G13" s="4"/>
      <c r="H13" s="4" t="s">
        <v>141</v>
      </c>
      <c r="I13" s="5" t="s">
        <v>170</v>
      </c>
      <c r="J13" s="4" t="s">
        <v>519</v>
      </c>
    </row>
    <row r="14" customFormat="false" ht="15" hidden="false" customHeight="false" outlineLevel="0" collapsed="false">
      <c r="A14" s="4" t="s">
        <v>2661</v>
      </c>
      <c r="B14" s="4" t="n">
        <v>43</v>
      </c>
      <c r="C14" s="4" t="s">
        <v>521</v>
      </c>
      <c r="D14" s="5" t="s">
        <v>2649</v>
      </c>
      <c r="E14" s="4" t="n">
        <v>43</v>
      </c>
      <c r="F14" s="4"/>
      <c r="G14" s="4"/>
      <c r="H14" s="4" t="s">
        <v>141</v>
      </c>
      <c r="I14" s="5" t="s">
        <v>170</v>
      </c>
      <c r="J14" s="4" t="s">
        <v>523</v>
      </c>
    </row>
    <row r="15" customFormat="false" ht="15" hidden="false" customHeight="false" outlineLevel="0" collapsed="false">
      <c r="A15" s="4" t="s">
        <v>2662</v>
      </c>
      <c r="B15" s="4" t="n">
        <v>128</v>
      </c>
      <c r="C15" s="4" t="s">
        <v>527</v>
      </c>
      <c r="D15" s="5" t="s">
        <v>2649</v>
      </c>
      <c r="E15" s="4" t="n">
        <v>128</v>
      </c>
      <c r="F15" s="4"/>
      <c r="G15" s="4"/>
      <c r="H15" s="4" t="s">
        <v>141</v>
      </c>
      <c r="I15" s="5" t="s">
        <v>170</v>
      </c>
      <c r="J15" s="4" t="s">
        <v>528</v>
      </c>
    </row>
    <row r="16" customFormat="false" ht="15" hidden="false" customHeight="false" outlineLevel="0" collapsed="false">
      <c r="A16" s="4" t="s">
        <v>2663</v>
      </c>
      <c r="B16" s="4" t="n">
        <v>512</v>
      </c>
      <c r="C16" s="4" t="s">
        <v>533</v>
      </c>
      <c r="D16" s="5" t="s">
        <v>2649</v>
      </c>
      <c r="E16" s="4" t="n">
        <v>512</v>
      </c>
      <c r="F16" s="4"/>
      <c r="G16" s="4"/>
      <c r="H16" s="4" t="s">
        <v>141</v>
      </c>
      <c r="I16" s="5" t="s">
        <v>170</v>
      </c>
      <c r="J16" s="4" t="s">
        <v>534</v>
      </c>
    </row>
    <row r="17" customFormat="false" ht="15" hidden="false" customHeight="false" outlineLevel="0" collapsed="false">
      <c r="A17" s="4" t="s">
        <v>2664</v>
      </c>
      <c r="B17" s="4" t="n">
        <v>384</v>
      </c>
      <c r="C17" s="4" t="s">
        <v>541</v>
      </c>
      <c r="D17" s="5" t="s">
        <v>2649</v>
      </c>
      <c r="E17" s="4" t="n">
        <v>384</v>
      </c>
      <c r="F17" s="4"/>
      <c r="G17" s="4"/>
      <c r="H17" s="4" t="s">
        <v>141</v>
      </c>
      <c r="I17" s="5" t="s">
        <v>170</v>
      </c>
      <c r="J17" s="4" t="s">
        <v>542</v>
      </c>
    </row>
    <row r="18" customFormat="false" ht="15" hidden="false" customHeight="false" outlineLevel="0" collapsed="false">
      <c r="A18" s="4" t="s">
        <v>2665</v>
      </c>
      <c r="B18" s="4" t="n">
        <v>6</v>
      </c>
      <c r="C18" s="4" t="s">
        <v>544</v>
      </c>
      <c r="D18" s="5" t="s">
        <v>2649</v>
      </c>
      <c r="E18" s="4" t="n">
        <v>6</v>
      </c>
      <c r="F18" s="4"/>
      <c r="G18" s="4"/>
      <c r="H18" s="4" t="s">
        <v>141</v>
      </c>
      <c r="I18" s="5" t="s">
        <v>170</v>
      </c>
      <c r="J18" s="4" t="s">
        <v>545</v>
      </c>
    </row>
    <row r="19" customFormat="false" ht="15" hidden="false" customHeight="false" outlineLevel="0" collapsed="false">
      <c r="A19" s="4" t="s">
        <v>2666</v>
      </c>
      <c r="B19" s="4" t="n">
        <v>1</v>
      </c>
      <c r="C19" s="4" t="s">
        <v>547</v>
      </c>
      <c r="D19" s="5" t="s">
        <v>2649</v>
      </c>
      <c r="E19" s="4" t="n">
        <v>1</v>
      </c>
      <c r="F19" s="4"/>
      <c r="G19" s="4"/>
      <c r="H19" s="4" t="s">
        <v>141</v>
      </c>
      <c r="I19" s="5" t="s">
        <v>170</v>
      </c>
      <c r="J19" s="4" t="s">
        <v>548</v>
      </c>
    </row>
    <row r="20" customFormat="false" ht="15" hidden="false" customHeight="false" outlineLevel="0" collapsed="false">
      <c r="A20" s="4" t="s">
        <v>2667</v>
      </c>
      <c r="B20" s="4" t="n">
        <v>129280</v>
      </c>
      <c r="C20" s="4" t="s">
        <v>550</v>
      </c>
      <c r="D20" s="5" t="s">
        <v>2649</v>
      </c>
      <c r="E20" s="4" t="n">
        <v>129280</v>
      </c>
      <c r="F20" s="4"/>
      <c r="G20" s="4"/>
      <c r="H20" s="4" t="s">
        <v>141</v>
      </c>
      <c r="I20" s="5" t="s">
        <v>170</v>
      </c>
      <c r="J20" s="4" t="s">
        <v>551</v>
      </c>
    </row>
    <row r="21" customFormat="false" ht="29.85" hidden="false" customHeight="false" outlineLevel="0" collapsed="false">
      <c r="A21" s="4" t="s">
        <v>2668</v>
      </c>
      <c r="B21" s="4" t="n">
        <v>0.5</v>
      </c>
      <c r="C21" s="4" t="s">
        <v>554</v>
      </c>
      <c r="D21" s="5" t="s">
        <v>2649</v>
      </c>
      <c r="E21" s="4" t="n">
        <v>0.5</v>
      </c>
      <c r="F21" s="4"/>
      <c r="G21" s="4"/>
      <c r="H21" s="4" t="s">
        <v>141</v>
      </c>
      <c r="I21" s="5" t="s">
        <v>170</v>
      </c>
      <c r="J21" s="4" t="s">
        <v>555</v>
      </c>
    </row>
    <row r="22" customFormat="false" ht="15" hidden="false" customHeight="false" outlineLevel="0" collapsed="false">
      <c r="A22" s="4" t="s">
        <v>2669</v>
      </c>
      <c r="B22" s="4" t="n">
        <v>128</v>
      </c>
      <c r="C22" s="4" t="s">
        <v>557</v>
      </c>
      <c r="D22" s="5" t="s">
        <v>2649</v>
      </c>
      <c r="E22" s="4" t="n">
        <v>128</v>
      </c>
      <c r="F22" s="4"/>
      <c r="G22" s="4"/>
      <c r="H22" s="4" t="s">
        <v>141</v>
      </c>
      <c r="I22" s="5" t="s">
        <v>170</v>
      </c>
      <c r="J22" s="4" t="s">
        <v>558</v>
      </c>
    </row>
    <row r="23" customFormat="false" ht="15" hidden="false" customHeight="false" outlineLevel="0" collapsed="false">
      <c r="A23" s="4" t="s">
        <v>2670</v>
      </c>
      <c r="B23" s="4" t="n">
        <v>128</v>
      </c>
      <c r="C23" s="4" t="s">
        <v>561</v>
      </c>
      <c r="D23" s="5" t="s">
        <v>2649</v>
      </c>
      <c r="E23" s="4" t="n">
        <v>128</v>
      </c>
      <c r="F23" s="4"/>
      <c r="G23" s="4"/>
      <c r="H23" s="4" t="s">
        <v>141</v>
      </c>
      <c r="I23" s="5" t="s">
        <v>170</v>
      </c>
      <c r="J23" s="4" t="s">
        <v>562</v>
      </c>
    </row>
    <row r="24" customFormat="false" ht="15" hidden="false" customHeight="false" outlineLevel="0" collapsed="false">
      <c r="A24" s="4" t="s">
        <v>2671</v>
      </c>
      <c r="B24" s="4" t="n">
        <v>1600</v>
      </c>
      <c r="C24" s="4" t="s">
        <v>495</v>
      </c>
      <c r="D24" s="5" t="s">
        <v>2649</v>
      </c>
      <c r="E24" s="4" t="n">
        <v>1600</v>
      </c>
      <c r="F24" s="4"/>
      <c r="G24" s="4"/>
      <c r="H24" s="4" t="s">
        <v>141</v>
      </c>
      <c r="I24" s="5" t="s">
        <v>170</v>
      </c>
      <c r="J24" s="4" t="s">
        <v>497</v>
      </c>
    </row>
    <row r="25" customFormat="false" ht="15" hidden="false" customHeight="false" outlineLevel="0" collapsed="false">
      <c r="A25" s="4" t="s">
        <v>2672</v>
      </c>
      <c r="B25" s="4" t="n">
        <v>49</v>
      </c>
      <c r="C25" s="4" t="s">
        <v>503</v>
      </c>
      <c r="D25" s="5" t="s">
        <v>2649</v>
      </c>
      <c r="E25" s="4" t="n">
        <v>49</v>
      </c>
      <c r="F25" s="4"/>
      <c r="G25" s="4"/>
      <c r="H25" s="4" t="s">
        <v>141</v>
      </c>
      <c r="I25" s="5" t="s">
        <v>170</v>
      </c>
      <c r="J25" s="4" t="s">
        <v>504</v>
      </c>
    </row>
    <row r="26" customFormat="false" ht="15" hidden="false" customHeight="false" outlineLevel="0" collapsed="false">
      <c r="A26" s="4" t="s">
        <v>2673</v>
      </c>
      <c r="B26" s="4" t="n">
        <v>61</v>
      </c>
      <c r="C26" s="4" t="s">
        <v>506</v>
      </c>
      <c r="D26" s="5" t="s">
        <v>2649</v>
      </c>
      <c r="E26" s="4" t="n">
        <v>61</v>
      </c>
      <c r="F26" s="4"/>
      <c r="G26" s="4"/>
      <c r="H26" s="4" t="s">
        <v>141</v>
      </c>
      <c r="I26" s="5" t="s">
        <v>170</v>
      </c>
      <c r="J26" s="4" t="s">
        <v>507</v>
      </c>
    </row>
    <row r="27" customFormat="false" ht="15" hidden="false" customHeight="false" outlineLevel="0" collapsed="false">
      <c r="A27" s="4" t="s">
        <v>2674</v>
      </c>
      <c r="B27" s="4" t="n">
        <v>7168</v>
      </c>
      <c r="C27" s="4" t="s">
        <v>510</v>
      </c>
      <c r="D27" s="5" t="s">
        <v>2649</v>
      </c>
      <c r="E27" s="4" t="n">
        <v>7168</v>
      </c>
      <c r="F27" s="4"/>
      <c r="G27" s="4"/>
      <c r="H27" s="4" t="s">
        <v>141</v>
      </c>
      <c r="I27" s="5" t="s">
        <v>170</v>
      </c>
      <c r="J27" s="4" t="s">
        <v>511</v>
      </c>
    </row>
    <row r="28" customFormat="false" ht="15" hidden="false" customHeight="false" outlineLevel="0" collapsed="false">
      <c r="A28" s="4" t="s">
        <v>2675</v>
      </c>
      <c r="B28" s="4" t="n">
        <v>671</v>
      </c>
      <c r="C28" s="4" t="s">
        <v>573</v>
      </c>
      <c r="D28" s="5" t="s">
        <v>2649</v>
      </c>
      <c r="E28" s="4" t="n">
        <v>671</v>
      </c>
      <c r="F28" s="4"/>
      <c r="G28" s="4"/>
      <c r="H28" s="4" t="s">
        <v>141</v>
      </c>
      <c r="I28" s="5" t="s">
        <v>170</v>
      </c>
      <c r="J28" s="4" t="s">
        <v>574</v>
      </c>
    </row>
    <row r="29" customFormat="false" ht="15" hidden="false" customHeight="false" outlineLevel="0" collapsed="false">
      <c r="A29" s="4" t="s">
        <v>2676</v>
      </c>
      <c r="B29" s="4" t="n">
        <v>37</v>
      </c>
      <c r="C29" s="4" t="s">
        <v>577</v>
      </c>
      <c r="D29" s="5" t="s">
        <v>2649</v>
      </c>
      <c r="E29" s="4" t="n">
        <v>37</v>
      </c>
      <c r="F29" s="4"/>
      <c r="G29" s="4"/>
      <c r="H29" s="4" t="s">
        <v>141</v>
      </c>
      <c r="I29" s="5" t="s">
        <v>170</v>
      </c>
      <c r="J29" s="4" t="s">
        <v>578</v>
      </c>
    </row>
    <row r="30" customFormat="false" ht="15" hidden="false" customHeight="false" outlineLevel="0" collapsed="false">
      <c r="A30" s="4" t="s">
        <v>2677</v>
      </c>
      <c r="B30" s="4" t="n">
        <v>61</v>
      </c>
      <c r="C30" s="4" t="s">
        <v>580</v>
      </c>
      <c r="D30" s="5" t="s">
        <v>2649</v>
      </c>
      <c r="E30" s="4" t="n">
        <v>61</v>
      </c>
      <c r="F30" s="4"/>
      <c r="G30" s="4"/>
      <c r="H30" s="4" t="s">
        <v>141</v>
      </c>
      <c r="I30" s="5" t="s">
        <v>170</v>
      </c>
      <c r="J30" s="4" t="s">
        <v>581</v>
      </c>
    </row>
    <row r="31" customFormat="false" ht="15" hidden="false" customHeight="false" outlineLevel="0" collapsed="false">
      <c r="A31" s="4" t="s">
        <v>2678</v>
      </c>
      <c r="B31" s="4" t="n">
        <v>7168</v>
      </c>
      <c r="C31" s="4" t="s">
        <v>583</v>
      </c>
      <c r="D31" s="5" t="s">
        <v>2649</v>
      </c>
      <c r="E31" s="4" t="n">
        <v>7168</v>
      </c>
      <c r="F31" s="4"/>
      <c r="G31" s="4"/>
      <c r="H31" s="4" t="s">
        <v>141</v>
      </c>
      <c r="I31" s="5" t="s">
        <v>170</v>
      </c>
      <c r="J31" s="4" t="s">
        <v>584</v>
      </c>
    </row>
    <row r="32" customFormat="false" ht="15" hidden="false" customHeight="false" outlineLevel="0" collapsed="false">
      <c r="A32" s="4" t="s">
        <v>2679</v>
      </c>
      <c r="B32" s="4" t="n">
        <v>256</v>
      </c>
      <c r="C32" s="4" t="s">
        <v>586</v>
      </c>
      <c r="D32" s="5" t="s">
        <v>2649</v>
      </c>
      <c r="E32" s="4" t="n">
        <v>256</v>
      </c>
      <c r="F32" s="4"/>
      <c r="G32" s="4"/>
      <c r="H32" s="4" t="s">
        <v>141</v>
      </c>
      <c r="I32" s="5" t="s">
        <v>170</v>
      </c>
      <c r="J32" s="4" t="s">
        <v>587</v>
      </c>
    </row>
    <row r="33" customFormat="false" ht="15" hidden="false" customHeight="false" outlineLevel="0" collapsed="false">
      <c r="A33" s="4" t="s">
        <v>2680</v>
      </c>
      <c r="B33" s="4" t="n">
        <v>8</v>
      </c>
      <c r="C33" s="4" t="s">
        <v>589</v>
      </c>
      <c r="D33" s="5" t="s">
        <v>2649</v>
      </c>
      <c r="E33" s="4" t="n">
        <v>8</v>
      </c>
      <c r="F33" s="4"/>
      <c r="G33" s="4"/>
      <c r="H33" s="4" t="s">
        <v>141</v>
      </c>
      <c r="I33" s="5" t="s">
        <v>170</v>
      </c>
      <c r="J33" s="4" t="s">
        <v>590</v>
      </c>
    </row>
    <row r="34" customFormat="false" ht="15" hidden="false" customHeight="false" outlineLevel="0" collapsed="false">
      <c r="A34" s="4" t="s">
        <v>2681</v>
      </c>
      <c r="B34" s="4" t="n">
        <v>1</v>
      </c>
      <c r="C34" s="4" t="s">
        <v>592</v>
      </c>
      <c r="D34" s="5" t="s">
        <v>2649</v>
      </c>
      <c r="E34" s="4" t="n">
        <v>1</v>
      </c>
      <c r="F34" s="4"/>
      <c r="G34" s="4"/>
      <c r="H34" s="4" t="s">
        <v>141</v>
      </c>
      <c r="I34" s="5" t="s">
        <v>170</v>
      </c>
      <c r="J34" s="4" t="s">
        <v>593</v>
      </c>
    </row>
    <row r="35" customFormat="false" ht="15" hidden="false" customHeight="false" outlineLevel="0" collapsed="false">
      <c r="A35" s="4" t="s">
        <v>2682</v>
      </c>
      <c r="B35" s="4" t="n">
        <v>129280</v>
      </c>
      <c r="C35" s="4" t="s">
        <v>595</v>
      </c>
      <c r="D35" s="5" t="s">
        <v>2649</v>
      </c>
      <c r="E35" s="4" t="n">
        <v>129280</v>
      </c>
      <c r="F35" s="4"/>
      <c r="G35" s="4"/>
      <c r="H35" s="4" t="s">
        <v>141</v>
      </c>
      <c r="I35" s="5" t="s">
        <v>170</v>
      </c>
      <c r="J35" s="4" t="s">
        <v>596</v>
      </c>
    </row>
    <row r="36" customFormat="false" ht="15" hidden="false" customHeight="false" outlineLevel="0" collapsed="false">
      <c r="A36" s="4" t="s">
        <v>2683</v>
      </c>
      <c r="B36" s="4" t="n">
        <v>35136</v>
      </c>
      <c r="C36" s="4" t="s">
        <v>598</v>
      </c>
      <c r="D36" s="5" t="s">
        <v>2656</v>
      </c>
      <c r="E36" s="4" t="n">
        <v>576</v>
      </c>
      <c r="F36" s="4"/>
      <c r="G36" s="4"/>
      <c r="H36" s="4" t="s">
        <v>141</v>
      </c>
      <c r="I36" s="4" t="s">
        <v>143</v>
      </c>
      <c r="J36" s="4" t="s">
        <v>599</v>
      </c>
    </row>
    <row r="37" customFormat="false" ht="15" hidden="false" customHeight="false" outlineLevel="0" collapsed="false">
      <c r="A37" s="4" t="s">
        <v>2684</v>
      </c>
      <c r="B37" s="4" t="n">
        <v>800</v>
      </c>
      <c r="C37" s="4" t="s">
        <v>857</v>
      </c>
      <c r="D37" s="5" t="s">
        <v>2649</v>
      </c>
      <c r="E37" s="4" t="n">
        <v>800</v>
      </c>
      <c r="F37" s="4"/>
      <c r="G37" s="4"/>
      <c r="H37" s="4" t="s">
        <v>141</v>
      </c>
      <c r="I37" s="5" t="s">
        <v>170</v>
      </c>
      <c r="J37" s="4" t="s">
        <v>859</v>
      </c>
    </row>
    <row r="38" customFormat="false" ht="15" hidden="false" customHeight="false" outlineLevel="0" collapsed="false">
      <c r="A38" s="4" t="s">
        <v>2685</v>
      </c>
      <c r="B38" s="4" t="n">
        <v>3880</v>
      </c>
      <c r="C38" s="4" t="s">
        <v>865</v>
      </c>
      <c r="D38" s="5" t="s">
        <v>2649</v>
      </c>
      <c r="E38" s="4" t="n">
        <v>3880</v>
      </c>
      <c r="F38" s="4"/>
      <c r="G38" s="4"/>
      <c r="H38" s="4" t="s">
        <v>141</v>
      </c>
      <c r="I38" s="5" t="s">
        <v>170</v>
      </c>
      <c r="J38" s="4" t="s">
        <v>866</v>
      </c>
    </row>
    <row r="39" customFormat="false" ht="15" hidden="false" customHeight="false" outlineLevel="0" collapsed="false">
      <c r="A39" s="4" t="s">
        <v>2686</v>
      </c>
      <c r="B39" s="4" t="n">
        <v>66.6666666666667</v>
      </c>
      <c r="C39" s="4" t="s">
        <v>868</v>
      </c>
      <c r="D39" s="5" t="s">
        <v>2656</v>
      </c>
      <c r="E39" s="4" t="n">
        <v>15</v>
      </c>
      <c r="F39" s="4"/>
      <c r="G39" s="4"/>
      <c r="H39" s="4" t="s">
        <v>141</v>
      </c>
      <c r="I39" s="4" t="s">
        <v>143</v>
      </c>
      <c r="J39" s="4" t="s">
        <v>869</v>
      </c>
    </row>
    <row r="40" customFormat="false" ht="15" hidden="false" customHeight="false" outlineLevel="0" collapsed="false">
      <c r="A40" s="4" t="s">
        <v>2687</v>
      </c>
      <c r="B40" s="4" t="n">
        <v>1</v>
      </c>
      <c r="C40" s="4" t="s">
        <v>882</v>
      </c>
      <c r="D40" s="5" t="s">
        <v>2656</v>
      </c>
      <c r="E40" s="4" t="n">
        <v>3</v>
      </c>
      <c r="F40" s="4"/>
      <c r="G40" s="4"/>
      <c r="H40" s="4" t="s">
        <v>141</v>
      </c>
      <c r="I40" s="4" t="s">
        <v>143</v>
      </c>
      <c r="J40" s="4" t="s">
        <v>883</v>
      </c>
    </row>
    <row r="41" customFormat="false" ht="26.85" hidden="false" customHeight="false" outlineLevel="0" collapsed="false">
      <c r="A41" s="4" t="s">
        <v>2688</v>
      </c>
      <c r="B41" s="4" t="n">
        <v>3520.91666666667</v>
      </c>
      <c r="C41" s="4" t="s">
        <v>853</v>
      </c>
      <c r="D41" s="5" t="s">
        <v>2656</v>
      </c>
      <c r="E41" s="4" t="n">
        <v>253506</v>
      </c>
      <c r="F41" s="4"/>
      <c r="G41" s="4"/>
      <c r="H41" s="4" t="s">
        <v>141</v>
      </c>
      <c r="I41" s="4" t="s">
        <v>143</v>
      </c>
      <c r="J41" s="4" t="s">
        <v>854</v>
      </c>
    </row>
    <row r="42" customFormat="false" ht="15" hidden="false" customHeight="false" outlineLevel="0" collapsed="false">
      <c r="A42" s="4" t="s">
        <v>2689</v>
      </c>
      <c r="B42" s="4" t="n">
        <v>9384.4</v>
      </c>
      <c r="C42" s="4" t="s">
        <v>752</v>
      </c>
      <c r="D42" s="5" t="s">
        <v>2649</v>
      </c>
      <c r="E42" s="4" t="n">
        <v>9384.4</v>
      </c>
      <c r="F42" s="4"/>
      <c r="G42" s="4"/>
      <c r="H42" s="4" t="s">
        <v>141</v>
      </c>
      <c r="I42" s="5" t="s">
        <v>170</v>
      </c>
      <c r="J42" s="4" t="s">
        <v>754</v>
      </c>
    </row>
    <row r="43" customFormat="false" ht="26.85" hidden="false" customHeight="false" outlineLevel="0" collapsed="false">
      <c r="A43" s="4" t="s">
        <v>2690</v>
      </c>
      <c r="B43" s="4" t="n">
        <v>3337.75</v>
      </c>
      <c r="C43" s="4" t="s">
        <v>836</v>
      </c>
      <c r="D43" s="5" t="s">
        <v>2656</v>
      </c>
      <c r="E43" s="4" t="n">
        <v>240318</v>
      </c>
      <c r="F43" s="4"/>
      <c r="G43" s="4"/>
      <c r="H43" s="4" t="s">
        <v>141</v>
      </c>
      <c r="I43" s="4" t="s">
        <v>143</v>
      </c>
      <c r="J43" s="4" t="s">
        <v>837</v>
      </c>
    </row>
    <row r="44" customFormat="false" ht="15" hidden="false" customHeight="false" outlineLevel="0" collapsed="false">
      <c r="A44" s="4" t="s">
        <v>2691</v>
      </c>
      <c r="B44" s="4" t="n">
        <v>3473.9</v>
      </c>
      <c r="C44" s="4" t="s">
        <v>761</v>
      </c>
      <c r="D44" s="5" t="s">
        <v>2649</v>
      </c>
      <c r="E44" s="4" t="n">
        <v>3473.9</v>
      </c>
      <c r="F44" s="4"/>
      <c r="G44" s="4"/>
      <c r="H44" s="4" t="s">
        <v>141</v>
      </c>
      <c r="I44" s="5" t="s">
        <v>170</v>
      </c>
      <c r="J44" s="4" t="s">
        <v>762</v>
      </c>
    </row>
    <row r="45" customFormat="false" ht="26.85" hidden="false" customHeight="false" outlineLevel="0" collapsed="false">
      <c r="A45" s="4" t="s">
        <v>2692</v>
      </c>
      <c r="B45" s="4" t="n">
        <v>9065.97222222222</v>
      </c>
      <c r="C45" s="4" t="s">
        <v>845</v>
      </c>
      <c r="D45" s="5" t="s">
        <v>2656</v>
      </c>
      <c r="E45" s="4" t="n">
        <v>652750</v>
      </c>
      <c r="F45" s="4"/>
      <c r="G45" s="4"/>
      <c r="H45" s="4" t="s">
        <v>141</v>
      </c>
      <c r="I45" s="4" t="s">
        <v>143</v>
      </c>
      <c r="J45" s="4" t="s">
        <v>847</v>
      </c>
    </row>
    <row r="46" customFormat="false" ht="15" hidden="false" customHeight="false" outlineLevel="0" collapsed="false">
      <c r="A46" s="4" t="s">
        <v>2693</v>
      </c>
      <c r="B46" s="4" t="n">
        <v>11200</v>
      </c>
      <c r="C46" s="4" t="s">
        <v>727</v>
      </c>
      <c r="D46" s="5" t="s">
        <v>2649</v>
      </c>
      <c r="E46" s="4" t="n">
        <v>11200</v>
      </c>
      <c r="F46" s="4"/>
      <c r="G46" s="4"/>
      <c r="H46" s="4" t="s">
        <v>141</v>
      </c>
      <c r="I46" s="5" t="s">
        <v>170</v>
      </c>
      <c r="J46" s="4" t="s">
        <v>729</v>
      </c>
    </row>
    <row r="47" customFormat="false" ht="15" hidden="false" customHeight="false" outlineLevel="0" collapsed="false">
      <c r="A47" s="4" t="s">
        <v>2694</v>
      </c>
      <c r="B47" s="4" t="n">
        <v>12.5</v>
      </c>
      <c r="C47" s="4" t="s">
        <v>873</v>
      </c>
      <c r="D47" s="5" t="s">
        <v>2656</v>
      </c>
      <c r="E47" s="4" t="n">
        <v>80</v>
      </c>
      <c r="F47" s="4"/>
      <c r="G47" s="4"/>
      <c r="H47" s="4" t="s">
        <v>141</v>
      </c>
      <c r="I47" s="4" t="s">
        <v>143</v>
      </c>
      <c r="J47" s="4" t="s">
        <v>874</v>
      </c>
    </row>
    <row r="48" customFormat="false" ht="15" hidden="false" customHeight="false" outlineLevel="0" collapsed="false">
      <c r="A48" s="4" t="s">
        <v>2695</v>
      </c>
      <c r="B48" s="4" t="n">
        <v>8064</v>
      </c>
      <c r="C48" s="4" t="s">
        <v>840</v>
      </c>
      <c r="D48" s="5" t="s">
        <v>2649</v>
      </c>
      <c r="E48" s="4" t="n">
        <v>8064</v>
      </c>
      <c r="F48" s="4"/>
      <c r="G48" s="4"/>
      <c r="H48" s="4" t="s">
        <v>141</v>
      </c>
      <c r="I48" s="5" t="s">
        <v>170</v>
      </c>
      <c r="J48" s="4" t="s">
        <v>841</v>
      </c>
    </row>
    <row r="49" customFormat="false" ht="26.85" hidden="false" customHeight="false" outlineLevel="0" collapsed="false">
      <c r="A49" s="4" t="s">
        <v>2696</v>
      </c>
      <c r="B49" s="4" t="n">
        <v>6182</v>
      </c>
      <c r="C49" s="4" t="s">
        <v>711</v>
      </c>
      <c r="D49" s="5" t="s">
        <v>2649</v>
      </c>
      <c r="E49" s="4" t="n">
        <v>6182</v>
      </c>
      <c r="F49" s="4"/>
      <c r="G49" s="4"/>
      <c r="H49" s="4" t="s">
        <v>141</v>
      </c>
      <c r="I49" s="5" t="s">
        <v>170</v>
      </c>
      <c r="J49" s="4" t="s">
        <v>713</v>
      </c>
    </row>
    <row r="50" customFormat="false" ht="26.85" hidden="false" customHeight="false" outlineLevel="0" collapsed="false">
      <c r="A50" s="4" t="s">
        <v>2697</v>
      </c>
      <c r="B50" s="4" t="n">
        <v>2189</v>
      </c>
      <c r="C50" s="4" t="s">
        <v>720</v>
      </c>
      <c r="D50" s="5" t="s">
        <v>2649</v>
      </c>
      <c r="E50" s="4" t="n">
        <v>2189</v>
      </c>
      <c r="F50" s="4"/>
      <c r="G50" s="4"/>
      <c r="H50" s="4" t="s">
        <v>141</v>
      </c>
      <c r="I50" s="5" t="s">
        <v>170</v>
      </c>
      <c r="J50" s="4" t="s">
        <v>721</v>
      </c>
    </row>
    <row r="51" customFormat="false" ht="15" hidden="false" customHeight="false" outlineLevel="0" collapsed="false">
      <c r="A51" s="4" t="s">
        <v>2698</v>
      </c>
      <c r="B51" s="4" t="n">
        <v>3795.5</v>
      </c>
      <c r="C51" s="4" t="s">
        <v>774</v>
      </c>
      <c r="D51" s="5" t="s">
        <v>2649</v>
      </c>
      <c r="E51" s="4" t="n">
        <v>3795.5</v>
      </c>
      <c r="F51" s="4"/>
      <c r="G51" s="4"/>
      <c r="H51" s="4" t="s">
        <v>141</v>
      </c>
      <c r="I51" s="5" t="s">
        <v>170</v>
      </c>
      <c r="J51" s="4" t="s">
        <v>776</v>
      </c>
    </row>
    <row r="52" customFormat="false" ht="15" hidden="false" customHeight="false" outlineLevel="0" collapsed="false">
      <c r="A52" s="4" t="s">
        <v>2699</v>
      </c>
      <c r="B52" s="4" t="n">
        <v>6522.4</v>
      </c>
      <c r="C52" s="4" t="s">
        <v>782</v>
      </c>
      <c r="D52" s="5" t="s">
        <v>2649</v>
      </c>
      <c r="E52" s="4" t="n">
        <v>6522.4</v>
      </c>
      <c r="F52" s="4"/>
      <c r="G52" s="4"/>
      <c r="H52" s="4" t="s">
        <v>141</v>
      </c>
      <c r="I52" s="5" t="s">
        <v>170</v>
      </c>
      <c r="J52" s="4" t="s">
        <v>783</v>
      </c>
    </row>
    <row r="53" customFormat="false" ht="15" hidden="false" customHeight="false" outlineLevel="0" collapsed="false">
      <c r="A53" s="4" t="s">
        <v>2700</v>
      </c>
      <c r="B53" s="4" t="n">
        <v>35</v>
      </c>
      <c r="C53" s="4" t="s">
        <v>1028</v>
      </c>
      <c r="D53" s="5" t="s">
        <v>2649</v>
      </c>
      <c r="E53" s="4" t="n">
        <v>35</v>
      </c>
      <c r="F53" s="4"/>
      <c r="G53" s="4"/>
      <c r="H53" s="4" t="s">
        <v>141</v>
      </c>
      <c r="I53" s="5" t="s">
        <v>170</v>
      </c>
      <c r="J53" s="4" t="s">
        <v>1029</v>
      </c>
    </row>
    <row r="54" customFormat="false" ht="15" hidden="false" customHeight="false" outlineLevel="0" collapsed="false">
      <c r="A54" s="4" t="s">
        <v>2701</v>
      </c>
      <c r="B54" s="4" t="n">
        <v>0.5</v>
      </c>
      <c r="C54" s="4" t="s">
        <v>1025</v>
      </c>
      <c r="D54" s="5" t="s">
        <v>2649</v>
      </c>
      <c r="E54" s="4" t="n">
        <v>0.5</v>
      </c>
      <c r="F54" s="4"/>
      <c r="G54" s="4"/>
      <c r="H54" s="4" t="s">
        <v>141</v>
      </c>
      <c r="I54" s="5" t="s">
        <v>170</v>
      </c>
      <c r="J54" s="4" t="s">
        <v>1026</v>
      </c>
    </row>
    <row r="55" customFormat="false" ht="15" hidden="false" customHeight="false" outlineLevel="0" collapsed="false">
      <c r="A55" s="4" t="s">
        <v>2702</v>
      </c>
      <c r="B55" s="4" t="n">
        <v>0.41</v>
      </c>
      <c r="C55" s="4" t="s">
        <v>1194</v>
      </c>
      <c r="D55" s="5" t="s">
        <v>2656</v>
      </c>
      <c r="E55" s="4" t="n">
        <v>8.4</v>
      </c>
      <c r="F55" s="4"/>
      <c r="G55" s="4"/>
      <c r="H55" s="4" t="s">
        <v>141</v>
      </c>
      <c r="I55" s="4" t="s">
        <v>143</v>
      </c>
      <c r="J55" s="4" t="s">
        <v>1196</v>
      </c>
    </row>
    <row r="56" customFormat="false" ht="15" hidden="false" customHeight="false" outlineLevel="0" collapsed="false">
      <c r="A56" s="4" t="s">
        <v>2702</v>
      </c>
      <c r="B56" s="4" t="n">
        <v>0.41</v>
      </c>
      <c r="C56" s="4" t="s">
        <v>1206</v>
      </c>
      <c r="D56" s="5" t="s">
        <v>2656</v>
      </c>
      <c r="E56" s="4" t="n">
        <v>12</v>
      </c>
      <c r="F56" s="4"/>
      <c r="G56" s="4"/>
      <c r="H56" s="4" t="s">
        <v>141</v>
      </c>
      <c r="I56" s="4" t="s">
        <v>143</v>
      </c>
      <c r="J56" s="4" t="s">
        <v>1207</v>
      </c>
    </row>
    <row r="57" customFormat="false" ht="15" hidden="false" customHeight="false" outlineLevel="0" collapsed="false">
      <c r="A57" s="4" t="s">
        <v>2703</v>
      </c>
      <c r="B57" s="4" t="n">
        <v>0.46</v>
      </c>
      <c r="C57" s="4" t="s">
        <v>1202</v>
      </c>
      <c r="D57" s="5" t="s">
        <v>2656</v>
      </c>
      <c r="E57" s="4" t="n">
        <v>3.9</v>
      </c>
      <c r="F57" s="4"/>
      <c r="G57" s="4"/>
      <c r="H57" s="4" t="s">
        <v>141</v>
      </c>
      <c r="I57" s="4" t="s">
        <v>143</v>
      </c>
      <c r="J57" s="4" t="s">
        <v>1203</v>
      </c>
    </row>
    <row r="58" customFormat="false" ht="15" hidden="false" customHeight="false" outlineLevel="0" collapsed="false">
      <c r="A58" s="4" t="s">
        <v>2704</v>
      </c>
      <c r="B58" s="4" t="n">
        <v>0.1</v>
      </c>
      <c r="C58" s="4" t="s">
        <v>930</v>
      </c>
      <c r="D58" s="5" t="s">
        <v>2649</v>
      </c>
      <c r="E58" s="4" t="n">
        <v>0.1</v>
      </c>
      <c r="F58" s="4"/>
      <c r="G58" s="4"/>
      <c r="H58" s="4" t="s">
        <v>141</v>
      </c>
      <c r="I58" s="5" t="s">
        <v>170</v>
      </c>
      <c r="J58" s="4" t="s">
        <v>932</v>
      </c>
    </row>
    <row r="59" customFormat="false" ht="15" hidden="false" customHeight="false" outlineLevel="0" collapsed="false">
      <c r="A59" s="4" t="s">
        <v>2705</v>
      </c>
      <c r="B59" s="4" t="n">
        <v>0.01</v>
      </c>
      <c r="C59" s="4" t="s">
        <v>939</v>
      </c>
      <c r="D59" s="5" t="s">
        <v>2649</v>
      </c>
      <c r="E59" s="4" t="n">
        <v>0.01</v>
      </c>
      <c r="F59" s="4"/>
      <c r="G59" s="4"/>
      <c r="H59" s="4" t="s">
        <v>141</v>
      </c>
      <c r="I59" s="5" t="s">
        <v>170</v>
      </c>
      <c r="J59" s="4" t="s">
        <v>940</v>
      </c>
    </row>
    <row r="60" customFormat="false" ht="15" hidden="false" customHeight="false" outlineLevel="0" collapsed="false">
      <c r="A60" s="4" t="s">
        <v>2706</v>
      </c>
      <c r="B60" s="4" t="n">
        <v>0.5</v>
      </c>
      <c r="C60" s="4" t="s">
        <v>942</v>
      </c>
      <c r="D60" s="5" t="s">
        <v>2649</v>
      </c>
      <c r="E60" s="4" t="n">
        <v>0.5</v>
      </c>
      <c r="F60" s="4"/>
      <c r="G60" s="4"/>
      <c r="H60" s="4" t="s">
        <v>141</v>
      </c>
      <c r="I60" s="5" t="s">
        <v>170</v>
      </c>
      <c r="J60" s="4" t="s">
        <v>943</v>
      </c>
    </row>
    <row r="61" customFormat="false" ht="15" hidden="false" customHeight="false" outlineLevel="0" collapsed="false">
      <c r="A61" s="4" t="s">
        <v>2707</v>
      </c>
      <c r="B61" s="4" t="n">
        <v>2</v>
      </c>
      <c r="C61" s="4" t="s">
        <v>945</v>
      </c>
      <c r="D61" s="5" t="s">
        <v>2649</v>
      </c>
      <c r="E61" s="4" t="n">
        <v>2</v>
      </c>
      <c r="F61" s="4"/>
      <c r="G61" s="4"/>
      <c r="H61" s="4" t="s">
        <v>141</v>
      </c>
      <c r="I61" s="5" t="s">
        <v>170</v>
      </c>
      <c r="J61" s="4" t="s">
        <v>946</v>
      </c>
    </row>
    <row r="62" customFormat="false" ht="15" hidden="false" customHeight="false" outlineLevel="0" collapsed="false">
      <c r="A62" s="4" t="s">
        <v>2708</v>
      </c>
      <c r="B62" s="4" t="n">
        <v>0.2</v>
      </c>
      <c r="C62" s="4" t="s">
        <v>949</v>
      </c>
      <c r="D62" s="5" t="s">
        <v>2649</v>
      </c>
      <c r="E62" s="4" t="n">
        <v>0.2</v>
      </c>
      <c r="F62" s="4"/>
      <c r="G62" s="4"/>
      <c r="H62" s="4" t="s">
        <v>141</v>
      </c>
      <c r="I62" s="5" t="s">
        <v>170</v>
      </c>
      <c r="J62" s="4" t="s">
        <v>950</v>
      </c>
    </row>
    <row r="63" customFormat="false" ht="15" hidden="false" customHeight="false" outlineLevel="0" collapsed="false">
      <c r="A63" s="4" t="s">
        <v>2709</v>
      </c>
      <c r="B63" s="4" t="n">
        <v>10</v>
      </c>
      <c r="C63" s="4" t="s">
        <v>952</v>
      </c>
      <c r="D63" s="5" t="s">
        <v>2649</v>
      </c>
      <c r="E63" s="4" t="n">
        <v>10</v>
      </c>
      <c r="F63" s="4"/>
      <c r="G63" s="4"/>
      <c r="H63" s="4" t="s">
        <v>141</v>
      </c>
      <c r="I63" s="5" t="s">
        <v>170</v>
      </c>
      <c r="J63" s="4" t="s">
        <v>953</v>
      </c>
    </row>
    <row r="64" customFormat="false" ht="15" hidden="false" customHeight="false" outlineLevel="0" collapsed="false">
      <c r="A64" s="4" t="s">
        <v>2710</v>
      </c>
      <c r="B64" s="4" t="n">
        <v>0.1</v>
      </c>
      <c r="C64" s="4" t="s">
        <v>930</v>
      </c>
      <c r="D64" s="5" t="s">
        <v>2649</v>
      </c>
      <c r="E64" s="4" t="n">
        <v>0.1</v>
      </c>
      <c r="F64" s="4"/>
      <c r="G64" s="4"/>
      <c r="H64" s="4" t="s">
        <v>141</v>
      </c>
      <c r="I64" s="5" t="s">
        <v>170</v>
      </c>
      <c r="J64" s="4" t="s">
        <v>932</v>
      </c>
    </row>
    <row r="65" customFormat="false" ht="15" hidden="false" customHeight="false" outlineLevel="0" collapsed="false">
      <c r="A65" s="4" t="s">
        <v>2711</v>
      </c>
      <c r="B65" s="4" t="n">
        <v>2</v>
      </c>
      <c r="C65" s="4" t="s">
        <v>945</v>
      </c>
      <c r="D65" s="5" t="s">
        <v>2649</v>
      </c>
      <c r="E65" s="4" t="n">
        <v>2</v>
      </c>
      <c r="F65" s="4"/>
      <c r="G65" s="4"/>
      <c r="H65" s="4" t="s">
        <v>141</v>
      </c>
      <c r="I65" s="5" t="s">
        <v>170</v>
      </c>
      <c r="J65" s="4" t="s">
        <v>946</v>
      </c>
    </row>
    <row r="66" customFormat="false" ht="15" hidden="false" customHeight="false" outlineLevel="0" collapsed="false">
      <c r="A66" s="4" t="s">
        <v>2712</v>
      </c>
      <c r="B66" s="4" t="n">
        <v>10</v>
      </c>
      <c r="C66" s="4" t="s">
        <v>955</v>
      </c>
      <c r="D66" s="5" t="s">
        <v>2649</v>
      </c>
      <c r="E66" s="4" t="n">
        <v>10</v>
      </c>
      <c r="F66" s="4"/>
      <c r="G66" s="4"/>
      <c r="H66" s="4" t="s">
        <v>141</v>
      </c>
      <c r="I66" s="5" t="s">
        <v>170</v>
      </c>
      <c r="J66" s="4" t="s">
        <v>956</v>
      </c>
    </row>
    <row r="67" customFormat="false" ht="15" hidden="false" customHeight="false" outlineLevel="0" collapsed="false">
      <c r="A67" s="4" t="s">
        <v>2713</v>
      </c>
      <c r="B67" s="4" t="n">
        <v>10</v>
      </c>
      <c r="C67" s="4" t="s">
        <v>964</v>
      </c>
      <c r="D67" s="5" t="s">
        <v>2649</v>
      </c>
      <c r="E67" s="4" t="n">
        <v>10</v>
      </c>
      <c r="F67" s="4"/>
      <c r="G67" s="4"/>
      <c r="H67" s="4" t="s">
        <v>141</v>
      </c>
      <c r="I67" s="5" t="s">
        <v>170</v>
      </c>
      <c r="J67" s="4" t="s">
        <v>966</v>
      </c>
    </row>
    <row r="68" customFormat="false" ht="15" hidden="false" customHeight="false" outlineLevel="0" collapsed="false">
      <c r="A68" s="4" t="s">
        <v>2714</v>
      </c>
      <c r="B68" s="4" t="n">
        <v>5</v>
      </c>
      <c r="C68" s="4" t="s">
        <v>977</v>
      </c>
      <c r="D68" s="5" t="s">
        <v>2649</v>
      </c>
      <c r="E68" s="4" t="n">
        <v>5</v>
      </c>
      <c r="F68" s="4"/>
      <c r="G68" s="4"/>
      <c r="H68" s="4" t="s">
        <v>141</v>
      </c>
      <c r="I68" s="5" t="s">
        <v>170</v>
      </c>
      <c r="J68" s="4" t="s">
        <v>978</v>
      </c>
    </row>
    <row r="69" customFormat="false" ht="15" hidden="false" customHeight="false" outlineLevel="0" collapsed="false">
      <c r="A69" s="4" t="s">
        <v>2715</v>
      </c>
      <c r="B69" s="4" t="n">
        <v>4</v>
      </c>
      <c r="C69" s="4" t="s">
        <v>985</v>
      </c>
      <c r="D69" s="5" t="s">
        <v>2649</v>
      </c>
      <c r="E69" s="4" t="n">
        <v>4</v>
      </c>
      <c r="F69" s="4"/>
      <c r="G69" s="4"/>
      <c r="H69" s="4" t="s">
        <v>141</v>
      </c>
      <c r="I69" s="5" t="s">
        <v>170</v>
      </c>
      <c r="J69" s="4" t="s">
        <v>986</v>
      </c>
    </row>
    <row r="70" customFormat="false" ht="15" hidden="false" customHeight="false" outlineLevel="0" collapsed="false">
      <c r="A70" s="4" t="s">
        <v>2716</v>
      </c>
      <c r="B70" s="4" t="n">
        <v>0.3</v>
      </c>
      <c r="C70" s="4" t="s">
        <v>1000</v>
      </c>
      <c r="D70" s="5" t="s">
        <v>2649</v>
      </c>
      <c r="E70" s="4" t="n">
        <v>0.3</v>
      </c>
      <c r="F70" s="4"/>
      <c r="G70" s="4"/>
      <c r="H70" s="4" t="s">
        <v>141</v>
      </c>
      <c r="I70" s="5" t="s">
        <v>170</v>
      </c>
      <c r="J70" s="4" t="s">
        <v>1002</v>
      </c>
    </row>
    <row r="71" customFormat="false" ht="15" hidden="false" customHeight="false" outlineLevel="0" collapsed="false">
      <c r="A71" s="4" t="s">
        <v>2717</v>
      </c>
      <c r="B71" s="4" t="n">
        <v>1.32</v>
      </c>
      <c r="C71" s="4" t="s">
        <v>1015</v>
      </c>
      <c r="D71" s="5" t="s">
        <v>2649</v>
      </c>
      <c r="E71" s="4" t="n">
        <v>1.32</v>
      </c>
      <c r="F71" s="4"/>
      <c r="G71" s="4"/>
      <c r="H71" s="4" t="s">
        <v>141</v>
      </c>
      <c r="I71" s="5" t="s">
        <v>170</v>
      </c>
      <c r="J71" s="4" t="s">
        <v>1016</v>
      </c>
    </row>
    <row r="72" customFormat="false" ht="15" hidden="false" customHeight="false" outlineLevel="0" collapsed="false">
      <c r="A72" s="4" t="s">
        <v>2718</v>
      </c>
      <c r="B72" s="4" t="n">
        <v>1.4</v>
      </c>
      <c r="C72" s="4" t="s">
        <v>1034</v>
      </c>
      <c r="D72" s="5" t="s">
        <v>2649</v>
      </c>
      <c r="E72" s="4" t="n">
        <v>1.4</v>
      </c>
      <c r="F72" s="4"/>
      <c r="G72" s="4"/>
      <c r="H72" s="4" t="s">
        <v>141</v>
      </c>
      <c r="I72" s="5" t="s">
        <v>170</v>
      </c>
      <c r="J72" s="4" t="s">
        <v>1036</v>
      </c>
    </row>
    <row r="73" customFormat="false" ht="15" hidden="false" customHeight="false" outlineLevel="0" collapsed="false">
      <c r="A73" s="4" t="s">
        <v>2719</v>
      </c>
      <c r="B73" s="4" t="n">
        <v>0.15</v>
      </c>
      <c r="C73" s="4" t="s">
        <v>1046</v>
      </c>
      <c r="D73" s="5" t="s">
        <v>2649</v>
      </c>
      <c r="E73" s="4" t="n">
        <v>0.15</v>
      </c>
      <c r="F73" s="4"/>
      <c r="G73" s="4"/>
      <c r="H73" s="4" t="s">
        <v>141</v>
      </c>
      <c r="I73" s="5" t="s">
        <v>170</v>
      </c>
      <c r="J73" s="4" t="s">
        <v>1047</v>
      </c>
    </row>
    <row r="74" customFormat="false" ht="15" hidden="false" customHeight="false" outlineLevel="0" collapsed="false">
      <c r="A74" s="4" t="s">
        <v>2720</v>
      </c>
      <c r="B74" s="4" t="n">
        <v>2</v>
      </c>
      <c r="C74" s="4" t="s">
        <v>1068</v>
      </c>
      <c r="D74" s="5" t="s">
        <v>2649</v>
      </c>
      <c r="E74" s="4" t="n">
        <v>2</v>
      </c>
      <c r="F74" s="4"/>
      <c r="G74" s="4"/>
      <c r="H74" s="4" t="s">
        <v>141</v>
      </c>
      <c r="I74" s="5" t="s">
        <v>170</v>
      </c>
      <c r="J74" s="4" t="s">
        <v>1069</v>
      </c>
    </row>
    <row r="75" customFormat="false" ht="15" hidden="false" customHeight="false" outlineLevel="0" collapsed="false">
      <c r="A75" s="4" t="s">
        <v>2721</v>
      </c>
      <c r="B75" s="4" t="n">
        <v>3</v>
      </c>
      <c r="C75" s="4" t="s">
        <v>1056</v>
      </c>
      <c r="D75" s="5" t="s">
        <v>2649</v>
      </c>
      <c r="E75" s="4" t="n">
        <v>3</v>
      </c>
      <c r="F75" s="4"/>
      <c r="G75" s="4"/>
      <c r="H75" s="4" t="s">
        <v>141</v>
      </c>
      <c r="I75" s="5" t="s">
        <v>170</v>
      </c>
      <c r="J75" s="4" t="s">
        <v>1058</v>
      </c>
    </row>
    <row r="76" customFormat="false" ht="15" hidden="false" customHeight="false" outlineLevel="0" collapsed="false">
      <c r="A76" s="4" t="s">
        <v>2722</v>
      </c>
      <c r="B76" s="4" t="n">
        <v>0.3</v>
      </c>
      <c r="C76" s="4" t="s">
        <v>1085</v>
      </c>
      <c r="D76" s="5" t="s">
        <v>2649</v>
      </c>
      <c r="E76" s="4" t="n">
        <v>0.3</v>
      </c>
      <c r="F76" s="4"/>
      <c r="G76" s="4"/>
      <c r="H76" s="4" t="s">
        <v>141</v>
      </c>
      <c r="I76" s="5" t="s">
        <v>170</v>
      </c>
      <c r="J76" s="4" t="s">
        <v>1086</v>
      </c>
    </row>
    <row r="77" customFormat="false" ht="15" hidden="false" customHeight="false" outlineLevel="0" collapsed="false">
      <c r="A77" s="4" t="s">
        <v>2723</v>
      </c>
      <c r="B77" s="4" t="n">
        <v>10</v>
      </c>
      <c r="C77" s="4" t="s">
        <v>955</v>
      </c>
      <c r="D77" s="5" t="s">
        <v>2649</v>
      </c>
      <c r="E77" s="4" t="n">
        <v>10</v>
      </c>
      <c r="F77" s="4"/>
      <c r="G77" s="4"/>
      <c r="H77" s="4" t="s">
        <v>141</v>
      </c>
      <c r="I77" s="5" t="s">
        <v>170</v>
      </c>
      <c r="J77" s="4" t="s">
        <v>956</v>
      </c>
    </row>
    <row r="78" customFormat="false" ht="15" hidden="false" customHeight="false" outlineLevel="0" collapsed="false">
      <c r="A78" s="4" t="s">
        <v>2724</v>
      </c>
      <c r="B78" s="4" t="n">
        <v>1</v>
      </c>
      <c r="C78" s="4" t="s">
        <v>958</v>
      </c>
      <c r="D78" s="5" t="s">
        <v>2649</v>
      </c>
      <c r="E78" s="4" t="n">
        <v>1</v>
      </c>
      <c r="F78" s="4"/>
      <c r="G78" s="4"/>
      <c r="H78" s="4" t="s">
        <v>141</v>
      </c>
      <c r="I78" s="5" t="s">
        <v>170</v>
      </c>
      <c r="J78" s="4" t="s">
        <v>959</v>
      </c>
    </row>
    <row r="79" customFormat="false" ht="15" hidden="false" customHeight="false" outlineLevel="0" collapsed="false">
      <c r="A79" s="4" t="s">
        <v>2725</v>
      </c>
      <c r="B79" s="4" t="n">
        <v>50</v>
      </c>
      <c r="C79" s="4" t="s">
        <v>961</v>
      </c>
      <c r="D79" s="5" t="s">
        <v>2649</v>
      </c>
      <c r="E79" s="4" t="n">
        <v>50</v>
      </c>
      <c r="F79" s="4"/>
      <c r="G79" s="4"/>
      <c r="H79" s="4" t="s">
        <v>141</v>
      </c>
      <c r="I79" s="5" t="s">
        <v>170</v>
      </c>
      <c r="J79" s="4" t="s">
        <v>962</v>
      </c>
    </row>
    <row r="80" customFormat="false" ht="15" hidden="false" customHeight="false" outlineLevel="0" collapsed="false">
      <c r="A80" s="4" t="s">
        <v>2726</v>
      </c>
      <c r="B80" s="4" t="n">
        <v>0.01</v>
      </c>
      <c r="C80" s="4" t="s">
        <v>939</v>
      </c>
      <c r="D80" s="5" t="s">
        <v>2649</v>
      </c>
      <c r="E80" s="4" t="n">
        <v>0.01</v>
      </c>
      <c r="F80" s="4"/>
      <c r="G80" s="4"/>
      <c r="H80" s="4" t="s">
        <v>141</v>
      </c>
      <c r="I80" s="5" t="s">
        <v>170</v>
      </c>
      <c r="J80" s="4" t="s">
        <v>940</v>
      </c>
    </row>
    <row r="81" customFormat="false" ht="15" hidden="false" customHeight="false" outlineLevel="0" collapsed="false">
      <c r="A81" s="4" t="s">
        <v>2727</v>
      </c>
      <c r="B81" s="4" t="n">
        <v>0.2</v>
      </c>
      <c r="C81" s="4" t="s">
        <v>949</v>
      </c>
      <c r="D81" s="5" t="s">
        <v>2649</v>
      </c>
      <c r="E81" s="4" t="n">
        <v>0.2</v>
      </c>
      <c r="F81" s="4"/>
      <c r="G81" s="4"/>
      <c r="H81" s="4" t="s">
        <v>141</v>
      </c>
      <c r="I81" s="5" t="s">
        <v>170</v>
      </c>
      <c r="J81" s="4" t="s">
        <v>950</v>
      </c>
    </row>
    <row r="82" customFormat="false" ht="15" hidden="false" customHeight="false" outlineLevel="0" collapsed="false">
      <c r="A82" s="4" t="s">
        <v>2728</v>
      </c>
      <c r="B82" s="4" t="n">
        <v>1</v>
      </c>
      <c r="C82" s="4" t="s">
        <v>958</v>
      </c>
      <c r="D82" s="5" t="s">
        <v>2649</v>
      </c>
      <c r="E82" s="4" t="n">
        <v>1</v>
      </c>
      <c r="F82" s="4"/>
      <c r="G82" s="4"/>
      <c r="H82" s="4" t="s">
        <v>141</v>
      </c>
      <c r="I82" s="5" t="s">
        <v>170</v>
      </c>
      <c r="J82" s="4" t="s">
        <v>959</v>
      </c>
    </row>
    <row r="83" customFormat="false" ht="15" hidden="false" customHeight="false" outlineLevel="0" collapsed="false">
      <c r="A83" s="4" t="s">
        <v>2729</v>
      </c>
      <c r="B83" s="4" t="n">
        <v>0.25</v>
      </c>
      <c r="C83" s="4" t="s">
        <v>970</v>
      </c>
      <c r="D83" s="5" t="s">
        <v>2649</v>
      </c>
      <c r="E83" s="4" t="n">
        <v>0.25</v>
      </c>
      <c r="F83" s="4"/>
      <c r="G83" s="4"/>
      <c r="H83" s="4" t="s">
        <v>141</v>
      </c>
      <c r="I83" s="5" t="s">
        <v>170</v>
      </c>
      <c r="J83" s="4" t="s">
        <v>971</v>
      </c>
    </row>
    <row r="84" customFormat="false" ht="15" hidden="false" customHeight="false" outlineLevel="0" collapsed="false">
      <c r="A84" s="4" t="s">
        <v>2730</v>
      </c>
      <c r="B84" s="4" t="n">
        <v>0.006</v>
      </c>
      <c r="C84" s="4" t="s">
        <v>1008</v>
      </c>
      <c r="D84" s="5" t="s">
        <v>2649</v>
      </c>
      <c r="E84" s="4" t="n">
        <v>0.006</v>
      </c>
      <c r="F84" s="4"/>
      <c r="G84" s="4"/>
      <c r="H84" s="4" t="s">
        <v>141</v>
      </c>
      <c r="I84" s="5" t="s">
        <v>170</v>
      </c>
      <c r="J84" s="4" t="s">
        <v>1009</v>
      </c>
    </row>
    <row r="85" customFormat="false" ht="15" hidden="false" customHeight="false" outlineLevel="0" collapsed="false">
      <c r="A85" s="4" t="s">
        <v>2731</v>
      </c>
      <c r="B85" s="4" t="n">
        <v>0.044</v>
      </c>
      <c r="C85" s="4" t="s">
        <v>1019</v>
      </c>
      <c r="D85" s="5" t="s">
        <v>2649</v>
      </c>
      <c r="E85" s="4" t="n">
        <v>0.044</v>
      </c>
      <c r="F85" s="4"/>
      <c r="G85" s="4"/>
      <c r="H85" s="4" t="s">
        <v>141</v>
      </c>
      <c r="I85" s="5" t="s">
        <v>170</v>
      </c>
      <c r="J85" s="4" t="s">
        <v>1020</v>
      </c>
    </row>
    <row r="86" customFormat="false" ht="15" hidden="false" customHeight="false" outlineLevel="0" collapsed="false">
      <c r="A86" s="4" t="s">
        <v>2732</v>
      </c>
      <c r="B86" s="4" t="n">
        <v>0.26</v>
      </c>
      <c r="C86" s="4" t="s">
        <v>1040</v>
      </c>
      <c r="D86" s="5" t="s">
        <v>2649</v>
      </c>
      <c r="E86" s="4" t="n">
        <v>0.26</v>
      </c>
      <c r="F86" s="4"/>
      <c r="G86" s="4"/>
      <c r="H86" s="4" t="s">
        <v>141</v>
      </c>
      <c r="I86" s="5" t="s">
        <v>170</v>
      </c>
      <c r="J86" s="4" t="s">
        <v>1041</v>
      </c>
    </row>
    <row r="87" customFormat="false" ht="15" hidden="false" customHeight="false" outlineLevel="0" collapsed="false">
      <c r="A87" s="4" t="s">
        <v>2733</v>
      </c>
      <c r="B87" s="4" t="n">
        <v>0.03</v>
      </c>
      <c r="C87" s="4" t="s">
        <v>1050</v>
      </c>
      <c r="D87" s="5" t="s">
        <v>2649</v>
      </c>
      <c r="E87" s="4" t="n">
        <v>0.03</v>
      </c>
      <c r="F87" s="4"/>
      <c r="G87" s="4"/>
      <c r="H87" s="4" t="s">
        <v>141</v>
      </c>
      <c r="I87" s="5" t="s">
        <v>170</v>
      </c>
      <c r="J87" s="4" t="s">
        <v>1051</v>
      </c>
    </row>
    <row r="88" customFormat="false" ht="15" hidden="false" customHeight="false" outlineLevel="0" collapsed="false">
      <c r="A88" s="4" t="s">
        <v>2734</v>
      </c>
      <c r="B88" s="4" t="n">
        <v>0.25</v>
      </c>
      <c r="C88" s="4" t="s">
        <v>1073</v>
      </c>
      <c r="D88" s="5" t="s">
        <v>2649</v>
      </c>
      <c r="E88" s="4" t="n">
        <v>0.25</v>
      </c>
      <c r="F88" s="4"/>
      <c r="G88" s="4"/>
      <c r="H88" s="4" t="s">
        <v>141</v>
      </c>
      <c r="I88" s="5" t="s">
        <v>170</v>
      </c>
      <c r="J88" s="4" t="s">
        <v>1074</v>
      </c>
    </row>
    <row r="89" customFormat="false" ht="15" hidden="false" customHeight="false" outlineLevel="0" collapsed="false">
      <c r="A89" s="4" t="s">
        <v>2735</v>
      </c>
      <c r="B89" s="4" t="n">
        <v>0.3</v>
      </c>
      <c r="C89" s="4" t="s">
        <v>1062</v>
      </c>
      <c r="D89" s="5" t="s">
        <v>2649</v>
      </c>
      <c r="E89" s="4" t="n">
        <v>0.3</v>
      </c>
      <c r="F89" s="4"/>
      <c r="G89" s="4"/>
      <c r="H89" s="4" t="s">
        <v>141</v>
      </c>
      <c r="I89" s="5" t="s">
        <v>170</v>
      </c>
      <c r="J89" s="4" t="s">
        <v>1063</v>
      </c>
    </row>
    <row r="90" customFormat="false" ht="15" hidden="false" customHeight="false" outlineLevel="0" collapsed="false">
      <c r="A90" s="4" t="s">
        <v>2736</v>
      </c>
      <c r="B90" s="4" t="n">
        <v>0.5</v>
      </c>
      <c r="C90" s="4" t="s">
        <v>942</v>
      </c>
      <c r="D90" s="5" t="s">
        <v>2649</v>
      </c>
      <c r="E90" s="4" t="n">
        <v>0.5</v>
      </c>
      <c r="F90" s="4"/>
      <c r="G90" s="4"/>
      <c r="H90" s="4" t="s">
        <v>141</v>
      </c>
      <c r="I90" s="5" t="s">
        <v>170</v>
      </c>
      <c r="J90" s="4" t="s">
        <v>943</v>
      </c>
    </row>
    <row r="91" customFormat="false" ht="15" hidden="false" customHeight="false" outlineLevel="0" collapsed="false">
      <c r="A91" s="4" t="s">
        <v>2737</v>
      </c>
      <c r="B91" s="4" t="n">
        <v>10</v>
      </c>
      <c r="C91" s="4" t="s">
        <v>952</v>
      </c>
      <c r="D91" s="5" t="s">
        <v>2649</v>
      </c>
      <c r="E91" s="4" t="n">
        <v>10</v>
      </c>
      <c r="F91" s="4"/>
      <c r="G91" s="4"/>
      <c r="H91" s="4" t="s">
        <v>141</v>
      </c>
      <c r="I91" s="5" t="s">
        <v>170</v>
      </c>
      <c r="J91" s="4" t="s">
        <v>953</v>
      </c>
    </row>
    <row r="92" customFormat="false" ht="15" hidden="false" customHeight="false" outlineLevel="0" collapsed="false">
      <c r="A92" s="4" t="s">
        <v>2738</v>
      </c>
      <c r="B92" s="4" t="n">
        <v>50</v>
      </c>
      <c r="C92" s="4" t="s">
        <v>961</v>
      </c>
      <c r="D92" s="5" t="s">
        <v>2649</v>
      </c>
      <c r="E92" s="4" t="n">
        <v>50</v>
      </c>
      <c r="F92" s="4"/>
      <c r="G92" s="4"/>
      <c r="H92" s="4" t="s">
        <v>141</v>
      </c>
      <c r="I92" s="5" t="s">
        <v>170</v>
      </c>
      <c r="J92" s="4" t="s">
        <v>962</v>
      </c>
    </row>
    <row r="93" customFormat="false" ht="15" hidden="false" customHeight="false" outlineLevel="0" collapsed="false">
      <c r="A93" s="4" t="s">
        <v>2739</v>
      </c>
      <c r="B93" s="4" t="n">
        <v>50</v>
      </c>
      <c r="C93" s="4" t="s">
        <v>974</v>
      </c>
      <c r="D93" s="5" t="s">
        <v>2649</v>
      </c>
      <c r="E93" s="4" t="n">
        <v>50</v>
      </c>
      <c r="F93" s="4"/>
      <c r="G93" s="4"/>
      <c r="H93" s="4" t="s">
        <v>141</v>
      </c>
      <c r="I93" s="5" t="s">
        <v>170</v>
      </c>
      <c r="J93" s="4" t="s">
        <v>975</v>
      </c>
    </row>
    <row r="94" customFormat="false" ht="15" hidden="false" customHeight="false" outlineLevel="0" collapsed="false">
      <c r="A94" s="4" t="s">
        <v>2740</v>
      </c>
      <c r="B94" s="4" t="n">
        <v>25</v>
      </c>
      <c r="C94" s="4" t="s">
        <v>982</v>
      </c>
      <c r="D94" s="5" t="s">
        <v>2649</v>
      </c>
      <c r="E94" s="4" t="n">
        <v>25</v>
      </c>
      <c r="F94" s="4"/>
      <c r="G94" s="4"/>
      <c r="H94" s="4" t="s">
        <v>141</v>
      </c>
      <c r="I94" s="5" t="s">
        <v>170</v>
      </c>
      <c r="J94" s="4" t="s">
        <v>983</v>
      </c>
    </row>
    <row r="95" customFormat="false" ht="15" hidden="false" customHeight="false" outlineLevel="0" collapsed="false">
      <c r="A95" s="4" t="s">
        <v>2741</v>
      </c>
      <c r="B95" s="4" t="n">
        <v>20</v>
      </c>
      <c r="C95" s="4" t="s">
        <v>991</v>
      </c>
      <c r="D95" s="5" t="s">
        <v>2649</v>
      </c>
      <c r="E95" s="4" t="n">
        <v>20</v>
      </c>
      <c r="F95" s="4"/>
      <c r="G95" s="4"/>
      <c r="H95" s="4" t="s">
        <v>141</v>
      </c>
      <c r="I95" s="5" t="s">
        <v>170</v>
      </c>
      <c r="J95" s="4" t="s">
        <v>992</v>
      </c>
    </row>
    <row r="96" customFormat="false" ht="15" hidden="false" customHeight="false" outlineLevel="0" collapsed="false">
      <c r="A96" s="4" t="s">
        <v>2742</v>
      </c>
      <c r="B96" s="4" t="n">
        <v>1.2</v>
      </c>
      <c r="C96" s="4" t="s">
        <v>1012</v>
      </c>
      <c r="D96" s="5" t="s">
        <v>2649</v>
      </c>
      <c r="E96" s="4" t="n">
        <v>1.2</v>
      </c>
      <c r="F96" s="4"/>
      <c r="G96" s="4"/>
      <c r="H96" s="4" t="s">
        <v>141</v>
      </c>
      <c r="I96" s="5" t="s">
        <v>170</v>
      </c>
      <c r="J96" s="4" t="s">
        <v>1013</v>
      </c>
    </row>
    <row r="97" customFormat="false" ht="15" hidden="false" customHeight="false" outlineLevel="0" collapsed="false">
      <c r="A97" s="4" t="s">
        <v>2743</v>
      </c>
      <c r="B97" s="4" t="n">
        <v>3.96</v>
      </c>
      <c r="C97" s="4" t="s">
        <v>1022</v>
      </c>
      <c r="D97" s="5" t="s">
        <v>2649</v>
      </c>
      <c r="E97" s="4" t="n">
        <v>3.96</v>
      </c>
      <c r="F97" s="4"/>
      <c r="G97" s="4"/>
      <c r="H97" s="4" t="s">
        <v>141</v>
      </c>
      <c r="I97" s="5" t="s">
        <v>170</v>
      </c>
      <c r="J97" s="4" t="s">
        <v>1023</v>
      </c>
    </row>
    <row r="98" customFormat="false" ht="15" hidden="false" customHeight="false" outlineLevel="0" collapsed="false">
      <c r="A98" s="4" t="s">
        <v>2744</v>
      </c>
      <c r="B98" s="4" t="n">
        <v>4.4</v>
      </c>
      <c r="C98" s="4" t="s">
        <v>1043</v>
      </c>
      <c r="D98" s="5" t="s">
        <v>2649</v>
      </c>
      <c r="E98" s="4" t="n">
        <v>4.4</v>
      </c>
      <c r="F98" s="4"/>
      <c r="G98" s="4"/>
      <c r="H98" s="4" t="s">
        <v>141</v>
      </c>
      <c r="I98" s="5" t="s">
        <v>170</v>
      </c>
      <c r="J98" s="4" t="s">
        <v>1044</v>
      </c>
    </row>
    <row r="99" customFormat="false" ht="15" hidden="false" customHeight="false" outlineLevel="0" collapsed="false">
      <c r="A99" s="4" t="s">
        <v>2745</v>
      </c>
      <c r="B99" s="4" t="n">
        <v>0.5</v>
      </c>
      <c r="C99" s="4" t="s">
        <v>1053</v>
      </c>
      <c r="D99" s="5" t="s">
        <v>2649</v>
      </c>
      <c r="E99" s="4" t="n">
        <v>0.5</v>
      </c>
      <c r="F99" s="4"/>
      <c r="G99" s="4"/>
      <c r="H99" s="4" t="s">
        <v>141</v>
      </c>
      <c r="I99" s="5" t="s">
        <v>170</v>
      </c>
      <c r="J99" s="4" t="s">
        <v>1054</v>
      </c>
    </row>
    <row r="100" customFormat="false" ht="15" hidden="false" customHeight="false" outlineLevel="0" collapsed="false">
      <c r="A100" s="4" t="s">
        <v>2746</v>
      </c>
      <c r="B100" s="4" t="n">
        <v>6</v>
      </c>
      <c r="C100" s="4" t="s">
        <v>1076</v>
      </c>
      <c r="D100" s="5" t="s">
        <v>2649</v>
      </c>
      <c r="E100" s="4" t="n">
        <v>6</v>
      </c>
      <c r="F100" s="4"/>
      <c r="G100" s="4"/>
      <c r="H100" s="4" t="s">
        <v>141</v>
      </c>
      <c r="I100" s="5" t="s">
        <v>170</v>
      </c>
      <c r="J100" s="4" t="s">
        <v>1077</v>
      </c>
    </row>
    <row r="101" customFormat="false" ht="15" hidden="false" customHeight="false" outlineLevel="0" collapsed="false">
      <c r="A101" s="4" t="s">
        <v>2747</v>
      </c>
      <c r="B101" s="4" t="n">
        <v>15</v>
      </c>
      <c r="C101" s="4" t="s">
        <v>1065</v>
      </c>
      <c r="D101" s="5" t="s">
        <v>2649</v>
      </c>
      <c r="E101" s="4" t="n">
        <v>15</v>
      </c>
      <c r="F101" s="4"/>
      <c r="G101" s="4"/>
      <c r="H101" s="4" t="s">
        <v>141</v>
      </c>
      <c r="I101" s="5" t="s">
        <v>170</v>
      </c>
      <c r="J101" s="4" t="s">
        <v>1066</v>
      </c>
    </row>
    <row r="102" customFormat="false" ht="15" hidden="false" customHeight="false" outlineLevel="0" collapsed="false">
      <c r="A102" s="4" t="s">
        <v>2748</v>
      </c>
      <c r="B102" s="4" t="n">
        <v>1.2</v>
      </c>
      <c r="C102" s="4" t="s">
        <v>1090</v>
      </c>
      <c r="D102" s="5" t="s">
        <v>2649</v>
      </c>
      <c r="E102" s="4" t="n">
        <v>1.2</v>
      </c>
      <c r="F102" s="4"/>
      <c r="G102" s="4"/>
      <c r="H102" s="4" t="s">
        <v>141</v>
      </c>
      <c r="I102" s="5" t="s">
        <v>170</v>
      </c>
      <c r="J102" s="4" t="s">
        <v>1091</v>
      </c>
    </row>
    <row r="103" customFormat="false" ht="15" hidden="false" customHeight="false" outlineLevel="0" collapsed="false">
      <c r="A103" s="4" t="s">
        <v>2749</v>
      </c>
      <c r="B103" s="4" t="n">
        <v>37</v>
      </c>
      <c r="C103" s="4" t="s">
        <v>1128</v>
      </c>
      <c r="D103" s="5" t="s">
        <v>2649</v>
      </c>
      <c r="E103" s="4" t="n">
        <v>37</v>
      </c>
      <c r="F103" s="4"/>
      <c r="G103" s="4"/>
      <c r="H103" s="4" t="s">
        <v>141</v>
      </c>
      <c r="I103" s="5" t="s">
        <v>170</v>
      </c>
      <c r="J103" s="4" t="s">
        <v>1129</v>
      </c>
    </row>
    <row r="104" customFormat="false" ht="15" hidden="false" customHeight="false" outlineLevel="0" collapsed="false">
      <c r="A104" s="4" t="s">
        <v>2750</v>
      </c>
      <c r="B104" s="4" t="n">
        <v>48</v>
      </c>
      <c r="C104" s="4" t="s">
        <v>1121</v>
      </c>
      <c r="D104" s="5" t="s">
        <v>2649</v>
      </c>
      <c r="E104" s="4" t="n">
        <v>48</v>
      </c>
      <c r="F104" s="4"/>
      <c r="G104" s="4"/>
      <c r="H104" s="4" t="s">
        <v>141</v>
      </c>
      <c r="I104" s="5" t="s">
        <v>170</v>
      </c>
      <c r="J104" s="4" t="s">
        <v>1123</v>
      </c>
    </row>
    <row r="105" customFormat="false" ht="15" hidden="false" customHeight="false" outlineLevel="0" collapsed="false">
      <c r="A105" s="4" t="s">
        <v>2751</v>
      </c>
      <c r="B105" s="4" t="n">
        <v>53</v>
      </c>
      <c r="C105" s="4" t="s">
        <v>1093</v>
      </c>
      <c r="D105" s="5" t="s">
        <v>2649</v>
      </c>
      <c r="E105" s="4" t="n">
        <v>53</v>
      </c>
      <c r="F105" s="4"/>
      <c r="G105" s="4"/>
      <c r="H105" s="4" t="s">
        <v>141</v>
      </c>
      <c r="I105" s="5" t="s">
        <v>170</v>
      </c>
      <c r="J105" s="4" t="s">
        <v>1095</v>
      </c>
    </row>
    <row r="106" customFormat="false" ht="15" hidden="false" customHeight="false" outlineLevel="0" collapsed="false">
      <c r="A106" s="4" t="s">
        <v>2752</v>
      </c>
      <c r="B106" s="4" t="n">
        <v>53</v>
      </c>
      <c r="C106" s="4" t="s">
        <v>1100</v>
      </c>
      <c r="D106" s="5" t="s">
        <v>2649</v>
      </c>
      <c r="E106" s="4" t="n">
        <v>53</v>
      </c>
      <c r="F106" s="4"/>
      <c r="G106" s="4"/>
      <c r="H106" s="4" t="s">
        <v>141</v>
      </c>
      <c r="I106" s="5" t="s">
        <v>170</v>
      </c>
      <c r="J106" s="4" t="s">
        <v>1101</v>
      </c>
    </row>
    <row r="107" customFormat="false" ht="15" hidden="false" customHeight="false" outlineLevel="0" collapsed="false">
      <c r="A107" s="4" t="s">
        <v>2753</v>
      </c>
      <c r="B107" s="4" t="n">
        <v>51</v>
      </c>
      <c r="C107" s="4" t="s">
        <v>1103</v>
      </c>
      <c r="D107" s="5" t="s">
        <v>2649</v>
      </c>
      <c r="E107" s="4" t="n">
        <v>51</v>
      </c>
      <c r="F107" s="4"/>
      <c r="G107" s="4"/>
      <c r="H107" s="4" t="s">
        <v>141</v>
      </c>
      <c r="I107" s="5" t="s">
        <v>170</v>
      </c>
      <c r="J107" s="4" t="s">
        <v>1104</v>
      </c>
    </row>
    <row r="108" customFormat="false" ht="26.85" hidden="false" customHeight="false" outlineLevel="0" collapsed="false">
      <c r="A108" s="4" t="s">
        <v>2754</v>
      </c>
      <c r="B108" s="4" t="n">
        <v>39</v>
      </c>
      <c r="C108" s="4" t="s">
        <v>1131</v>
      </c>
      <c r="D108" s="5" t="s">
        <v>2649</v>
      </c>
      <c r="E108" s="4" t="n">
        <v>39</v>
      </c>
      <c r="F108" s="4"/>
      <c r="G108" s="4"/>
      <c r="H108" s="4" t="s">
        <v>141</v>
      </c>
      <c r="I108" s="5" t="s">
        <v>170</v>
      </c>
      <c r="J108" s="4" t="s">
        <v>1132</v>
      </c>
    </row>
    <row r="109" customFormat="false" ht="15" hidden="false" customHeight="false" outlineLevel="0" collapsed="false">
      <c r="A109" s="4" t="s">
        <v>2755</v>
      </c>
      <c r="B109" s="4" t="n">
        <v>36</v>
      </c>
      <c r="C109" s="4" t="s">
        <v>1116</v>
      </c>
      <c r="D109" s="5" t="s">
        <v>2756</v>
      </c>
      <c r="E109" s="4" t="n">
        <v>36</v>
      </c>
      <c r="F109" s="4"/>
      <c r="G109" s="4"/>
      <c r="H109" s="4" t="s">
        <v>141</v>
      </c>
      <c r="I109" s="4" t="s">
        <v>143</v>
      </c>
      <c r="J109" s="4" t="s">
        <v>1117</v>
      </c>
    </row>
    <row r="110" customFormat="false" ht="15" hidden="false" customHeight="false" outlineLevel="0" collapsed="false">
      <c r="A110" s="4" t="s">
        <v>2757</v>
      </c>
      <c r="B110" s="4" t="n">
        <v>45</v>
      </c>
      <c r="C110" s="4" t="s">
        <v>1134</v>
      </c>
      <c r="D110" s="5" t="s">
        <v>2649</v>
      </c>
      <c r="E110" s="4" t="n">
        <v>45</v>
      </c>
      <c r="F110" s="4"/>
      <c r="G110" s="4"/>
      <c r="H110" s="4" t="s">
        <v>141</v>
      </c>
      <c r="I110" s="5" t="s">
        <v>170</v>
      </c>
      <c r="J110" s="4" t="s">
        <v>1135</v>
      </c>
    </row>
    <row r="111" customFormat="false" ht="15" hidden="false" customHeight="false" outlineLevel="0" collapsed="false">
      <c r="A111" s="4" t="s">
        <v>2758</v>
      </c>
      <c r="B111" s="4" t="n">
        <v>42</v>
      </c>
      <c r="C111" s="4" t="s">
        <v>1108</v>
      </c>
      <c r="D111" s="5" t="s">
        <v>2649</v>
      </c>
      <c r="E111" s="4" t="n">
        <v>42</v>
      </c>
      <c r="F111" s="4"/>
      <c r="G111" s="4"/>
      <c r="H111" s="4" t="s">
        <v>141</v>
      </c>
      <c r="I111" s="5" t="s">
        <v>170</v>
      </c>
      <c r="J111" s="4" t="s">
        <v>1109</v>
      </c>
    </row>
    <row r="112" customFormat="false" ht="15" hidden="false" customHeight="false" outlineLevel="0" collapsed="false">
      <c r="A112" s="4" t="s">
        <v>2759</v>
      </c>
      <c r="B112" s="4" t="n">
        <v>40</v>
      </c>
      <c r="C112" s="4" t="s">
        <v>1111</v>
      </c>
      <c r="D112" s="5" t="s">
        <v>2756</v>
      </c>
      <c r="E112" s="4" t="n">
        <v>40</v>
      </c>
      <c r="F112" s="4"/>
      <c r="G112" s="4"/>
      <c r="H112" s="4" t="s">
        <v>141</v>
      </c>
      <c r="I112" s="4" t="s">
        <v>143</v>
      </c>
      <c r="J112" s="4" t="s">
        <v>1112</v>
      </c>
    </row>
    <row r="113" customFormat="false" ht="15" hidden="false" customHeight="false" outlineLevel="0" collapsed="false">
      <c r="A113" s="4" t="s">
        <v>2760</v>
      </c>
      <c r="B113" s="4" t="n">
        <v>3.57</v>
      </c>
      <c r="C113" s="4" t="s">
        <v>921</v>
      </c>
      <c r="D113" s="5" t="s">
        <v>2761</v>
      </c>
      <c r="E113" s="4" t="n">
        <v>3.57</v>
      </c>
      <c r="F113" s="4"/>
      <c r="G113" s="4"/>
      <c r="H113" s="4" t="s">
        <v>141</v>
      </c>
      <c r="I113" s="4" t="s">
        <v>143</v>
      </c>
      <c r="J113" s="5" t="s">
        <v>923</v>
      </c>
    </row>
    <row r="114" customFormat="false" ht="15" hidden="false" customHeight="false" outlineLevel="0" collapsed="false">
      <c r="A114" s="4" t="s">
        <v>2762</v>
      </c>
      <c r="B114" s="4" t="s">
        <v>2763</v>
      </c>
      <c r="C114" s="4" t="s">
        <v>765</v>
      </c>
      <c r="D114" s="5" t="s">
        <v>2761</v>
      </c>
      <c r="E114" s="4" t="n">
        <v>0.078</v>
      </c>
      <c r="F114" s="4"/>
      <c r="G114" s="4"/>
      <c r="H114" s="4" t="s">
        <v>141</v>
      </c>
      <c r="I114" s="4" t="s">
        <v>143</v>
      </c>
      <c r="J114" s="4" t="s">
        <v>766</v>
      </c>
    </row>
    <row r="115" customFormat="false" ht="15" hidden="false" customHeight="false" outlineLevel="0" collapsed="false">
      <c r="A115" s="4" t="s">
        <v>2764</v>
      </c>
      <c r="B115" s="4" t="s">
        <v>2765</v>
      </c>
      <c r="C115" s="4" t="s">
        <v>1180</v>
      </c>
      <c r="D115" s="5" t="s">
        <v>2761</v>
      </c>
      <c r="E115" s="4" t="n">
        <v>0.096</v>
      </c>
      <c r="F115" s="4"/>
      <c r="G115" s="4"/>
      <c r="H115" s="4" t="s">
        <v>141</v>
      </c>
      <c r="I115" s="4" t="s">
        <v>143</v>
      </c>
      <c r="J115" s="5" t="s">
        <v>1182</v>
      </c>
    </row>
    <row r="116" customFormat="false" ht="15" hidden="false" customHeight="false" outlineLevel="0" collapsed="false">
      <c r="A116" s="4" t="s">
        <v>2764</v>
      </c>
      <c r="B116" s="4" t="s">
        <v>2765</v>
      </c>
      <c r="C116" s="4" t="s">
        <v>1188</v>
      </c>
      <c r="D116" s="5" t="s">
        <v>2761</v>
      </c>
      <c r="E116" s="4" t="n">
        <v>0.226</v>
      </c>
      <c r="F116" s="4"/>
      <c r="G116" s="4"/>
      <c r="H116" s="4" t="s">
        <v>141</v>
      </c>
      <c r="I116" s="4" t="s">
        <v>143</v>
      </c>
      <c r="J116" s="5" t="s">
        <v>1189</v>
      </c>
    </row>
    <row r="117" customFormat="false" ht="15" hidden="false" customHeight="false" outlineLevel="0" collapsed="false">
      <c r="A117" s="4" t="s">
        <v>2766</v>
      </c>
      <c r="B117" s="4" t="s">
        <v>2767</v>
      </c>
      <c r="C117" s="4" t="s">
        <v>472</v>
      </c>
      <c r="D117" s="5" t="s">
        <v>2761</v>
      </c>
      <c r="E117" s="4"/>
      <c r="F117" s="4" t="n">
        <v>50</v>
      </c>
      <c r="G117" s="4" t="n">
        <v>60</v>
      </c>
      <c r="H117" s="4" t="s">
        <v>141</v>
      </c>
      <c r="I117" s="4" t="s">
        <v>143</v>
      </c>
      <c r="J117" s="5" t="s">
        <v>474</v>
      </c>
    </row>
    <row r="118" customFormat="false" ht="15" hidden="false" customHeight="false" outlineLevel="0" collapsed="false">
      <c r="A118" s="4" t="s">
        <v>2768</v>
      </c>
      <c r="B118" s="4" t="n">
        <v>10.456</v>
      </c>
      <c r="C118" s="4" t="s">
        <v>1209</v>
      </c>
      <c r="D118" s="5" t="s">
        <v>2656</v>
      </c>
      <c r="E118" s="4" t="n">
        <v>13.07</v>
      </c>
      <c r="F118" s="4"/>
      <c r="G118" s="4"/>
      <c r="H118" s="4" t="s">
        <v>141</v>
      </c>
      <c r="I118" s="4" t="s">
        <v>143</v>
      </c>
      <c r="J118" s="4" t="s">
        <v>1210</v>
      </c>
    </row>
    <row r="119" customFormat="false" ht="15" hidden="false" customHeight="false" outlineLevel="0" collapsed="false">
      <c r="A119" s="4" t="s">
        <v>2768</v>
      </c>
      <c r="B119" s="4" t="n">
        <v>10.456</v>
      </c>
      <c r="C119" s="4" t="s">
        <v>1212</v>
      </c>
      <c r="D119" s="5" t="s">
        <v>2656</v>
      </c>
      <c r="E119" s="4" t="n">
        <v>0.6</v>
      </c>
      <c r="F119" s="4"/>
      <c r="G119" s="4"/>
      <c r="H119" s="4" t="s">
        <v>141</v>
      </c>
      <c r="I119" s="4" t="s">
        <v>143</v>
      </c>
      <c r="J119" s="4" t="s">
        <v>1213</v>
      </c>
    </row>
    <row r="120" customFormat="false" ht="15" hidden="false" customHeight="false" outlineLevel="0" collapsed="false">
      <c r="A120" s="4" t="s">
        <v>2768</v>
      </c>
      <c r="B120" s="4" t="n">
        <v>10.456</v>
      </c>
      <c r="C120" s="4" t="s">
        <v>1217</v>
      </c>
      <c r="D120" s="5" t="s">
        <v>2656</v>
      </c>
      <c r="E120" s="4" t="n">
        <v>1.9</v>
      </c>
      <c r="F120" s="4"/>
      <c r="G120" s="4"/>
      <c r="H120" s="4" t="s">
        <v>141</v>
      </c>
      <c r="I120" s="4" t="s">
        <v>143</v>
      </c>
      <c r="J120" s="4" t="s">
        <v>1218</v>
      </c>
    </row>
    <row r="121" customFormat="false" ht="15" hidden="false" customHeight="false" outlineLevel="0" collapsed="false">
      <c r="A121" s="4" t="s">
        <v>2769</v>
      </c>
      <c r="B121" s="4" t="n">
        <v>35</v>
      </c>
      <c r="C121" s="4" t="s">
        <v>480</v>
      </c>
      <c r="D121" s="5" t="s">
        <v>2761</v>
      </c>
      <c r="E121" s="4" t="n">
        <v>35</v>
      </c>
      <c r="F121" s="4"/>
      <c r="G121" s="4"/>
      <c r="H121" s="4" t="s">
        <v>141</v>
      </c>
      <c r="I121" s="4" t="s">
        <v>143</v>
      </c>
      <c r="J121" s="5" t="s">
        <v>481</v>
      </c>
    </row>
    <row r="122" customFormat="false" ht="23.85" hidden="false" customHeight="false" outlineLevel="0" collapsed="false">
      <c r="A122" s="4" t="s">
        <v>2770</v>
      </c>
      <c r="B122" s="4" t="s">
        <v>2771</v>
      </c>
      <c r="C122" s="4" t="s">
        <v>431</v>
      </c>
      <c r="D122" s="5" t="s">
        <v>2761</v>
      </c>
      <c r="E122" s="4" t="n">
        <v>11.3</v>
      </c>
      <c r="F122" s="4"/>
      <c r="G122" s="4"/>
      <c r="H122" s="4" t="s">
        <v>141</v>
      </c>
      <c r="I122" s="4" t="s">
        <v>143</v>
      </c>
      <c r="J122" s="5" t="s">
        <v>433</v>
      </c>
    </row>
    <row r="123" customFormat="false" ht="23.85" hidden="false" customHeight="false" outlineLevel="0" collapsed="false">
      <c r="A123" s="4" t="s">
        <v>2770</v>
      </c>
      <c r="B123" s="4" t="s">
        <v>2771</v>
      </c>
      <c r="C123" s="4" t="s">
        <v>440</v>
      </c>
      <c r="D123" s="5" t="s">
        <v>2761</v>
      </c>
      <c r="E123" s="4"/>
      <c r="F123" s="4" t="n">
        <v>0.07</v>
      </c>
      <c r="G123" s="4" t="n">
        <v>0.1</v>
      </c>
      <c r="H123" s="4" t="s">
        <v>141</v>
      </c>
      <c r="I123" s="4" t="s">
        <v>143</v>
      </c>
      <c r="J123" s="5" t="s">
        <v>441</v>
      </c>
    </row>
    <row r="124" customFormat="false" ht="15" hidden="false" customHeight="false" outlineLevel="0" collapsed="false">
      <c r="A124" s="4" t="s">
        <v>2772</v>
      </c>
      <c r="B124" s="4" t="n">
        <v>0.51</v>
      </c>
      <c r="C124" s="4" t="s">
        <v>1258</v>
      </c>
      <c r="D124" s="5" t="s">
        <v>2761</v>
      </c>
      <c r="E124" s="4" t="n">
        <v>0.51</v>
      </c>
      <c r="F124" s="4"/>
      <c r="G124" s="4"/>
      <c r="H124" s="4" t="s">
        <v>141</v>
      </c>
      <c r="I124" s="4" t="s">
        <v>143</v>
      </c>
      <c r="J124" s="4" t="s">
        <v>1259</v>
      </c>
    </row>
    <row r="125" customFormat="false" ht="29.85" hidden="false" customHeight="false" outlineLevel="0" collapsed="false">
      <c r="A125" s="4" t="s">
        <v>2773</v>
      </c>
      <c r="B125" s="4" t="n">
        <v>2.21</v>
      </c>
      <c r="C125" s="4" t="s">
        <v>483</v>
      </c>
      <c r="D125" s="5" t="s">
        <v>2761</v>
      </c>
      <c r="E125" s="4" t="n">
        <v>2.21</v>
      </c>
      <c r="F125" s="4"/>
      <c r="G125" s="4"/>
      <c r="H125" s="4" t="s">
        <v>141</v>
      </c>
      <c r="I125" s="4" t="s">
        <v>143</v>
      </c>
      <c r="J125" s="4" t="s">
        <v>485</v>
      </c>
    </row>
    <row r="126" customFormat="false" ht="29.85" hidden="false" customHeight="false" outlineLevel="0" collapsed="false">
      <c r="A126" s="4" t="s">
        <v>2774</v>
      </c>
      <c r="B126" s="4" t="n">
        <v>2.65</v>
      </c>
      <c r="C126" s="4" t="s">
        <v>492</v>
      </c>
      <c r="D126" s="5" t="s">
        <v>2761</v>
      </c>
      <c r="E126" s="4" t="n">
        <v>2.65</v>
      </c>
      <c r="F126" s="4"/>
      <c r="G126" s="4"/>
      <c r="H126" s="4" t="s">
        <v>141</v>
      </c>
      <c r="I126" s="4" t="s">
        <v>143</v>
      </c>
      <c r="J126" s="4" t="s">
        <v>493</v>
      </c>
    </row>
    <row r="127" customFormat="false" ht="15" hidden="false" customHeight="false" outlineLevel="0" collapsed="false">
      <c r="A127" s="4" t="s">
        <v>2775</v>
      </c>
      <c r="B127" s="4" t="n">
        <v>10.5</v>
      </c>
      <c r="C127" s="4" t="s">
        <v>912</v>
      </c>
      <c r="D127" s="5" t="s">
        <v>2656</v>
      </c>
      <c r="E127" s="4" t="n">
        <v>42</v>
      </c>
      <c r="F127" s="4"/>
      <c r="G127" s="4"/>
      <c r="H127" s="4" t="s">
        <v>141</v>
      </c>
      <c r="I127" s="4" t="s">
        <v>143</v>
      </c>
      <c r="J127" s="4" t="s">
        <v>914</v>
      </c>
    </row>
    <row r="128" customFormat="false" ht="29.85" hidden="false" customHeight="false" outlineLevel="0" collapsed="false">
      <c r="A128" s="4" t="s">
        <v>2776</v>
      </c>
      <c r="B128" s="4" t="n">
        <v>0.627</v>
      </c>
      <c r="C128" s="4" t="s">
        <v>1231</v>
      </c>
      <c r="D128" s="5" t="s">
        <v>2649</v>
      </c>
      <c r="E128" s="4" t="n">
        <v>0.627</v>
      </c>
      <c r="F128" s="4"/>
      <c r="G128" s="4"/>
      <c r="H128" s="4" t="s">
        <v>141</v>
      </c>
      <c r="I128" s="5" t="s">
        <v>170</v>
      </c>
      <c r="J128" s="4" t="s">
        <v>1233</v>
      </c>
    </row>
    <row r="129" customFormat="false" ht="15" hidden="false" customHeight="false" outlineLevel="0" collapsed="false">
      <c r="A129" s="4" t="s">
        <v>2777</v>
      </c>
      <c r="B129" s="4" t="n">
        <v>0.986</v>
      </c>
      <c r="C129" s="4" t="s">
        <v>1241</v>
      </c>
      <c r="D129" s="5" t="s">
        <v>2649</v>
      </c>
      <c r="E129" s="4" t="n">
        <v>0.986</v>
      </c>
      <c r="F129" s="4"/>
      <c r="G129" s="4"/>
      <c r="H129" s="4" t="s">
        <v>141</v>
      </c>
      <c r="I129" s="5" t="s">
        <v>170</v>
      </c>
      <c r="J129" s="4" t="s">
        <v>1242</v>
      </c>
    </row>
    <row r="130" customFormat="false" ht="15" hidden="false" customHeight="false" outlineLevel="0" collapsed="false">
      <c r="A130" s="4" t="s">
        <v>2778</v>
      </c>
      <c r="B130" s="4" t="n">
        <v>0.999</v>
      </c>
      <c r="C130" s="4" t="s">
        <v>1247</v>
      </c>
      <c r="D130" s="5" t="s">
        <v>2649</v>
      </c>
      <c r="E130" s="4" t="n">
        <v>0.999</v>
      </c>
      <c r="F130" s="4"/>
      <c r="G130" s="4"/>
      <c r="H130" s="4" t="s">
        <v>141</v>
      </c>
      <c r="I130" s="5" t="s">
        <v>170</v>
      </c>
      <c r="J130" s="4" t="s">
        <v>1248</v>
      </c>
    </row>
    <row r="131" customFormat="false" ht="29.85" hidden="false" customHeight="false" outlineLevel="0" collapsed="false">
      <c r="A131" s="4" t="s">
        <v>2779</v>
      </c>
      <c r="B131" s="4" t="n">
        <v>0.302</v>
      </c>
      <c r="C131" s="4" t="s">
        <v>1264</v>
      </c>
      <c r="D131" s="5" t="s">
        <v>2649</v>
      </c>
      <c r="E131" s="4" t="n">
        <v>0.302</v>
      </c>
      <c r="F131" s="4"/>
      <c r="G131" s="4"/>
      <c r="H131" s="4" t="s">
        <v>141</v>
      </c>
      <c r="I131" s="5" t="s">
        <v>170</v>
      </c>
      <c r="J131" s="4" t="s">
        <v>1265</v>
      </c>
    </row>
    <row r="132" customFormat="false" ht="15" hidden="false" customHeight="false" outlineLevel="0" collapsed="false">
      <c r="A132" s="4" t="s">
        <v>2780</v>
      </c>
      <c r="B132" s="4" t="n">
        <v>1</v>
      </c>
      <c r="C132" s="4" t="s">
        <v>1277</v>
      </c>
      <c r="D132" s="5" t="s">
        <v>2649</v>
      </c>
      <c r="E132" s="4" t="n">
        <v>1</v>
      </c>
      <c r="F132" s="4"/>
      <c r="G132" s="4"/>
      <c r="H132" s="4" t="s">
        <v>141</v>
      </c>
      <c r="I132" s="5" t="s">
        <v>170</v>
      </c>
      <c r="J132" s="4" t="s">
        <v>1279</v>
      </c>
    </row>
    <row r="133" customFormat="false" ht="15" hidden="false" customHeight="false" outlineLevel="0" collapsed="false">
      <c r="A133" s="4" t="s">
        <v>2781</v>
      </c>
      <c r="B133" s="4" t="n">
        <v>3.5667</v>
      </c>
      <c r="C133" s="4" t="s">
        <v>1138</v>
      </c>
      <c r="D133" s="5" t="s">
        <v>2649</v>
      </c>
      <c r="E133" s="4" t="n">
        <v>3.5667</v>
      </c>
      <c r="F133" s="4"/>
      <c r="G133" s="4"/>
      <c r="H133" s="4" t="s">
        <v>141</v>
      </c>
      <c r="I133" s="5" t="s">
        <v>170</v>
      </c>
      <c r="J133" s="4" t="s">
        <v>1140</v>
      </c>
    </row>
    <row r="134" customFormat="false" ht="15" hidden="false" customHeight="false" outlineLevel="0" collapsed="false">
      <c r="A134" s="4" t="s">
        <v>2782</v>
      </c>
      <c r="B134" s="4" t="n">
        <v>6.5667</v>
      </c>
      <c r="C134" s="4" t="s">
        <v>1151</v>
      </c>
      <c r="D134" s="5" t="s">
        <v>2649</v>
      </c>
      <c r="E134" s="4" t="n">
        <v>6.5667</v>
      </c>
      <c r="F134" s="4"/>
      <c r="G134" s="4"/>
      <c r="H134" s="4" t="s">
        <v>141</v>
      </c>
      <c r="I134" s="5" t="s">
        <v>170</v>
      </c>
      <c r="J134" s="4" t="s">
        <v>1152</v>
      </c>
    </row>
    <row r="135" customFormat="false" ht="15" hidden="false" customHeight="false" outlineLevel="0" collapsed="false">
      <c r="A135" s="4" t="s">
        <v>2783</v>
      </c>
      <c r="B135" s="4" t="n">
        <v>5.7</v>
      </c>
      <c r="C135" s="4" t="s">
        <v>1159</v>
      </c>
      <c r="D135" s="5" t="s">
        <v>2649</v>
      </c>
      <c r="E135" s="4" t="n">
        <v>5.7</v>
      </c>
      <c r="F135" s="4"/>
      <c r="G135" s="4"/>
      <c r="H135" s="4" t="s">
        <v>141</v>
      </c>
      <c r="I135" s="5" t="s">
        <v>170</v>
      </c>
      <c r="J135" s="4" t="s">
        <v>1160</v>
      </c>
    </row>
    <row r="136" customFormat="false" ht="15" hidden="false" customHeight="false" outlineLevel="0" collapsed="false">
      <c r="A136" s="4" t="s">
        <v>2784</v>
      </c>
      <c r="B136" s="4" t="n">
        <v>5.8333</v>
      </c>
      <c r="C136" s="4" t="s">
        <v>1166</v>
      </c>
      <c r="D136" s="5" t="s">
        <v>2649</v>
      </c>
      <c r="E136" s="4" t="n">
        <v>5.8333</v>
      </c>
      <c r="F136" s="4"/>
      <c r="G136" s="4"/>
      <c r="H136" s="4" t="s">
        <v>141</v>
      </c>
      <c r="I136" s="5" t="s">
        <v>170</v>
      </c>
      <c r="J136" s="4" t="s">
        <v>1167</v>
      </c>
    </row>
    <row r="137" customFormat="false" ht="15" hidden="false" customHeight="false" outlineLevel="0" collapsed="false">
      <c r="A137" s="4" t="s">
        <v>2785</v>
      </c>
      <c r="B137" s="4" t="n">
        <v>26098</v>
      </c>
      <c r="C137" s="4" t="s">
        <v>1237</v>
      </c>
      <c r="D137" s="5" t="s">
        <v>2649</v>
      </c>
      <c r="E137" s="4" t="n">
        <v>26098</v>
      </c>
      <c r="F137" s="4"/>
      <c r="G137" s="4"/>
      <c r="H137" s="4" t="s">
        <v>141</v>
      </c>
      <c r="I137" s="5" t="s">
        <v>170</v>
      </c>
      <c r="J137" s="4" t="s">
        <v>1238</v>
      </c>
    </row>
    <row r="138" customFormat="false" ht="15" hidden="false" customHeight="false" outlineLevel="0" collapsed="false">
      <c r="A138" s="4" t="s">
        <v>2786</v>
      </c>
      <c r="B138" s="4" t="n">
        <v>17332</v>
      </c>
      <c r="C138" s="4" t="s">
        <v>1244</v>
      </c>
      <c r="D138" s="5" t="s">
        <v>2649</v>
      </c>
      <c r="E138" s="4" t="n">
        <v>17332</v>
      </c>
      <c r="F138" s="4"/>
      <c r="G138" s="4"/>
      <c r="H138" s="4" t="s">
        <v>141</v>
      </c>
      <c r="I138" s="5" t="s">
        <v>170</v>
      </c>
      <c r="J138" s="4" t="s">
        <v>1245</v>
      </c>
    </row>
    <row r="139" customFormat="false" ht="15" hidden="false" customHeight="false" outlineLevel="0" collapsed="false">
      <c r="A139" s="4" t="s">
        <v>2787</v>
      </c>
      <c r="B139" s="4" t="n">
        <v>18817</v>
      </c>
      <c r="C139" s="4" t="s">
        <v>1251</v>
      </c>
      <c r="D139" s="5" t="s">
        <v>2649</v>
      </c>
      <c r="E139" s="4" t="n">
        <v>18817</v>
      </c>
      <c r="F139" s="4"/>
      <c r="G139" s="4"/>
      <c r="H139" s="4" t="s">
        <v>141</v>
      </c>
      <c r="I139" s="5" t="s">
        <v>170</v>
      </c>
      <c r="J139" s="4" t="s">
        <v>1252</v>
      </c>
    </row>
    <row r="140" customFormat="false" ht="15" hidden="false" customHeight="false" outlineLevel="0" collapsed="false">
      <c r="A140" s="4" t="s">
        <v>2788</v>
      </c>
      <c r="B140" s="4" t="n">
        <v>0.5333</v>
      </c>
      <c r="C140" s="4" t="s">
        <v>1147</v>
      </c>
      <c r="D140" s="5" t="s">
        <v>2649</v>
      </c>
      <c r="E140" s="4" t="n">
        <v>0.5333</v>
      </c>
      <c r="F140" s="4"/>
      <c r="G140" s="4"/>
      <c r="H140" s="4" t="s">
        <v>141</v>
      </c>
      <c r="I140" s="5" t="s">
        <v>170</v>
      </c>
      <c r="J140" s="4" t="s">
        <v>1148</v>
      </c>
    </row>
    <row r="141" customFormat="false" ht="15" hidden="false" customHeight="false" outlineLevel="0" collapsed="false">
      <c r="A141" s="4" t="s">
        <v>2789</v>
      </c>
      <c r="B141" s="4" t="n">
        <v>0.9167</v>
      </c>
      <c r="C141" s="4" t="s">
        <v>1156</v>
      </c>
      <c r="D141" s="5" t="s">
        <v>2649</v>
      </c>
      <c r="E141" s="4" t="n">
        <v>0.9167</v>
      </c>
      <c r="F141" s="4"/>
      <c r="G141" s="4"/>
      <c r="H141" s="4" t="s">
        <v>141</v>
      </c>
      <c r="I141" s="5" t="s">
        <v>170</v>
      </c>
      <c r="J141" s="4" t="s">
        <v>1157</v>
      </c>
    </row>
    <row r="142" customFormat="false" ht="15" hidden="false" customHeight="false" outlineLevel="0" collapsed="false">
      <c r="A142" s="4" t="s">
        <v>2790</v>
      </c>
      <c r="B142" s="4" t="n">
        <v>0.9</v>
      </c>
      <c r="C142" s="4" t="s">
        <v>1163</v>
      </c>
      <c r="D142" s="5" t="s">
        <v>2649</v>
      </c>
      <c r="E142" s="4" t="n">
        <v>0.9</v>
      </c>
      <c r="F142" s="4"/>
      <c r="G142" s="4"/>
      <c r="H142" s="4" t="s">
        <v>141</v>
      </c>
      <c r="I142" s="5" t="s">
        <v>170</v>
      </c>
      <c r="J142" s="4" t="s">
        <v>1164</v>
      </c>
    </row>
    <row r="143" customFormat="false" ht="15" hidden="false" customHeight="false" outlineLevel="0" collapsed="false">
      <c r="A143" s="4" t="s">
        <v>2791</v>
      </c>
      <c r="B143" s="4" t="n">
        <v>1.5</v>
      </c>
      <c r="C143" s="4" t="s">
        <v>1170</v>
      </c>
      <c r="D143" s="5" t="s">
        <v>2649</v>
      </c>
      <c r="E143" s="4" t="n">
        <v>1.5</v>
      </c>
      <c r="F143" s="4"/>
      <c r="G143" s="4"/>
      <c r="H143" s="4" t="s">
        <v>141</v>
      </c>
      <c r="I143" s="5" t="s">
        <v>170</v>
      </c>
      <c r="J143" s="4" t="s">
        <v>1171</v>
      </c>
    </row>
    <row r="144" customFormat="false" ht="15" hidden="false" customHeight="false" outlineLevel="0" collapsed="false">
      <c r="A144" s="4" t="s">
        <v>2792</v>
      </c>
      <c r="B144" s="4" t="n">
        <v>0.51</v>
      </c>
      <c r="C144" s="4" t="s">
        <v>1258</v>
      </c>
      <c r="D144" s="5" t="s">
        <v>2649</v>
      </c>
      <c r="E144" s="4" t="n">
        <v>0.51</v>
      </c>
      <c r="F144" s="4"/>
      <c r="G144" s="4"/>
      <c r="H144" s="4" t="s">
        <v>141</v>
      </c>
      <c r="I144" s="5" t="s">
        <v>170</v>
      </c>
      <c r="J144" s="4" t="s">
        <v>1259</v>
      </c>
    </row>
    <row r="145" customFormat="false" ht="15" hidden="false" customHeight="false" outlineLevel="0" collapsed="false">
      <c r="A145" s="4" t="s">
        <v>2793</v>
      </c>
      <c r="B145" s="4" t="n">
        <v>3.75</v>
      </c>
      <c r="C145" s="4" t="s">
        <v>1227</v>
      </c>
      <c r="D145" s="5" t="s">
        <v>2656</v>
      </c>
      <c r="E145" s="4" t="n">
        <v>15</v>
      </c>
      <c r="F145" s="4"/>
      <c r="G145" s="4"/>
      <c r="H145" s="4" t="s">
        <v>141</v>
      </c>
      <c r="I145" s="4" t="s">
        <v>143</v>
      </c>
      <c r="J145" s="4" t="s">
        <v>1228</v>
      </c>
    </row>
    <row r="146" customFormat="false" ht="15" hidden="false" customHeight="false" outlineLevel="0" collapsed="false">
      <c r="A146" s="4" t="s">
        <v>2794</v>
      </c>
      <c r="B146" s="4" t="n">
        <v>0.08</v>
      </c>
      <c r="C146" s="4" t="s">
        <v>452</v>
      </c>
      <c r="D146" s="5" t="s">
        <v>2756</v>
      </c>
      <c r="E146" s="4" t="n">
        <v>0.0871</v>
      </c>
      <c r="F146" s="4"/>
      <c r="G146" s="4"/>
      <c r="H146" s="4" t="s">
        <v>141</v>
      </c>
      <c r="I146" s="4" t="s">
        <v>143</v>
      </c>
      <c r="J146" s="5" t="s">
        <v>453</v>
      </c>
    </row>
    <row r="147" customFormat="false" ht="15" hidden="false" customHeight="false" outlineLevel="0" collapsed="false">
      <c r="A147" s="4" t="s">
        <v>2795</v>
      </c>
      <c r="B147" s="4" t="n">
        <v>0.1</v>
      </c>
      <c r="C147" s="4" t="s">
        <v>418</v>
      </c>
      <c r="D147" s="5" t="s">
        <v>2756</v>
      </c>
      <c r="E147" s="4"/>
      <c r="F147" s="4" t="n">
        <v>0.04</v>
      </c>
      <c r="G147" s="4" t="n">
        <v>0.08</v>
      </c>
      <c r="H147" s="4" t="s">
        <v>141</v>
      </c>
      <c r="I147" s="4" t="s">
        <v>143</v>
      </c>
      <c r="J147" s="4" t="s">
        <v>420</v>
      </c>
    </row>
    <row r="148" customFormat="false" ht="15" hidden="false" customHeight="false" outlineLevel="0" collapsed="false">
      <c r="A148" s="4" t="s">
        <v>2796</v>
      </c>
      <c r="B148" s="4" t="n">
        <v>6</v>
      </c>
      <c r="C148" s="4" t="s">
        <v>456</v>
      </c>
      <c r="D148" s="5" t="s">
        <v>2649</v>
      </c>
      <c r="E148" s="4" t="n">
        <v>6</v>
      </c>
      <c r="F148" s="4"/>
      <c r="G148" s="4"/>
      <c r="H148" s="4" t="s">
        <v>141</v>
      </c>
      <c r="I148" s="5" t="s">
        <v>170</v>
      </c>
      <c r="J148" s="4" t="s">
        <v>458</v>
      </c>
    </row>
    <row r="149" customFormat="false" ht="15" hidden="false" customHeight="false" outlineLevel="0" collapsed="false">
      <c r="A149" s="4" t="s">
        <v>2797</v>
      </c>
      <c r="B149" s="4" t="n">
        <v>0.15</v>
      </c>
      <c r="C149" s="4" t="s">
        <v>426</v>
      </c>
      <c r="D149" s="5" t="s">
        <v>2649</v>
      </c>
      <c r="E149" s="4" t="n">
        <v>0.15</v>
      </c>
      <c r="F149" s="4"/>
      <c r="G149" s="4"/>
      <c r="H149" s="4" t="s">
        <v>141</v>
      </c>
      <c r="I149" s="5" t="s">
        <v>170</v>
      </c>
      <c r="J149" s="5" t="s">
        <v>427</v>
      </c>
    </row>
    <row r="150" customFormat="false" ht="15" hidden="false" customHeight="false" outlineLevel="0" collapsed="false">
      <c r="A150" s="4" t="s">
        <v>2798</v>
      </c>
      <c r="B150" s="4" t="n">
        <v>4</v>
      </c>
      <c r="C150" s="4" t="s">
        <v>465</v>
      </c>
      <c r="D150" s="5" t="s">
        <v>2649</v>
      </c>
      <c r="E150" s="4" t="n">
        <v>4</v>
      </c>
      <c r="F150" s="4"/>
      <c r="G150" s="4"/>
      <c r="H150" s="4" t="s">
        <v>141</v>
      </c>
      <c r="I150" s="5" t="s">
        <v>170</v>
      </c>
      <c r="J150" s="4" t="s">
        <v>466</v>
      </c>
    </row>
    <row r="151" customFormat="false" ht="15" hidden="false" customHeight="false" outlineLevel="0" collapsed="false">
      <c r="A151" s="4" t="s">
        <v>2799</v>
      </c>
      <c r="B151" s="4" t="n">
        <v>120</v>
      </c>
      <c r="C151" s="4" t="s">
        <v>794</v>
      </c>
      <c r="D151" s="5" t="s">
        <v>2649</v>
      </c>
      <c r="E151" s="4" t="n">
        <v>120</v>
      </c>
      <c r="F151" s="4"/>
      <c r="G151" s="4"/>
      <c r="H151" s="4" t="s">
        <v>141</v>
      </c>
      <c r="I151" s="5" t="s">
        <v>170</v>
      </c>
      <c r="J151" s="5" t="s">
        <v>796</v>
      </c>
    </row>
    <row r="152" customFormat="false" ht="15" hidden="false" customHeight="false" outlineLevel="0" collapsed="false">
      <c r="A152" s="4" t="s">
        <v>2800</v>
      </c>
      <c r="B152" s="4" t="n">
        <v>0.7</v>
      </c>
      <c r="C152" s="4" t="s">
        <v>733</v>
      </c>
      <c r="D152" s="5" t="s">
        <v>2649</v>
      </c>
      <c r="E152" s="4" t="n">
        <v>0.7</v>
      </c>
      <c r="F152" s="4"/>
      <c r="G152" s="4"/>
      <c r="H152" s="4" t="s">
        <v>141</v>
      </c>
      <c r="I152" s="5" t="s">
        <v>170</v>
      </c>
      <c r="J152" s="4" t="s">
        <v>734</v>
      </c>
    </row>
    <row r="153" customFormat="false" ht="15" hidden="false" customHeight="false" outlineLevel="0" collapsed="false">
      <c r="A153" s="4" t="s">
        <v>2801</v>
      </c>
      <c r="B153" s="4" t="n">
        <v>65</v>
      </c>
      <c r="C153" s="4" t="s">
        <v>803</v>
      </c>
      <c r="D153" s="5" t="s">
        <v>2756</v>
      </c>
      <c r="E153" s="4" t="n">
        <v>68</v>
      </c>
      <c r="F153" s="4"/>
      <c r="G153" s="4"/>
      <c r="H153" s="4" t="s">
        <v>141</v>
      </c>
      <c r="I153" s="4" t="s">
        <v>143</v>
      </c>
      <c r="J153" s="5" t="s">
        <v>804</v>
      </c>
    </row>
    <row r="154" customFormat="false" ht="15" hidden="false" customHeight="false" outlineLevel="0" collapsed="false">
      <c r="A154" s="4" t="s">
        <v>2802</v>
      </c>
      <c r="B154" s="4" t="n">
        <v>55</v>
      </c>
      <c r="C154" s="4" t="s">
        <v>808</v>
      </c>
      <c r="D154" s="5" t="s">
        <v>2756</v>
      </c>
      <c r="E154" s="4"/>
      <c r="F154" s="4" t="n">
        <v>52</v>
      </c>
      <c r="G154" s="4" t="n">
        <v>56</v>
      </c>
      <c r="H154" s="4" t="s">
        <v>141</v>
      </c>
      <c r="I154" s="4" t="s">
        <v>143</v>
      </c>
      <c r="J154" s="5" t="s">
        <v>809</v>
      </c>
    </row>
    <row r="155" customFormat="false" ht="15" hidden="false" customHeight="false" outlineLevel="0" collapsed="false">
      <c r="A155" s="4" t="s">
        <v>2803</v>
      </c>
      <c r="B155" s="4" t="n">
        <v>0.9</v>
      </c>
      <c r="C155" s="4" t="s">
        <v>155</v>
      </c>
      <c r="D155" s="5" t="s">
        <v>2804</v>
      </c>
      <c r="E155" s="4"/>
      <c r="F155" s="4" t="n">
        <v>220000</v>
      </c>
      <c r="G155" s="4" t="n">
        <v>320000</v>
      </c>
      <c r="H155" s="4" t="s">
        <v>141</v>
      </c>
      <c r="I155" s="4" t="s">
        <v>143</v>
      </c>
      <c r="J155" s="4" t="s">
        <v>156</v>
      </c>
    </row>
    <row r="156" customFormat="false" ht="15" hidden="false" customHeight="false" outlineLevel="0" collapsed="false">
      <c r="A156" s="4" t="s">
        <v>2805</v>
      </c>
      <c r="B156" s="4" t="n">
        <v>1.3</v>
      </c>
      <c r="C156" s="4" t="s">
        <v>155</v>
      </c>
      <c r="D156" s="5" t="s">
        <v>2804</v>
      </c>
      <c r="E156" s="4"/>
      <c r="F156" s="4" t="n">
        <v>220000</v>
      </c>
      <c r="G156" s="4" t="n">
        <v>320000</v>
      </c>
      <c r="H156" s="4" t="s">
        <v>141</v>
      </c>
      <c r="I156" s="4" t="s">
        <v>143</v>
      </c>
      <c r="J156" s="4" t="s">
        <v>156</v>
      </c>
    </row>
    <row r="157" customFormat="false" ht="15" hidden="false" customHeight="false" outlineLevel="0" collapsed="false">
      <c r="A157" s="4" t="s">
        <v>2806</v>
      </c>
      <c r="B157" s="4" t="n">
        <v>1.979</v>
      </c>
      <c r="C157" s="4" t="s">
        <v>351</v>
      </c>
      <c r="D157" s="5" t="s">
        <v>2649</v>
      </c>
      <c r="E157" s="4" t="n">
        <v>1.979</v>
      </c>
      <c r="F157" s="4"/>
      <c r="G157" s="4"/>
      <c r="H157" s="4" t="s">
        <v>141</v>
      </c>
      <c r="I157" s="5" t="s">
        <v>170</v>
      </c>
      <c r="J157" s="4" t="s">
        <v>353</v>
      </c>
    </row>
    <row r="158" customFormat="false" ht="15" hidden="false" customHeight="false" outlineLevel="0" collapsed="false">
      <c r="A158" s="4" t="s">
        <v>2807</v>
      </c>
      <c r="B158" s="4" t="n">
        <v>80</v>
      </c>
      <c r="C158" s="4" t="s">
        <v>264</v>
      </c>
      <c r="D158" s="5" t="s">
        <v>2649</v>
      </c>
      <c r="E158" s="4" t="n">
        <v>80</v>
      </c>
      <c r="F158" s="4"/>
      <c r="G158" s="4"/>
      <c r="H158" s="4" t="s">
        <v>141</v>
      </c>
      <c r="I158" s="5" t="s">
        <v>170</v>
      </c>
      <c r="J158" s="4" t="s">
        <v>265</v>
      </c>
    </row>
    <row r="159" customFormat="false" ht="15" hidden="false" customHeight="false" outlineLevel="0" collapsed="false">
      <c r="A159" s="4" t="s">
        <v>2808</v>
      </c>
      <c r="B159" s="4" t="n">
        <v>3.35</v>
      </c>
      <c r="C159" s="4" t="s">
        <v>268</v>
      </c>
      <c r="D159" s="5" t="s">
        <v>2649</v>
      </c>
      <c r="E159" s="4" t="n">
        <v>3.35</v>
      </c>
      <c r="F159" s="4"/>
      <c r="G159" s="4"/>
      <c r="H159" s="4" t="s">
        <v>141</v>
      </c>
      <c r="I159" s="5" t="s">
        <v>170</v>
      </c>
      <c r="J159" s="4" t="s">
        <v>269</v>
      </c>
    </row>
    <row r="160" customFormat="false" ht="15" hidden="false" customHeight="false" outlineLevel="0" collapsed="false">
      <c r="A160" s="4" t="s">
        <v>2809</v>
      </c>
      <c r="B160" s="4" t="n">
        <v>31</v>
      </c>
      <c r="C160" s="4" t="s">
        <v>310</v>
      </c>
      <c r="D160" s="5" t="s">
        <v>2804</v>
      </c>
      <c r="E160" s="4" t="n">
        <v>3.9</v>
      </c>
      <c r="F160" s="4"/>
      <c r="G160" s="4"/>
      <c r="H160" s="4" t="s">
        <v>141</v>
      </c>
      <c r="I160" s="4" t="s">
        <v>143</v>
      </c>
      <c r="J160" s="4" t="s">
        <v>312</v>
      </c>
    </row>
    <row r="161" customFormat="false" ht="15" hidden="false" customHeight="false" outlineLevel="0" collapsed="false">
      <c r="A161" s="4" t="s">
        <v>2810</v>
      </c>
      <c r="B161" s="4" t="n">
        <v>0.989</v>
      </c>
      <c r="C161" s="4" t="s">
        <v>255</v>
      </c>
      <c r="D161" s="5" t="s">
        <v>2649</v>
      </c>
      <c r="E161" s="4" t="n">
        <v>0.989</v>
      </c>
      <c r="F161" s="4"/>
      <c r="G161" s="4"/>
      <c r="H161" s="4" t="s">
        <v>141</v>
      </c>
      <c r="I161" s="5" t="s">
        <v>170</v>
      </c>
      <c r="J161" s="4" t="s">
        <v>257</v>
      </c>
    </row>
    <row r="162" customFormat="false" ht="15" hidden="false" customHeight="false" outlineLevel="0" collapsed="false">
      <c r="A162" s="4" t="s">
        <v>2811</v>
      </c>
      <c r="B162" s="4" t="n">
        <v>1.979</v>
      </c>
      <c r="C162" s="4" t="s">
        <v>351</v>
      </c>
      <c r="D162" s="5" t="s">
        <v>2649</v>
      </c>
      <c r="E162" s="4" t="n">
        <v>1.979</v>
      </c>
      <c r="F162" s="4"/>
      <c r="G162" s="4"/>
      <c r="H162" s="4" t="s">
        <v>141</v>
      </c>
      <c r="I162" s="5" t="s">
        <v>170</v>
      </c>
      <c r="J162" s="4" t="s">
        <v>353</v>
      </c>
    </row>
    <row r="163" customFormat="false" ht="15" hidden="false" customHeight="false" outlineLevel="0" collapsed="false">
      <c r="A163" s="4" t="s">
        <v>2812</v>
      </c>
      <c r="B163" s="4" t="n">
        <v>41</v>
      </c>
      <c r="C163" s="4" t="s">
        <v>131</v>
      </c>
      <c r="D163" s="5" t="s">
        <v>2804</v>
      </c>
      <c r="E163" s="4" t="n">
        <v>10.2</v>
      </c>
      <c r="F163" s="4"/>
      <c r="G163" s="4"/>
      <c r="H163" s="4" t="s">
        <v>141</v>
      </c>
      <c r="I163" s="4" t="s">
        <v>143</v>
      </c>
      <c r="J163" s="4" t="s">
        <v>133</v>
      </c>
    </row>
    <row r="164" customFormat="false" ht="15" hidden="false" customHeight="false" outlineLevel="0" collapsed="false">
      <c r="A164" s="4" t="s">
        <v>2813</v>
      </c>
      <c r="B164" s="4" t="n">
        <v>2.8</v>
      </c>
      <c r="C164" s="4" t="s">
        <v>178</v>
      </c>
      <c r="D164" s="5" t="s">
        <v>2649</v>
      </c>
      <c r="E164" s="4"/>
      <c r="F164" s="4" t="n">
        <v>2.8</v>
      </c>
      <c r="G164" s="4" t="n">
        <v>3.4</v>
      </c>
      <c r="H164" s="4" t="s">
        <v>141</v>
      </c>
      <c r="I164" s="5" t="s">
        <v>170</v>
      </c>
      <c r="J164" s="4" t="s">
        <v>180</v>
      </c>
    </row>
    <row r="165" customFormat="false" ht="15" hidden="false" customHeight="false" outlineLevel="0" collapsed="false">
      <c r="A165" s="4" t="s">
        <v>2814</v>
      </c>
      <c r="B165" s="4" t="n">
        <v>3.1</v>
      </c>
      <c r="C165" s="4" t="s">
        <v>178</v>
      </c>
      <c r="D165" s="5" t="s">
        <v>2656</v>
      </c>
      <c r="E165" s="4"/>
      <c r="F165" s="4" t="n">
        <v>2.8</v>
      </c>
      <c r="G165" s="4" t="n">
        <v>3.4</v>
      </c>
      <c r="H165" s="4" t="s">
        <v>141</v>
      </c>
      <c r="I165" s="4" t="s">
        <v>143</v>
      </c>
      <c r="J165" s="4" t="s">
        <v>180</v>
      </c>
    </row>
    <row r="166" customFormat="false" ht="15" hidden="false" customHeight="false" outlineLevel="0" collapsed="false">
      <c r="A166" s="4" t="s">
        <v>2815</v>
      </c>
      <c r="B166" s="4" t="n">
        <v>3.4</v>
      </c>
      <c r="C166" s="4" t="s">
        <v>178</v>
      </c>
      <c r="D166" s="5" t="s">
        <v>2649</v>
      </c>
      <c r="E166" s="4"/>
      <c r="F166" s="4" t="n">
        <v>2.8</v>
      </c>
      <c r="G166" s="4" t="n">
        <v>3.4</v>
      </c>
      <c r="H166" s="4" t="s">
        <v>141</v>
      </c>
      <c r="I166" s="5" t="s">
        <v>170</v>
      </c>
      <c r="J166" s="4" t="s">
        <v>180</v>
      </c>
    </row>
    <row r="167" customFormat="false" ht="15" hidden="false" customHeight="false" outlineLevel="0" collapsed="false">
      <c r="A167" s="4" t="s">
        <v>2816</v>
      </c>
      <c r="B167" s="4" t="n">
        <v>10</v>
      </c>
      <c r="C167" s="4" t="s">
        <v>272</v>
      </c>
      <c r="D167" s="5" t="s">
        <v>2649</v>
      </c>
      <c r="E167" s="4" t="n">
        <v>10</v>
      </c>
      <c r="F167" s="4"/>
      <c r="G167" s="4"/>
      <c r="H167" s="4" t="s">
        <v>141</v>
      </c>
      <c r="I167" s="5" t="s">
        <v>170</v>
      </c>
      <c r="J167" s="4" t="s">
        <v>273</v>
      </c>
    </row>
    <row r="168" customFormat="false" ht="15" hidden="false" customHeight="false" outlineLevel="0" collapsed="false">
      <c r="A168" s="4" t="s">
        <v>2817</v>
      </c>
      <c r="B168" s="4" t="n">
        <v>10</v>
      </c>
      <c r="C168" s="4" t="s">
        <v>272</v>
      </c>
      <c r="D168" s="5" t="s">
        <v>2649</v>
      </c>
      <c r="E168" s="4" t="n">
        <v>10</v>
      </c>
      <c r="F168" s="4"/>
      <c r="G168" s="4"/>
      <c r="H168" s="4" t="s">
        <v>141</v>
      </c>
      <c r="I168" s="5" t="s">
        <v>170</v>
      </c>
      <c r="J168" s="4" t="s">
        <v>273</v>
      </c>
    </row>
    <row r="169" customFormat="false" ht="15" hidden="false" customHeight="false" outlineLevel="0" collapsed="false">
      <c r="A169" s="4" t="s">
        <v>2818</v>
      </c>
      <c r="B169" s="4" t="n">
        <v>186</v>
      </c>
      <c r="C169" s="4" t="s">
        <v>358</v>
      </c>
      <c r="D169" s="5" t="s">
        <v>2804</v>
      </c>
      <c r="E169" s="4" t="n">
        <v>13.4</v>
      </c>
      <c r="F169" s="4"/>
      <c r="G169" s="4"/>
      <c r="H169" s="4" t="s">
        <v>141</v>
      </c>
      <c r="I169" s="4" t="s">
        <v>143</v>
      </c>
      <c r="J169" s="4" t="s">
        <v>360</v>
      </c>
    </row>
    <row r="170" customFormat="false" ht="15" hidden="false" customHeight="false" outlineLevel="0" collapsed="false">
      <c r="A170" s="4" t="s">
        <v>2819</v>
      </c>
      <c r="B170" s="4" t="n">
        <v>8</v>
      </c>
      <c r="C170" s="4" t="s">
        <v>276</v>
      </c>
      <c r="D170" s="5" t="s">
        <v>2649</v>
      </c>
      <c r="E170" s="4" t="n">
        <v>8</v>
      </c>
      <c r="F170" s="4"/>
      <c r="G170" s="4"/>
      <c r="H170" s="4" t="s">
        <v>141</v>
      </c>
      <c r="I170" s="5" t="s">
        <v>170</v>
      </c>
      <c r="J170" s="4" t="s">
        <v>277</v>
      </c>
    </row>
    <row r="171" customFormat="false" ht="15" hidden="false" customHeight="false" outlineLevel="0" collapsed="false">
      <c r="A171" s="4" t="s">
        <v>2820</v>
      </c>
      <c r="B171" s="4" t="n">
        <v>0.9</v>
      </c>
      <c r="C171" s="4" t="s">
        <v>395</v>
      </c>
      <c r="D171" s="5" t="s">
        <v>2649</v>
      </c>
      <c r="E171" s="4" t="n">
        <v>0.9</v>
      </c>
      <c r="F171" s="4"/>
      <c r="G171" s="4"/>
      <c r="H171" s="4" t="s">
        <v>141</v>
      </c>
      <c r="I171" s="5" t="s">
        <v>170</v>
      </c>
      <c r="J171" s="4" t="s">
        <v>396</v>
      </c>
    </row>
    <row r="172" customFormat="false" ht="15" hidden="false" customHeight="false" outlineLevel="0" collapsed="false">
      <c r="A172" s="4" t="s">
        <v>2821</v>
      </c>
      <c r="B172" s="4" t="n">
        <v>72</v>
      </c>
      <c r="C172" s="4" t="s">
        <v>388</v>
      </c>
      <c r="D172" s="5" t="s">
        <v>2649</v>
      </c>
      <c r="E172" s="4" t="n">
        <v>72</v>
      </c>
      <c r="F172" s="4"/>
      <c r="G172" s="4"/>
      <c r="H172" s="4" t="s">
        <v>141</v>
      </c>
      <c r="I172" s="5" t="s">
        <v>170</v>
      </c>
      <c r="J172" s="4" t="s">
        <v>389</v>
      </c>
    </row>
    <row r="173" customFormat="false" ht="15" hidden="false" customHeight="false" outlineLevel="0" collapsed="false">
      <c r="A173" s="4" t="s">
        <v>2822</v>
      </c>
      <c r="B173" s="4" t="n">
        <v>0.5625</v>
      </c>
      <c r="C173" s="4" t="s">
        <v>403</v>
      </c>
      <c r="D173" s="5" t="s">
        <v>2649</v>
      </c>
      <c r="E173" s="4" t="n">
        <v>0.5625</v>
      </c>
      <c r="F173" s="4"/>
      <c r="G173" s="4"/>
      <c r="H173" s="4" t="s">
        <v>141</v>
      </c>
      <c r="I173" s="5" t="s">
        <v>170</v>
      </c>
      <c r="J173" s="4" t="s">
        <v>404</v>
      </c>
    </row>
    <row r="174" customFormat="false" ht="15" hidden="false" customHeight="false" outlineLevel="0" collapsed="false">
      <c r="A174" s="4" t="s">
        <v>2823</v>
      </c>
      <c r="B174" s="4" t="n">
        <v>25</v>
      </c>
      <c r="C174" s="4" t="s">
        <v>319</v>
      </c>
      <c r="D174" s="5" t="s">
        <v>2656</v>
      </c>
      <c r="E174" s="4" t="n">
        <v>3</v>
      </c>
      <c r="F174" s="4"/>
      <c r="G174" s="4"/>
      <c r="H174" s="4" t="s">
        <v>141</v>
      </c>
      <c r="I174" s="4" t="s">
        <v>143</v>
      </c>
      <c r="J174" s="4" t="s">
        <v>320</v>
      </c>
    </row>
    <row r="175" customFormat="false" ht="15" hidden="false" customHeight="false" outlineLevel="0" collapsed="false">
      <c r="A175" s="4" t="s">
        <v>2824</v>
      </c>
      <c r="B175" s="4" t="n">
        <v>2.5</v>
      </c>
      <c r="C175" s="4" t="s">
        <v>365</v>
      </c>
      <c r="D175" s="5" t="s">
        <v>2649</v>
      </c>
      <c r="E175" s="4" t="n">
        <v>2.5</v>
      </c>
      <c r="F175" s="4"/>
      <c r="G175" s="4"/>
      <c r="H175" s="4" t="s">
        <v>141</v>
      </c>
      <c r="I175" s="5" t="s">
        <v>170</v>
      </c>
      <c r="J175" s="4" t="s">
        <v>366</v>
      </c>
    </row>
    <row r="176" customFormat="false" ht="15" hidden="false" customHeight="false" outlineLevel="0" collapsed="false">
      <c r="A176" s="4" t="s">
        <v>2825</v>
      </c>
      <c r="B176" s="4" t="n">
        <v>5</v>
      </c>
      <c r="C176" s="4" t="s">
        <v>369</v>
      </c>
      <c r="D176" s="5" t="s">
        <v>2649</v>
      </c>
      <c r="E176" s="4" t="n">
        <v>5</v>
      </c>
      <c r="F176" s="4"/>
      <c r="G176" s="4"/>
      <c r="H176" s="4" t="s">
        <v>141</v>
      </c>
      <c r="I176" s="5" t="s">
        <v>170</v>
      </c>
      <c r="J176" s="4" t="s">
        <v>370</v>
      </c>
    </row>
    <row r="177" customFormat="false" ht="15" hidden="false" customHeight="false" outlineLevel="0" collapsed="false">
      <c r="A177" s="4" t="s">
        <v>2826</v>
      </c>
      <c r="B177" s="4" t="n">
        <v>72</v>
      </c>
      <c r="C177" s="4" t="s">
        <v>388</v>
      </c>
      <c r="D177" s="5" t="s">
        <v>2649</v>
      </c>
      <c r="E177" s="4" t="n">
        <v>72</v>
      </c>
      <c r="F177" s="4"/>
      <c r="G177" s="4"/>
      <c r="H177" s="4" t="s">
        <v>141</v>
      </c>
      <c r="I177" s="5" t="s">
        <v>170</v>
      </c>
      <c r="J177" s="4" t="s">
        <v>389</v>
      </c>
    </row>
    <row r="178" customFormat="false" ht="15" hidden="false" customHeight="false" outlineLevel="0" collapsed="false">
      <c r="A178" s="4" t="s">
        <v>2827</v>
      </c>
      <c r="B178" s="4" t="n">
        <v>120</v>
      </c>
      <c r="C178" s="4" t="s">
        <v>161</v>
      </c>
      <c r="D178" s="5" t="s">
        <v>2649</v>
      </c>
      <c r="E178" s="4"/>
      <c r="F178" s="4" t="n">
        <v>120</v>
      </c>
      <c r="G178" s="4" t="n">
        <v>130</v>
      </c>
      <c r="H178" s="4" t="s">
        <v>141</v>
      </c>
      <c r="I178" s="5" t="s">
        <v>170</v>
      </c>
      <c r="J178" s="4" t="s">
        <v>163</v>
      </c>
    </row>
    <row r="179" customFormat="false" ht="15" hidden="false" customHeight="false" outlineLevel="0" collapsed="false">
      <c r="A179" s="4" t="s">
        <v>2828</v>
      </c>
      <c r="B179" s="4" t="n">
        <v>130</v>
      </c>
      <c r="C179" s="4" t="s">
        <v>161</v>
      </c>
      <c r="D179" s="5" t="s">
        <v>2756</v>
      </c>
      <c r="E179" s="4"/>
      <c r="F179" s="4" t="n">
        <v>120</v>
      </c>
      <c r="G179" s="4" t="n">
        <v>130</v>
      </c>
      <c r="H179" s="4" t="s">
        <v>141</v>
      </c>
      <c r="I179" s="4" t="s">
        <v>143</v>
      </c>
      <c r="J179" s="4" t="s">
        <v>163</v>
      </c>
    </row>
    <row r="180" customFormat="false" ht="15" hidden="false" customHeight="false" outlineLevel="0" collapsed="false">
      <c r="A180" s="4" t="s">
        <v>2829</v>
      </c>
      <c r="B180" s="4" t="n">
        <v>142</v>
      </c>
      <c r="C180" s="4" t="s">
        <v>172</v>
      </c>
      <c r="D180" s="5" t="s">
        <v>2649</v>
      </c>
      <c r="E180" s="4"/>
      <c r="F180" s="4" t="n">
        <v>132</v>
      </c>
      <c r="G180" s="4" t="n">
        <v>142</v>
      </c>
      <c r="H180" s="4" t="s">
        <v>141</v>
      </c>
      <c r="I180" s="5" t="s">
        <v>170</v>
      </c>
      <c r="J180" s="4" t="s">
        <v>173</v>
      </c>
    </row>
    <row r="181" customFormat="false" ht="15" hidden="false" customHeight="false" outlineLevel="0" collapsed="false">
      <c r="A181" s="4" t="s">
        <v>2830</v>
      </c>
      <c r="B181" s="4" t="n">
        <v>4</v>
      </c>
      <c r="C181" s="4" t="s">
        <v>414</v>
      </c>
      <c r="D181" s="5" t="s">
        <v>2649</v>
      </c>
      <c r="E181" s="4" t="n">
        <v>4</v>
      </c>
      <c r="F181" s="4"/>
      <c r="G181" s="4"/>
      <c r="H181" s="4" t="s">
        <v>141</v>
      </c>
      <c r="I181" s="5" t="s">
        <v>170</v>
      </c>
      <c r="J181" s="4" t="s">
        <v>415</v>
      </c>
    </row>
    <row r="182" customFormat="false" ht="15" hidden="false" customHeight="false" outlineLevel="0" collapsed="false">
      <c r="A182" s="4" t="s">
        <v>2831</v>
      </c>
      <c r="B182" s="4" t="n">
        <v>5</v>
      </c>
      <c r="C182" s="4" t="s">
        <v>202</v>
      </c>
      <c r="D182" s="5" t="s">
        <v>2649</v>
      </c>
      <c r="E182" s="4" t="n">
        <v>5</v>
      </c>
      <c r="F182" s="4"/>
      <c r="G182" s="4"/>
      <c r="H182" s="4" t="s">
        <v>141</v>
      </c>
      <c r="I182" s="5" t="s">
        <v>170</v>
      </c>
      <c r="J182" s="4" t="s">
        <v>204</v>
      </c>
    </row>
    <row r="183" customFormat="false" ht="15" hidden="false" customHeight="false" outlineLevel="0" collapsed="false">
      <c r="A183" s="4" t="s">
        <v>2832</v>
      </c>
      <c r="B183" s="4" t="n">
        <v>6.5</v>
      </c>
      <c r="C183" s="4" t="s">
        <v>187</v>
      </c>
      <c r="D183" s="5" t="s">
        <v>2649</v>
      </c>
      <c r="E183" s="4"/>
      <c r="F183" s="4" t="n">
        <v>6</v>
      </c>
      <c r="G183" s="4" t="n">
        <v>6.5</v>
      </c>
      <c r="H183" s="4" t="s">
        <v>141</v>
      </c>
      <c r="I183" s="5" t="s">
        <v>170</v>
      </c>
      <c r="J183" s="4" t="s">
        <v>188</v>
      </c>
    </row>
    <row r="184" customFormat="false" ht="15" hidden="false" customHeight="false" outlineLevel="0" collapsed="false">
      <c r="A184" s="4" t="s">
        <v>2833</v>
      </c>
      <c r="B184" s="4" t="n">
        <v>15</v>
      </c>
      <c r="C184" s="4" t="s">
        <v>282</v>
      </c>
      <c r="D184" s="5" t="s">
        <v>2649</v>
      </c>
      <c r="E184" s="4" t="n">
        <v>15</v>
      </c>
      <c r="F184" s="4"/>
      <c r="G184" s="4"/>
      <c r="H184" s="4" t="s">
        <v>141</v>
      </c>
      <c r="I184" s="5" t="s">
        <v>170</v>
      </c>
      <c r="J184" s="4" t="s">
        <v>283</v>
      </c>
    </row>
    <row r="185" customFormat="false" ht="15" hidden="false" customHeight="false" outlineLevel="0" collapsed="false">
      <c r="A185" s="4" t="s">
        <v>2834</v>
      </c>
      <c r="B185" s="4" t="n">
        <v>15</v>
      </c>
      <c r="C185" s="4" t="s">
        <v>282</v>
      </c>
      <c r="D185" s="5" t="s">
        <v>2649</v>
      </c>
      <c r="E185" s="4" t="n">
        <v>15</v>
      </c>
      <c r="F185" s="4"/>
      <c r="G185" s="4"/>
      <c r="H185" s="4" t="s">
        <v>141</v>
      </c>
      <c r="I185" s="5" t="s">
        <v>170</v>
      </c>
      <c r="J185" s="4" t="s">
        <v>283</v>
      </c>
    </row>
    <row r="186" customFormat="false" ht="15" hidden="false" customHeight="false" outlineLevel="0" collapsed="false">
      <c r="A186" s="4" t="s">
        <v>2835</v>
      </c>
      <c r="B186" s="4" t="n">
        <v>288</v>
      </c>
      <c r="C186" s="4" t="s">
        <v>285</v>
      </c>
      <c r="D186" s="5" t="s">
        <v>2649</v>
      </c>
      <c r="E186" s="4" t="n">
        <v>288</v>
      </c>
      <c r="F186" s="4"/>
      <c r="G186" s="4"/>
      <c r="H186" s="4" t="s">
        <v>141</v>
      </c>
      <c r="I186" s="5" t="s">
        <v>170</v>
      </c>
      <c r="J186" s="4" t="s">
        <v>286</v>
      </c>
    </row>
    <row r="187" customFormat="false" ht="15" hidden="false" customHeight="false" outlineLevel="0" collapsed="false">
      <c r="A187" s="4" t="s">
        <v>2836</v>
      </c>
      <c r="B187" s="4" t="n">
        <v>0.9</v>
      </c>
      <c r="C187" s="4" t="s">
        <v>395</v>
      </c>
      <c r="D187" s="5" t="s">
        <v>2649</v>
      </c>
      <c r="E187" s="4" t="n">
        <v>0.9</v>
      </c>
      <c r="F187" s="4"/>
      <c r="G187" s="4"/>
      <c r="H187" s="4" t="s">
        <v>141</v>
      </c>
      <c r="I187" s="5" t="s">
        <v>170</v>
      </c>
      <c r="J187" s="4" t="s">
        <v>396</v>
      </c>
    </row>
    <row r="188" customFormat="false" ht="15" hidden="false" customHeight="false" outlineLevel="0" collapsed="false">
      <c r="A188" s="4" t="s">
        <v>2837</v>
      </c>
      <c r="B188" s="4" t="n">
        <v>72</v>
      </c>
      <c r="C188" s="4" t="s">
        <v>388</v>
      </c>
      <c r="D188" s="5" t="s">
        <v>2649</v>
      </c>
      <c r="E188" s="4" t="n">
        <v>72</v>
      </c>
      <c r="F188" s="4"/>
      <c r="G188" s="4"/>
      <c r="H188" s="4" t="s">
        <v>141</v>
      </c>
      <c r="I188" s="5" t="s">
        <v>170</v>
      </c>
      <c r="J188" s="4" t="s">
        <v>389</v>
      </c>
    </row>
    <row r="189" customFormat="false" ht="15" hidden="false" customHeight="false" outlineLevel="0" collapsed="false">
      <c r="A189" s="4" t="s">
        <v>2838</v>
      </c>
      <c r="B189" s="4" t="n">
        <v>32</v>
      </c>
      <c r="C189" s="4" t="s">
        <v>748</v>
      </c>
      <c r="D189" s="5" t="s">
        <v>2649</v>
      </c>
      <c r="E189" s="4" t="n">
        <v>32</v>
      </c>
      <c r="F189" s="4"/>
      <c r="G189" s="4"/>
      <c r="H189" s="4" t="s">
        <v>141</v>
      </c>
      <c r="I189" s="5" t="s">
        <v>170</v>
      </c>
      <c r="J189" s="4" t="s">
        <v>749</v>
      </c>
    </row>
    <row r="190" customFormat="false" ht="15" hidden="false" customHeight="false" outlineLevel="0" collapsed="false">
      <c r="A190" s="4" t="s">
        <v>2839</v>
      </c>
      <c r="B190" s="4" t="n">
        <v>0.5625</v>
      </c>
      <c r="C190" s="4" t="s">
        <v>403</v>
      </c>
      <c r="D190" s="5" t="s">
        <v>2649</v>
      </c>
      <c r="E190" s="4" t="n">
        <v>0.5625</v>
      </c>
      <c r="F190" s="4"/>
      <c r="G190" s="4"/>
      <c r="H190" s="4" t="s">
        <v>141</v>
      </c>
      <c r="I190" s="5" t="s">
        <v>170</v>
      </c>
      <c r="J190" s="4" t="s">
        <v>404</v>
      </c>
    </row>
    <row r="191" customFormat="false" ht="15" hidden="false" customHeight="false" outlineLevel="0" collapsed="false">
      <c r="A191" s="4" t="s">
        <v>2840</v>
      </c>
      <c r="B191" s="4" t="n">
        <v>4</v>
      </c>
      <c r="C191" s="4" t="s">
        <v>743</v>
      </c>
      <c r="D191" s="5" t="s">
        <v>2649</v>
      </c>
      <c r="E191" s="4" t="n">
        <v>4</v>
      </c>
      <c r="F191" s="4"/>
      <c r="G191" s="4"/>
      <c r="H191" s="4" t="s">
        <v>141</v>
      </c>
      <c r="I191" s="5" t="s">
        <v>170</v>
      </c>
      <c r="J191" s="4" t="s">
        <v>744</v>
      </c>
    </row>
    <row r="192" customFormat="false" ht="15" hidden="false" customHeight="false" outlineLevel="0" collapsed="false">
      <c r="A192" s="4" t="s">
        <v>2841</v>
      </c>
      <c r="B192" s="4" t="n">
        <v>25</v>
      </c>
      <c r="C192" s="4" t="s">
        <v>319</v>
      </c>
      <c r="D192" s="5" t="s">
        <v>2656</v>
      </c>
      <c r="E192" s="4" t="n">
        <v>3</v>
      </c>
      <c r="F192" s="4"/>
      <c r="G192" s="4"/>
      <c r="H192" s="4" t="s">
        <v>141</v>
      </c>
      <c r="I192" s="4" t="s">
        <v>143</v>
      </c>
      <c r="J192" s="4" t="s">
        <v>320</v>
      </c>
    </row>
    <row r="193" customFormat="false" ht="15" hidden="false" customHeight="false" outlineLevel="0" collapsed="false">
      <c r="A193" s="4" t="s">
        <v>2842</v>
      </c>
      <c r="B193" s="4" t="n">
        <v>2.5</v>
      </c>
      <c r="C193" s="4" t="s">
        <v>365</v>
      </c>
      <c r="D193" s="5" t="s">
        <v>2649</v>
      </c>
      <c r="E193" s="4" t="n">
        <v>2.5</v>
      </c>
      <c r="F193" s="4"/>
      <c r="G193" s="4"/>
      <c r="H193" s="4" t="s">
        <v>141</v>
      </c>
      <c r="I193" s="5" t="s">
        <v>170</v>
      </c>
      <c r="J193" s="4" t="s">
        <v>366</v>
      </c>
    </row>
    <row r="194" customFormat="false" ht="15" hidden="false" customHeight="false" outlineLevel="0" collapsed="false">
      <c r="A194" s="4" t="s">
        <v>2843</v>
      </c>
      <c r="B194" s="4" t="n">
        <v>5</v>
      </c>
      <c r="C194" s="4" t="s">
        <v>369</v>
      </c>
      <c r="D194" s="5" t="s">
        <v>2649</v>
      </c>
      <c r="E194" s="4" t="n">
        <v>5</v>
      </c>
      <c r="F194" s="4"/>
      <c r="G194" s="4"/>
      <c r="H194" s="4" t="s">
        <v>141</v>
      </c>
      <c r="I194" s="5" t="s">
        <v>170</v>
      </c>
      <c r="J194" s="4" t="s">
        <v>370</v>
      </c>
    </row>
    <row r="195" customFormat="false" ht="15" hidden="false" customHeight="false" outlineLevel="0" collapsed="false">
      <c r="A195" s="4" t="s">
        <v>2844</v>
      </c>
      <c r="B195" s="4" t="n">
        <v>72</v>
      </c>
      <c r="C195" s="4" t="s">
        <v>388</v>
      </c>
      <c r="D195" s="5" t="s">
        <v>2649</v>
      </c>
      <c r="E195" s="4" t="n">
        <v>72</v>
      </c>
      <c r="F195" s="4"/>
      <c r="G195" s="4"/>
      <c r="H195" s="4" t="s">
        <v>141</v>
      </c>
      <c r="I195" s="5" t="s">
        <v>170</v>
      </c>
      <c r="J195" s="4" t="s">
        <v>389</v>
      </c>
    </row>
    <row r="196" customFormat="false" ht="15" hidden="false" customHeight="false" outlineLevel="0" collapsed="false">
      <c r="A196" s="4" t="s">
        <v>2845</v>
      </c>
      <c r="B196" s="4" t="n">
        <v>132</v>
      </c>
      <c r="C196" s="4" t="s">
        <v>172</v>
      </c>
      <c r="D196" s="5" t="s">
        <v>2649</v>
      </c>
      <c r="E196" s="4"/>
      <c r="F196" s="4" t="n">
        <v>132</v>
      </c>
      <c r="G196" s="4" t="n">
        <v>142</v>
      </c>
      <c r="H196" s="4" t="s">
        <v>141</v>
      </c>
      <c r="I196" s="5" t="s">
        <v>170</v>
      </c>
      <c r="J196" s="4" t="s">
        <v>173</v>
      </c>
    </row>
    <row r="197" customFormat="false" ht="15" hidden="false" customHeight="false" outlineLevel="0" collapsed="false">
      <c r="A197" s="4" t="s">
        <v>2845</v>
      </c>
      <c r="B197" s="4" t="n">
        <v>132</v>
      </c>
      <c r="C197" s="4" t="s">
        <v>195</v>
      </c>
      <c r="D197" s="5" t="s">
        <v>2649</v>
      </c>
      <c r="E197" s="4"/>
      <c r="F197" s="4" t="n">
        <v>132</v>
      </c>
      <c r="G197" s="4" t="n">
        <v>140</v>
      </c>
      <c r="H197" s="4" t="s">
        <v>141</v>
      </c>
      <c r="I197" s="5" t="s">
        <v>170</v>
      </c>
      <c r="J197" s="4" t="s">
        <v>197</v>
      </c>
    </row>
    <row r="198" customFormat="false" ht="15" hidden="false" customHeight="false" outlineLevel="0" collapsed="false">
      <c r="A198" s="4" t="s">
        <v>2846</v>
      </c>
      <c r="B198" s="4" t="n">
        <v>137</v>
      </c>
      <c r="C198" s="4" t="s">
        <v>172</v>
      </c>
      <c r="D198" s="5" t="s">
        <v>2656</v>
      </c>
      <c r="E198" s="4"/>
      <c r="F198" s="4" t="n">
        <v>132</v>
      </c>
      <c r="G198" s="4" t="n">
        <v>142</v>
      </c>
      <c r="H198" s="4" t="s">
        <v>141</v>
      </c>
      <c r="I198" s="4" t="s">
        <v>143</v>
      </c>
      <c r="J198" s="4" t="s">
        <v>173</v>
      </c>
    </row>
    <row r="199" customFormat="false" ht="15" hidden="false" customHeight="false" outlineLevel="0" collapsed="false">
      <c r="A199" s="4" t="s">
        <v>2847</v>
      </c>
      <c r="B199" s="4" t="n">
        <v>230</v>
      </c>
      <c r="C199" s="4" t="s">
        <v>215</v>
      </c>
      <c r="D199" s="5" t="s">
        <v>2649</v>
      </c>
      <c r="E199" s="4" t="n">
        <v>230</v>
      </c>
      <c r="F199" s="4"/>
      <c r="G199" s="4"/>
      <c r="H199" s="4" t="s">
        <v>141</v>
      </c>
      <c r="I199" s="5" t="s">
        <v>170</v>
      </c>
      <c r="J199" s="4" t="s">
        <v>216</v>
      </c>
    </row>
    <row r="200" customFormat="false" ht="29.85" hidden="false" customHeight="false" outlineLevel="0" collapsed="false">
      <c r="A200" s="4" t="s">
        <v>2848</v>
      </c>
      <c r="B200" s="4" t="n">
        <v>6.7</v>
      </c>
      <c r="C200" s="4" t="s">
        <v>241</v>
      </c>
      <c r="D200" s="5" t="s">
        <v>2649</v>
      </c>
      <c r="E200" s="4" t="n">
        <v>6.7</v>
      </c>
      <c r="F200" s="4"/>
      <c r="G200" s="4"/>
      <c r="H200" s="4" t="s">
        <v>193</v>
      </c>
      <c r="I200" s="5" t="s">
        <v>170</v>
      </c>
      <c r="J200" s="4" t="s">
        <v>242</v>
      </c>
    </row>
    <row r="201" customFormat="false" ht="15" hidden="false" customHeight="false" outlineLevel="0" collapsed="false">
      <c r="A201" s="4" t="s">
        <v>2849</v>
      </c>
      <c r="B201" s="4" t="n">
        <v>7.8</v>
      </c>
      <c r="C201" s="4" t="s">
        <v>233</v>
      </c>
      <c r="D201" s="5" t="s">
        <v>2649</v>
      </c>
      <c r="E201" s="4" t="n">
        <v>7.8</v>
      </c>
      <c r="F201" s="4"/>
      <c r="G201" s="4"/>
      <c r="H201" s="4" t="s">
        <v>141</v>
      </c>
      <c r="I201" s="5" t="s">
        <v>170</v>
      </c>
      <c r="J201" s="4" t="s">
        <v>235</v>
      </c>
    </row>
    <row r="202" customFormat="false" ht="15" hidden="false" customHeight="false" outlineLevel="0" collapsed="false">
      <c r="A202" s="4" t="s">
        <v>2850</v>
      </c>
      <c r="B202" s="4" t="n">
        <v>9.1</v>
      </c>
      <c r="C202" s="4" t="s">
        <v>246</v>
      </c>
      <c r="D202" s="5" t="s">
        <v>2804</v>
      </c>
      <c r="E202" s="4" t="n">
        <v>9.09</v>
      </c>
      <c r="F202" s="4"/>
      <c r="G202" s="4"/>
      <c r="H202" s="4" t="s">
        <v>193</v>
      </c>
      <c r="I202" s="4" t="s">
        <v>143</v>
      </c>
      <c r="J202" s="4" t="s">
        <v>247</v>
      </c>
    </row>
    <row r="203" customFormat="false" ht="15" hidden="false" customHeight="false" outlineLevel="0" collapsed="false">
      <c r="A203" s="4" t="s">
        <v>2851</v>
      </c>
      <c r="B203" s="4" t="n">
        <v>35</v>
      </c>
      <c r="C203" s="4" t="s">
        <v>293</v>
      </c>
      <c r="D203" s="5" t="s">
        <v>2649</v>
      </c>
      <c r="E203" s="4" t="n">
        <v>35</v>
      </c>
      <c r="F203" s="4"/>
      <c r="G203" s="4"/>
      <c r="H203" s="4" t="s">
        <v>141</v>
      </c>
      <c r="I203" s="5" t="s">
        <v>170</v>
      </c>
      <c r="J203" s="4" t="s">
        <v>294</v>
      </c>
    </row>
    <row r="204" customFormat="false" ht="15" hidden="false" customHeight="false" outlineLevel="0" collapsed="false">
      <c r="A204" s="4" t="s">
        <v>2852</v>
      </c>
      <c r="B204" s="4" t="n">
        <v>50</v>
      </c>
      <c r="C204" s="4" t="s">
        <v>288</v>
      </c>
      <c r="D204" s="5" t="s">
        <v>2649</v>
      </c>
      <c r="E204" s="4" t="n">
        <v>50</v>
      </c>
      <c r="F204" s="4"/>
      <c r="G204" s="4"/>
      <c r="H204" s="4" t="s">
        <v>141</v>
      </c>
      <c r="I204" s="5" t="s">
        <v>170</v>
      </c>
      <c r="J204" s="4" t="s">
        <v>289</v>
      </c>
    </row>
    <row r="205" customFormat="false" ht="15" hidden="false" customHeight="false" outlineLevel="0" collapsed="false">
      <c r="A205" s="4" t="s">
        <v>2852</v>
      </c>
      <c r="B205" s="4" t="n">
        <v>50</v>
      </c>
      <c r="C205" s="4" t="s">
        <v>331</v>
      </c>
      <c r="D205" s="5" t="s">
        <v>2656</v>
      </c>
      <c r="E205" s="4" t="n">
        <v>3600</v>
      </c>
      <c r="F205" s="4"/>
      <c r="G205" s="4"/>
      <c r="H205" s="4" t="s">
        <v>141</v>
      </c>
      <c r="I205" s="4" t="s">
        <v>143</v>
      </c>
      <c r="J205" s="4" t="s">
        <v>333</v>
      </c>
    </row>
    <row r="206" customFormat="false" ht="15" hidden="false" customHeight="false" outlineLevel="0" collapsed="false">
      <c r="A206" s="4" t="s">
        <v>2853</v>
      </c>
      <c r="B206" s="4" t="n">
        <v>288</v>
      </c>
      <c r="C206" s="4" t="s">
        <v>297</v>
      </c>
      <c r="D206" s="5" t="s">
        <v>2649</v>
      </c>
      <c r="E206" s="4" t="n">
        <v>288</v>
      </c>
      <c r="F206" s="4"/>
      <c r="G206" s="4"/>
      <c r="H206" s="4" t="s">
        <v>141</v>
      </c>
      <c r="I206" s="5" t="s">
        <v>170</v>
      </c>
      <c r="J206" s="4" t="s">
        <v>298</v>
      </c>
    </row>
    <row r="207" customFormat="false" ht="15" hidden="false" customHeight="false" outlineLevel="0" collapsed="false">
      <c r="A207" s="4" t="s">
        <v>2854</v>
      </c>
      <c r="B207" s="4" t="n">
        <v>22</v>
      </c>
      <c r="C207" s="4" t="s">
        <v>300</v>
      </c>
      <c r="D207" s="5" t="s">
        <v>2649</v>
      </c>
      <c r="E207" s="4" t="n">
        <v>22</v>
      </c>
      <c r="F207" s="4"/>
      <c r="G207" s="4"/>
      <c r="H207" s="4" t="s">
        <v>141</v>
      </c>
      <c r="I207" s="5" t="s">
        <v>170</v>
      </c>
      <c r="J207" s="4" t="s">
        <v>301</v>
      </c>
    </row>
    <row r="208" customFormat="false" ht="15" hidden="false" customHeight="false" outlineLevel="0" collapsed="false">
      <c r="A208" s="4" t="s">
        <v>2855</v>
      </c>
      <c r="B208" s="4" t="n">
        <v>1.8</v>
      </c>
      <c r="C208" s="4" t="s">
        <v>400</v>
      </c>
      <c r="D208" s="5" t="s">
        <v>2649</v>
      </c>
      <c r="E208" s="4" t="n">
        <v>1.8</v>
      </c>
      <c r="F208" s="4"/>
      <c r="G208" s="4"/>
      <c r="H208" s="4" t="s">
        <v>141</v>
      </c>
      <c r="I208" s="5" t="s">
        <v>170</v>
      </c>
      <c r="J208" s="4" t="s">
        <v>401</v>
      </c>
    </row>
    <row r="209" customFormat="false" ht="15" hidden="false" customHeight="false" outlineLevel="0" collapsed="false">
      <c r="A209" s="4" t="s">
        <v>2856</v>
      </c>
      <c r="B209" s="4" t="n">
        <v>72</v>
      </c>
      <c r="C209" s="4" t="s">
        <v>388</v>
      </c>
      <c r="D209" s="5" t="s">
        <v>2649</v>
      </c>
      <c r="E209" s="4" t="n">
        <v>72</v>
      </c>
      <c r="F209" s="4"/>
      <c r="G209" s="4"/>
      <c r="H209" s="4" t="s">
        <v>141</v>
      </c>
      <c r="I209" s="5" t="s">
        <v>170</v>
      </c>
      <c r="J209" s="4" t="s">
        <v>389</v>
      </c>
    </row>
    <row r="210" customFormat="false" ht="15" hidden="false" customHeight="false" outlineLevel="0" collapsed="false">
      <c r="A210" s="4" t="s">
        <v>2857</v>
      </c>
      <c r="B210" s="4" t="n">
        <v>0.5625</v>
      </c>
      <c r="C210" s="4" t="s">
        <v>403</v>
      </c>
      <c r="D210" s="5" t="s">
        <v>2649</v>
      </c>
      <c r="E210" s="4" t="n">
        <v>0.5625</v>
      </c>
      <c r="F210" s="4"/>
      <c r="G210" s="4"/>
      <c r="H210" s="4" t="s">
        <v>141</v>
      </c>
      <c r="I210" s="5" t="s">
        <v>170</v>
      </c>
      <c r="J210" s="4" t="s">
        <v>404</v>
      </c>
    </row>
    <row r="211" customFormat="false" ht="15" hidden="false" customHeight="false" outlineLevel="0" collapsed="false">
      <c r="A211" s="4" t="s">
        <v>2858</v>
      </c>
      <c r="B211" s="4" t="n">
        <v>1800</v>
      </c>
      <c r="C211" s="4" t="s">
        <v>382</v>
      </c>
      <c r="D211" s="5" t="s">
        <v>2656</v>
      </c>
      <c r="E211" s="4" t="n">
        <v>1.8</v>
      </c>
      <c r="F211" s="4"/>
      <c r="G211" s="4"/>
      <c r="H211" s="4" t="s">
        <v>141</v>
      </c>
      <c r="I211" s="4" t="s">
        <v>143</v>
      </c>
      <c r="J211" s="4" t="s">
        <v>383</v>
      </c>
    </row>
    <row r="212" customFormat="false" ht="15" hidden="false" customHeight="false" outlineLevel="0" collapsed="false">
      <c r="A212" s="4" t="s">
        <v>2859</v>
      </c>
      <c r="B212" s="4" t="n">
        <v>20</v>
      </c>
      <c r="C212" s="4" t="s">
        <v>324</v>
      </c>
      <c r="D212" s="5" t="s">
        <v>2656</v>
      </c>
      <c r="E212" s="4" t="n">
        <v>2.5</v>
      </c>
      <c r="F212" s="4"/>
      <c r="G212" s="4"/>
      <c r="H212" s="4" t="s">
        <v>141</v>
      </c>
      <c r="I212" s="4" t="s">
        <v>143</v>
      </c>
      <c r="J212" s="4" t="s">
        <v>325</v>
      </c>
    </row>
    <row r="213" customFormat="false" ht="15" hidden="false" customHeight="false" outlineLevel="0" collapsed="false">
      <c r="A213" s="4" t="s">
        <v>2860</v>
      </c>
      <c r="B213" s="4" t="n">
        <v>4</v>
      </c>
      <c r="C213" s="4" t="s">
        <v>347</v>
      </c>
      <c r="D213" s="5" t="s">
        <v>2656</v>
      </c>
      <c r="E213" s="4" t="n">
        <v>288</v>
      </c>
      <c r="F213" s="4"/>
      <c r="G213" s="4"/>
      <c r="H213" s="4" t="s">
        <v>141</v>
      </c>
      <c r="I213" s="4" t="s">
        <v>143</v>
      </c>
      <c r="J213" s="4" t="s">
        <v>348</v>
      </c>
    </row>
    <row r="214" customFormat="false" ht="15" hidden="false" customHeight="false" outlineLevel="0" collapsed="false">
      <c r="A214" s="4" t="s">
        <v>2861</v>
      </c>
      <c r="B214" s="4" t="n">
        <v>17.5</v>
      </c>
      <c r="C214" s="4" t="s">
        <v>343</v>
      </c>
      <c r="D214" s="5" t="s">
        <v>2656</v>
      </c>
      <c r="E214" s="4" t="n">
        <v>1260</v>
      </c>
      <c r="F214" s="4"/>
      <c r="G214" s="4"/>
      <c r="H214" s="4" t="s">
        <v>141</v>
      </c>
      <c r="I214" s="4" t="s">
        <v>143</v>
      </c>
      <c r="J214" s="4" t="s">
        <v>344</v>
      </c>
    </row>
    <row r="215" customFormat="false" ht="15" hidden="false" customHeight="false" outlineLevel="0" collapsed="false">
      <c r="A215" s="4" t="s">
        <v>2862</v>
      </c>
      <c r="B215" s="4" t="n">
        <v>35</v>
      </c>
      <c r="C215" s="4" t="s">
        <v>339</v>
      </c>
      <c r="D215" s="5" t="s">
        <v>2656</v>
      </c>
      <c r="E215" s="4" t="n">
        <v>2520</v>
      </c>
      <c r="F215" s="4"/>
      <c r="G215" s="4"/>
      <c r="H215" s="4" t="s">
        <v>141</v>
      </c>
      <c r="I215" s="4" t="s">
        <v>143</v>
      </c>
      <c r="J215" s="4" t="s">
        <v>340</v>
      </c>
    </row>
    <row r="216" customFormat="false" ht="15" hidden="false" customHeight="false" outlineLevel="0" collapsed="false">
      <c r="A216" s="4" t="s">
        <v>2863</v>
      </c>
      <c r="B216" s="4" t="n">
        <v>72</v>
      </c>
      <c r="C216" s="4" t="s">
        <v>388</v>
      </c>
      <c r="D216" s="5" t="s">
        <v>2649</v>
      </c>
      <c r="E216" s="4" t="n">
        <v>72</v>
      </c>
      <c r="F216" s="4"/>
      <c r="G216" s="4"/>
      <c r="H216" s="4" t="s">
        <v>141</v>
      </c>
      <c r="I216" s="5" t="s">
        <v>170</v>
      </c>
      <c r="J216" s="4" t="s">
        <v>389</v>
      </c>
    </row>
    <row r="217" customFormat="false" ht="15" hidden="false" customHeight="false" outlineLevel="0" collapsed="false">
      <c r="A217" s="4" t="s">
        <v>2864</v>
      </c>
      <c r="B217" s="4" t="n">
        <v>190</v>
      </c>
      <c r="C217" s="4" t="s">
        <v>208</v>
      </c>
      <c r="D217" s="5" t="s">
        <v>2649</v>
      </c>
      <c r="E217" s="4" t="n">
        <v>190</v>
      </c>
      <c r="F217" s="4"/>
      <c r="G217" s="4"/>
      <c r="H217" s="4" t="s">
        <v>141</v>
      </c>
      <c r="I217" s="5" t="s">
        <v>170</v>
      </c>
      <c r="J217" s="4" t="s">
        <v>210</v>
      </c>
    </row>
    <row r="218" customFormat="false" ht="15" hidden="false" customHeight="false" outlineLevel="0" collapsed="false">
      <c r="A218" s="4" t="s">
        <v>2865</v>
      </c>
      <c r="B218" s="4" t="n">
        <v>227</v>
      </c>
      <c r="C218" s="4" t="s">
        <v>225</v>
      </c>
      <c r="D218" s="5" t="s">
        <v>2649</v>
      </c>
      <c r="E218" s="4" t="n">
        <v>227</v>
      </c>
      <c r="F218" s="4"/>
      <c r="G218" s="4"/>
      <c r="H218" s="4" t="s">
        <v>141</v>
      </c>
      <c r="I218" s="5" t="s">
        <v>170</v>
      </c>
      <c r="J218" s="4" t="s">
        <v>227</v>
      </c>
    </row>
    <row r="219" customFormat="false" ht="15" hidden="false" customHeight="false" outlineLevel="0" collapsed="false">
      <c r="A219" s="4" t="s">
        <v>2866</v>
      </c>
      <c r="B219" s="4" t="n">
        <v>104</v>
      </c>
      <c r="C219" s="4" t="s">
        <v>304</v>
      </c>
      <c r="D219" s="5" t="s">
        <v>2804</v>
      </c>
      <c r="E219" s="4" t="n">
        <v>15000</v>
      </c>
      <c r="F219" s="4"/>
      <c r="G219" s="4"/>
      <c r="H219" s="4" t="s">
        <v>141</v>
      </c>
      <c r="I219" s="4" t="s">
        <v>143</v>
      </c>
      <c r="J219" s="4" t="s">
        <v>305</v>
      </c>
    </row>
    <row r="220" customFormat="false" ht="15" hidden="false" customHeight="false" outlineLevel="0" collapsed="false">
      <c r="A220" s="4" t="s">
        <v>2867</v>
      </c>
      <c r="B220" s="4" t="n">
        <v>32</v>
      </c>
      <c r="C220" s="4" t="s">
        <v>373</v>
      </c>
      <c r="D220" s="5" t="s">
        <v>2804</v>
      </c>
      <c r="E220" s="4" t="n">
        <v>4600</v>
      </c>
      <c r="F220" s="4"/>
      <c r="G220" s="4"/>
      <c r="H220" s="4" t="s">
        <v>141</v>
      </c>
      <c r="I220" s="4" t="s">
        <v>143</v>
      </c>
      <c r="J220" s="4" t="s">
        <v>374</v>
      </c>
    </row>
    <row r="221" customFormat="false" ht="15" hidden="false" customHeight="false" outlineLevel="0" collapsed="false">
      <c r="A221" s="4" t="s">
        <v>2868</v>
      </c>
      <c r="B221" s="4" t="n">
        <v>0.5625</v>
      </c>
      <c r="C221" s="4" t="s">
        <v>403</v>
      </c>
      <c r="D221" s="5" t="s">
        <v>2649</v>
      </c>
      <c r="E221" s="4" t="n">
        <v>0.5625</v>
      </c>
      <c r="F221" s="4"/>
      <c r="G221" s="4"/>
      <c r="H221" s="4" t="s">
        <v>141</v>
      </c>
      <c r="I221" s="5" t="s">
        <v>170</v>
      </c>
      <c r="J221" s="4" t="s">
        <v>404</v>
      </c>
    </row>
    <row r="222" customFormat="false" ht="15" hidden="false" customHeight="false" outlineLevel="0" collapsed="false">
      <c r="A222" s="4" t="s">
        <v>2869</v>
      </c>
      <c r="B222" s="4" t="n">
        <v>34.7</v>
      </c>
      <c r="C222" s="4" t="s">
        <v>378</v>
      </c>
      <c r="D222" s="5" t="s">
        <v>2804</v>
      </c>
      <c r="E222" s="4" t="n">
        <v>5000</v>
      </c>
      <c r="F222" s="4"/>
      <c r="G222" s="4"/>
      <c r="H222" s="4" t="s">
        <v>141</v>
      </c>
      <c r="I222" s="4" t="s">
        <v>143</v>
      </c>
      <c r="J222" s="4" t="s">
        <v>379</v>
      </c>
    </row>
    <row r="223" customFormat="false" ht="15" hidden="false" customHeight="false" outlineLevel="0" collapsed="false">
      <c r="A223" s="4" t="s">
        <v>2870</v>
      </c>
      <c r="B223" s="4" t="n">
        <v>600</v>
      </c>
      <c r="C223" s="4" t="s">
        <v>219</v>
      </c>
      <c r="D223" s="5" t="s">
        <v>2649</v>
      </c>
      <c r="E223" s="4" t="n">
        <v>600</v>
      </c>
      <c r="F223" s="4"/>
      <c r="G223" s="4"/>
      <c r="H223" s="4" t="s">
        <v>141</v>
      </c>
      <c r="I223" s="5" t="s">
        <v>170</v>
      </c>
      <c r="J223" s="4" t="s">
        <v>220</v>
      </c>
    </row>
    <row r="224" customFormat="false" ht="15" hidden="false" customHeight="false" outlineLevel="0" collapsed="false">
      <c r="A224" s="4" t="s">
        <v>2871</v>
      </c>
      <c r="B224" s="4" t="n">
        <v>4</v>
      </c>
      <c r="C224" s="4" t="s">
        <v>681</v>
      </c>
      <c r="D224" s="5" t="s">
        <v>2656</v>
      </c>
      <c r="E224" s="4" t="n">
        <v>1</v>
      </c>
      <c r="F224" s="4"/>
      <c r="G224" s="4"/>
      <c r="H224" s="4" t="s">
        <v>141</v>
      </c>
      <c r="I224" s="4" t="s">
        <v>143</v>
      </c>
      <c r="J224" s="5" t="s">
        <v>683</v>
      </c>
    </row>
    <row r="225" customFormat="false" ht="15" hidden="false" customHeight="false" outlineLevel="0" collapsed="false">
      <c r="A225" s="4" t="s">
        <v>2871</v>
      </c>
      <c r="B225" s="4" t="n">
        <v>4</v>
      </c>
      <c r="C225" s="4" t="s">
        <v>689</v>
      </c>
      <c r="D225" s="5" t="s">
        <v>2656</v>
      </c>
      <c r="E225" s="4" t="n">
        <v>1</v>
      </c>
      <c r="F225" s="4"/>
      <c r="G225" s="4"/>
      <c r="H225" s="4" t="s">
        <v>141</v>
      </c>
      <c r="I225" s="4" t="s">
        <v>143</v>
      </c>
      <c r="J225" s="5" t="s">
        <v>691</v>
      </c>
    </row>
    <row r="226" customFormat="false" ht="29.85" hidden="false" customHeight="false" outlineLevel="0" collapsed="false">
      <c r="A226" s="4" t="s">
        <v>2871</v>
      </c>
      <c r="B226" s="4" t="n">
        <v>4</v>
      </c>
      <c r="C226" s="4" t="s">
        <v>695</v>
      </c>
      <c r="D226" s="5" t="s">
        <v>2656</v>
      </c>
      <c r="E226" s="4" t="n">
        <v>1</v>
      </c>
      <c r="F226" s="4"/>
      <c r="G226" s="4"/>
      <c r="H226" s="4" t="s">
        <v>141</v>
      </c>
      <c r="I226" s="4" t="s">
        <v>143</v>
      </c>
      <c r="J226" s="5" t="s">
        <v>697</v>
      </c>
    </row>
    <row r="227" customFormat="false" ht="15" hidden="false" customHeight="false" outlineLevel="0" collapsed="false">
      <c r="A227" s="4" t="s">
        <v>2871</v>
      </c>
      <c r="B227" s="4" t="n">
        <v>4</v>
      </c>
      <c r="C227" s="4" t="s">
        <v>703</v>
      </c>
      <c r="D227" s="5" t="s">
        <v>2656</v>
      </c>
      <c r="E227" s="4" t="n">
        <v>1</v>
      </c>
      <c r="F227" s="4"/>
      <c r="G227" s="4"/>
      <c r="H227" s="4" t="s">
        <v>141</v>
      </c>
      <c r="I227" s="4" t="s">
        <v>143</v>
      </c>
      <c r="J227" s="5" t="s">
        <v>705</v>
      </c>
    </row>
    <row r="228" customFormat="false" ht="15" hidden="false" customHeight="false" outlineLevel="0" collapsed="false">
      <c r="A228" s="4" t="s">
        <v>2872</v>
      </c>
      <c r="B228" s="4" t="n">
        <v>32</v>
      </c>
      <c r="C228" s="4" t="s">
        <v>603</v>
      </c>
      <c r="D228" s="5" t="s">
        <v>2649</v>
      </c>
      <c r="E228" s="4" t="n">
        <v>32</v>
      </c>
      <c r="F228" s="4"/>
      <c r="G228" s="4"/>
      <c r="H228" s="4" t="s">
        <v>141</v>
      </c>
      <c r="I228" s="5" t="s">
        <v>170</v>
      </c>
      <c r="J228" s="4" t="s">
        <v>605</v>
      </c>
    </row>
    <row r="229" customFormat="false" ht="29.85" hidden="false" customHeight="false" outlineLevel="0" collapsed="false">
      <c r="A229" s="4" t="s">
        <v>2873</v>
      </c>
      <c r="B229" s="4" t="n">
        <v>4096</v>
      </c>
      <c r="C229" s="4" t="s">
        <v>613</v>
      </c>
      <c r="D229" s="5" t="s">
        <v>2649</v>
      </c>
      <c r="E229" s="4" t="n">
        <v>4096</v>
      </c>
      <c r="F229" s="4"/>
      <c r="G229" s="4"/>
      <c r="H229" s="4" t="s">
        <v>141</v>
      </c>
      <c r="I229" s="5" t="s">
        <v>170</v>
      </c>
      <c r="J229" s="4" t="s">
        <v>614</v>
      </c>
    </row>
    <row r="230" customFormat="false" ht="15" hidden="false" customHeight="false" outlineLevel="0" collapsed="false">
      <c r="A230" s="4" t="s">
        <v>2874</v>
      </c>
      <c r="B230" s="4" t="n">
        <v>14.8</v>
      </c>
      <c r="C230" s="4" t="s">
        <v>663</v>
      </c>
      <c r="D230" s="5" t="s">
        <v>2649</v>
      </c>
      <c r="E230" s="4" t="n">
        <v>14.8</v>
      </c>
      <c r="F230" s="4"/>
      <c r="G230" s="4"/>
      <c r="H230" s="4" t="s">
        <v>141</v>
      </c>
      <c r="I230" s="5" t="s">
        <v>170</v>
      </c>
      <c r="J230" s="4" t="s">
        <v>665</v>
      </c>
    </row>
    <row r="231" customFormat="false" ht="15" hidden="false" customHeight="false" outlineLevel="0" collapsed="false">
      <c r="A231" s="4" t="s">
        <v>2875</v>
      </c>
      <c r="B231" s="4" t="n">
        <v>2.664</v>
      </c>
      <c r="C231" s="4" t="s">
        <v>670</v>
      </c>
      <c r="D231" s="5" t="s">
        <v>2649</v>
      </c>
      <c r="E231" s="4" t="n">
        <v>2.664</v>
      </c>
      <c r="F231" s="4"/>
      <c r="G231" s="4"/>
      <c r="H231" s="4" t="s">
        <v>141</v>
      </c>
      <c r="I231" s="5" t="s">
        <v>170</v>
      </c>
      <c r="J231" s="4" t="s">
        <v>671</v>
      </c>
    </row>
    <row r="232" customFormat="false" ht="15" hidden="false" customHeight="false" outlineLevel="0" collapsed="false">
      <c r="A232" s="4" t="s">
        <v>2876</v>
      </c>
      <c r="B232" s="4" t="n">
        <v>4096</v>
      </c>
      <c r="C232" s="4" t="s">
        <v>678</v>
      </c>
      <c r="D232" s="5" t="s">
        <v>2649</v>
      </c>
      <c r="E232" s="4" t="n">
        <v>4096</v>
      </c>
      <c r="F232" s="4"/>
      <c r="G232" s="4"/>
      <c r="H232" s="4" t="s">
        <v>141</v>
      </c>
      <c r="I232" s="5" t="s">
        <v>170</v>
      </c>
      <c r="J232" s="4" t="s">
        <v>679</v>
      </c>
    </row>
    <row r="233" customFormat="false" ht="15" hidden="false" customHeight="false" outlineLevel="0" collapsed="false">
      <c r="A233" s="4" t="s">
        <v>2877</v>
      </c>
      <c r="B233" s="4" t="n">
        <v>0.055</v>
      </c>
      <c r="C233" s="4" t="s">
        <v>631</v>
      </c>
      <c r="D233" s="5" t="s">
        <v>2656</v>
      </c>
      <c r="E233" s="4" t="n">
        <v>0.147</v>
      </c>
      <c r="F233" s="4"/>
      <c r="G233" s="4"/>
      <c r="H233" s="4" t="s">
        <v>141</v>
      </c>
      <c r="I233" s="4" t="s">
        <v>143</v>
      </c>
      <c r="J233" s="4" t="s">
        <v>633</v>
      </c>
    </row>
    <row r="234" customFormat="false" ht="15" hidden="false" customHeight="false" outlineLevel="0" collapsed="false">
      <c r="A234" s="4" t="s">
        <v>2878</v>
      </c>
      <c r="B234" s="4" t="n">
        <v>1</v>
      </c>
      <c r="C234" s="4" t="s">
        <v>649</v>
      </c>
      <c r="D234" s="5" t="s">
        <v>2649</v>
      </c>
      <c r="E234" s="4" t="n">
        <v>1</v>
      </c>
      <c r="F234" s="4"/>
      <c r="G234" s="4"/>
      <c r="H234" s="4" t="s">
        <v>141</v>
      </c>
      <c r="I234" s="5" t="s">
        <v>170</v>
      </c>
      <c r="J234" s="4" t="s">
        <v>651</v>
      </c>
    </row>
    <row r="235" customFormat="false" ht="15" hidden="false" customHeight="false" outlineLevel="0" collapsed="false">
      <c r="A235" s="4" t="s">
        <v>2879</v>
      </c>
      <c r="B235" s="4" t="n">
        <v>2E+026</v>
      </c>
      <c r="C235" s="4" t="s">
        <v>620</v>
      </c>
      <c r="D235" s="5" t="s">
        <v>2756</v>
      </c>
      <c r="E235" s="4" t="n">
        <v>4.6E+026</v>
      </c>
      <c r="F235" s="4"/>
      <c r="G235" s="4"/>
      <c r="H235" s="4" t="s">
        <v>141</v>
      </c>
      <c r="I235" s="4" t="s">
        <v>143</v>
      </c>
      <c r="J235" s="4" t="s">
        <v>622</v>
      </c>
    </row>
    <row r="236" customFormat="false" ht="15" hidden="false" customHeight="false" outlineLevel="0" collapsed="false">
      <c r="A236" s="4" t="s">
        <v>2880</v>
      </c>
      <c r="B236" s="4" t="n">
        <v>5E+026</v>
      </c>
      <c r="C236" s="4" t="s">
        <v>620</v>
      </c>
      <c r="D236" s="5" t="s">
        <v>2756</v>
      </c>
      <c r="E236" s="4" t="n">
        <v>4.6E+026</v>
      </c>
      <c r="F236" s="4"/>
      <c r="G236" s="4"/>
      <c r="H236" s="4" t="s">
        <v>141</v>
      </c>
      <c r="I236" s="4" t="s">
        <v>143</v>
      </c>
      <c r="J236" s="4" t="s">
        <v>622</v>
      </c>
    </row>
    <row r="237" customFormat="false" ht="15" hidden="false" customHeight="false" outlineLevel="0" collapsed="false">
      <c r="A237" s="4" t="s">
        <v>2881</v>
      </c>
      <c r="B237" s="4" t="n">
        <v>2E+027</v>
      </c>
      <c r="C237" s="4" t="s">
        <v>620</v>
      </c>
      <c r="D237" s="5" t="s">
        <v>2756</v>
      </c>
      <c r="E237" s="4" t="n">
        <v>4.6E+026</v>
      </c>
      <c r="F237" s="4"/>
      <c r="G237" s="4"/>
      <c r="H237" s="4" t="s">
        <v>141</v>
      </c>
      <c r="I237" s="4" t="s">
        <v>143</v>
      </c>
      <c r="J237" s="4" t="s">
        <v>622</v>
      </c>
    </row>
    <row r="238" customFormat="false" ht="15" hidden="false" customHeight="false" outlineLevel="0" collapsed="false">
      <c r="A238" s="4" t="s">
        <v>2882</v>
      </c>
      <c r="B238" s="4" t="n">
        <v>0.9</v>
      </c>
      <c r="C238" s="4" t="s">
        <v>895</v>
      </c>
      <c r="D238" s="5" t="s">
        <v>2756</v>
      </c>
      <c r="E238" s="4" t="n">
        <v>0.9</v>
      </c>
      <c r="F238" s="4"/>
      <c r="G238" s="4"/>
      <c r="H238" s="4" t="s">
        <v>141</v>
      </c>
      <c r="I238" s="4" t="s">
        <v>143</v>
      </c>
      <c r="J238" s="4" t="s">
        <v>896</v>
      </c>
    </row>
    <row r="239" customFormat="false" ht="15" hidden="false" customHeight="false" outlineLevel="0" collapsed="false">
      <c r="A239" s="4" t="s">
        <v>2883</v>
      </c>
      <c r="B239" s="4" t="n">
        <v>33</v>
      </c>
      <c r="C239" s="4" t="s">
        <v>610</v>
      </c>
      <c r="D239" s="5" t="s">
        <v>2649</v>
      </c>
      <c r="E239" s="4" t="n">
        <v>33</v>
      </c>
      <c r="F239" s="4"/>
      <c r="G239" s="4"/>
      <c r="H239" s="4" t="s">
        <v>141</v>
      </c>
      <c r="I239" s="5" t="s">
        <v>170</v>
      </c>
      <c r="J239" s="4" t="s">
        <v>611</v>
      </c>
    </row>
    <row r="240" customFormat="false" ht="29.85" hidden="false" customHeight="false" outlineLevel="0" collapsed="false">
      <c r="A240" s="4" t="s">
        <v>2884</v>
      </c>
      <c r="B240" s="4" t="n">
        <v>4096</v>
      </c>
      <c r="C240" s="4" t="s">
        <v>613</v>
      </c>
      <c r="D240" s="5" t="s">
        <v>2649</v>
      </c>
      <c r="E240" s="4" t="n">
        <v>4096</v>
      </c>
      <c r="F240" s="4"/>
      <c r="G240" s="4"/>
      <c r="H240" s="4" t="s">
        <v>141</v>
      </c>
      <c r="I240" s="5" t="s">
        <v>170</v>
      </c>
      <c r="J240" s="4" t="s">
        <v>614</v>
      </c>
    </row>
    <row r="241" customFormat="false" ht="15" hidden="false" customHeight="false" outlineLevel="0" collapsed="false">
      <c r="A241" s="4" t="s">
        <v>2885</v>
      </c>
      <c r="B241" s="4" t="n">
        <v>4</v>
      </c>
      <c r="C241" s="4" t="s">
        <v>1220</v>
      </c>
      <c r="D241" s="5" t="s">
        <v>2649</v>
      </c>
      <c r="E241" s="4" t="n">
        <v>4</v>
      </c>
      <c r="F241" s="4"/>
      <c r="G241" s="4"/>
      <c r="H241" s="4" t="s">
        <v>141</v>
      </c>
      <c r="I241" s="5" t="s">
        <v>170</v>
      </c>
      <c r="J241" s="4" t="s">
        <v>1222</v>
      </c>
    </row>
    <row r="242" customFormat="false" ht="15" hidden="false" customHeight="false" outlineLevel="0" collapsed="false">
      <c r="A242" s="4" t="s">
        <v>2886</v>
      </c>
      <c r="B242" s="4" t="n">
        <v>15</v>
      </c>
      <c r="C242" s="4" t="s">
        <v>1227</v>
      </c>
      <c r="D242" s="5" t="s">
        <v>2649</v>
      </c>
      <c r="E242" s="4" t="n">
        <v>15</v>
      </c>
      <c r="F242" s="4"/>
      <c r="G242" s="4"/>
      <c r="H242" s="4" t="s">
        <v>141</v>
      </c>
      <c r="I242" s="5" t="s">
        <v>170</v>
      </c>
      <c r="J242" s="4" t="s">
        <v>1228</v>
      </c>
    </row>
  </sheetData>
  <autoFilter ref="A1:J2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90"/>
    <col collapsed="false" customWidth="true" hidden="false" outlineLevel="0" max="4" min="4" style="1" width="26"/>
    <col collapsed="false" customWidth="true" hidden="false" outlineLevel="0" max="5" min="5" style="1" width="10"/>
  </cols>
  <sheetData>
    <row r="1" customFormat="false" ht="26.85" hidden="false" customHeight="false" outlineLevel="0" collapsed="false">
      <c r="A1" s="10" t="s">
        <v>57</v>
      </c>
      <c r="B1" s="10" t="s">
        <v>2887</v>
      </c>
      <c r="C1" s="10" t="s">
        <v>2888</v>
      </c>
      <c r="D1" s="10" t="s">
        <v>2889</v>
      </c>
      <c r="E1" s="10" t="s">
        <v>2890</v>
      </c>
    </row>
    <row r="2" customFormat="false" ht="29.85" hidden="false" customHeight="false" outlineLevel="0" collapsed="false">
      <c r="A2" s="4" t="s">
        <v>2891</v>
      </c>
      <c r="B2" s="5" t="s">
        <v>2892</v>
      </c>
      <c r="C2" s="4" t="s">
        <v>2893</v>
      </c>
      <c r="D2" s="4" t="s">
        <v>2894</v>
      </c>
      <c r="E2" s="4" t="s">
        <v>64</v>
      </c>
    </row>
    <row r="3" customFormat="false" ht="29.85" hidden="false" customHeight="false" outlineLevel="0" collapsed="false">
      <c r="A3" s="4" t="s">
        <v>2895</v>
      </c>
      <c r="B3" s="5" t="s">
        <v>2896</v>
      </c>
      <c r="C3" s="4" t="s">
        <v>2897</v>
      </c>
      <c r="D3" s="5" t="s">
        <v>2898</v>
      </c>
      <c r="E3" s="4" t="s">
        <v>64</v>
      </c>
    </row>
    <row r="4" customFormat="false" ht="44" hidden="false" customHeight="false" outlineLevel="0" collapsed="false">
      <c r="A4" s="4" t="s">
        <v>2899</v>
      </c>
      <c r="B4" s="5" t="s">
        <v>2900</v>
      </c>
      <c r="C4" s="4" t="s">
        <v>2901</v>
      </c>
      <c r="D4" s="4" t="s">
        <v>2902</v>
      </c>
      <c r="E4" s="4" t="s">
        <v>85</v>
      </c>
    </row>
    <row r="5" customFormat="false" ht="44" hidden="false" customHeight="false" outlineLevel="0" collapsed="false">
      <c r="A5" s="4" t="s">
        <v>2903</v>
      </c>
      <c r="B5" s="5" t="s">
        <v>2904</v>
      </c>
      <c r="C5" s="4" t="s">
        <v>2905</v>
      </c>
      <c r="D5" s="5" t="s">
        <v>2906</v>
      </c>
      <c r="E5" s="4" t="s">
        <v>70</v>
      </c>
    </row>
    <row r="6" customFormat="false" ht="29.85" hidden="false" customHeight="false" outlineLevel="0" collapsed="false">
      <c r="A6" s="4" t="s">
        <v>2907</v>
      </c>
      <c r="B6" s="4" t="s">
        <v>2908</v>
      </c>
      <c r="C6" s="4" t="s">
        <v>2909</v>
      </c>
      <c r="D6" s="4" t="s">
        <v>2910</v>
      </c>
      <c r="E6" s="4" t="s">
        <v>89</v>
      </c>
    </row>
    <row r="7" customFormat="false" ht="44" hidden="false" customHeight="false" outlineLevel="0" collapsed="false">
      <c r="A7" s="4" t="s">
        <v>2911</v>
      </c>
      <c r="B7" s="5" t="s">
        <v>110</v>
      </c>
      <c r="C7" s="5" t="s">
        <v>2912</v>
      </c>
      <c r="D7" s="4" t="s">
        <v>2913</v>
      </c>
      <c r="E7" s="4" t="s">
        <v>143</v>
      </c>
    </row>
    <row r="8" customFormat="false" ht="29.85" hidden="false" customHeight="false" outlineLevel="0" collapsed="false">
      <c r="A8" s="4" t="s">
        <v>2914</v>
      </c>
      <c r="B8" s="4" t="s">
        <v>2915</v>
      </c>
      <c r="C8" s="4" t="s">
        <v>2916</v>
      </c>
      <c r="D8" s="4" t="s">
        <v>47</v>
      </c>
      <c r="E8" s="4" t="s">
        <v>143</v>
      </c>
    </row>
    <row r="9" customFormat="false" ht="44" hidden="false" customHeight="false" outlineLevel="0" collapsed="false">
      <c r="A9" s="4" t="s">
        <v>2917</v>
      </c>
      <c r="B9" s="5" t="s">
        <v>2918</v>
      </c>
      <c r="C9" s="4" t="s">
        <v>2919</v>
      </c>
      <c r="D9" s="4" t="s">
        <v>2920</v>
      </c>
      <c r="E9" s="4" t="s">
        <v>81</v>
      </c>
    </row>
    <row r="10" customFormat="false" ht="29.85" hidden="false" customHeight="false" outlineLevel="0" collapsed="false">
      <c r="A10" s="4" t="s">
        <v>2921</v>
      </c>
      <c r="B10" s="5" t="s">
        <v>2922</v>
      </c>
      <c r="C10" s="5" t="s">
        <v>2923</v>
      </c>
      <c r="D10" s="4" t="s">
        <v>2924</v>
      </c>
      <c r="E10" s="4" t="s">
        <v>143</v>
      </c>
    </row>
    <row r="11" customFormat="false" ht="15" hidden="false" customHeight="false" outlineLevel="0" collapsed="false">
      <c r="A11" s="4" t="s">
        <v>2925</v>
      </c>
      <c r="B11" s="4" t="s">
        <v>2926</v>
      </c>
      <c r="C11" s="4" t="s">
        <v>2927</v>
      </c>
      <c r="D11" s="4" t="s">
        <v>2928</v>
      </c>
      <c r="E11" s="4" t="s">
        <v>76</v>
      </c>
    </row>
    <row r="12" customFormat="false" ht="29.85" hidden="false" customHeight="false" outlineLevel="0" collapsed="false">
      <c r="A12" s="4" t="s">
        <v>2929</v>
      </c>
      <c r="B12" s="4" t="s">
        <v>2930</v>
      </c>
      <c r="C12" s="4" t="s">
        <v>2931</v>
      </c>
      <c r="D12" s="4" t="s">
        <v>2932</v>
      </c>
      <c r="E12" s="4" t="s">
        <v>143</v>
      </c>
    </row>
    <row r="13" customFormat="false" ht="29.85" hidden="false" customHeight="false" outlineLevel="0" collapsed="false">
      <c r="A13" s="4" t="s">
        <v>2933</v>
      </c>
      <c r="B13" s="5" t="s">
        <v>2934</v>
      </c>
      <c r="C13" s="5" t="s">
        <v>2935</v>
      </c>
      <c r="D13" s="4" t="s">
        <v>1599</v>
      </c>
      <c r="E13" s="4" t="s">
        <v>143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2026-10-02T07:49:47Z</dcterms:created>
  <dc:creator>openpyxl</dc:creator>
  <dc:description/>
  <dc:language>en-US</dc:language>
  <cp:lastModifiedBy/>
  <dcterms:modified xsi:type="dcterms:W3CDTF">2026-10-02T07:49:48Z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