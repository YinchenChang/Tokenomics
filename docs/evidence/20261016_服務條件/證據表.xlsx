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證據表" sheetId="1" state="visible" r:id="rId1"/>
    <sheet xmlns:r="http://schemas.openxmlformats.org/officeDocument/2006/relationships" name="情境計算" sheetId="2" state="visible" r:id="rId2"/>
    <sheet xmlns:r="http://schemas.openxmlformats.org/officeDocument/2006/relationships" name="MLPerf_v6.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40" customWidth="1" min="3" max="3"/>
    <col width="18" customWidth="1" min="4" max="4"/>
    <col width="50" customWidth="1" min="5" max="5"/>
    <col width="14" customWidth="1" min="6" max="6"/>
    <col width="36" customWidth="1" min="7" max="7"/>
    <col width="30" customWidth="1" min="8" max="8"/>
    <col width="20" customWidth="1" min="9" max="9"/>
    <col width="8" customWidth="1" min="10" max="10"/>
    <col width="44" customWidth="1" min="11" max="11"/>
  </cols>
  <sheetData>
    <row r="1">
      <c r="A1" s="1" t="inlineStr">
        <is>
          <t>題號</t>
        </is>
      </c>
      <c r="B1" s="1" t="inlineStr">
        <is>
          <t>數值</t>
        </is>
      </c>
      <c r="C1" s="1" t="inlineStr">
        <is>
          <t>單位與口徑</t>
        </is>
      </c>
      <c r="D1" s="1" t="inlineStr">
        <is>
          <t>日期</t>
        </is>
      </c>
      <c r="E1" s="1" t="inlineStr">
        <is>
          <t>來源（URL）</t>
        </is>
      </c>
      <c r="F1" s="1" t="inlineStr">
        <is>
          <t>標記</t>
        </is>
      </c>
      <c r="G1" s="1" t="inlineStr">
        <is>
          <t>利害關係方與動機</t>
        </is>
      </c>
      <c r="H1" s="1" t="inlineStr">
        <is>
          <t>是否為獨立的第二來源</t>
        </is>
      </c>
      <c r="I1" s="1" t="inlineStr">
        <is>
          <t>讀取狀態</t>
        </is>
      </c>
      <c r="J1" s="1" t="inlineStr">
        <is>
          <t>來源等級</t>
        </is>
      </c>
      <c r="K1" s="1" t="inlineStr">
        <is>
          <t>備註</t>
        </is>
      </c>
    </row>
    <row r="2">
      <c r="A2" t="inlineStr">
        <is>
          <t>Q1</t>
        </is>
      </c>
      <c r="B2" t="inlineStr">
        <is>
          <t>GPT-6 Astra (high)：OpenAI 52.1 tok/s；首個答案 token 47.5 s；500 token 端到端 57.1 s</t>
        </is>
      </c>
      <c r="C2" t="inlineStr">
        <is>
          <t>每用戶輸出速度（生成中、首 chunk 之後）；10,000 輸入 token 探測；72 小時中位數</t>
        </is>
      </c>
      <c r="D2" t="inlineStr">
        <is>
          <t>2026-10（72 小時窗；模型 2026-09 發布）</t>
        </is>
      </c>
      <c r="E2" t="inlineStr">
        <is>
          <t>https://artificialanalysis.ai/ko/models/gpt-6-astra-high/providers</t>
        </is>
      </c>
      <c r="F2" t="inlineStr">
        <is>
          <t>Verified</t>
        </is>
      </c>
      <c r="G2" t="inlineStr">
        <is>
          <t>Artificial Analysis（第三方量測商；以 API 探測請求量測，無賣方利益，但與供應商有合作關係）</t>
        </is>
      </c>
      <c r="H2" t="inlineStr">
        <is>
          <t>是（OpenRouter GPT-6 Astra）</t>
        </is>
      </c>
      <c r="I2" t="inlineStr">
        <is>
          <t>已讀（WebFetch 摘要）</t>
        </is>
      </c>
      <c r="J2" t="inlineStr">
        <is>
          <t>2</t>
        </is>
      </c>
      <c r="K2" t="inlineStr">
        <is>
          <t>Astra 層代表模型。英文 non-reasoning 頁讀取失敗</t>
        </is>
      </c>
    </row>
    <row r="3">
      <c r="A3" t="inlineStr">
        <is>
          <t>Q1</t>
        </is>
      </c>
      <c r="B3" t="inlineStr">
        <is>
          <t>GPT-6 Astra：OpenAI 32 tps、延遲 4.16 s；Azure 24／9.36 s；Bedrock 52；Flex 40；Fast 68（2 倍價）</t>
        </is>
      </c>
      <c r="C3" t="inlineStr">
        <is>
          <t>實際流量 P50 throughput 與首 token 延遲；標準路由只用 OpenAI、Azure</t>
        </is>
      </c>
      <c r="D3" t="inlineStr">
        <is>
          <t>2026-10（3 日窗）</t>
        </is>
      </c>
      <c r="E3" t="inlineStr">
        <is>
          <t>https://openrouter.ai/models/openai/gpt-6-astra</t>
        </is>
      </c>
      <c r="F3" t="inlineStr">
        <is>
          <t>Verified</t>
        </is>
      </c>
      <c r="G3" t="inlineStr">
        <is>
          <t>OpenRouter（路由商；數值來自實際流量 P50，無賣方利益）</t>
        </is>
      </c>
      <c r="H3" t="inlineStr">
        <is>
          <t>是（AA）</t>
        </is>
      </c>
      <c r="I3" t="inlineStr">
        <is>
          <t>已讀（WebFetch 摘要）</t>
        </is>
      </c>
      <c r="J3" t="inlineStr">
        <is>
          <t>2</t>
        </is>
      </c>
      <c r="K3" t="inlineStr">
        <is>
          <t>標準端點 24–32；加價端點 52–68</t>
        </is>
      </c>
    </row>
    <row r="4">
      <c r="A4" t="inlineStr">
        <is>
          <t>Q1</t>
        </is>
      </c>
      <c r="B4" t="inlineStr">
        <is>
          <t>GPT-6 Sol (max)：OpenAI 102.8 tok/s；Azure 145.8；首個答案 token 113.7 s</t>
        </is>
      </c>
      <c r="C4" t="inlineStr">
        <is>
          <t>同 AA 口徑；max 推理強度</t>
        </is>
      </c>
      <c r="D4" t="inlineStr">
        <is>
          <t>2026-10（72 小時窗；模型 2026-09-22 發布）</t>
        </is>
      </c>
      <c r="E4" t="inlineStr">
        <is>
          <t>https://artificialanalysis.ai/models/gpt-6-sol/providers</t>
        </is>
      </c>
      <c r="F4" t="inlineStr">
        <is>
          <t>Verified</t>
        </is>
      </c>
      <c r="G4" t="inlineStr">
        <is>
          <t>Artificial Analysis（第三方量測商；以 API 探測請求量測，無賣方利益，但與供應商有合作關係）</t>
        </is>
      </c>
      <c r="H4" t="inlineStr">
        <is>
          <t>是（OpenRouter GPT-6 Sol）</t>
        </is>
      </c>
      <c r="I4" t="inlineStr">
        <is>
          <t>已讀（WebFetch 摘要）</t>
        </is>
      </c>
      <c r="J4" t="inlineStr">
        <is>
          <t>2</t>
        </is>
      </c>
      <c r="K4" t="inlineStr">
        <is>
          <t>頁面標示已被 GPT-6.1 Sol 取代；medium 頁無數據</t>
        </is>
      </c>
    </row>
    <row r="5">
      <c r="A5" t="inlineStr">
        <is>
          <t>Q1</t>
        </is>
      </c>
      <c r="B5" t="inlineStr">
        <is>
          <t>GPT-6.1 Sol (medium)：OpenAI 50.7 tok/s；首個答案 token 4.24 s</t>
        </is>
      </c>
      <c r="C5" t="inlineStr">
        <is>
          <t>同 AA 口徑</t>
        </is>
      </c>
      <c r="D5" t="inlineStr">
        <is>
          <t>2026-10（72 小時窗；模型 2026-09-29 發布）</t>
        </is>
      </c>
      <c r="E5" t="inlineStr">
        <is>
          <t>https://artificialanalysis.ai/models/gpt-6-1-sol-medium/providers</t>
        </is>
      </c>
      <c r="F5" t="inlineStr">
        <is>
          <t>Verified</t>
        </is>
      </c>
      <c r="G5" t="inlineStr">
        <is>
          <t>Artificial Analysis（第三方量測商；以 API 探測請求量測，無賣方利益，但與供應商有合作關係）</t>
        </is>
      </c>
      <c r="H5" t="inlineStr">
        <is>
          <t>是（OpenRouter GPT-6.1 Sol）</t>
        </is>
      </c>
      <c r="I5" t="inlineStr">
        <is>
          <t>已讀（WebFetch 摘要）</t>
        </is>
      </c>
      <c r="J5" t="inlineStr">
        <is>
          <t>2</t>
        </is>
      </c>
      <c r="K5" t="inlineStr">
        <is>
          <t>目前 Sol 層主力</t>
        </is>
      </c>
    </row>
    <row r="6">
      <c r="A6" t="inlineStr">
        <is>
          <t>Q1</t>
        </is>
      </c>
      <c r="B6" t="inlineStr">
        <is>
          <t>GPT-6 Sol：OpenAI 63 tps、2.72 s；Azure 22／6.63 s；Azure EU 62；Bedrock US 61；Fast 61；Flex 70</t>
        </is>
      </c>
      <c r="C6" t="inlineStr">
        <is>
          <t>OpenRouter 實際流量 P50</t>
        </is>
      </c>
      <c r="D6" t="inlineStr">
        <is>
          <t>2026-10（3 日窗）</t>
        </is>
      </c>
      <c r="E6" t="inlineStr">
        <is>
          <t>https://openrouter.ai/models/openai/gpt-6-sol</t>
        </is>
      </c>
      <c r="F6" t="inlineStr">
        <is>
          <t>Verified</t>
        </is>
      </c>
      <c r="G6" t="inlineStr">
        <is>
          <t>OpenRouter（路由商；數值來自實際流量 P50，無賣方利益）</t>
        </is>
      </c>
      <c r="H6" t="inlineStr">
        <is>
          <t>是（AA）</t>
        </is>
      </c>
      <c r="I6" t="inlineStr">
        <is>
          <t>已讀（WebFetch 摘要）</t>
        </is>
      </c>
      <c r="J6" t="inlineStr">
        <is>
          <t>2</t>
        </is>
      </c>
      <c r="K6" t="inlineStr"/>
    </row>
    <row r="7">
      <c r="A7" t="inlineStr">
        <is>
          <t>Q1</t>
        </is>
      </c>
      <c r="B7" t="inlineStr">
        <is>
          <t>GPT-6.1 Sol：OpenAI 37 tps、3.36 s；Azure 24／12.05 s；Bedrock 39；Flex 33；Fast 64（2 倍價）；Ultrafast 86（6 倍價）</t>
        </is>
      </c>
      <c r="C7" t="inlineStr">
        <is>
          <t>OpenRouter 實際流量 P50</t>
        </is>
      </c>
      <c r="D7" t="inlineStr">
        <is>
          <t>2026-10（3 日窗）</t>
        </is>
      </c>
      <c r="E7" t="inlineStr">
        <is>
          <t>https://openrouter.ai/models/openai/gpt-6.1-sol</t>
        </is>
      </c>
      <c r="F7" t="inlineStr">
        <is>
          <t>Verified</t>
        </is>
      </c>
      <c r="G7" t="inlineStr">
        <is>
          <t>OpenRouter（路由商；數值來自實際流量 P50，無賣方利益）</t>
        </is>
      </c>
      <c r="H7" t="inlineStr">
        <is>
          <t>是（AA）</t>
        </is>
      </c>
      <c r="I7" t="inlineStr">
        <is>
          <t>已讀（WebFetch 摘要）</t>
        </is>
      </c>
      <c r="J7" t="inlineStr">
        <is>
          <t>2</t>
        </is>
      </c>
      <c r="K7" t="inlineStr">
        <is>
          <t>標準端點 24–39</t>
        </is>
      </c>
    </row>
    <row r="8">
      <c r="A8" t="inlineStr">
        <is>
          <t>Q1</t>
        </is>
      </c>
      <c r="B8" t="inlineStr">
        <is>
          <t>GPT-5.6 Sol (max)：OpenAI 92.8 tok/s；Azure 114.6；Bedrock 87.3</t>
        </is>
      </c>
      <c r="C8" t="inlineStr">
        <is>
          <t>AA 口徑</t>
        </is>
      </c>
      <c r="D8" t="inlineStr">
        <is>
          <t>2026-10（72 小時窗；模型 2026-07 發布、已棄用）</t>
        </is>
      </c>
      <c r="E8" t="inlineStr">
        <is>
          <t>https://artificialanalysis.ai/models/gpt-5-6-sol/providers</t>
        </is>
      </c>
      <c r="F8" t="inlineStr">
        <is>
          <t>Verified</t>
        </is>
      </c>
      <c r="G8" t="inlineStr">
        <is>
          <t>Artificial Analysis（第三方量測商；以 API 探測請求量測，無賣方利益，但與供應商有合作關係）</t>
        </is>
      </c>
      <c r="H8" t="inlineStr">
        <is>
          <t>是（OpenRouter GPT-5.6 Sol）</t>
        </is>
      </c>
      <c r="I8" t="inlineStr">
        <is>
          <t>已讀（WebFetch 摘要）</t>
        </is>
      </c>
      <c r="J8" t="inlineStr">
        <is>
          <t>2</t>
        </is>
      </c>
      <c r="K8" t="inlineStr">
        <is>
          <t>Serving S26 所引的前一代</t>
        </is>
      </c>
    </row>
    <row r="9">
      <c r="A9" t="inlineStr">
        <is>
          <t>Q1</t>
        </is>
      </c>
      <c r="B9" t="inlineStr">
        <is>
          <t>GPT-5.6 Sol：OpenAI 66 tps、4.84 s；Fast 89；Bedrock 75；Azure 28–57；Flex 44</t>
        </is>
      </c>
      <c r="C9" t="inlineStr">
        <is>
          <t>OpenRouter 實際流量 P50</t>
        </is>
      </c>
      <c r="D9" t="inlineStr">
        <is>
          <t>2026-10（3 日窗）</t>
        </is>
      </c>
      <c r="E9" t="inlineStr">
        <is>
          <t>https://openrouter.ai/models/openai/gpt-5.6-sol-20260709</t>
        </is>
      </c>
      <c r="F9" t="inlineStr">
        <is>
          <t>Verified</t>
        </is>
      </c>
      <c r="G9" t="inlineStr">
        <is>
          <t>OpenRouter（路由商；數值來自實際流量 P50，無賣方利益）</t>
        </is>
      </c>
      <c r="H9" t="inlineStr">
        <is>
          <t>是（AA）</t>
        </is>
      </c>
      <c r="I9" t="inlineStr">
        <is>
          <t>已讀（WebFetch 摘要）</t>
        </is>
      </c>
      <c r="J9" t="inlineStr">
        <is>
          <t>2</t>
        </is>
      </c>
      <c r="K9" t="inlineStr"/>
    </row>
    <row r="10">
      <c r="A10" t="inlineStr">
        <is>
          <t>Q1</t>
        </is>
      </c>
      <c r="B10" t="inlineStr">
        <is>
          <t>GPT-6 Luna：OpenAI 116.5 tok/s；Azure 201.2；Flex 45.9</t>
        </is>
      </c>
      <c r="C10" t="inlineStr">
        <is>
          <t>AA 口徑</t>
        </is>
      </c>
      <c r="D10" t="inlineStr">
        <is>
          <t>2026-10（72 小時窗；模型 2026-09 發布）</t>
        </is>
      </c>
      <c r="E10" t="inlineStr">
        <is>
          <t>https://artificialanalysis.ai/models/gpt-6-luna/providers</t>
        </is>
      </c>
      <c r="F10" t="inlineStr">
        <is>
          <t>Verified</t>
        </is>
      </c>
      <c r="G10" t="inlineStr">
        <is>
          <t>Artificial Analysis（第三方量測商；以 API 探測請求量測，無賣方利益，但與供應商有合作關係）</t>
        </is>
      </c>
      <c r="H10" t="inlineStr">
        <is>
          <t>是（OpenRouter GPT-6 Luna）</t>
        </is>
      </c>
      <c r="I10" t="inlineStr">
        <is>
          <t>已讀（WebFetch 摘要）</t>
        </is>
      </c>
      <c r="J10" t="inlineStr">
        <is>
          <t>2</t>
        </is>
      </c>
      <c r="K10" t="inlineStr">
        <is>
          <t>Luna 層代表模型（價格 0.10／0.50，與 2Q 對應）</t>
        </is>
      </c>
    </row>
    <row r="11">
      <c r="A11" t="inlineStr">
        <is>
          <t>Q1</t>
        </is>
      </c>
      <c r="B11" t="inlineStr">
        <is>
          <t>GPT-6 Luna：OpenAI 61 tps、2.59 s；Fast 110；Bedrock 62；Azure 26–47；Flex 37</t>
        </is>
      </c>
      <c r="C11" t="inlineStr">
        <is>
          <t>OpenRouter 實際流量 P50</t>
        </is>
      </c>
      <c r="D11" t="inlineStr">
        <is>
          <t>2026-10（3 日窗；2026-09-22 發布）</t>
        </is>
      </c>
      <c r="E11" t="inlineStr">
        <is>
          <t>https://openrouter.ai/models/openai/gpt-6-luna</t>
        </is>
      </c>
      <c r="F11" t="inlineStr">
        <is>
          <t>Verified</t>
        </is>
      </c>
      <c r="G11" t="inlineStr">
        <is>
          <t>OpenRouter（路由商；數值來自實際流量 P50，無賣方利益）</t>
        </is>
      </c>
      <c r="H11" t="inlineStr">
        <is>
          <t>是（AA）</t>
        </is>
      </c>
      <c r="I11" t="inlineStr">
        <is>
          <t>已讀（WebFetch 摘要）</t>
        </is>
      </c>
      <c r="J11" t="inlineStr">
        <is>
          <t>2</t>
        </is>
      </c>
      <c r="K11" t="inlineStr"/>
    </row>
    <row r="12">
      <c r="A12" t="inlineStr">
        <is>
          <t>Q1</t>
        </is>
      </c>
      <c r="B12" t="inlineStr">
        <is>
          <t>GPT-5.6 Luna (max)：OpenAI 126.7；Bedrock 201.1（另 xhigh 124.1、high 123.8）</t>
        </is>
      </c>
      <c r="C12" t="inlineStr">
        <is>
          <t>AA 口徑</t>
        </is>
      </c>
      <c r="D12" t="inlineStr">
        <is>
          <t>2026-10（72 小時窗）</t>
        </is>
      </c>
      <c r="E12" t="inlineStr">
        <is>
          <t>https://artificialanalysis.ai/models/gpt-5-6-luna/providers</t>
        </is>
      </c>
      <c r="F12" t="inlineStr">
        <is>
          <t>Verified</t>
        </is>
      </c>
      <c r="G12" t="inlineStr">
        <is>
          <t>Artificial Analysis（第三方量測商；以 API 探測請求量測，無賣方利益，但與供應商有合作關係）</t>
        </is>
      </c>
      <c r="H12" t="inlineStr">
        <is>
          <t>是（OpenRouter GPT-5.6 Luna）</t>
        </is>
      </c>
      <c r="I12" t="inlineStr">
        <is>
          <t>已讀（WebFetch 摘要）</t>
        </is>
      </c>
      <c r="J12" t="inlineStr">
        <is>
          <t>2</t>
        </is>
      </c>
      <c r="K12" t="inlineStr"/>
    </row>
    <row r="13">
      <c r="A13" t="inlineStr">
        <is>
          <t>Q1</t>
        </is>
      </c>
      <c r="B13" t="inlineStr">
        <is>
          <t>GPT-5.6 Luna：OpenAI 65 tps、1.83 s；Fast 122；Bedrock 110；Azure 49–104；Flex 61</t>
        </is>
      </c>
      <c r="C13" t="inlineStr">
        <is>
          <t>OpenRouter 實際流量 P50</t>
        </is>
      </c>
      <c r="D13" t="inlineStr">
        <is>
          <t>2026-10（3 日窗）</t>
        </is>
      </c>
      <c r="E13" t="inlineStr">
        <is>
          <t>https://openrouter.ai/models/openai/gpt-5.6-luna</t>
        </is>
      </c>
      <c r="F13" t="inlineStr">
        <is>
          <t>Verified</t>
        </is>
      </c>
      <c r="G13" t="inlineStr">
        <is>
          <t>OpenRouter（路由商；數值來自實際流量 P50，無賣方利益）</t>
        </is>
      </c>
      <c r="H13" t="inlineStr">
        <is>
          <t>是（AA）</t>
        </is>
      </c>
      <c r="I13" t="inlineStr">
        <is>
          <t>已讀（WebFetch 摘要）</t>
        </is>
      </c>
      <c r="J13" t="inlineStr">
        <is>
          <t>2</t>
        </is>
      </c>
      <c r="K13" t="inlineStr"/>
    </row>
    <row r="14">
      <c r="A14" t="inlineStr">
        <is>
          <t>Q1</t>
        </is>
      </c>
      <c r="B14" t="inlineStr">
        <is>
          <t>ChatGPT／Codex 訂閱產品預設速度：GPT-6 Astra 與 GPT-6.1 Sol 由約 30 提高到約 50 tok/s（官方稱「約快 50%」，與 30→50 的 67% 不一致）</t>
        </is>
      </c>
      <c r="C14" t="inlineStr">
        <is>
          <t>訂閱產品（Codex、Sign in with ChatGPT 夥伴）預設速度；未提 API</t>
        </is>
      </c>
      <c r="D14" t="inlineStr">
        <is>
          <t>2026-10-05</t>
        </is>
      </c>
      <c r="E14" t="inlineStr">
        <is>
          <t>https://runtimewire.com/article/openai-gpt-6-models-speed-optimization-tibo-sottiaux</t>
        </is>
      </c>
      <c r="F14" t="inlineStr">
        <is>
          <t>Interested-party</t>
        </is>
      </c>
      <c r="G14" t="inlineStr">
        <is>
          <t>OpenAI（賣方；宣傳產品速度改善）</t>
        </is>
      </c>
      <c r="H14" t="inlineStr">
        <is>
          <t>否（PC Watch 為同一則貼文的轉述，非獨立）；OpenRouter GPT-6.1 Sol 37 tps 方向一致</t>
        </is>
      </c>
      <c r="I14" t="inlineStr">
        <is>
          <t>已讀（WebFetch 摘要）</t>
        </is>
      </c>
      <c r="J14" t="inlineStr">
        <is>
          <t>3</t>
        </is>
      </c>
      <c r="K14" t="inlineStr">
        <is>
          <t>原貼文（Tibo Sottiaux）未直接讀取</t>
        </is>
      </c>
    </row>
    <row r="15">
      <c r="A15" t="inlineStr">
        <is>
          <t>Q1</t>
        </is>
      </c>
      <c r="B15" t="inlineStr">
        <is>
          <t>同上：TPS 由 30 提高到 50；屬軟體最佳化，未提硬體</t>
        </is>
      </c>
      <c r="C15" t="inlineStr">
        <is>
          <t>同上</t>
        </is>
      </c>
      <c r="D15" t="inlineStr">
        <is>
          <t>2026-10-06</t>
        </is>
      </c>
      <c r="E15" t="inlineStr">
        <is>
          <t>https://pc.watch.impress.co.jp/docs/news/2145903.html</t>
        </is>
      </c>
      <c r="F15" t="inlineStr">
        <is>
          <t>Interested-party</t>
        </is>
      </c>
      <c r="G15" t="inlineStr">
        <is>
          <t>OpenAI（賣方；宣傳產品速度改善）</t>
        </is>
      </c>
      <c r="H15" t="inlineStr">
        <is>
          <t>否（同一來源轉述）</t>
        </is>
      </c>
      <c r="I15" t="inlineStr">
        <is>
          <t>已讀（WebFetch 摘要）</t>
        </is>
      </c>
      <c r="J15" t="inlineStr">
        <is>
          <t>3</t>
        </is>
      </c>
      <c r="K15" t="inlineStr"/>
    </row>
    <row r="16">
      <c r="A16" t="inlineStr">
        <is>
          <t>Q1</t>
        </is>
      </c>
      <c r="B16" t="inlineStr">
        <is>
          <t>OpenAI 推出約 300 tok/s 的付費高速層（$500 Pro）</t>
        </is>
      </c>
      <c r="C16" t="inlineStr">
        <is>
          <t>高速層；用量占比未知</t>
        </is>
      </c>
      <c r="D16" t="inlineStr">
        <is>
          <t>2026-09-29</t>
        </is>
      </c>
      <c r="E16" t="inlineStr">
        <is>
          <t>https://hermes-ai.net/news/openai-s-gpt-6-astra-hits-300-tokens-per-second-behind-a-500-plan/</t>
        </is>
      </c>
      <c r="F16" t="inlineStr">
        <is>
          <t>Interested-party</t>
        </is>
      </c>
      <c r="G16" t="inlineStr">
        <is>
          <t>OpenAI（賣方）；社群新聞站轉述，模型名稱自相矛盾</t>
        </is>
      </c>
      <c r="H16" t="inlineStr">
        <is>
          <t>否</t>
        </is>
      </c>
      <c r="I16" t="inlineStr">
        <is>
          <t>已讀（WebFetch 摘要）</t>
        </is>
      </c>
      <c r="J16" t="inlineStr">
        <is>
          <t>3</t>
        </is>
      </c>
      <c r="K16" t="inlineStr">
        <is>
          <t>只作背景；不承重</t>
        </is>
      </c>
    </row>
    <row r="17">
      <c r="A17" t="inlineStr">
        <is>
          <t>Q1</t>
        </is>
      </c>
      <c r="B17" t="inlineStr">
        <is>
          <t>ChatGPT 網頁版（非 Codex）每用戶速度與首 token 時間的獨立量測：已搜尋，未找到</t>
        </is>
      </c>
      <c r="C17" t="inlineStr">
        <is>
          <t>—</t>
        </is>
      </c>
      <c r="D17" t="inlineStr">
        <is>
          <t>—</t>
        </is>
      </c>
      <c r="E17" t="inlineStr">
        <is>
          <t>WebSearch 2 組關鍵字；AA、OpenRouter（只量 API）；新聞</t>
        </is>
      </c>
      <c r="F17" t="inlineStr">
        <is>
          <t>—</t>
        </is>
      </c>
      <c r="G17" t="inlineStr">
        <is>
          <t>—</t>
        </is>
      </c>
      <c r="H17" t="inlineStr">
        <is>
          <t>—</t>
        </is>
      </c>
      <c r="I17" t="inlineStr">
        <is>
          <t>已搜尋，未找到</t>
        </is>
      </c>
      <c r="J17" t="inlineStr">
        <is>
          <t>—</t>
        </is>
      </c>
      <c r="K17" t="inlineStr">
        <is>
          <t>ChatGPT 端只有 OpenAI 自述（上列 30→50）</t>
        </is>
      </c>
    </row>
    <row r="18">
      <c r="A18" t="inlineStr">
        <is>
          <t>Q2</t>
        </is>
      </c>
      <c r="B18" t="inlineStr">
        <is>
          <t>DeepSeek 線上服務：每 H800 節點 decode 平均約 14.8k 輸出 tok/s（＝每 GPU 約 1,850）；平均每用戶輸出 20–22 tok/s；每輸出 token 平均 KV 長度 4,989；decode 單元 18 節點（EP144）</t>
        </is>
      </c>
      <c r="C18" t="inlineStr">
        <is>
          <t>24 小時平均（2025-02-27 12:00 至 02-28 12:00，UTC+8）；V3＋R1 全部請求</t>
        </is>
      </c>
      <c r="D18" t="inlineStr">
        <is>
          <t>2025-03-01</t>
        </is>
      </c>
      <c r="E18" t="inlineStr">
        <is>
          <t>https://github.com/deepseek-ai/open-infra-index/blob/main/202502OpenSourceWeek/day_6_one_more_thing_deepseekV3R1_inference_system_overview.md</t>
        </is>
      </c>
      <c r="F18" t="inlineStr">
        <is>
          <t>Interested-party</t>
        </is>
      </c>
      <c r="G18" t="inlineStr">
        <is>
          <t>DeepSeek（自營服務；宣傳成本效率，文中並宣稱理論利潤率 545%）</t>
        </is>
      </c>
      <c r="H18" t="inlineStr">
        <is>
          <t>部分（Step-3 論文表 8 轉引 1,850，非獨立量測）</t>
        </is>
      </c>
      <c r="I18" t="inlineStr">
        <is>
          <t>已讀（WebFetch 摘要）</t>
        </is>
      </c>
      <c r="J18" t="inlineStr">
        <is>
          <t>1</t>
        </is>
      </c>
      <c r="K18" t="inlineStr">
        <is>
          <t>本段相除：每 decode GPU 並行約 1,850 ÷ 20–22 ＝ 84–92 序列（Derived）。已在 SRC_PERF_041–051</t>
        </is>
      </c>
    </row>
    <row r="19">
      <c r="A19" t="inlineStr">
        <is>
          <t>Q2</t>
        </is>
      </c>
      <c r="B19" t="inlineStr">
        <is>
          <t>DeepSeek profile：decode EP128、TP1、提示長度 4K、每 GPU 批次 128 個請求；兩個 micro-batch 重疊</t>
        </is>
      </c>
      <c r="C19" t="inlineStr">
        <is>
          <t>官方 profile 配置（「與線上部署接近」）</t>
        </is>
      </c>
      <c r="D19" t="inlineStr">
        <is>
          <t>2025-02</t>
        </is>
      </c>
      <c r="E19" t="inlineStr">
        <is>
          <t>https://github.com/deepseek-ai/profile-data</t>
        </is>
      </c>
      <c r="F19" t="inlineStr">
        <is>
          <t>Interested-party</t>
        </is>
      </c>
      <c r="G19" t="inlineStr">
        <is>
          <t>DeepSeek（同上）</t>
        </is>
      </c>
      <c r="H19" t="inlineStr">
        <is>
          <t>是（Step-3 論文表 8 引其吞吐 2,324）</t>
        </is>
      </c>
      <c r="I19" t="inlineStr">
        <is>
          <t>已讀（WebFetch 摘要）</t>
        </is>
      </c>
      <c r="J19" t="inlineStr">
        <is>
          <t>1</t>
        </is>
      </c>
      <c r="K19" t="inlineStr">
        <is>
          <t>配合下一列：2,324 ÷ 128 ＝ 每用戶約 18.2 tok/s（Derived）</t>
        </is>
      </c>
    </row>
    <row r="20">
      <c r="A20" t="inlineStr">
        <is>
          <t>Q2</t>
        </is>
      </c>
      <c r="B20" t="inlineStr">
        <is>
          <t>Step-3 論文表 8：DSv3-blog 1,850（144 GPU，KV 4,989）；DSv3-profile 2,324（128 GPU，4K）；Step-3 FP8 注意力 4,039（32 GPU，4K）、8K 為 2,643；SLA 皆為 20 tok/s（TPOT 50 ms）；Step-3 不用 MTP；總批次 6,144（約每 GPU 192）</t>
        </is>
      </c>
      <c r="C20" t="inlineStr">
        <is>
          <t>每 GPU decode 峰值 tok/s（TGS）；Hopper</t>
        </is>
      </c>
      <c r="D20" t="inlineStr">
        <is>
          <t>2025-07</t>
        </is>
      </c>
      <c r="E20" t="inlineStr">
        <is>
          <t>https://arxiv.org/pdf/2507.19427</t>
        </is>
      </c>
      <c r="F20" t="inlineStr">
        <is>
          <t>Interested-party</t>
        </is>
      </c>
      <c r="G20" t="inlineStr">
        <is>
          <t>StepFun（自家模型與 AFD 系統的宣傳）；DeepSeek 兩點為轉引</t>
        </is>
      </c>
      <c r="H20" t="inlineStr">
        <is>
          <t>是（對 DeepSeek 兩點為第二出處；對 Step-3 為唯一來源）</t>
        </is>
      </c>
      <c r="I20" t="inlineStr">
        <is>
          <t>已讀（WebFetch 摘要）</t>
        </is>
      </c>
      <c r="J20" t="inlineStr">
        <is>
          <t>1</t>
        </is>
      </c>
      <c r="K20" t="inlineStr">
        <is>
          <t>Step-3：321B／38B 啟用，與 Sol 不同架構，對模型只作 Analogy</t>
        </is>
      </c>
    </row>
    <row r="21">
      <c r="A21" t="inlineStr">
        <is>
          <t>Q2</t>
        </is>
      </c>
      <c r="B21" t="inlineStr">
        <is>
          <t>vLLM GLM-5.2-NVFP4（744B／40B 啟用，MTP 3）於 24×B300：4 個 prefill 實例（16 GPU）＋1 個 decode 實例（8 GPU）；SLA 平均 TPOT ≤ 20 ms（約 50 tok/s）、TTFT ≤ 2.5 s；16K 輸入時並行約 300（8K 約 700）；TPOT 由 40 ms 優化到 17–22 ms</t>
        </is>
      </c>
      <c r="C21" t="inlineStr">
        <is>
          <t>生產 SLA 調校案例；16,384／1,000</t>
        </is>
      </c>
      <c r="D21" t="inlineStr">
        <is>
          <t>2026-07-23</t>
        </is>
      </c>
      <c r="E21" t="inlineStr">
        <is>
          <t>https://vllm.ai/blog/2026-07-23-glm-5.2-nvfp4-b300-pd</t>
        </is>
      </c>
      <c r="F21" t="inlineStr">
        <is>
          <t>Interested-party</t>
        </is>
      </c>
      <c r="G21" t="inlineStr">
        <is>
          <t>vLLM 專案（開源；宣傳 vLLM 成熟度）</t>
        </is>
      </c>
      <c r="H21" t="inlineStr">
        <is>
          <t>否（單一來源）</t>
        </is>
      </c>
      <c r="I21" t="inlineStr">
        <is>
          <t>已讀（WebFetch 摘要）</t>
        </is>
      </c>
      <c r="J21" t="inlineStr">
        <is>
          <t>1</t>
        </is>
      </c>
      <c r="K21" t="inlineStr">
        <is>
          <t>本段相除：並行 300 全部算在 8 顆 decode GPU，上限約每 GPU 37 序列（Derived，上限）</t>
        </is>
      </c>
    </row>
    <row r="22">
      <c r="A22" t="inlineStr">
        <is>
          <t>Q2</t>
        </is>
      </c>
      <c r="B22" t="inlineStr">
        <is>
          <t>Perplexity：單機（EP8）在每用戶 40–80 tok/s 區間吞吐急降；EP128 在相同輸出速度下吞吐約為單機 5 倍；批次 1 時輸出速度 &gt;100 tok/s</t>
        </is>
      </c>
      <c r="C22" t="inlineStr">
        <is>
          <t>受控測試；H100／H200；DeepSeek-V3/R1；MTP 2</t>
        </is>
      </c>
      <c r="D22" t="inlineStr">
        <is>
          <t>未寫（約 2025）</t>
        </is>
      </c>
      <c r="E22" t="inlineStr">
        <is>
          <t>https://hub-prod.perplexity.ai/hub/blog/lower-latency-and-higher-throughput-with-multi-node-deepseek-deployment</t>
        </is>
      </c>
      <c r="F22" t="inlineStr">
        <is>
          <t>Interested-party</t>
        </is>
      </c>
      <c r="G22" t="inlineStr">
        <is>
          <t>Perplexity（自營推論；宣傳自家部署）</t>
        </is>
      </c>
      <c r="H22" t="inlineStr">
        <is>
          <t>否</t>
        </is>
      </c>
      <c r="I22" t="inlineStr">
        <is>
          <t>已讀（WebFetch 摘要）</t>
        </is>
      </c>
      <c r="J22" t="inlineStr">
        <is>
          <t>1</t>
        </is>
      </c>
      <c r="K22" t="inlineStr">
        <is>
          <t>只給方向；絕對值在圖中</t>
        </is>
      </c>
    </row>
    <row r="23">
      <c r="A23" t="inlineStr">
        <is>
          <t>Q2</t>
        </is>
      </c>
      <c r="B23" t="inlineStr">
        <is>
          <t>Huawei CloudMatrix384：DeepSeek-R1 decode 1,943 tok/s/NPU（TPOT &lt; 50 ms）；TPOT 15 ms 時 538；prefill 6,688</t>
        </is>
      </c>
      <c r="C23" t="inlineStr">
        <is>
          <t>Ascend 910C；INT8</t>
        </is>
      </c>
      <c r="D23" t="inlineStr">
        <is>
          <t>2025-06</t>
        </is>
      </c>
      <c r="E23" t="inlineStr">
        <is>
          <t>https://hub.baai.ac.cn/paper/306006c3-51bd-4253-b45e-230d3ed2dc82</t>
        </is>
      </c>
      <c r="F23" t="inlineStr">
        <is>
          <t>Interested-party</t>
        </is>
      </c>
      <c r="G23" t="inlineStr">
        <is>
          <t>Huawei（硬體賣方）</t>
        </is>
      </c>
      <c r="H23" t="inlineStr">
        <is>
          <t>否</t>
        </is>
      </c>
      <c r="I23" t="inlineStr">
        <is>
          <t>已讀（摘要頁；arXiv 原文讀取被擋）</t>
        </is>
      </c>
      <c r="J23" t="inlineStr">
        <is>
          <t>3</t>
        </is>
      </c>
      <c r="K23" t="inlineStr">
        <is>
          <t>互動速度 20→67 tok/s，吞吐降約 3.6 倍；非 NVIDIA，只作 Analogy</t>
        </is>
      </c>
    </row>
    <row r="24">
      <c r="A24" t="inlineStr">
        <is>
          <t>Q2</t>
        </is>
      </c>
      <c r="B24" t="inlineStr">
        <is>
          <t>OpenAI 或 Azure 的每 GPU 並行序列數、批次大小：已搜尋，未找到</t>
        </is>
      </c>
      <c r="C24" t="inlineStr">
        <is>
          <t>—</t>
        </is>
      </c>
      <c r="D24" t="inlineStr">
        <is>
          <t>—</t>
        </is>
      </c>
      <c r="E24" t="inlineStr">
        <is>
          <t>WebSearch；OpenAI、Microsoft、AA、OpenRouter 頁面</t>
        </is>
      </c>
      <c r="F24" t="inlineStr">
        <is>
          <t>—</t>
        </is>
      </c>
      <c r="G24" t="inlineStr">
        <is>
          <t>—</t>
        </is>
      </c>
      <c r="H24" t="inlineStr">
        <is>
          <t>—</t>
        </is>
      </c>
      <c r="I24" t="inlineStr">
        <is>
          <t>已搜尋，未找到</t>
        </is>
      </c>
      <c r="J24" t="inlineStr">
        <is>
          <t>—</t>
        </is>
      </c>
      <c r="K24" t="inlineStr">
        <is>
          <t>只能由每用戶速度間接推論</t>
        </is>
      </c>
    </row>
    <row r="25">
      <c r="A25" t="inlineStr">
        <is>
          <t>Q3</t>
        </is>
      </c>
      <c r="B25" t="inlineStr">
        <is>
          <t>vLLM wide-EP：DeepSeek 類 MoE 持續吞吐約 2,200 tok/s/H200（先前約 1,500）</t>
        </is>
      </c>
      <c r="C25" t="inlineStr">
        <is>
          <t>未寫 decode 或總量、批次、ITL、ISL／OSL、GPU 數；CoreWeave H200 叢集</t>
        </is>
      </c>
      <c r="D25" t="inlineStr">
        <is>
          <t>2025-12-17</t>
        </is>
      </c>
      <c r="E25" t="inlineStr">
        <is>
          <t>https://vllm.ai/blog/2025-12-17-large-scale-serving</t>
        </is>
      </c>
      <c r="F25" t="inlineStr">
        <is>
          <t>Interested-party</t>
        </is>
      </c>
      <c r="G25" t="inlineStr">
        <is>
          <t>vLLM 專案、CoreWeave（硬體出租方）</t>
        </is>
      </c>
      <c r="H25" t="inlineStr">
        <is>
          <t>否</t>
        </is>
      </c>
      <c r="I25" t="inlineStr">
        <is>
          <t>已讀（WebFetch 摘要）</t>
        </is>
      </c>
      <c r="J25" t="inlineStr">
        <is>
          <t>1</t>
        </is>
      </c>
      <c r="K25" t="inlineStr">
        <is>
          <t>條件不足，只作量級，不作校準或驗證</t>
        </is>
      </c>
    </row>
    <row r="26">
      <c r="A26" t="inlineStr">
        <is>
          <t>Q3</t>
        </is>
      </c>
      <c r="B26" t="inlineStr">
        <is>
          <t>vLLM WideEP on GB200：decode 10.1K TPGS、prefill 26.2K TPGS；2K／2K；專家 FP4；decode 1 個 8 GPU 實例、批次填滿 HBM</t>
        </is>
      </c>
      <c r="C26" t="inlineStr">
        <is>
          <t>每 GPU decode tok/s（是否只算輸出未寫）；無 ITL</t>
        </is>
      </c>
      <c r="D26" t="inlineStr">
        <is>
          <t>2026-02-03</t>
        </is>
      </c>
      <c r="E26" t="inlineStr">
        <is>
          <t>https://vllm.ai/blog/dsr1-gb200-part1</t>
        </is>
      </c>
      <c r="F26" t="inlineStr">
        <is>
          <t>Interested-party</t>
        </is>
      </c>
      <c r="G26" t="inlineStr">
        <is>
          <t>vLLM 專案（宣傳）</t>
        </is>
      </c>
      <c r="H26" t="inlineStr">
        <is>
          <t>與 LMSYS GB200 13,386（NVFP4）互相佐證，但非同一數字</t>
        </is>
      </c>
      <c r="I26" t="inlineStr">
        <is>
          <t>已讀（WebFetch 摘要）</t>
        </is>
      </c>
      <c r="J26" t="inlineStr">
        <is>
          <t>1</t>
        </is>
      </c>
      <c r="K26" t="inlineStr">
        <is>
          <t>GB200 大批次候選點（無 SLO）；與 LMSYS 不同來源</t>
        </is>
      </c>
    </row>
    <row r="27">
      <c r="A27" t="inlineStr">
        <is>
          <t>Q3</t>
        </is>
      </c>
      <c r="B27" t="inlineStr">
        <is>
          <t>MLPerf v6.0 DeepSeek-R1 server：GB200 NVL72——NVIDIA 72 GPU 336,106（4,668／GPU）；CoreWeave 64 GPU 311,531（4,868／GPU）；Google 72 GPU 156,781（2,178／GPU）</t>
        </is>
      </c>
      <c r="C27" t="inlineStr">
        <is>
          <t>系統輸出 tok/s ÷ GPU 數（本段相除）；server TPOT p99 80 ms、TTFT 2 s；Closed、available</t>
        </is>
      </c>
      <c r="D27" t="inlineStr">
        <is>
          <t>2026-04-01</t>
        </is>
      </c>
      <c r="E27" t="inlineStr">
        <is>
          <t>https://raw.githubusercontent.com/mlcommons/inference_results_v6.0/main/summary_results.json</t>
        </is>
      </c>
      <c r="F27" t="inlineStr">
        <is>
          <t>Interested-party</t>
        </is>
      </c>
      <c r="G27" t="inlineStr">
        <is>
          <t>提交者（NVIDIA 賣方；CoreWeave、Google 雲端）</t>
        </is>
      </c>
      <c r="H27" t="inlineStr">
        <is>
          <t>是（CoreWeave 部落格 4,868；NVIDIA 與 CoreWeave 為不同提交者）</t>
        </is>
      </c>
      <c r="I27" t="inlineStr">
        <is>
          <t>已讀（原始 JSON 下載，見 MLPerf_v6.0 頁）</t>
        </is>
      </c>
      <c r="J27" t="inlineStr">
        <is>
          <t>1</t>
        </is>
      </c>
      <c r="K27" t="inlineStr">
        <is>
          <t>GB200 大批次且有明確 SLO 的點；建議作 V2 新上限</t>
        </is>
      </c>
    </row>
    <row r="28">
      <c r="A28" t="inlineStr">
        <is>
          <t>Q3</t>
        </is>
      </c>
      <c r="B28" t="inlineStr">
        <is>
          <t>CoreWeave 部落格：GB200 NVL72（64 GPU）v6.0 server 4,868／GPU、offline 7,323／GPU</t>
        </is>
      </c>
      <c r="C28" t="inlineStr">
        <is>
          <t>同上</t>
        </is>
      </c>
      <c r="D28" t="inlineStr">
        <is>
          <t>2026-04-01</t>
        </is>
      </c>
      <c r="E28" t="inlineStr">
        <is>
          <t>https://coreweave.com/blog/coreweaves-innovation-velocity-drives-mlperf-6-0-leadership</t>
        </is>
      </c>
      <c r="F28" t="inlineStr">
        <is>
          <t>Interested-party</t>
        </is>
      </c>
      <c r="G28" t="inlineStr">
        <is>
          <t>CoreWeave（雲端出租方；宣傳）</t>
        </is>
      </c>
      <c r="H28" t="inlineStr">
        <is>
          <t>是（MLCommons 原始資料）</t>
        </is>
      </c>
      <c r="I28" t="inlineStr">
        <is>
          <t>已讀（WebFetch 摘要）</t>
        </is>
      </c>
      <c r="J28" t="inlineStr">
        <is>
          <t>1</t>
        </is>
      </c>
      <c r="K28" t="inlineStr"/>
    </row>
    <row r="29">
      <c r="A29" t="inlineStr">
        <is>
          <t>Q4</t>
        </is>
      </c>
      <c r="B29" t="inlineStr">
        <is>
          <t>MLPerf v6.0 DeepSeek-R1 interactive：GB200 NVL72（NVIDIA，72 GPU）240,318（3,338／GPU）</t>
        </is>
      </c>
      <c r="C29" t="inlineStr">
        <is>
          <t>interactive TPOT p99 15 ms；Closed、available</t>
        </is>
      </c>
      <c r="D29" t="inlineStr">
        <is>
          <t>2026-04-01</t>
        </is>
      </c>
      <c r="E29" t="inlineStr">
        <is>
          <t>https://raw.githubusercontent.com/mlcommons/inference_results_v6.0/main/summary_results.json</t>
        </is>
      </c>
      <c r="F29" t="inlineStr">
        <is>
          <t>Interested-party</t>
        </is>
      </c>
      <c r="G29" t="inlineStr">
        <is>
          <t>NVIDIA（賣方）</t>
        </is>
      </c>
      <c r="H29" t="inlineStr">
        <is>
          <t>是（工作簿 SRC_PERF_025 同值）</t>
        </is>
      </c>
      <c r="I29" t="inlineStr">
        <is>
          <t>已讀（原始 JSON）</t>
        </is>
      </c>
      <c r="J29" t="inlineStr">
        <is>
          <t>1</t>
        </is>
      </c>
      <c r="K29" t="inlineStr">
        <is>
          <t>＝工作簿 V5；server 類別對應值見上上列</t>
        </is>
      </c>
    </row>
    <row r="30">
      <c r="A30" t="inlineStr">
        <is>
          <t>Q4</t>
        </is>
      </c>
      <c r="B30" t="inlineStr">
        <is>
          <t>MLPerf v6.0 DeepSeek-R1 server：GB300 NVL72——Nebius 8 GPU 64,510（8,064／GPU）、Nebius 72 GPU 575,580（7,994）、NVIDIA 72 GPU 400,437（5,562）、NVIDIA 288 GPU 1,555,110（5,400）、CoreWeave 8 GPU 44,590（5,574）</t>
        </is>
      </c>
      <c r="C30" t="inlineStr">
        <is>
          <t>同上</t>
        </is>
      </c>
      <c r="D30" t="inlineStr">
        <is>
          <t>2026-04-01</t>
        </is>
      </c>
      <c r="E30" t="inlineStr">
        <is>
          <t>https://raw.githubusercontent.com/mlcommons/inference_results_v6.0/main/summary_results.json</t>
        </is>
      </c>
      <c r="F30" t="inlineStr">
        <is>
          <t>Interested-party</t>
        </is>
      </c>
      <c r="G30" t="inlineStr">
        <is>
          <t>提交者</t>
        </is>
      </c>
      <c r="H30" t="inlineStr">
        <is>
          <t>是（多提交者）</t>
        </is>
      </c>
      <c r="I30" t="inlineStr">
        <is>
          <t>已讀（原始 JSON）</t>
        </is>
      </c>
      <c r="J30" t="inlineStr">
        <is>
          <t>1</t>
        </is>
      </c>
      <c r="K30" t="inlineStr">
        <is>
          <t>工作簿 V3 的 8,064 是 Nebius 8 GPU 單機；72 GPU 機櫃為 5,562–7,994</t>
        </is>
      </c>
    </row>
    <row r="31">
      <c r="A31" t="inlineStr">
        <is>
          <t>Q4</t>
        </is>
      </c>
      <c r="B31" t="inlineStr">
        <is>
          <t>MLPerf v6.0 的 Hopper（H100／H200）DeepSeek-R1 提交：原始 JSON 中沒有</t>
        </is>
      </c>
      <c r="C31" t="inlineStr">
        <is>
          <t>—</t>
        </is>
      </c>
      <c r="D31" t="inlineStr">
        <is>
          <t>2026-04-01</t>
        </is>
      </c>
      <c r="E31" t="inlineStr">
        <is>
          <t>https://raw.githubusercontent.com/mlcommons/inference_results_v6.0/main/summary_results.json</t>
        </is>
      </c>
      <c r="F31" t="inlineStr">
        <is>
          <t>Verified</t>
        </is>
      </c>
      <c r="G31" t="inlineStr">
        <is>
          <t>—</t>
        </is>
      </c>
      <c r="H31" t="inlineStr">
        <is>
          <t>—</t>
        </is>
      </c>
      <c r="I31" t="inlineStr">
        <is>
          <t>已讀（原始 JSON，確認不存在）</t>
        </is>
      </c>
      <c r="J31" t="inlineStr">
        <is>
          <t>1</t>
        </is>
      </c>
      <c r="K31" t="inlineStr">
        <is>
          <t>Hopper 上限仍只有 v5.1</t>
        </is>
      </c>
    </row>
    <row r="32">
      <c r="A32" t="inlineStr">
        <is>
          <t>Q4</t>
        </is>
      </c>
      <c r="B32" t="inlineStr">
        <is>
          <t>MLPerf v6.1 GB200 NVL72 DeepSeek-R1 結果：已搜尋，未找到</t>
        </is>
      </c>
      <c r="C32" t="inlineStr">
        <is>
          <t>—</t>
        </is>
      </c>
      <c r="D32" t="inlineStr">
        <is>
          <t>—</t>
        </is>
      </c>
      <c r="E32" t="inlineStr">
        <is>
          <t>GitHub mlcommons/inference_results_v6.1（404）、Nebius v6.1 部落格（只有 GB300、VR200）、CoreWeave v6.1 新聞稿、WebSearch</t>
        </is>
      </c>
      <c r="F32" t="inlineStr">
        <is>
          <t>—</t>
        </is>
      </c>
      <c r="G32" t="inlineStr">
        <is>
          <t>—</t>
        </is>
      </c>
      <c r="H32" t="inlineStr">
        <is>
          <t>—</t>
        </is>
      </c>
      <c r="I32" t="inlineStr">
        <is>
          <t>已搜尋，未找到</t>
        </is>
      </c>
      <c r="J32" t="inlineStr">
        <is>
          <t>—</t>
        </is>
      </c>
      <c r="K32" t="inlineStr"/>
    </row>
    <row r="33">
      <c r="A33" t="inlineStr">
        <is>
          <t>Q3</t>
        </is>
      </c>
      <c r="B33" t="inlineStr">
        <is>
          <t>SemiAnalysis InferenceX（H200 V4-Pro @75 tok/s/user 4,036 總 tok/s/GPU 等）</t>
        </is>
      </c>
      <c r="C33" t="inlineStr">
        <is>
          <t>工作簿 SRC_PERF_016、017</t>
        </is>
      </c>
      <c r="D33" t="inlineStr">
        <is>
          <t>2026</t>
        </is>
      </c>
      <c r="E33" t="inlineStr">
        <is>
          <t>（工作簿既有）</t>
        </is>
      </c>
      <c r="F33" t="inlineStr">
        <is>
          <t>Interested-party</t>
        </is>
      </c>
      <c r="G33" t="inlineStr">
        <is>
          <t>SemiAnalysis（研究銷售）</t>
        </is>
      </c>
      <c r="H33" t="inlineStr">
        <is>
          <t>否</t>
        </is>
      </c>
      <c r="I33" t="inlineStr">
        <is>
          <t>未重讀</t>
        </is>
      </c>
      <c r="J33" t="inlineStr">
        <is>
          <t>—</t>
        </is>
      </c>
      <c r="K33" t="inlineStr">
        <is>
          <t>依紀律不單獨使用；只作 Hopper 小批次的旁證</t>
        </is>
      </c>
    </row>
    <row r="35">
      <c r="A35" t="inlineStr">
        <is>
          <t>說明</t>
        </is>
      </c>
      <c r="B35" t="inlineStr">
        <is>
          <t>來源等級：1＝原始一手（官方頁、原始資料檔、論文）；2＝獨立第三方量測；3＝二手轉述。標記依 CLAUDE.md 第 7 節。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6"/>
  <sheetViews>
    <sheetView workbookViewId="0">
      <selection activeCell="A1" sqref="A1"/>
    </sheetView>
  </sheetViews>
  <sheetFormatPr baseColWidth="8" defaultRowHeight="15"/>
  <cols>
    <col width="44" customWidth="1" min="1" max="1"/>
    <col width="9" customWidth="1" min="2" max="2"/>
    <col width="12" customWidth="1" min="3" max="3"/>
    <col width="10" customWidth="1" min="4" max="4"/>
    <col width="10" customWidth="1" min="5" max="5"/>
    <col width="9" customWidth="1" min="6" max="6"/>
    <col width="9" customWidth="1" min="7" max="7"/>
    <col width="10" customWidth="1" min="8" max="8"/>
    <col width="10" customWidth="1" min="9" max="9"/>
    <col width="10" customWidth="1" min="10" max="10"/>
    <col width="10" customWidth="1" min="11" max="11"/>
    <col width="9" customWidth="1" min="12" max="12"/>
    <col width="8" customWidth="1" min="13" max="13"/>
    <col width="10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t="inlineStr">
        <is>
          <t>服務條件情境：每用戶速度與 η_d 倍數對每 GW 產出（IF_TokGW）與 L1_MFleet 的粗估（Derived；不是建議值）</t>
        </is>
      </c>
    </row>
    <row r="2">
      <c r="A2" t="inlineStr">
        <is>
          <t>公式：B ＝ MIN((a×1000 ÷ S − 固定延遲) ÷ (每序列時間 ÷ k), HBM 上限)；decode tok/s/GPU ＝ B × a × 1000 ÷ (固定延遲 ＋ B × 每序列時間 ÷ k)；每請求 GPU 秒 ＝ prefill 部分（不變）＋ OSL ÷ decode；IF_TokGW 比值 ＝ 舊 GPU 秒 ÷ 新 GPU 秒。藍字為 v10.0 Perf 現值。</t>
        </is>
      </c>
    </row>
    <row r="3">
      <c r="A3" t="inlineStr">
        <is>
          <t>情境</t>
        </is>
      </c>
      <c r="B3" t="inlineStr">
        <is>
          <t>世代</t>
        </is>
      </c>
      <c r="C3" t="inlineStr">
        <is>
          <t>層級</t>
        </is>
      </c>
      <c r="D3" t="inlineStr">
        <is>
          <t>a（每步接受 token）</t>
        </is>
      </c>
      <c r="E3" t="inlineStr">
        <is>
          <t>S 基準（tok/s）</t>
        </is>
      </c>
      <c r="F3" t="inlineStr">
        <is>
          <t>ISL</t>
        </is>
      </c>
      <c r="G3" t="inlineStr">
        <is>
          <t>OSL</t>
        </is>
      </c>
      <c r="H3" t="inlineStr">
        <is>
          <t>固定延遲（ms）</t>
        </is>
      </c>
      <c r="I3" t="inlineStr">
        <is>
          <t>每序列時間（ms）</t>
        </is>
      </c>
      <c r="J3" t="inlineStr">
        <is>
          <t>HBM 批次上限</t>
        </is>
      </c>
      <c r="K3" t="inlineStr">
        <is>
          <t>每請求 GPU 秒（基準）</t>
        </is>
      </c>
      <c r="L3" t="inlineStr">
        <is>
          <t>prefill 占比</t>
        </is>
      </c>
      <c r="M3" t="inlineStr">
        <is>
          <t>S 新</t>
        </is>
      </c>
      <c r="N3" t="inlineStr">
        <is>
          <t>k（每序列時間縮小倍數）</t>
        </is>
      </c>
      <c r="O3" t="inlineStr">
        <is>
          <t>B 新</t>
        </is>
      </c>
      <c r="P3" t="inlineStr">
        <is>
          <t>decode tok/s/GPU 新</t>
        </is>
      </c>
      <c r="Q3" t="inlineStr">
        <is>
          <t>每請求 GPU 秒 新</t>
        </is>
      </c>
      <c r="R3" t="inlineStr">
        <is>
          <t>IF_TokGW 新 ÷ 舊</t>
        </is>
      </c>
      <c r="S3" t="inlineStr">
        <is>
          <t>核對：基準 decode</t>
        </is>
      </c>
    </row>
    <row r="4">
      <c r="A4" t="inlineStr">
        <is>
          <t>S0 基準（核對）</t>
        </is>
      </c>
      <c r="B4" t="inlineStr">
        <is>
          <t>Hopper</t>
        </is>
      </c>
      <c r="C4" t="inlineStr">
        <is>
          <t>Luna（低層）</t>
        </is>
      </c>
      <c r="D4" s="2" t="n">
        <v>2.533</v>
      </c>
      <c r="E4" s="2" t="n">
        <v>120</v>
      </c>
      <c r="F4" s="2" t="n">
        <v>8192</v>
      </c>
      <c r="G4" s="2" t="n">
        <v>1024</v>
      </c>
      <c r="H4" s="2" t="n">
        <v>14.0366950476431</v>
      </c>
      <c r="I4" s="2" t="n">
        <v>1.82441257643477</v>
      </c>
      <c r="J4" s="2" t="n">
        <v>2558.19965159029</v>
      </c>
      <c r="K4" s="2" t="n">
        <v>2.67688105462812</v>
      </c>
      <c r="L4" s="2" t="n">
        <v>0.177581908201709</v>
      </c>
      <c r="M4">
        <f>E4</f>
        <v/>
      </c>
      <c r="N4" t="n">
        <v>1</v>
      </c>
      <c r="O4">
        <f>MIN((D4*1000/M4-H4)/(I4/N4),J4)</f>
        <v/>
      </c>
      <c r="P4">
        <f>O4*D4*1000/(H4+O4*I4/N4)</f>
        <v/>
      </c>
      <c r="Q4">
        <f>K4*L4+G4/P4</f>
        <v/>
      </c>
      <c r="R4">
        <f>K4/Q4</f>
        <v/>
      </c>
      <c r="S4">
        <f>G4/(K4*(1-L4))</f>
        <v/>
      </c>
    </row>
    <row r="5">
      <c r="A5" t="inlineStr">
        <is>
          <t>S0 基準（核對）</t>
        </is>
      </c>
      <c r="B5" t="inlineStr">
        <is>
          <t>Hopper</t>
        </is>
      </c>
      <c r="C5" t="inlineStr">
        <is>
          <t>Sol（中層）</t>
        </is>
      </c>
      <c r="D5" s="2" t="n">
        <v>2.533</v>
      </c>
      <c r="E5" s="2" t="n">
        <v>65</v>
      </c>
      <c r="F5" s="2" t="n">
        <v>16384</v>
      </c>
      <c r="G5" s="2" t="n">
        <v>2048</v>
      </c>
      <c r="H5" s="2" t="n">
        <v>25.8684338372861</v>
      </c>
      <c r="I5" s="2" t="n">
        <v>6.28312690392727</v>
      </c>
      <c r="J5" s="2" t="n">
        <v>538.633530942984</v>
      </c>
      <c r="K5" s="2" t="n">
        <v>18.4108426788087</v>
      </c>
      <c r="L5" s="2" t="n">
        <v>0.179230810537696</v>
      </c>
      <c r="M5">
        <f>E5</f>
        <v/>
      </c>
      <c r="N5" t="n">
        <v>1</v>
      </c>
      <c r="O5">
        <f>MIN((D5*1000/M5-H5)/(I5/N5),J5)</f>
        <v/>
      </c>
      <c r="P5">
        <f>O5*D5*1000/(H5+O5*I5/N5)</f>
        <v/>
      </c>
      <c r="Q5">
        <f>K5*L5+G5/P5</f>
        <v/>
      </c>
      <c r="R5">
        <f>K5/Q5</f>
        <v/>
      </c>
      <c r="S5">
        <f>G5/(K5*(1-L5))</f>
        <v/>
      </c>
    </row>
    <row r="6">
      <c r="A6" t="inlineStr">
        <is>
          <t>S0 基準（核對）</t>
        </is>
      </c>
      <c r="B6" t="inlineStr">
        <is>
          <t>Hopper</t>
        </is>
      </c>
      <c r="C6" t="inlineStr">
        <is>
          <t>Astra（頂層）</t>
        </is>
      </c>
      <c r="D6" s="2" t="n">
        <v>2.533</v>
      </c>
      <c r="E6" s="2" t="n">
        <v>55</v>
      </c>
      <c r="F6" s="2" t="n">
        <v>32768</v>
      </c>
      <c r="G6" s="2" t="n">
        <v>4096</v>
      </c>
      <c r="H6" s="2" t="n">
        <v>37.1115090691772</v>
      </c>
      <c r="I6" s="2" t="n">
        <v>25.0204222399711</v>
      </c>
      <c r="J6" s="2" t="n">
        <v>15.5090860617669</v>
      </c>
      <c r="K6" s="2" t="n">
        <v>230.250217675425</v>
      </c>
      <c r="L6" s="2" t="n">
        <v>0.09508696152609381</v>
      </c>
      <c r="M6">
        <f>E6</f>
        <v/>
      </c>
      <c r="N6" t="n">
        <v>1</v>
      </c>
      <c r="O6">
        <f>MIN((D6*1000/M6-H6)/(I6/N6),J6)</f>
        <v/>
      </c>
      <c r="P6">
        <f>O6*D6*1000/(H6+O6*I6/N6)</f>
        <v/>
      </c>
      <c r="Q6">
        <f>K6*L6+G6/P6</f>
        <v/>
      </c>
      <c r="R6">
        <f>K6/Q6</f>
        <v/>
      </c>
      <c r="S6">
        <f>G6/(K6*(1-L6))</f>
        <v/>
      </c>
    </row>
    <row r="7">
      <c r="A7" t="inlineStr">
        <is>
          <t>S0 基準（核對）</t>
        </is>
      </c>
      <c r="B7" t="inlineStr">
        <is>
          <t>GB200</t>
        </is>
      </c>
      <c r="C7" t="inlineStr">
        <is>
          <t>Luna（低層）</t>
        </is>
      </c>
      <c r="D7" s="2" t="n">
        <v>2.533</v>
      </c>
      <c r="E7" s="2" t="n">
        <v>120</v>
      </c>
      <c r="F7" s="2" t="n">
        <v>8192</v>
      </c>
      <c r="G7" s="2" t="n">
        <v>1024</v>
      </c>
      <c r="H7" s="2" t="n">
        <v>8.70315739008759</v>
      </c>
      <c r="I7" s="2" t="n">
        <v>0.43326149865173</v>
      </c>
      <c r="J7" s="2" t="n">
        <v>6457.29248791911</v>
      </c>
      <c r="K7" s="2" t="n">
        <v>0.345047709230292</v>
      </c>
      <c r="L7" s="2" t="n">
        <v>0.136252643049218</v>
      </c>
      <c r="M7">
        <f>E7</f>
        <v/>
      </c>
      <c r="N7" t="n">
        <v>1</v>
      </c>
      <c r="O7">
        <f>MIN((D7*1000/M7-H7)/(I7/N7),J7)</f>
        <v/>
      </c>
      <c r="P7">
        <f>O7*D7*1000/(H7+O7*I7/N7)</f>
        <v/>
      </c>
      <c r="Q7">
        <f>K7*L7+G7/P7</f>
        <v/>
      </c>
      <c r="R7">
        <f>K7/Q7</f>
        <v/>
      </c>
      <c r="S7">
        <f>G7/(K7*(1-L7))</f>
        <v/>
      </c>
    </row>
    <row r="8">
      <c r="A8" t="inlineStr">
        <is>
          <t>S0 基準（核對）</t>
        </is>
      </c>
      <c r="B8" t="inlineStr">
        <is>
          <t>GB200</t>
        </is>
      </c>
      <c r="C8" t="inlineStr">
        <is>
          <t>Sol（中層）</t>
        </is>
      </c>
      <c r="D8" s="2" t="n">
        <v>2.533</v>
      </c>
      <c r="E8" s="2" t="n">
        <v>65</v>
      </c>
      <c r="F8" s="2" t="n">
        <v>16384</v>
      </c>
      <c r="G8" s="2" t="n">
        <v>2048</v>
      </c>
      <c r="H8" s="2" t="n">
        <v>16.3216531987164</v>
      </c>
      <c r="I8" s="2" t="n">
        <v>1.49211697714465</v>
      </c>
      <c r="J8" s="2" t="n">
        <v>1729.19391665125</v>
      </c>
      <c r="K8" s="2" t="n">
        <v>2.40220758847735</v>
      </c>
      <c r="L8" s="2" t="n">
        <v>0.135853894511149</v>
      </c>
      <c r="M8">
        <f>E8</f>
        <v/>
      </c>
      <c r="N8" t="n">
        <v>1</v>
      </c>
      <c r="O8">
        <f>MIN((D8*1000/M8-H8)/(I8/N8),J8)</f>
        <v/>
      </c>
      <c r="P8">
        <f>O8*D8*1000/(H8+O8*I8/N8)</f>
        <v/>
      </c>
      <c r="Q8">
        <f>K8*L8+G8/P8</f>
        <v/>
      </c>
      <c r="R8">
        <f>K8/Q8</f>
        <v/>
      </c>
      <c r="S8">
        <f>G8/(K8*(1-L8))</f>
        <v/>
      </c>
    </row>
    <row r="9">
      <c r="A9" t="inlineStr">
        <is>
          <t>S0 基準（核對）</t>
        </is>
      </c>
      <c r="B9" t="inlineStr">
        <is>
          <t>GB200</t>
        </is>
      </c>
      <c r="C9" t="inlineStr">
        <is>
          <t>Astra（頂層）</t>
        </is>
      </c>
      <c r="D9" s="2" t="n">
        <v>2.533</v>
      </c>
      <c r="E9" s="2" t="n">
        <v>55</v>
      </c>
      <c r="F9" s="2" t="n">
        <v>32768</v>
      </c>
      <c r="G9" s="2" t="n">
        <v>4096</v>
      </c>
      <c r="H9" s="2" t="n">
        <v>27.8397021231931</v>
      </c>
      <c r="I9" s="2" t="n">
        <v>5.94184987354833</v>
      </c>
      <c r="J9" s="2" t="n">
        <v>38.6451779217801</v>
      </c>
      <c r="K9" s="2" t="n">
        <v>26.4589866162974</v>
      </c>
      <c r="L9" s="2" t="n">
        <v>0.0818359454728944</v>
      </c>
      <c r="M9">
        <f>E9</f>
        <v/>
      </c>
      <c r="N9" t="n">
        <v>1</v>
      </c>
      <c r="O9">
        <f>MIN((D9*1000/M9-H9)/(I9/N9),J9)</f>
        <v/>
      </c>
      <c r="P9">
        <f>O9*D9*1000/(H9+O9*I9/N9)</f>
        <v/>
      </c>
      <c r="Q9">
        <f>K9*L9+G9/P9</f>
        <v/>
      </c>
      <c r="R9">
        <f>K9/Q9</f>
        <v/>
      </c>
      <c r="S9">
        <f>G9/(K9*(1-L9))</f>
        <v/>
      </c>
    </row>
    <row r="10">
      <c r="A10" t="inlineStr">
        <is>
          <t>S0 基準（核對）</t>
        </is>
      </c>
      <c r="B10" t="inlineStr">
        <is>
          <t>GB300</t>
        </is>
      </c>
      <c r="C10" t="inlineStr">
        <is>
          <t>Luna（低層）</t>
        </is>
      </c>
      <c r="D10" s="2" t="n">
        <v>2.533</v>
      </c>
      <c r="E10" s="2" t="n">
        <v>120</v>
      </c>
      <c r="F10" s="2" t="n">
        <v>8192</v>
      </c>
      <c r="G10" s="2" t="n">
        <v>1024</v>
      </c>
      <c r="H10" s="2" t="n">
        <v>8.70315739008759</v>
      </c>
      <c r="I10" s="2" t="n">
        <v>0.288840999101154</v>
      </c>
      <c r="J10" s="2" t="n">
        <v>10230.7719154683</v>
      </c>
      <c r="K10" s="2" t="n">
        <v>0.230031806153528</v>
      </c>
      <c r="L10" s="2" t="n">
        <v>0.136252643049218</v>
      </c>
      <c r="M10">
        <f>E10</f>
        <v/>
      </c>
      <c r="N10" t="n">
        <v>1</v>
      </c>
      <c r="O10">
        <f>MIN((D10*1000/M10-H10)/(I10/N10),J10)</f>
        <v/>
      </c>
      <c r="P10">
        <f>O10*D10*1000/(H10+O10*I10/N10)</f>
        <v/>
      </c>
      <c r="Q10">
        <f>K10*L10+G10/P10</f>
        <v/>
      </c>
      <c r="R10">
        <f>K10/Q10</f>
        <v/>
      </c>
      <c r="S10">
        <f>G10/(K10*(1-L10))</f>
        <v/>
      </c>
    </row>
    <row r="11">
      <c r="A11" t="inlineStr">
        <is>
          <t>S0 基準（核對）</t>
        </is>
      </c>
      <c r="B11" t="inlineStr">
        <is>
          <t>GB300</t>
        </is>
      </c>
      <c r="C11" t="inlineStr">
        <is>
          <t>Sol（中層）</t>
        </is>
      </c>
      <c r="D11" s="2" t="n">
        <v>2.533</v>
      </c>
      <c r="E11" s="2" t="n">
        <v>65</v>
      </c>
      <c r="F11" s="2" t="n">
        <v>16384</v>
      </c>
      <c r="G11" s="2" t="n">
        <v>2048</v>
      </c>
      <c r="H11" s="2" t="n">
        <v>16.3216531987164</v>
      </c>
      <c r="I11" s="2" t="n">
        <v>0.994744651429766</v>
      </c>
      <c r="J11" s="2" t="n">
        <v>3059.19076406613</v>
      </c>
      <c r="K11" s="2" t="n">
        <v>1.60147172565157</v>
      </c>
      <c r="L11" s="2" t="n">
        <v>0.135853894511149</v>
      </c>
      <c r="M11">
        <f>E11</f>
        <v/>
      </c>
      <c r="N11" t="n">
        <v>1</v>
      </c>
      <c r="O11">
        <f>MIN((D11*1000/M11-H11)/(I11/N11),J11)</f>
        <v/>
      </c>
      <c r="P11">
        <f>O11*D11*1000/(H11+O11*I11/N11)</f>
        <v/>
      </c>
      <c r="Q11">
        <f>K11*L11+G11/P11</f>
        <v/>
      </c>
      <c r="R11">
        <f>K11/Q11</f>
        <v/>
      </c>
      <c r="S11">
        <f>G11/(K11*(1-L11))</f>
        <v/>
      </c>
    </row>
    <row r="12">
      <c r="A12" t="inlineStr">
        <is>
          <t>S0 基準（核對）</t>
        </is>
      </c>
      <c r="B12" t="inlineStr">
        <is>
          <t>GB300</t>
        </is>
      </c>
      <c r="C12" t="inlineStr">
        <is>
          <t>Astra（頂層）</t>
        </is>
      </c>
      <c r="D12" s="2" t="n">
        <v>2.533</v>
      </c>
      <c r="E12" s="2" t="n">
        <v>55</v>
      </c>
      <c r="F12" s="2" t="n">
        <v>32768</v>
      </c>
      <c r="G12" s="2" t="n">
        <v>4096</v>
      </c>
      <c r="H12" s="2" t="n">
        <v>31.4173994138344</v>
      </c>
      <c r="I12" s="2" t="n">
        <v>3.96123324903222</v>
      </c>
      <c r="J12" s="2" t="n">
        <v>70.14930241977061</v>
      </c>
      <c r="K12" s="2" t="n">
        <v>21.5979955065559</v>
      </c>
      <c r="L12" s="2" t="n">
        <v>0.06683633165068791</v>
      </c>
      <c r="M12">
        <f>E12</f>
        <v/>
      </c>
      <c r="N12" t="n">
        <v>1</v>
      </c>
      <c r="O12">
        <f>MIN((D12*1000/M12-H12)/(I12/N12),J12)</f>
        <v/>
      </c>
      <c r="P12">
        <f>O12*D12*1000/(H12+O12*I12/N12)</f>
        <v/>
      </c>
      <c r="Q12">
        <f>K12*L12+G12/P12</f>
        <v/>
      </c>
      <c r="R12">
        <f>K12/Q12</f>
        <v/>
      </c>
      <c r="S12">
        <f>G12/(K12*(1-L12))</f>
        <v/>
      </c>
    </row>
    <row r="13">
      <c r="A13" t="inlineStr">
        <is>
          <t>A1 觀測中位速度（Luna 90／Sol 55／Astra 40）</t>
        </is>
      </c>
      <c r="B13" t="inlineStr">
        <is>
          <t>Hopper</t>
        </is>
      </c>
      <c r="C13" t="inlineStr">
        <is>
          <t>Luna（低層）</t>
        </is>
      </c>
      <c r="D13" s="2" t="n">
        <v>2.533</v>
      </c>
      <c r="E13" s="2" t="n">
        <v>120</v>
      </c>
      <c r="F13" s="2" t="n">
        <v>8192</v>
      </c>
      <c r="G13" s="2" t="n">
        <v>1024</v>
      </c>
      <c r="H13" s="2" t="n">
        <v>14.0366950476431</v>
      </c>
      <c r="I13" s="2" t="n">
        <v>1.82441257643477</v>
      </c>
      <c r="J13" s="2" t="n">
        <v>2558.19965159029</v>
      </c>
      <c r="K13" s="2" t="n">
        <v>2.67688105462812</v>
      </c>
      <c r="L13" s="2" t="n">
        <v>0.177581908201709</v>
      </c>
      <c r="M13" t="n">
        <v>90</v>
      </c>
      <c r="N13" t="n">
        <v>1</v>
      </c>
      <c r="O13">
        <f>MIN((D13*1000/M13-H13)/(I13/N13),J13)</f>
        <v/>
      </c>
      <c r="P13">
        <f>O13*D13*1000/(H13+O13*I13/N13)</f>
        <v/>
      </c>
      <c r="Q13">
        <f>K13*L13+G13/P13</f>
        <v/>
      </c>
      <c r="R13">
        <f>K13/Q13</f>
        <v/>
      </c>
      <c r="S13">
        <f>G13/(K13*(1-L13))</f>
        <v/>
      </c>
    </row>
    <row r="14">
      <c r="A14" t="inlineStr">
        <is>
          <t>A1 觀測中位速度（Luna 90／Sol 55／Astra 40）</t>
        </is>
      </c>
      <c r="B14" t="inlineStr">
        <is>
          <t>Hopper</t>
        </is>
      </c>
      <c r="C14" t="inlineStr">
        <is>
          <t>Sol（中層）</t>
        </is>
      </c>
      <c r="D14" s="2" t="n">
        <v>2.533</v>
      </c>
      <c r="E14" s="2" t="n">
        <v>65</v>
      </c>
      <c r="F14" s="2" t="n">
        <v>16384</v>
      </c>
      <c r="G14" s="2" t="n">
        <v>2048</v>
      </c>
      <c r="H14" s="2" t="n">
        <v>25.8684338372861</v>
      </c>
      <c r="I14" s="2" t="n">
        <v>6.28312690392727</v>
      </c>
      <c r="J14" s="2" t="n">
        <v>538.633530942984</v>
      </c>
      <c r="K14" s="2" t="n">
        <v>18.4108426788087</v>
      </c>
      <c r="L14" s="2" t="n">
        <v>0.179230810537696</v>
      </c>
      <c r="M14" t="n">
        <v>55</v>
      </c>
      <c r="N14" t="n">
        <v>1</v>
      </c>
      <c r="O14">
        <f>MIN((D14*1000/M14-H14)/(I14/N14),J14)</f>
        <v/>
      </c>
      <c r="P14">
        <f>O14*D14*1000/(H14+O14*I14/N14)</f>
        <v/>
      </c>
      <c r="Q14">
        <f>K14*L14+G14/P14</f>
        <v/>
      </c>
      <c r="R14">
        <f>K14/Q14</f>
        <v/>
      </c>
      <c r="S14">
        <f>G14/(K14*(1-L14))</f>
        <v/>
      </c>
    </row>
    <row r="15">
      <c r="A15" t="inlineStr">
        <is>
          <t>A1 觀測中位速度（Luna 90／Sol 55／Astra 40）</t>
        </is>
      </c>
      <c r="B15" t="inlineStr">
        <is>
          <t>Hopper</t>
        </is>
      </c>
      <c r="C15" t="inlineStr">
        <is>
          <t>Astra（頂層）</t>
        </is>
      </c>
      <c r="D15" s="2" t="n">
        <v>2.533</v>
      </c>
      <c r="E15" s="2" t="n">
        <v>55</v>
      </c>
      <c r="F15" s="2" t="n">
        <v>32768</v>
      </c>
      <c r="G15" s="2" t="n">
        <v>4096</v>
      </c>
      <c r="H15" s="2" t="n">
        <v>37.1115090691772</v>
      </c>
      <c r="I15" s="2" t="n">
        <v>25.0204222399711</v>
      </c>
      <c r="J15" s="2" t="n">
        <v>15.5090860617669</v>
      </c>
      <c r="K15" s="2" t="n">
        <v>230.250217675425</v>
      </c>
      <c r="L15" s="2" t="n">
        <v>0.09508696152609381</v>
      </c>
      <c r="M15" t="n">
        <v>40</v>
      </c>
      <c r="N15" t="n">
        <v>1</v>
      </c>
      <c r="O15">
        <f>MIN((D15*1000/M15-H15)/(I15/N15),J15)</f>
        <v/>
      </c>
      <c r="P15">
        <f>O15*D15*1000/(H15+O15*I15/N15)</f>
        <v/>
      </c>
      <c r="Q15">
        <f>K15*L15+G15/P15</f>
        <v/>
      </c>
      <c r="R15">
        <f>K15/Q15</f>
        <v/>
      </c>
      <c r="S15">
        <f>G15/(K15*(1-L15))</f>
        <v/>
      </c>
    </row>
    <row r="16">
      <c r="A16" t="inlineStr">
        <is>
          <t>A1 觀測中位速度（Luna 90／Sol 55／Astra 40）</t>
        </is>
      </c>
      <c r="B16" t="inlineStr">
        <is>
          <t>GB200</t>
        </is>
      </c>
      <c r="C16" t="inlineStr">
        <is>
          <t>Luna（低層）</t>
        </is>
      </c>
      <c r="D16" s="2" t="n">
        <v>2.533</v>
      </c>
      <c r="E16" s="2" t="n">
        <v>120</v>
      </c>
      <c r="F16" s="2" t="n">
        <v>8192</v>
      </c>
      <c r="G16" s="2" t="n">
        <v>1024</v>
      </c>
      <c r="H16" s="2" t="n">
        <v>8.70315739008759</v>
      </c>
      <c r="I16" s="2" t="n">
        <v>0.43326149865173</v>
      </c>
      <c r="J16" s="2" t="n">
        <v>6457.29248791911</v>
      </c>
      <c r="K16" s="2" t="n">
        <v>0.345047709230292</v>
      </c>
      <c r="L16" s="2" t="n">
        <v>0.136252643049218</v>
      </c>
      <c r="M16" t="n">
        <v>90</v>
      </c>
      <c r="N16" t="n">
        <v>1</v>
      </c>
      <c r="O16">
        <f>MIN((D16*1000/M16-H16)/(I16/N16),J16)</f>
        <v/>
      </c>
      <c r="P16">
        <f>O16*D16*1000/(H16+O16*I16/N16)</f>
        <v/>
      </c>
      <c r="Q16">
        <f>K16*L16+G16/P16</f>
        <v/>
      </c>
      <c r="R16">
        <f>K16/Q16</f>
        <v/>
      </c>
      <c r="S16">
        <f>G16/(K16*(1-L16))</f>
        <v/>
      </c>
    </row>
    <row r="17">
      <c r="A17" t="inlineStr">
        <is>
          <t>A1 觀測中位速度（Luna 90／Sol 55／Astra 40）</t>
        </is>
      </c>
      <c r="B17" t="inlineStr">
        <is>
          <t>GB200</t>
        </is>
      </c>
      <c r="C17" t="inlineStr">
        <is>
          <t>Sol（中層）</t>
        </is>
      </c>
      <c r="D17" s="2" t="n">
        <v>2.533</v>
      </c>
      <c r="E17" s="2" t="n">
        <v>65</v>
      </c>
      <c r="F17" s="2" t="n">
        <v>16384</v>
      </c>
      <c r="G17" s="2" t="n">
        <v>2048</v>
      </c>
      <c r="H17" s="2" t="n">
        <v>16.3216531987164</v>
      </c>
      <c r="I17" s="2" t="n">
        <v>1.49211697714465</v>
      </c>
      <c r="J17" s="2" t="n">
        <v>1729.19391665125</v>
      </c>
      <c r="K17" s="2" t="n">
        <v>2.40220758847735</v>
      </c>
      <c r="L17" s="2" t="n">
        <v>0.135853894511149</v>
      </c>
      <c r="M17" t="n">
        <v>55</v>
      </c>
      <c r="N17" t="n">
        <v>1</v>
      </c>
      <c r="O17">
        <f>MIN((D17*1000/M17-H17)/(I17/N17),J17)</f>
        <v/>
      </c>
      <c r="P17">
        <f>O17*D17*1000/(H17+O17*I17/N17)</f>
        <v/>
      </c>
      <c r="Q17">
        <f>K17*L17+G17/P17</f>
        <v/>
      </c>
      <c r="R17">
        <f>K17/Q17</f>
        <v/>
      </c>
      <c r="S17">
        <f>G17/(K17*(1-L17))</f>
        <v/>
      </c>
    </row>
    <row r="18">
      <c r="A18" t="inlineStr">
        <is>
          <t>A1 觀測中位速度（Luna 90／Sol 55／Astra 40）</t>
        </is>
      </c>
      <c r="B18" t="inlineStr">
        <is>
          <t>GB200</t>
        </is>
      </c>
      <c r="C18" t="inlineStr">
        <is>
          <t>Astra（頂層）</t>
        </is>
      </c>
      <c r="D18" s="2" t="n">
        <v>2.533</v>
      </c>
      <c r="E18" s="2" t="n">
        <v>55</v>
      </c>
      <c r="F18" s="2" t="n">
        <v>32768</v>
      </c>
      <c r="G18" s="2" t="n">
        <v>4096</v>
      </c>
      <c r="H18" s="2" t="n">
        <v>27.8397021231931</v>
      </c>
      <c r="I18" s="2" t="n">
        <v>5.94184987354833</v>
      </c>
      <c r="J18" s="2" t="n">
        <v>38.6451779217801</v>
      </c>
      <c r="K18" s="2" t="n">
        <v>26.4589866162974</v>
      </c>
      <c r="L18" s="2" t="n">
        <v>0.0818359454728944</v>
      </c>
      <c r="M18" t="n">
        <v>40</v>
      </c>
      <c r="N18" t="n">
        <v>1</v>
      </c>
      <c r="O18">
        <f>MIN((D18*1000/M18-H18)/(I18/N18),J18)</f>
        <v/>
      </c>
      <c r="P18">
        <f>O18*D18*1000/(H18+O18*I18/N18)</f>
        <v/>
      </c>
      <c r="Q18">
        <f>K18*L18+G18/P18</f>
        <v/>
      </c>
      <c r="R18">
        <f>K18/Q18</f>
        <v/>
      </c>
      <c r="S18">
        <f>G18/(K18*(1-L18))</f>
        <v/>
      </c>
    </row>
    <row r="19">
      <c r="A19" t="inlineStr">
        <is>
          <t>A1 觀測中位速度（Luna 90／Sol 55／Astra 40）</t>
        </is>
      </c>
      <c r="B19" t="inlineStr">
        <is>
          <t>GB300</t>
        </is>
      </c>
      <c r="C19" t="inlineStr">
        <is>
          <t>Luna（低層）</t>
        </is>
      </c>
      <c r="D19" s="2" t="n">
        <v>2.533</v>
      </c>
      <c r="E19" s="2" t="n">
        <v>120</v>
      </c>
      <c r="F19" s="2" t="n">
        <v>8192</v>
      </c>
      <c r="G19" s="2" t="n">
        <v>1024</v>
      </c>
      <c r="H19" s="2" t="n">
        <v>8.70315739008759</v>
      </c>
      <c r="I19" s="2" t="n">
        <v>0.288840999101154</v>
      </c>
      <c r="J19" s="2" t="n">
        <v>10230.7719154683</v>
      </c>
      <c r="K19" s="2" t="n">
        <v>0.230031806153528</v>
      </c>
      <c r="L19" s="2" t="n">
        <v>0.136252643049218</v>
      </c>
      <c r="M19" t="n">
        <v>90</v>
      </c>
      <c r="N19" t="n">
        <v>1</v>
      </c>
      <c r="O19">
        <f>MIN((D19*1000/M19-H19)/(I19/N19),J19)</f>
        <v/>
      </c>
      <c r="P19">
        <f>O19*D19*1000/(H19+O19*I19/N19)</f>
        <v/>
      </c>
      <c r="Q19">
        <f>K19*L19+G19/P19</f>
        <v/>
      </c>
      <c r="R19">
        <f>K19/Q19</f>
        <v/>
      </c>
      <c r="S19">
        <f>G19/(K19*(1-L19))</f>
        <v/>
      </c>
    </row>
    <row r="20">
      <c r="A20" t="inlineStr">
        <is>
          <t>A1 觀測中位速度（Luna 90／Sol 55／Astra 40）</t>
        </is>
      </c>
      <c r="B20" t="inlineStr">
        <is>
          <t>GB300</t>
        </is>
      </c>
      <c r="C20" t="inlineStr">
        <is>
          <t>Sol（中層）</t>
        </is>
      </c>
      <c r="D20" s="2" t="n">
        <v>2.533</v>
      </c>
      <c r="E20" s="2" t="n">
        <v>65</v>
      </c>
      <c r="F20" s="2" t="n">
        <v>16384</v>
      </c>
      <c r="G20" s="2" t="n">
        <v>2048</v>
      </c>
      <c r="H20" s="2" t="n">
        <v>16.3216531987164</v>
      </c>
      <c r="I20" s="2" t="n">
        <v>0.994744651429766</v>
      </c>
      <c r="J20" s="2" t="n">
        <v>3059.19076406613</v>
      </c>
      <c r="K20" s="2" t="n">
        <v>1.60147172565157</v>
      </c>
      <c r="L20" s="2" t="n">
        <v>0.135853894511149</v>
      </c>
      <c r="M20" t="n">
        <v>55</v>
      </c>
      <c r="N20" t="n">
        <v>1</v>
      </c>
      <c r="O20">
        <f>MIN((D20*1000/M20-H20)/(I20/N20),J20)</f>
        <v/>
      </c>
      <c r="P20">
        <f>O20*D20*1000/(H20+O20*I20/N20)</f>
        <v/>
      </c>
      <c r="Q20">
        <f>K20*L20+G20/P20</f>
        <v/>
      </c>
      <c r="R20">
        <f>K20/Q20</f>
        <v/>
      </c>
      <c r="S20">
        <f>G20/(K20*(1-L20))</f>
        <v/>
      </c>
    </row>
    <row r="21">
      <c r="A21" t="inlineStr">
        <is>
          <t>A1 觀測中位速度（Luna 90／Sol 55／Astra 40）</t>
        </is>
      </c>
      <c r="B21" t="inlineStr">
        <is>
          <t>GB300</t>
        </is>
      </c>
      <c r="C21" t="inlineStr">
        <is>
          <t>Astra（頂層）</t>
        </is>
      </c>
      <c r="D21" s="2" t="n">
        <v>2.533</v>
      </c>
      <c r="E21" s="2" t="n">
        <v>55</v>
      </c>
      <c r="F21" s="2" t="n">
        <v>32768</v>
      </c>
      <c r="G21" s="2" t="n">
        <v>4096</v>
      </c>
      <c r="H21" s="2" t="n">
        <v>31.4173994138344</v>
      </c>
      <c r="I21" s="2" t="n">
        <v>3.96123324903222</v>
      </c>
      <c r="J21" s="2" t="n">
        <v>70.14930241977061</v>
      </c>
      <c r="K21" s="2" t="n">
        <v>21.5979955065559</v>
      </c>
      <c r="L21" s="2" t="n">
        <v>0.06683633165068791</v>
      </c>
      <c r="M21" t="n">
        <v>40</v>
      </c>
      <c r="N21" t="n">
        <v>1</v>
      </c>
      <c r="O21">
        <f>MIN((D21*1000/M21-H21)/(I21/N21),J21)</f>
        <v/>
      </c>
      <c r="P21">
        <f>O21*D21*1000/(H21+O21*I21/N21)</f>
        <v/>
      </c>
      <c r="Q21">
        <f>K21*L21+G21/P21</f>
        <v/>
      </c>
      <c r="R21">
        <f>K21/Q21</f>
        <v/>
      </c>
      <c r="S21">
        <f>G21/(K21*(1-L21))</f>
        <v/>
      </c>
    </row>
    <row r="22">
      <c r="A22" t="inlineStr">
        <is>
          <t>A2 ChatGPT／Codex 舊預設（Luna 60／Sol 30／Astra 30）</t>
        </is>
      </c>
      <c r="B22" t="inlineStr">
        <is>
          <t>Hopper</t>
        </is>
      </c>
      <c r="C22" t="inlineStr">
        <is>
          <t>Luna（低層）</t>
        </is>
      </c>
      <c r="D22" s="2" t="n">
        <v>2.533</v>
      </c>
      <c r="E22" s="2" t="n">
        <v>120</v>
      </c>
      <c r="F22" s="2" t="n">
        <v>8192</v>
      </c>
      <c r="G22" s="2" t="n">
        <v>1024</v>
      </c>
      <c r="H22" s="2" t="n">
        <v>14.0366950476431</v>
      </c>
      <c r="I22" s="2" t="n">
        <v>1.82441257643477</v>
      </c>
      <c r="J22" s="2" t="n">
        <v>2558.19965159029</v>
      </c>
      <c r="K22" s="2" t="n">
        <v>2.67688105462812</v>
      </c>
      <c r="L22" s="2" t="n">
        <v>0.177581908201709</v>
      </c>
      <c r="M22" t="n">
        <v>60</v>
      </c>
      <c r="N22" t="n">
        <v>1</v>
      </c>
      <c r="O22">
        <f>MIN((D22*1000/M22-H22)/(I22/N22),J22)</f>
        <v/>
      </c>
      <c r="P22">
        <f>O22*D22*1000/(H22+O22*I22/N22)</f>
        <v/>
      </c>
      <c r="Q22">
        <f>K22*L22+G22/P22</f>
        <v/>
      </c>
      <c r="R22">
        <f>K22/Q22</f>
        <v/>
      </c>
      <c r="S22">
        <f>G22/(K22*(1-L22))</f>
        <v/>
      </c>
    </row>
    <row r="23">
      <c r="A23" t="inlineStr">
        <is>
          <t>A2 ChatGPT／Codex 舊預設（Luna 60／Sol 30／Astra 30）</t>
        </is>
      </c>
      <c r="B23" t="inlineStr">
        <is>
          <t>Hopper</t>
        </is>
      </c>
      <c r="C23" t="inlineStr">
        <is>
          <t>Sol（中層）</t>
        </is>
      </c>
      <c r="D23" s="2" t="n">
        <v>2.533</v>
      </c>
      <c r="E23" s="2" t="n">
        <v>65</v>
      </c>
      <c r="F23" s="2" t="n">
        <v>16384</v>
      </c>
      <c r="G23" s="2" t="n">
        <v>2048</v>
      </c>
      <c r="H23" s="2" t="n">
        <v>25.8684338372861</v>
      </c>
      <c r="I23" s="2" t="n">
        <v>6.28312690392727</v>
      </c>
      <c r="J23" s="2" t="n">
        <v>538.633530942984</v>
      </c>
      <c r="K23" s="2" t="n">
        <v>18.4108426788087</v>
      </c>
      <c r="L23" s="2" t="n">
        <v>0.179230810537696</v>
      </c>
      <c r="M23" t="n">
        <v>30</v>
      </c>
      <c r="N23" t="n">
        <v>1</v>
      </c>
      <c r="O23">
        <f>MIN((D23*1000/M23-H23)/(I23/N23),J23)</f>
        <v/>
      </c>
      <c r="P23">
        <f>O23*D23*1000/(H23+O23*I23/N23)</f>
        <v/>
      </c>
      <c r="Q23">
        <f>K23*L23+G23/P23</f>
        <v/>
      </c>
      <c r="R23">
        <f>K23/Q23</f>
        <v/>
      </c>
      <c r="S23">
        <f>G23/(K23*(1-L23))</f>
        <v/>
      </c>
    </row>
    <row r="24">
      <c r="A24" t="inlineStr">
        <is>
          <t>A2 ChatGPT／Codex 舊預設（Luna 60／Sol 30／Astra 30）</t>
        </is>
      </c>
      <c r="B24" t="inlineStr">
        <is>
          <t>Hopper</t>
        </is>
      </c>
      <c r="C24" t="inlineStr">
        <is>
          <t>Astra（頂層）</t>
        </is>
      </c>
      <c r="D24" s="2" t="n">
        <v>2.533</v>
      </c>
      <c r="E24" s="2" t="n">
        <v>55</v>
      </c>
      <c r="F24" s="2" t="n">
        <v>32768</v>
      </c>
      <c r="G24" s="2" t="n">
        <v>4096</v>
      </c>
      <c r="H24" s="2" t="n">
        <v>37.1115090691772</v>
      </c>
      <c r="I24" s="2" t="n">
        <v>25.0204222399711</v>
      </c>
      <c r="J24" s="2" t="n">
        <v>15.5090860617669</v>
      </c>
      <c r="K24" s="2" t="n">
        <v>230.250217675425</v>
      </c>
      <c r="L24" s="2" t="n">
        <v>0.09508696152609381</v>
      </c>
      <c r="M24" t="n">
        <v>30</v>
      </c>
      <c r="N24" t="n">
        <v>1</v>
      </c>
      <c r="O24">
        <f>MIN((D24*1000/M24-H24)/(I24/N24),J24)</f>
        <v/>
      </c>
      <c r="P24">
        <f>O24*D24*1000/(H24+O24*I24/N24)</f>
        <v/>
      </c>
      <c r="Q24">
        <f>K24*L24+G24/P24</f>
        <v/>
      </c>
      <c r="R24">
        <f>K24/Q24</f>
        <v/>
      </c>
      <c r="S24">
        <f>G24/(K24*(1-L24))</f>
        <v/>
      </c>
    </row>
    <row r="25">
      <c r="A25" t="inlineStr">
        <is>
          <t>A2 ChatGPT／Codex 舊預設（Luna 60／Sol 30／Astra 30）</t>
        </is>
      </c>
      <c r="B25" t="inlineStr">
        <is>
          <t>GB200</t>
        </is>
      </c>
      <c r="C25" t="inlineStr">
        <is>
          <t>Luna（低層）</t>
        </is>
      </c>
      <c r="D25" s="2" t="n">
        <v>2.533</v>
      </c>
      <c r="E25" s="2" t="n">
        <v>120</v>
      </c>
      <c r="F25" s="2" t="n">
        <v>8192</v>
      </c>
      <c r="G25" s="2" t="n">
        <v>1024</v>
      </c>
      <c r="H25" s="2" t="n">
        <v>8.70315739008759</v>
      </c>
      <c r="I25" s="2" t="n">
        <v>0.43326149865173</v>
      </c>
      <c r="J25" s="2" t="n">
        <v>6457.29248791911</v>
      </c>
      <c r="K25" s="2" t="n">
        <v>0.345047709230292</v>
      </c>
      <c r="L25" s="2" t="n">
        <v>0.136252643049218</v>
      </c>
      <c r="M25" t="n">
        <v>60</v>
      </c>
      <c r="N25" t="n">
        <v>1</v>
      </c>
      <c r="O25">
        <f>MIN((D25*1000/M25-H25)/(I25/N25),J25)</f>
        <v/>
      </c>
      <c r="P25">
        <f>O25*D25*1000/(H25+O25*I25/N25)</f>
        <v/>
      </c>
      <c r="Q25">
        <f>K25*L25+G25/P25</f>
        <v/>
      </c>
      <c r="R25">
        <f>K25/Q25</f>
        <v/>
      </c>
      <c r="S25">
        <f>G25/(K25*(1-L25))</f>
        <v/>
      </c>
    </row>
    <row r="26">
      <c r="A26" t="inlineStr">
        <is>
          <t>A2 ChatGPT／Codex 舊預設（Luna 60／Sol 30／Astra 30）</t>
        </is>
      </c>
      <c r="B26" t="inlineStr">
        <is>
          <t>GB200</t>
        </is>
      </c>
      <c r="C26" t="inlineStr">
        <is>
          <t>Sol（中層）</t>
        </is>
      </c>
      <c r="D26" s="2" t="n">
        <v>2.533</v>
      </c>
      <c r="E26" s="2" t="n">
        <v>65</v>
      </c>
      <c r="F26" s="2" t="n">
        <v>16384</v>
      </c>
      <c r="G26" s="2" t="n">
        <v>2048</v>
      </c>
      <c r="H26" s="2" t="n">
        <v>16.3216531987164</v>
      </c>
      <c r="I26" s="2" t="n">
        <v>1.49211697714465</v>
      </c>
      <c r="J26" s="2" t="n">
        <v>1729.19391665125</v>
      </c>
      <c r="K26" s="2" t="n">
        <v>2.40220758847735</v>
      </c>
      <c r="L26" s="2" t="n">
        <v>0.135853894511149</v>
      </c>
      <c r="M26" t="n">
        <v>30</v>
      </c>
      <c r="N26" t="n">
        <v>1</v>
      </c>
      <c r="O26">
        <f>MIN((D26*1000/M26-H26)/(I26/N26),J26)</f>
        <v/>
      </c>
      <c r="P26">
        <f>O26*D26*1000/(H26+O26*I26/N26)</f>
        <v/>
      </c>
      <c r="Q26">
        <f>K26*L26+G26/P26</f>
        <v/>
      </c>
      <c r="R26">
        <f>K26/Q26</f>
        <v/>
      </c>
      <c r="S26">
        <f>G26/(K26*(1-L26))</f>
        <v/>
      </c>
    </row>
    <row r="27">
      <c r="A27" t="inlineStr">
        <is>
          <t>A2 ChatGPT／Codex 舊預設（Luna 60／Sol 30／Astra 30）</t>
        </is>
      </c>
      <c r="B27" t="inlineStr">
        <is>
          <t>GB200</t>
        </is>
      </c>
      <c r="C27" t="inlineStr">
        <is>
          <t>Astra（頂層）</t>
        </is>
      </c>
      <c r="D27" s="2" t="n">
        <v>2.533</v>
      </c>
      <c r="E27" s="2" t="n">
        <v>55</v>
      </c>
      <c r="F27" s="2" t="n">
        <v>32768</v>
      </c>
      <c r="G27" s="2" t="n">
        <v>4096</v>
      </c>
      <c r="H27" s="2" t="n">
        <v>27.8397021231931</v>
      </c>
      <c r="I27" s="2" t="n">
        <v>5.94184987354833</v>
      </c>
      <c r="J27" s="2" t="n">
        <v>38.6451779217801</v>
      </c>
      <c r="K27" s="2" t="n">
        <v>26.4589866162974</v>
      </c>
      <c r="L27" s="2" t="n">
        <v>0.0818359454728944</v>
      </c>
      <c r="M27" t="n">
        <v>30</v>
      </c>
      <c r="N27" t="n">
        <v>1</v>
      </c>
      <c r="O27">
        <f>MIN((D27*1000/M27-H27)/(I27/N27),J27)</f>
        <v/>
      </c>
      <c r="P27">
        <f>O27*D27*1000/(H27+O27*I27/N27)</f>
        <v/>
      </c>
      <c r="Q27">
        <f>K27*L27+G27/P27</f>
        <v/>
      </c>
      <c r="R27">
        <f>K27/Q27</f>
        <v/>
      </c>
      <c r="S27">
        <f>G27/(K27*(1-L27))</f>
        <v/>
      </c>
    </row>
    <row r="28">
      <c r="A28" t="inlineStr">
        <is>
          <t>A2 ChatGPT／Codex 舊預設（Luna 60／Sol 30／Astra 30）</t>
        </is>
      </c>
      <c r="B28" t="inlineStr">
        <is>
          <t>GB300</t>
        </is>
      </c>
      <c r="C28" t="inlineStr">
        <is>
          <t>Luna（低層）</t>
        </is>
      </c>
      <c r="D28" s="2" t="n">
        <v>2.533</v>
      </c>
      <c r="E28" s="2" t="n">
        <v>120</v>
      </c>
      <c r="F28" s="2" t="n">
        <v>8192</v>
      </c>
      <c r="G28" s="2" t="n">
        <v>1024</v>
      </c>
      <c r="H28" s="2" t="n">
        <v>8.70315739008759</v>
      </c>
      <c r="I28" s="2" t="n">
        <v>0.288840999101154</v>
      </c>
      <c r="J28" s="2" t="n">
        <v>10230.7719154683</v>
      </c>
      <c r="K28" s="2" t="n">
        <v>0.230031806153528</v>
      </c>
      <c r="L28" s="2" t="n">
        <v>0.136252643049218</v>
      </c>
      <c r="M28" t="n">
        <v>60</v>
      </c>
      <c r="N28" t="n">
        <v>1</v>
      </c>
      <c r="O28">
        <f>MIN((D28*1000/M28-H28)/(I28/N28),J28)</f>
        <v/>
      </c>
      <c r="P28">
        <f>O28*D28*1000/(H28+O28*I28/N28)</f>
        <v/>
      </c>
      <c r="Q28">
        <f>K28*L28+G28/P28</f>
        <v/>
      </c>
      <c r="R28">
        <f>K28/Q28</f>
        <v/>
      </c>
      <c r="S28">
        <f>G28/(K28*(1-L28))</f>
        <v/>
      </c>
    </row>
    <row r="29">
      <c r="A29" t="inlineStr">
        <is>
          <t>A2 ChatGPT／Codex 舊預設（Luna 60／Sol 30／Astra 30）</t>
        </is>
      </c>
      <c r="B29" t="inlineStr">
        <is>
          <t>GB300</t>
        </is>
      </c>
      <c r="C29" t="inlineStr">
        <is>
          <t>Sol（中層）</t>
        </is>
      </c>
      <c r="D29" s="2" t="n">
        <v>2.533</v>
      </c>
      <c r="E29" s="2" t="n">
        <v>65</v>
      </c>
      <c r="F29" s="2" t="n">
        <v>16384</v>
      </c>
      <c r="G29" s="2" t="n">
        <v>2048</v>
      </c>
      <c r="H29" s="2" t="n">
        <v>16.3216531987164</v>
      </c>
      <c r="I29" s="2" t="n">
        <v>0.994744651429766</v>
      </c>
      <c r="J29" s="2" t="n">
        <v>3059.19076406613</v>
      </c>
      <c r="K29" s="2" t="n">
        <v>1.60147172565157</v>
      </c>
      <c r="L29" s="2" t="n">
        <v>0.135853894511149</v>
      </c>
      <c r="M29" t="n">
        <v>30</v>
      </c>
      <c r="N29" t="n">
        <v>1</v>
      </c>
      <c r="O29">
        <f>MIN((D29*1000/M29-H29)/(I29/N29),J29)</f>
        <v/>
      </c>
      <c r="P29">
        <f>O29*D29*1000/(H29+O29*I29/N29)</f>
        <v/>
      </c>
      <c r="Q29">
        <f>K29*L29+G29/P29</f>
        <v/>
      </c>
      <c r="R29">
        <f>K29/Q29</f>
        <v/>
      </c>
      <c r="S29">
        <f>G29/(K29*(1-L29))</f>
        <v/>
      </c>
    </row>
    <row r="30">
      <c r="A30" t="inlineStr">
        <is>
          <t>A2 ChatGPT／Codex 舊預設（Luna 60／Sol 30／Astra 30）</t>
        </is>
      </c>
      <c r="B30" t="inlineStr">
        <is>
          <t>GB300</t>
        </is>
      </c>
      <c r="C30" t="inlineStr">
        <is>
          <t>Astra（頂層）</t>
        </is>
      </c>
      <c r="D30" s="2" t="n">
        <v>2.533</v>
      </c>
      <c r="E30" s="2" t="n">
        <v>55</v>
      </c>
      <c r="F30" s="2" t="n">
        <v>32768</v>
      </c>
      <c r="G30" s="2" t="n">
        <v>4096</v>
      </c>
      <c r="H30" s="2" t="n">
        <v>31.4173994138344</v>
      </c>
      <c r="I30" s="2" t="n">
        <v>3.96123324903222</v>
      </c>
      <c r="J30" s="2" t="n">
        <v>70.14930241977061</v>
      </c>
      <c r="K30" s="2" t="n">
        <v>21.5979955065559</v>
      </c>
      <c r="L30" s="2" t="n">
        <v>0.06683633165068791</v>
      </c>
      <c r="M30" t="n">
        <v>30</v>
      </c>
      <c r="N30" t="n">
        <v>1</v>
      </c>
      <c r="O30">
        <f>MIN((D30*1000/M30-H30)/(I30/N30),J30)</f>
        <v/>
      </c>
      <c r="P30">
        <f>O30*D30*1000/(H30+O30*I30/N30)</f>
        <v/>
      </c>
      <c r="Q30">
        <f>K30*L30+G30/P30</f>
        <v/>
      </c>
      <c r="R30">
        <f>K30/Q30</f>
        <v/>
      </c>
      <c r="S30">
        <f>G30/(K30*(1-L30))</f>
        <v/>
      </c>
    </row>
    <row r="31">
      <c r="A31" t="inlineStr">
        <is>
          <t>A3 A1 速度＋世代換算修正（k：Hopper 3.6、GB200 1.4、GB300 1）</t>
        </is>
      </c>
      <c r="B31" t="inlineStr">
        <is>
          <t>Hopper</t>
        </is>
      </c>
      <c r="C31" t="inlineStr">
        <is>
          <t>Luna（低層）</t>
        </is>
      </c>
      <c r="D31" s="2" t="n">
        <v>2.533</v>
      </c>
      <c r="E31" s="2" t="n">
        <v>120</v>
      </c>
      <c r="F31" s="2" t="n">
        <v>8192</v>
      </c>
      <c r="G31" s="2" t="n">
        <v>1024</v>
      </c>
      <c r="H31" s="2" t="n">
        <v>14.0366950476431</v>
      </c>
      <c r="I31" s="2" t="n">
        <v>1.82441257643477</v>
      </c>
      <c r="J31" s="2" t="n">
        <v>2558.19965159029</v>
      </c>
      <c r="K31" s="2" t="n">
        <v>2.67688105462812</v>
      </c>
      <c r="L31" s="2" t="n">
        <v>0.177581908201709</v>
      </c>
      <c r="M31" t="n">
        <v>90</v>
      </c>
      <c r="N31" t="n">
        <v>3.6</v>
      </c>
      <c r="O31">
        <f>MIN((D31*1000/M31-H31)/(I31/N31),J31)</f>
        <v/>
      </c>
      <c r="P31">
        <f>O31*D31*1000/(H31+O31*I31/N31)</f>
        <v/>
      </c>
      <c r="Q31">
        <f>K31*L31+G31/P31</f>
        <v/>
      </c>
      <c r="R31">
        <f>K31/Q31</f>
        <v/>
      </c>
      <c r="S31">
        <f>G31/(K31*(1-L31))</f>
        <v/>
      </c>
    </row>
    <row r="32">
      <c r="A32" t="inlineStr">
        <is>
          <t>A3 A1 速度＋世代換算修正（k：Hopper 3.6、GB200 1.4、GB300 1）</t>
        </is>
      </c>
      <c r="B32" t="inlineStr">
        <is>
          <t>Hopper</t>
        </is>
      </c>
      <c r="C32" t="inlineStr">
        <is>
          <t>Sol（中層）</t>
        </is>
      </c>
      <c r="D32" s="2" t="n">
        <v>2.533</v>
      </c>
      <c r="E32" s="2" t="n">
        <v>65</v>
      </c>
      <c r="F32" s="2" t="n">
        <v>16384</v>
      </c>
      <c r="G32" s="2" t="n">
        <v>2048</v>
      </c>
      <c r="H32" s="2" t="n">
        <v>25.8684338372861</v>
      </c>
      <c r="I32" s="2" t="n">
        <v>6.28312690392727</v>
      </c>
      <c r="J32" s="2" t="n">
        <v>538.633530942984</v>
      </c>
      <c r="K32" s="2" t="n">
        <v>18.4108426788087</v>
      </c>
      <c r="L32" s="2" t="n">
        <v>0.179230810537696</v>
      </c>
      <c r="M32" t="n">
        <v>55</v>
      </c>
      <c r="N32" t="n">
        <v>3.6</v>
      </c>
      <c r="O32">
        <f>MIN((D32*1000/M32-H32)/(I32/N32),J32)</f>
        <v/>
      </c>
      <c r="P32">
        <f>O32*D32*1000/(H32+O32*I32/N32)</f>
        <v/>
      </c>
      <c r="Q32">
        <f>K32*L32+G32/P32</f>
        <v/>
      </c>
      <c r="R32">
        <f>K32/Q32</f>
        <v/>
      </c>
      <c r="S32">
        <f>G32/(K32*(1-L32))</f>
        <v/>
      </c>
    </row>
    <row r="33">
      <c r="A33" t="inlineStr">
        <is>
          <t>A3 A1 速度＋世代換算修正（k：Hopper 3.6、GB200 1.4、GB300 1）</t>
        </is>
      </c>
      <c r="B33" t="inlineStr">
        <is>
          <t>Hopper</t>
        </is>
      </c>
      <c r="C33" t="inlineStr">
        <is>
          <t>Astra（頂層）</t>
        </is>
      </c>
      <c r="D33" s="2" t="n">
        <v>2.533</v>
      </c>
      <c r="E33" s="2" t="n">
        <v>55</v>
      </c>
      <c r="F33" s="2" t="n">
        <v>32768</v>
      </c>
      <c r="G33" s="2" t="n">
        <v>4096</v>
      </c>
      <c r="H33" s="2" t="n">
        <v>37.1115090691772</v>
      </c>
      <c r="I33" s="2" t="n">
        <v>25.0204222399711</v>
      </c>
      <c r="J33" s="2" t="n">
        <v>15.5090860617669</v>
      </c>
      <c r="K33" s="2" t="n">
        <v>230.250217675425</v>
      </c>
      <c r="L33" s="2" t="n">
        <v>0.09508696152609381</v>
      </c>
      <c r="M33" t="n">
        <v>40</v>
      </c>
      <c r="N33" t="n">
        <v>3.6</v>
      </c>
      <c r="O33">
        <f>MIN((D33*1000/M33-H33)/(I33/N33),J33)</f>
        <v/>
      </c>
      <c r="P33">
        <f>O33*D33*1000/(H33+O33*I33/N33)</f>
        <v/>
      </c>
      <c r="Q33">
        <f>K33*L33+G33/P33</f>
        <v/>
      </c>
      <c r="R33">
        <f>K33/Q33</f>
        <v/>
      </c>
      <c r="S33">
        <f>G33/(K33*(1-L33))</f>
        <v/>
      </c>
    </row>
    <row r="34">
      <c r="A34" t="inlineStr">
        <is>
          <t>A3 A1 速度＋世代換算修正（k：Hopper 3.6、GB200 1.4、GB300 1）</t>
        </is>
      </c>
      <c r="B34" t="inlineStr">
        <is>
          <t>GB200</t>
        </is>
      </c>
      <c r="C34" t="inlineStr">
        <is>
          <t>Luna（低層）</t>
        </is>
      </c>
      <c r="D34" s="2" t="n">
        <v>2.533</v>
      </c>
      <c r="E34" s="2" t="n">
        <v>120</v>
      </c>
      <c r="F34" s="2" t="n">
        <v>8192</v>
      </c>
      <c r="G34" s="2" t="n">
        <v>1024</v>
      </c>
      <c r="H34" s="2" t="n">
        <v>8.70315739008759</v>
      </c>
      <c r="I34" s="2" t="n">
        <v>0.43326149865173</v>
      </c>
      <c r="J34" s="2" t="n">
        <v>6457.29248791911</v>
      </c>
      <c r="K34" s="2" t="n">
        <v>0.345047709230292</v>
      </c>
      <c r="L34" s="2" t="n">
        <v>0.136252643049218</v>
      </c>
      <c r="M34" t="n">
        <v>90</v>
      </c>
      <c r="N34" t="n">
        <v>1.4</v>
      </c>
      <c r="O34">
        <f>MIN((D34*1000/M34-H34)/(I34/N34),J34)</f>
        <v/>
      </c>
      <c r="P34">
        <f>O34*D34*1000/(H34+O34*I34/N34)</f>
        <v/>
      </c>
      <c r="Q34">
        <f>K34*L34+G34/P34</f>
        <v/>
      </c>
      <c r="R34">
        <f>K34/Q34</f>
        <v/>
      </c>
      <c r="S34">
        <f>G34/(K34*(1-L34))</f>
        <v/>
      </c>
    </row>
    <row r="35">
      <c r="A35" t="inlineStr">
        <is>
          <t>A3 A1 速度＋世代換算修正（k：Hopper 3.6、GB200 1.4、GB300 1）</t>
        </is>
      </c>
      <c r="B35" t="inlineStr">
        <is>
          <t>GB200</t>
        </is>
      </c>
      <c r="C35" t="inlineStr">
        <is>
          <t>Sol（中層）</t>
        </is>
      </c>
      <c r="D35" s="2" t="n">
        <v>2.533</v>
      </c>
      <c r="E35" s="2" t="n">
        <v>65</v>
      </c>
      <c r="F35" s="2" t="n">
        <v>16384</v>
      </c>
      <c r="G35" s="2" t="n">
        <v>2048</v>
      </c>
      <c r="H35" s="2" t="n">
        <v>16.3216531987164</v>
      </c>
      <c r="I35" s="2" t="n">
        <v>1.49211697714465</v>
      </c>
      <c r="J35" s="2" t="n">
        <v>1729.19391665125</v>
      </c>
      <c r="K35" s="2" t="n">
        <v>2.40220758847735</v>
      </c>
      <c r="L35" s="2" t="n">
        <v>0.135853894511149</v>
      </c>
      <c r="M35" t="n">
        <v>55</v>
      </c>
      <c r="N35" t="n">
        <v>1.4</v>
      </c>
      <c r="O35">
        <f>MIN((D35*1000/M35-H35)/(I35/N35),J35)</f>
        <v/>
      </c>
      <c r="P35">
        <f>O35*D35*1000/(H35+O35*I35/N35)</f>
        <v/>
      </c>
      <c r="Q35">
        <f>K35*L35+G35/P35</f>
        <v/>
      </c>
      <c r="R35">
        <f>K35/Q35</f>
        <v/>
      </c>
      <c r="S35">
        <f>G35/(K35*(1-L35))</f>
        <v/>
      </c>
    </row>
    <row r="36">
      <c r="A36" t="inlineStr">
        <is>
          <t>A3 A1 速度＋世代換算修正（k：Hopper 3.6、GB200 1.4、GB300 1）</t>
        </is>
      </c>
      <c r="B36" t="inlineStr">
        <is>
          <t>GB200</t>
        </is>
      </c>
      <c r="C36" t="inlineStr">
        <is>
          <t>Astra（頂層）</t>
        </is>
      </c>
      <c r="D36" s="2" t="n">
        <v>2.533</v>
      </c>
      <c r="E36" s="2" t="n">
        <v>55</v>
      </c>
      <c r="F36" s="2" t="n">
        <v>32768</v>
      </c>
      <c r="G36" s="2" t="n">
        <v>4096</v>
      </c>
      <c r="H36" s="2" t="n">
        <v>27.8397021231931</v>
      </c>
      <c r="I36" s="2" t="n">
        <v>5.94184987354833</v>
      </c>
      <c r="J36" s="2" t="n">
        <v>38.6451779217801</v>
      </c>
      <c r="K36" s="2" t="n">
        <v>26.4589866162974</v>
      </c>
      <c r="L36" s="2" t="n">
        <v>0.0818359454728944</v>
      </c>
      <c r="M36" t="n">
        <v>40</v>
      </c>
      <c r="N36" t="n">
        <v>1.4</v>
      </c>
      <c r="O36">
        <f>MIN((D36*1000/M36-H36)/(I36/N36),J36)</f>
        <v/>
      </c>
      <c r="P36">
        <f>O36*D36*1000/(H36+O36*I36/N36)</f>
        <v/>
      </c>
      <c r="Q36">
        <f>K36*L36+G36/P36</f>
        <v/>
      </c>
      <c r="R36">
        <f>K36/Q36</f>
        <v/>
      </c>
      <c r="S36">
        <f>G36/(K36*(1-L36))</f>
        <v/>
      </c>
    </row>
    <row r="37">
      <c r="A37" t="inlineStr">
        <is>
          <t>A3 A1 速度＋世代換算修正（k：Hopper 3.6、GB200 1.4、GB300 1）</t>
        </is>
      </c>
      <c r="B37" t="inlineStr">
        <is>
          <t>GB300</t>
        </is>
      </c>
      <c r="C37" t="inlineStr">
        <is>
          <t>Luna（低層）</t>
        </is>
      </c>
      <c r="D37" s="2" t="n">
        <v>2.533</v>
      </c>
      <c r="E37" s="2" t="n">
        <v>120</v>
      </c>
      <c r="F37" s="2" t="n">
        <v>8192</v>
      </c>
      <c r="G37" s="2" t="n">
        <v>1024</v>
      </c>
      <c r="H37" s="2" t="n">
        <v>8.70315739008759</v>
      </c>
      <c r="I37" s="2" t="n">
        <v>0.288840999101154</v>
      </c>
      <c r="J37" s="2" t="n">
        <v>10230.7719154683</v>
      </c>
      <c r="K37" s="2" t="n">
        <v>0.230031806153528</v>
      </c>
      <c r="L37" s="2" t="n">
        <v>0.136252643049218</v>
      </c>
      <c r="M37" t="n">
        <v>90</v>
      </c>
      <c r="N37" t="n">
        <v>1</v>
      </c>
      <c r="O37">
        <f>MIN((D37*1000/M37-H37)/(I37/N37),J37)</f>
        <v/>
      </c>
      <c r="P37">
        <f>O37*D37*1000/(H37+O37*I37/N37)</f>
        <v/>
      </c>
      <c r="Q37">
        <f>K37*L37+G37/P37</f>
        <v/>
      </c>
      <c r="R37">
        <f>K37/Q37</f>
        <v/>
      </c>
      <c r="S37">
        <f>G37/(K37*(1-L37))</f>
        <v/>
      </c>
    </row>
    <row r="38">
      <c r="A38" t="inlineStr">
        <is>
          <t>A3 A1 速度＋世代換算修正（k：Hopper 3.6、GB200 1.4、GB300 1）</t>
        </is>
      </c>
      <c r="B38" t="inlineStr">
        <is>
          <t>GB300</t>
        </is>
      </c>
      <c r="C38" t="inlineStr">
        <is>
          <t>Sol（中層）</t>
        </is>
      </c>
      <c r="D38" s="2" t="n">
        <v>2.533</v>
      </c>
      <c r="E38" s="2" t="n">
        <v>65</v>
      </c>
      <c r="F38" s="2" t="n">
        <v>16384</v>
      </c>
      <c r="G38" s="2" t="n">
        <v>2048</v>
      </c>
      <c r="H38" s="2" t="n">
        <v>16.3216531987164</v>
      </c>
      <c r="I38" s="2" t="n">
        <v>0.994744651429766</v>
      </c>
      <c r="J38" s="2" t="n">
        <v>3059.19076406613</v>
      </c>
      <c r="K38" s="2" t="n">
        <v>1.60147172565157</v>
      </c>
      <c r="L38" s="2" t="n">
        <v>0.135853894511149</v>
      </c>
      <c r="M38" t="n">
        <v>55</v>
      </c>
      <c r="N38" t="n">
        <v>1</v>
      </c>
      <c r="O38">
        <f>MIN((D38*1000/M38-H38)/(I38/N38),J38)</f>
        <v/>
      </c>
      <c r="P38">
        <f>O38*D38*1000/(H38+O38*I38/N38)</f>
        <v/>
      </c>
      <c r="Q38">
        <f>K38*L38+G38/P38</f>
        <v/>
      </c>
      <c r="R38">
        <f>K38/Q38</f>
        <v/>
      </c>
      <c r="S38">
        <f>G38/(K38*(1-L38))</f>
        <v/>
      </c>
    </row>
    <row r="39">
      <c r="A39" t="inlineStr">
        <is>
          <t>A3 A1 速度＋世代換算修正（k：Hopper 3.6、GB200 1.4、GB300 1）</t>
        </is>
      </c>
      <c r="B39" t="inlineStr">
        <is>
          <t>GB300</t>
        </is>
      </c>
      <c r="C39" t="inlineStr">
        <is>
          <t>Astra（頂層）</t>
        </is>
      </c>
      <c r="D39" s="2" t="n">
        <v>2.533</v>
      </c>
      <c r="E39" s="2" t="n">
        <v>55</v>
      </c>
      <c r="F39" s="2" t="n">
        <v>32768</v>
      </c>
      <c r="G39" s="2" t="n">
        <v>4096</v>
      </c>
      <c r="H39" s="2" t="n">
        <v>31.4173994138344</v>
      </c>
      <c r="I39" s="2" t="n">
        <v>3.96123324903222</v>
      </c>
      <c r="J39" s="2" t="n">
        <v>70.14930241977061</v>
      </c>
      <c r="K39" s="2" t="n">
        <v>21.5979955065559</v>
      </c>
      <c r="L39" s="2" t="n">
        <v>0.06683633165068791</v>
      </c>
      <c r="M39" t="n">
        <v>40</v>
      </c>
      <c r="N39" t="n">
        <v>1</v>
      </c>
      <c r="O39">
        <f>MIN((D39*1000/M39-H39)/(I39/N39),J39)</f>
        <v/>
      </c>
      <c r="P39">
        <f>O39*D39*1000/(H39+O39*I39/N39)</f>
        <v/>
      </c>
      <c r="Q39">
        <f>K39*L39+G39/P39</f>
        <v/>
      </c>
      <c r="R39">
        <f>K39/Q39</f>
        <v/>
      </c>
      <c r="S39">
        <f>G39/(K39*(1-L39))</f>
        <v/>
      </c>
    </row>
    <row r="40">
      <c r="A40" t="inlineStr">
        <is>
          <t>B1 大批次速度 20 tok/s，η_d 不變</t>
        </is>
      </c>
      <c r="B40" t="inlineStr">
        <is>
          <t>Hopper</t>
        </is>
      </c>
      <c r="C40" t="inlineStr">
        <is>
          <t>Luna（低層）</t>
        </is>
      </c>
      <c r="D40" s="2" t="n">
        <v>2.533</v>
      </c>
      <c r="E40" s="2" t="n">
        <v>120</v>
      </c>
      <c r="F40" s="2" t="n">
        <v>8192</v>
      </c>
      <c r="G40" s="2" t="n">
        <v>1024</v>
      </c>
      <c r="H40" s="2" t="n">
        <v>14.0366950476431</v>
      </c>
      <c r="I40" s="2" t="n">
        <v>1.82441257643477</v>
      </c>
      <c r="J40" s="2" t="n">
        <v>2558.19965159029</v>
      </c>
      <c r="K40" s="2" t="n">
        <v>2.67688105462812</v>
      </c>
      <c r="L40" s="2" t="n">
        <v>0.177581908201709</v>
      </c>
      <c r="M40" t="n">
        <v>20</v>
      </c>
      <c r="N40" t="n">
        <v>1</v>
      </c>
      <c r="O40">
        <f>MIN((D40*1000/M40-H40)/(I40/N40),J40)</f>
        <v/>
      </c>
      <c r="P40">
        <f>O40*D40*1000/(H40+O40*I40/N40)</f>
        <v/>
      </c>
      <c r="Q40">
        <f>K40*L40+G40/P40</f>
        <v/>
      </c>
      <c r="R40">
        <f>K40/Q40</f>
        <v/>
      </c>
      <c r="S40">
        <f>G40/(K40*(1-L40))</f>
        <v/>
      </c>
    </row>
    <row r="41">
      <c r="A41" t="inlineStr">
        <is>
          <t>B1 大批次速度 20 tok/s，η_d 不變</t>
        </is>
      </c>
      <c r="B41" t="inlineStr">
        <is>
          <t>Hopper</t>
        </is>
      </c>
      <c r="C41" t="inlineStr">
        <is>
          <t>Sol（中層）</t>
        </is>
      </c>
      <c r="D41" s="2" t="n">
        <v>2.533</v>
      </c>
      <c r="E41" s="2" t="n">
        <v>65</v>
      </c>
      <c r="F41" s="2" t="n">
        <v>16384</v>
      </c>
      <c r="G41" s="2" t="n">
        <v>2048</v>
      </c>
      <c r="H41" s="2" t="n">
        <v>25.8684338372861</v>
      </c>
      <c r="I41" s="2" t="n">
        <v>6.28312690392727</v>
      </c>
      <c r="J41" s="2" t="n">
        <v>538.633530942984</v>
      </c>
      <c r="K41" s="2" t="n">
        <v>18.4108426788087</v>
      </c>
      <c r="L41" s="2" t="n">
        <v>0.179230810537696</v>
      </c>
      <c r="M41" t="n">
        <v>20</v>
      </c>
      <c r="N41" t="n">
        <v>1</v>
      </c>
      <c r="O41">
        <f>MIN((D41*1000/M41-H41)/(I41/N41),J41)</f>
        <v/>
      </c>
      <c r="P41">
        <f>O41*D41*1000/(H41+O41*I41/N41)</f>
        <v/>
      </c>
      <c r="Q41">
        <f>K41*L41+G41/P41</f>
        <v/>
      </c>
      <c r="R41">
        <f>K41/Q41</f>
        <v/>
      </c>
      <c r="S41">
        <f>G41/(K41*(1-L41))</f>
        <v/>
      </c>
    </row>
    <row r="42">
      <c r="A42" t="inlineStr">
        <is>
          <t>B1 大批次速度 20 tok/s，η_d 不變</t>
        </is>
      </c>
      <c r="B42" t="inlineStr">
        <is>
          <t>Hopper</t>
        </is>
      </c>
      <c r="C42" t="inlineStr">
        <is>
          <t>Astra（頂層）</t>
        </is>
      </c>
      <c r="D42" s="2" t="n">
        <v>2.533</v>
      </c>
      <c r="E42" s="2" t="n">
        <v>55</v>
      </c>
      <c r="F42" s="2" t="n">
        <v>32768</v>
      </c>
      <c r="G42" s="2" t="n">
        <v>4096</v>
      </c>
      <c r="H42" s="2" t="n">
        <v>37.1115090691772</v>
      </c>
      <c r="I42" s="2" t="n">
        <v>25.0204222399711</v>
      </c>
      <c r="J42" s="2" t="n">
        <v>15.5090860617669</v>
      </c>
      <c r="K42" s="2" t="n">
        <v>230.250217675425</v>
      </c>
      <c r="L42" s="2" t="n">
        <v>0.09508696152609381</v>
      </c>
      <c r="M42" t="n">
        <v>20</v>
      </c>
      <c r="N42" t="n">
        <v>1</v>
      </c>
      <c r="O42">
        <f>MIN((D42*1000/M42-H42)/(I42/N42),J42)</f>
        <v/>
      </c>
      <c r="P42">
        <f>O42*D42*1000/(H42+O42*I42/N42)</f>
        <v/>
      </c>
      <c r="Q42">
        <f>K42*L42+G42/P42</f>
        <v/>
      </c>
      <c r="R42">
        <f>K42/Q42</f>
        <v/>
      </c>
      <c r="S42">
        <f>G42/(K42*(1-L42))</f>
        <v/>
      </c>
    </row>
    <row r="43">
      <c r="A43" t="inlineStr">
        <is>
          <t>B1 大批次速度 20 tok/s，η_d 不變</t>
        </is>
      </c>
      <c r="B43" t="inlineStr">
        <is>
          <t>GB200</t>
        </is>
      </c>
      <c r="C43" t="inlineStr">
        <is>
          <t>Luna（低層）</t>
        </is>
      </c>
      <c r="D43" s="2" t="n">
        <v>2.533</v>
      </c>
      <c r="E43" s="2" t="n">
        <v>120</v>
      </c>
      <c r="F43" s="2" t="n">
        <v>8192</v>
      </c>
      <c r="G43" s="2" t="n">
        <v>1024</v>
      </c>
      <c r="H43" s="2" t="n">
        <v>8.70315739008759</v>
      </c>
      <c r="I43" s="2" t="n">
        <v>0.43326149865173</v>
      </c>
      <c r="J43" s="2" t="n">
        <v>6457.29248791911</v>
      </c>
      <c r="K43" s="2" t="n">
        <v>0.345047709230292</v>
      </c>
      <c r="L43" s="2" t="n">
        <v>0.136252643049218</v>
      </c>
      <c r="M43" t="n">
        <v>20</v>
      </c>
      <c r="N43" t="n">
        <v>1</v>
      </c>
      <c r="O43">
        <f>MIN((D43*1000/M43-H43)/(I43/N43),J43)</f>
        <v/>
      </c>
      <c r="P43">
        <f>O43*D43*1000/(H43+O43*I43/N43)</f>
        <v/>
      </c>
      <c r="Q43">
        <f>K43*L43+G43/P43</f>
        <v/>
      </c>
      <c r="R43">
        <f>K43/Q43</f>
        <v/>
      </c>
      <c r="S43">
        <f>G43/(K43*(1-L43))</f>
        <v/>
      </c>
    </row>
    <row r="44">
      <c r="A44" t="inlineStr">
        <is>
          <t>B1 大批次速度 20 tok/s，η_d 不變</t>
        </is>
      </c>
      <c r="B44" t="inlineStr">
        <is>
          <t>GB200</t>
        </is>
      </c>
      <c r="C44" t="inlineStr">
        <is>
          <t>Sol（中層）</t>
        </is>
      </c>
      <c r="D44" s="2" t="n">
        <v>2.533</v>
      </c>
      <c r="E44" s="2" t="n">
        <v>65</v>
      </c>
      <c r="F44" s="2" t="n">
        <v>16384</v>
      </c>
      <c r="G44" s="2" t="n">
        <v>2048</v>
      </c>
      <c r="H44" s="2" t="n">
        <v>16.3216531987164</v>
      </c>
      <c r="I44" s="2" t="n">
        <v>1.49211697714465</v>
      </c>
      <c r="J44" s="2" t="n">
        <v>1729.19391665125</v>
      </c>
      <c r="K44" s="2" t="n">
        <v>2.40220758847735</v>
      </c>
      <c r="L44" s="2" t="n">
        <v>0.135853894511149</v>
      </c>
      <c r="M44" t="n">
        <v>20</v>
      </c>
      <c r="N44" t="n">
        <v>1</v>
      </c>
      <c r="O44">
        <f>MIN((D44*1000/M44-H44)/(I44/N44),J44)</f>
        <v/>
      </c>
      <c r="P44">
        <f>O44*D44*1000/(H44+O44*I44/N44)</f>
        <v/>
      </c>
      <c r="Q44">
        <f>K44*L44+G44/P44</f>
        <v/>
      </c>
      <c r="R44">
        <f>K44/Q44</f>
        <v/>
      </c>
      <c r="S44">
        <f>G44/(K44*(1-L44))</f>
        <v/>
      </c>
    </row>
    <row r="45">
      <c r="A45" t="inlineStr">
        <is>
          <t>B1 大批次速度 20 tok/s，η_d 不變</t>
        </is>
      </c>
      <c r="B45" t="inlineStr">
        <is>
          <t>GB200</t>
        </is>
      </c>
      <c r="C45" t="inlineStr">
        <is>
          <t>Astra（頂層）</t>
        </is>
      </c>
      <c r="D45" s="2" t="n">
        <v>2.533</v>
      </c>
      <c r="E45" s="2" t="n">
        <v>55</v>
      </c>
      <c r="F45" s="2" t="n">
        <v>32768</v>
      </c>
      <c r="G45" s="2" t="n">
        <v>4096</v>
      </c>
      <c r="H45" s="2" t="n">
        <v>27.8397021231931</v>
      </c>
      <c r="I45" s="2" t="n">
        <v>5.94184987354833</v>
      </c>
      <c r="J45" s="2" t="n">
        <v>38.6451779217801</v>
      </c>
      <c r="K45" s="2" t="n">
        <v>26.4589866162974</v>
      </c>
      <c r="L45" s="2" t="n">
        <v>0.0818359454728944</v>
      </c>
      <c r="M45" t="n">
        <v>20</v>
      </c>
      <c r="N45" t="n">
        <v>1</v>
      </c>
      <c r="O45">
        <f>MIN((D45*1000/M45-H45)/(I45/N45),J45)</f>
        <v/>
      </c>
      <c r="P45">
        <f>O45*D45*1000/(H45+O45*I45/N45)</f>
        <v/>
      </c>
      <c r="Q45">
        <f>K45*L45+G45/P45</f>
        <v/>
      </c>
      <c r="R45">
        <f>K45/Q45</f>
        <v/>
      </c>
      <c r="S45">
        <f>G45/(K45*(1-L45))</f>
        <v/>
      </c>
    </row>
    <row r="46">
      <c r="A46" t="inlineStr">
        <is>
          <t>B1 大批次速度 20 tok/s，η_d 不變</t>
        </is>
      </c>
      <c r="B46" t="inlineStr">
        <is>
          <t>GB300</t>
        </is>
      </c>
      <c r="C46" t="inlineStr">
        <is>
          <t>Luna（低層）</t>
        </is>
      </c>
      <c r="D46" s="2" t="n">
        <v>2.533</v>
      </c>
      <c r="E46" s="2" t="n">
        <v>120</v>
      </c>
      <c r="F46" s="2" t="n">
        <v>8192</v>
      </c>
      <c r="G46" s="2" t="n">
        <v>1024</v>
      </c>
      <c r="H46" s="2" t="n">
        <v>8.70315739008759</v>
      </c>
      <c r="I46" s="2" t="n">
        <v>0.288840999101154</v>
      </c>
      <c r="J46" s="2" t="n">
        <v>10230.7719154683</v>
      </c>
      <c r="K46" s="2" t="n">
        <v>0.230031806153528</v>
      </c>
      <c r="L46" s="2" t="n">
        <v>0.136252643049218</v>
      </c>
      <c r="M46" t="n">
        <v>20</v>
      </c>
      <c r="N46" t="n">
        <v>1</v>
      </c>
      <c r="O46">
        <f>MIN((D46*1000/M46-H46)/(I46/N46),J46)</f>
        <v/>
      </c>
      <c r="P46">
        <f>O46*D46*1000/(H46+O46*I46/N46)</f>
        <v/>
      </c>
      <c r="Q46">
        <f>K46*L46+G46/P46</f>
        <v/>
      </c>
      <c r="R46">
        <f>K46/Q46</f>
        <v/>
      </c>
      <c r="S46">
        <f>G46/(K46*(1-L46))</f>
        <v/>
      </c>
    </row>
    <row r="47">
      <c r="A47" t="inlineStr">
        <is>
          <t>B1 大批次速度 20 tok/s，η_d 不變</t>
        </is>
      </c>
      <c r="B47" t="inlineStr">
        <is>
          <t>GB300</t>
        </is>
      </c>
      <c r="C47" t="inlineStr">
        <is>
          <t>Sol（中層）</t>
        </is>
      </c>
      <c r="D47" s="2" t="n">
        <v>2.533</v>
      </c>
      <c r="E47" s="2" t="n">
        <v>65</v>
      </c>
      <c r="F47" s="2" t="n">
        <v>16384</v>
      </c>
      <c r="G47" s="2" t="n">
        <v>2048</v>
      </c>
      <c r="H47" s="2" t="n">
        <v>16.3216531987164</v>
      </c>
      <c r="I47" s="2" t="n">
        <v>0.994744651429766</v>
      </c>
      <c r="J47" s="2" t="n">
        <v>3059.19076406613</v>
      </c>
      <c r="K47" s="2" t="n">
        <v>1.60147172565157</v>
      </c>
      <c r="L47" s="2" t="n">
        <v>0.135853894511149</v>
      </c>
      <c r="M47" t="n">
        <v>20</v>
      </c>
      <c r="N47" t="n">
        <v>1</v>
      </c>
      <c r="O47">
        <f>MIN((D47*1000/M47-H47)/(I47/N47),J47)</f>
        <v/>
      </c>
      <c r="P47">
        <f>O47*D47*1000/(H47+O47*I47/N47)</f>
        <v/>
      </c>
      <c r="Q47">
        <f>K47*L47+G47/P47</f>
        <v/>
      </c>
      <c r="R47">
        <f>K47/Q47</f>
        <v/>
      </c>
      <c r="S47">
        <f>G47/(K47*(1-L47))</f>
        <v/>
      </c>
    </row>
    <row r="48">
      <c r="A48" t="inlineStr">
        <is>
          <t>B1 大批次速度 20 tok/s，η_d 不變</t>
        </is>
      </c>
      <c r="B48" t="inlineStr">
        <is>
          <t>GB300</t>
        </is>
      </c>
      <c r="C48" t="inlineStr">
        <is>
          <t>Astra（頂層）</t>
        </is>
      </c>
      <c r="D48" s="2" t="n">
        <v>2.533</v>
      </c>
      <c r="E48" s="2" t="n">
        <v>55</v>
      </c>
      <c r="F48" s="2" t="n">
        <v>32768</v>
      </c>
      <c r="G48" s="2" t="n">
        <v>4096</v>
      </c>
      <c r="H48" s="2" t="n">
        <v>31.4173994138344</v>
      </c>
      <c r="I48" s="2" t="n">
        <v>3.96123324903222</v>
      </c>
      <c r="J48" s="2" t="n">
        <v>70.14930241977061</v>
      </c>
      <c r="K48" s="2" t="n">
        <v>21.5979955065559</v>
      </c>
      <c r="L48" s="2" t="n">
        <v>0.06683633165068791</v>
      </c>
      <c r="M48" t="n">
        <v>20</v>
      </c>
      <c r="N48" t="n">
        <v>1</v>
      </c>
      <c r="O48">
        <f>MIN((D48*1000/M48-H48)/(I48/N48),J48)</f>
        <v/>
      </c>
      <c r="P48">
        <f>O48*D48*1000/(H48+O48*I48/N48)</f>
        <v/>
      </c>
      <c r="Q48">
        <f>K48*L48+G48/P48</f>
        <v/>
      </c>
      <c r="R48">
        <f>K48/Q48</f>
        <v/>
      </c>
      <c r="S48">
        <f>G48/(K48*(1-L48))</f>
        <v/>
      </c>
    </row>
    <row r="49">
      <c r="A49" t="inlineStr">
        <is>
          <t>B2 大批次 20 tok/s，η_d 隨批次（k：Hopper 3.6、Blackwell 1.4）</t>
        </is>
      </c>
      <c r="B49" t="inlineStr">
        <is>
          <t>Hopper</t>
        </is>
      </c>
      <c r="C49" t="inlineStr">
        <is>
          <t>Luna（低層）</t>
        </is>
      </c>
      <c r="D49" s="2" t="n">
        <v>2.533</v>
      </c>
      <c r="E49" s="2" t="n">
        <v>120</v>
      </c>
      <c r="F49" s="2" t="n">
        <v>8192</v>
      </c>
      <c r="G49" s="2" t="n">
        <v>1024</v>
      </c>
      <c r="H49" s="2" t="n">
        <v>14.0366950476431</v>
      </c>
      <c r="I49" s="2" t="n">
        <v>1.82441257643477</v>
      </c>
      <c r="J49" s="2" t="n">
        <v>2558.19965159029</v>
      </c>
      <c r="K49" s="2" t="n">
        <v>2.67688105462812</v>
      </c>
      <c r="L49" s="2" t="n">
        <v>0.177581908201709</v>
      </c>
      <c r="M49" t="n">
        <v>20</v>
      </c>
      <c r="N49" t="n">
        <v>3.6</v>
      </c>
      <c r="O49">
        <f>MIN((D49*1000/M49-H49)/(I49/N49),J49)</f>
        <v/>
      </c>
      <c r="P49">
        <f>O49*D49*1000/(H49+O49*I49/N49)</f>
        <v/>
      </c>
      <c r="Q49">
        <f>K49*L49+G49/P49</f>
        <v/>
      </c>
      <c r="R49">
        <f>K49/Q49</f>
        <v/>
      </c>
      <c r="S49">
        <f>G49/(K49*(1-L49))</f>
        <v/>
      </c>
    </row>
    <row r="50">
      <c r="A50" t="inlineStr">
        <is>
          <t>B2 大批次 20 tok/s，η_d 隨批次（k：Hopper 3.6、Blackwell 1.4）</t>
        </is>
      </c>
      <c r="B50" t="inlineStr">
        <is>
          <t>Hopper</t>
        </is>
      </c>
      <c r="C50" t="inlineStr">
        <is>
          <t>Sol（中層）</t>
        </is>
      </c>
      <c r="D50" s="2" t="n">
        <v>2.533</v>
      </c>
      <c r="E50" s="2" t="n">
        <v>65</v>
      </c>
      <c r="F50" s="2" t="n">
        <v>16384</v>
      </c>
      <c r="G50" s="2" t="n">
        <v>2048</v>
      </c>
      <c r="H50" s="2" t="n">
        <v>25.8684338372861</v>
      </c>
      <c r="I50" s="2" t="n">
        <v>6.28312690392727</v>
      </c>
      <c r="J50" s="2" t="n">
        <v>538.633530942984</v>
      </c>
      <c r="K50" s="2" t="n">
        <v>18.4108426788087</v>
      </c>
      <c r="L50" s="2" t="n">
        <v>0.179230810537696</v>
      </c>
      <c r="M50" t="n">
        <v>20</v>
      </c>
      <c r="N50" t="n">
        <v>3.6</v>
      </c>
      <c r="O50">
        <f>MIN((D50*1000/M50-H50)/(I50/N50),J50)</f>
        <v/>
      </c>
      <c r="P50">
        <f>O50*D50*1000/(H50+O50*I50/N50)</f>
        <v/>
      </c>
      <c r="Q50">
        <f>K50*L50+G50/P50</f>
        <v/>
      </c>
      <c r="R50">
        <f>K50/Q50</f>
        <v/>
      </c>
      <c r="S50">
        <f>G50/(K50*(1-L50))</f>
        <v/>
      </c>
    </row>
    <row r="51">
      <c r="A51" t="inlineStr">
        <is>
          <t>B2 大批次 20 tok/s，η_d 隨批次（k：Hopper 3.6、Blackwell 1.4）</t>
        </is>
      </c>
      <c r="B51" t="inlineStr">
        <is>
          <t>Hopper</t>
        </is>
      </c>
      <c r="C51" t="inlineStr">
        <is>
          <t>Astra（頂層）</t>
        </is>
      </c>
      <c r="D51" s="2" t="n">
        <v>2.533</v>
      </c>
      <c r="E51" s="2" t="n">
        <v>55</v>
      </c>
      <c r="F51" s="2" t="n">
        <v>32768</v>
      </c>
      <c r="G51" s="2" t="n">
        <v>4096</v>
      </c>
      <c r="H51" s="2" t="n">
        <v>37.1115090691772</v>
      </c>
      <c r="I51" s="2" t="n">
        <v>25.0204222399711</v>
      </c>
      <c r="J51" s="2" t="n">
        <v>15.5090860617669</v>
      </c>
      <c r="K51" s="2" t="n">
        <v>230.250217675425</v>
      </c>
      <c r="L51" s="2" t="n">
        <v>0.09508696152609381</v>
      </c>
      <c r="M51" t="n">
        <v>20</v>
      </c>
      <c r="N51" t="n">
        <v>3.6</v>
      </c>
      <c r="O51">
        <f>MIN((D51*1000/M51-H51)/(I51/N51),J51)</f>
        <v/>
      </c>
      <c r="P51">
        <f>O51*D51*1000/(H51+O51*I51/N51)</f>
        <v/>
      </c>
      <c r="Q51">
        <f>K51*L51+G51/P51</f>
        <v/>
      </c>
      <c r="R51">
        <f>K51/Q51</f>
        <v/>
      </c>
      <c r="S51">
        <f>G51/(K51*(1-L51))</f>
        <v/>
      </c>
    </row>
    <row r="52">
      <c r="A52" t="inlineStr">
        <is>
          <t>B2 大批次 20 tok/s，η_d 隨批次（k：Hopper 3.6、Blackwell 1.4）</t>
        </is>
      </c>
      <c r="B52" t="inlineStr">
        <is>
          <t>GB200</t>
        </is>
      </c>
      <c r="C52" t="inlineStr">
        <is>
          <t>Luna（低層）</t>
        </is>
      </c>
      <c r="D52" s="2" t="n">
        <v>2.533</v>
      </c>
      <c r="E52" s="2" t="n">
        <v>120</v>
      </c>
      <c r="F52" s="2" t="n">
        <v>8192</v>
      </c>
      <c r="G52" s="2" t="n">
        <v>1024</v>
      </c>
      <c r="H52" s="2" t="n">
        <v>8.70315739008759</v>
      </c>
      <c r="I52" s="2" t="n">
        <v>0.43326149865173</v>
      </c>
      <c r="J52" s="2" t="n">
        <v>6457.29248791911</v>
      </c>
      <c r="K52" s="2" t="n">
        <v>0.345047709230292</v>
      </c>
      <c r="L52" s="2" t="n">
        <v>0.136252643049218</v>
      </c>
      <c r="M52" t="n">
        <v>20</v>
      </c>
      <c r="N52" t="n">
        <v>1.4</v>
      </c>
      <c r="O52">
        <f>MIN((D52*1000/M52-H52)/(I52/N52),J52)</f>
        <v/>
      </c>
      <c r="P52">
        <f>O52*D52*1000/(H52+O52*I52/N52)</f>
        <v/>
      </c>
      <c r="Q52">
        <f>K52*L52+G52/P52</f>
        <v/>
      </c>
      <c r="R52">
        <f>K52/Q52</f>
        <v/>
      </c>
      <c r="S52">
        <f>G52/(K52*(1-L52))</f>
        <v/>
      </c>
    </row>
    <row r="53">
      <c r="A53" t="inlineStr">
        <is>
          <t>B2 大批次 20 tok/s，η_d 隨批次（k：Hopper 3.6、Blackwell 1.4）</t>
        </is>
      </c>
      <c r="B53" t="inlineStr">
        <is>
          <t>GB200</t>
        </is>
      </c>
      <c r="C53" t="inlineStr">
        <is>
          <t>Sol（中層）</t>
        </is>
      </c>
      <c r="D53" s="2" t="n">
        <v>2.533</v>
      </c>
      <c r="E53" s="2" t="n">
        <v>65</v>
      </c>
      <c r="F53" s="2" t="n">
        <v>16384</v>
      </c>
      <c r="G53" s="2" t="n">
        <v>2048</v>
      </c>
      <c r="H53" s="2" t="n">
        <v>16.3216531987164</v>
      </c>
      <c r="I53" s="2" t="n">
        <v>1.49211697714465</v>
      </c>
      <c r="J53" s="2" t="n">
        <v>1729.19391665125</v>
      </c>
      <c r="K53" s="2" t="n">
        <v>2.40220758847735</v>
      </c>
      <c r="L53" s="2" t="n">
        <v>0.135853894511149</v>
      </c>
      <c r="M53" t="n">
        <v>20</v>
      </c>
      <c r="N53" t="n">
        <v>1.4</v>
      </c>
      <c r="O53">
        <f>MIN((D53*1000/M53-H53)/(I53/N53),J53)</f>
        <v/>
      </c>
      <c r="P53">
        <f>O53*D53*1000/(H53+O53*I53/N53)</f>
        <v/>
      </c>
      <c r="Q53">
        <f>K53*L53+G53/P53</f>
        <v/>
      </c>
      <c r="R53">
        <f>K53/Q53</f>
        <v/>
      </c>
      <c r="S53">
        <f>G53/(K53*(1-L53))</f>
        <v/>
      </c>
    </row>
    <row r="54">
      <c r="A54" t="inlineStr">
        <is>
          <t>B2 大批次 20 tok/s，η_d 隨批次（k：Hopper 3.6、Blackwell 1.4）</t>
        </is>
      </c>
      <c r="B54" t="inlineStr">
        <is>
          <t>GB200</t>
        </is>
      </c>
      <c r="C54" t="inlineStr">
        <is>
          <t>Astra（頂層）</t>
        </is>
      </c>
      <c r="D54" s="2" t="n">
        <v>2.533</v>
      </c>
      <c r="E54" s="2" t="n">
        <v>55</v>
      </c>
      <c r="F54" s="2" t="n">
        <v>32768</v>
      </c>
      <c r="G54" s="2" t="n">
        <v>4096</v>
      </c>
      <c r="H54" s="2" t="n">
        <v>27.8397021231931</v>
      </c>
      <c r="I54" s="2" t="n">
        <v>5.94184987354833</v>
      </c>
      <c r="J54" s="2" t="n">
        <v>38.6451779217801</v>
      </c>
      <c r="K54" s="2" t="n">
        <v>26.4589866162974</v>
      </c>
      <c r="L54" s="2" t="n">
        <v>0.0818359454728944</v>
      </c>
      <c r="M54" t="n">
        <v>20</v>
      </c>
      <c r="N54" t="n">
        <v>1.4</v>
      </c>
      <c r="O54">
        <f>MIN((D54*1000/M54-H54)/(I54/N54),J54)</f>
        <v/>
      </c>
      <c r="P54">
        <f>O54*D54*1000/(H54+O54*I54/N54)</f>
        <v/>
      </c>
      <c r="Q54">
        <f>K54*L54+G54/P54</f>
        <v/>
      </c>
      <c r="R54">
        <f>K54/Q54</f>
        <v/>
      </c>
      <c r="S54">
        <f>G54/(K54*(1-L54))</f>
        <v/>
      </c>
    </row>
    <row r="55">
      <c r="A55" t="inlineStr">
        <is>
          <t>B2 大批次 20 tok/s，η_d 隨批次（k：Hopper 3.6、Blackwell 1.4）</t>
        </is>
      </c>
      <c r="B55" t="inlineStr">
        <is>
          <t>GB300</t>
        </is>
      </c>
      <c r="C55" t="inlineStr">
        <is>
          <t>Luna（低層）</t>
        </is>
      </c>
      <c r="D55" s="2" t="n">
        <v>2.533</v>
      </c>
      <c r="E55" s="2" t="n">
        <v>120</v>
      </c>
      <c r="F55" s="2" t="n">
        <v>8192</v>
      </c>
      <c r="G55" s="2" t="n">
        <v>1024</v>
      </c>
      <c r="H55" s="2" t="n">
        <v>8.70315739008759</v>
      </c>
      <c r="I55" s="2" t="n">
        <v>0.288840999101154</v>
      </c>
      <c r="J55" s="2" t="n">
        <v>10230.7719154683</v>
      </c>
      <c r="K55" s="2" t="n">
        <v>0.230031806153528</v>
      </c>
      <c r="L55" s="2" t="n">
        <v>0.136252643049218</v>
      </c>
      <c r="M55" t="n">
        <v>20</v>
      </c>
      <c r="N55" t="n">
        <v>1.4</v>
      </c>
      <c r="O55">
        <f>MIN((D55*1000/M55-H55)/(I55/N55),J55)</f>
        <v/>
      </c>
      <c r="P55">
        <f>O55*D55*1000/(H55+O55*I55/N55)</f>
        <v/>
      </c>
      <c r="Q55">
        <f>K55*L55+G55/P55</f>
        <v/>
      </c>
      <c r="R55">
        <f>K55/Q55</f>
        <v/>
      </c>
      <c r="S55">
        <f>G55/(K55*(1-L55))</f>
        <v/>
      </c>
    </row>
    <row r="56">
      <c r="A56" t="inlineStr">
        <is>
          <t>B2 大批次 20 tok/s，η_d 隨批次（k：Hopper 3.6、Blackwell 1.4）</t>
        </is>
      </c>
      <c r="B56" t="inlineStr">
        <is>
          <t>GB300</t>
        </is>
      </c>
      <c r="C56" t="inlineStr">
        <is>
          <t>Sol（中層）</t>
        </is>
      </c>
      <c r="D56" s="2" t="n">
        <v>2.533</v>
      </c>
      <c r="E56" s="2" t="n">
        <v>65</v>
      </c>
      <c r="F56" s="2" t="n">
        <v>16384</v>
      </c>
      <c r="G56" s="2" t="n">
        <v>2048</v>
      </c>
      <c r="H56" s="2" t="n">
        <v>16.3216531987164</v>
      </c>
      <c r="I56" s="2" t="n">
        <v>0.994744651429766</v>
      </c>
      <c r="J56" s="2" t="n">
        <v>3059.19076406613</v>
      </c>
      <c r="K56" s="2" t="n">
        <v>1.60147172565157</v>
      </c>
      <c r="L56" s="2" t="n">
        <v>0.135853894511149</v>
      </c>
      <c r="M56" t="n">
        <v>20</v>
      </c>
      <c r="N56" t="n">
        <v>1.4</v>
      </c>
      <c r="O56">
        <f>MIN((D56*1000/M56-H56)/(I56/N56),J56)</f>
        <v/>
      </c>
      <c r="P56">
        <f>O56*D56*1000/(H56+O56*I56/N56)</f>
        <v/>
      </c>
      <c r="Q56">
        <f>K56*L56+G56/P56</f>
        <v/>
      </c>
      <c r="R56">
        <f>K56/Q56</f>
        <v/>
      </c>
      <c r="S56">
        <f>G56/(K56*(1-L56))</f>
        <v/>
      </c>
    </row>
    <row r="57">
      <c r="A57" t="inlineStr">
        <is>
          <t>B2 大批次 20 tok/s，η_d 隨批次（k：Hopper 3.6、Blackwell 1.4）</t>
        </is>
      </c>
      <c r="B57" t="inlineStr">
        <is>
          <t>GB300</t>
        </is>
      </c>
      <c r="C57" t="inlineStr">
        <is>
          <t>Astra（頂層）</t>
        </is>
      </c>
      <c r="D57" s="2" t="n">
        <v>2.533</v>
      </c>
      <c r="E57" s="2" t="n">
        <v>55</v>
      </c>
      <c r="F57" s="2" t="n">
        <v>32768</v>
      </c>
      <c r="G57" s="2" t="n">
        <v>4096</v>
      </c>
      <c r="H57" s="2" t="n">
        <v>31.4173994138344</v>
      </c>
      <c r="I57" s="2" t="n">
        <v>3.96123324903222</v>
      </c>
      <c r="J57" s="2" t="n">
        <v>70.14930241977061</v>
      </c>
      <c r="K57" s="2" t="n">
        <v>21.5979955065559</v>
      </c>
      <c r="L57" s="2" t="n">
        <v>0.06683633165068791</v>
      </c>
      <c r="M57" t="n">
        <v>20</v>
      </c>
      <c r="N57" t="n">
        <v>1.4</v>
      </c>
      <c r="O57">
        <f>MIN((D57*1000/M57-H57)/(I57/N57),J57)</f>
        <v/>
      </c>
      <c r="P57">
        <f>O57*D57*1000/(H57+O57*I57/N57)</f>
        <v/>
      </c>
      <c r="Q57">
        <f>K57*L57+G57/P57</f>
        <v/>
      </c>
      <c r="R57">
        <f>K57/Q57</f>
        <v/>
      </c>
      <c r="S57">
        <f>G57/(K57*(1-L57))</f>
        <v/>
      </c>
    </row>
    <row r="58">
      <c r="A58" t="inlineStr">
        <is>
          <t>B3 大批次 20 tok/s，η_d 隨批次（k：Hopper 4.3、Blackwell 2.7）</t>
        </is>
      </c>
      <c r="B58" t="inlineStr">
        <is>
          <t>Hopper</t>
        </is>
      </c>
      <c r="C58" t="inlineStr">
        <is>
          <t>Luna（低層）</t>
        </is>
      </c>
      <c r="D58" s="2" t="n">
        <v>2.533</v>
      </c>
      <c r="E58" s="2" t="n">
        <v>120</v>
      </c>
      <c r="F58" s="2" t="n">
        <v>8192</v>
      </c>
      <c r="G58" s="2" t="n">
        <v>1024</v>
      </c>
      <c r="H58" s="2" t="n">
        <v>14.0366950476431</v>
      </c>
      <c r="I58" s="2" t="n">
        <v>1.82441257643477</v>
      </c>
      <c r="J58" s="2" t="n">
        <v>2558.19965159029</v>
      </c>
      <c r="K58" s="2" t="n">
        <v>2.67688105462812</v>
      </c>
      <c r="L58" s="2" t="n">
        <v>0.177581908201709</v>
      </c>
      <c r="M58" t="n">
        <v>20</v>
      </c>
      <c r="N58" t="n">
        <v>4.3</v>
      </c>
      <c r="O58">
        <f>MIN((D58*1000/M58-H58)/(I58/N58),J58)</f>
        <v/>
      </c>
      <c r="P58">
        <f>O58*D58*1000/(H58+O58*I58/N58)</f>
        <v/>
      </c>
      <c r="Q58">
        <f>K58*L58+G58/P58</f>
        <v/>
      </c>
      <c r="R58">
        <f>K58/Q58</f>
        <v/>
      </c>
      <c r="S58">
        <f>G58/(K58*(1-L58))</f>
        <v/>
      </c>
    </row>
    <row r="59">
      <c r="A59" t="inlineStr">
        <is>
          <t>B3 大批次 20 tok/s，η_d 隨批次（k：Hopper 4.3、Blackwell 2.7）</t>
        </is>
      </c>
      <c r="B59" t="inlineStr">
        <is>
          <t>Hopper</t>
        </is>
      </c>
      <c r="C59" t="inlineStr">
        <is>
          <t>Sol（中層）</t>
        </is>
      </c>
      <c r="D59" s="2" t="n">
        <v>2.533</v>
      </c>
      <c r="E59" s="2" t="n">
        <v>65</v>
      </c>
      <c r="F59" s="2" t="n">
        <v>16384</v>
      </c>
      <c r="G59" s="2" t="n">
        <v>2048</v>
      </c>
      <c r="H59" s="2" t="n">
        <v>25.8684338372861</v>
      </c>
      <c r="I59" s="2" t="n">
        <v>6.28312690392727</v>
      </c>
      <c r="J59" s="2" t="n">
        <v>538.633530942984</v>
      </c>
      <c r="K59" s="2" t="n">
        <v>18.4108426788087</v>
      </c>
      <c r="L59" s="2" t="n">
        <v>0.179230810537696</v>
      </c>
      <c r="M59" t="n">
        <v>20</v>
      </c>
      <c r="N59" t="n">
        <v>4.3</v>
      </c>
      <c r="O59">
        <f>MIN((D59*1000/M59-H59)/(I59/N59),J59)</f>
        <v/>
      </c>
      <c r="P59">
        <f>O59*D59*1000/(H59+O59*I59/N59)</f>
        <v/>
      </c>
      <c r="Q59">
        <f>K59*L59+G59/P59</f>
        <v/>
      </c>
      <c r="R59">
        <f>K59/Q59</f>
        <v/>
      </c>
      <c r="S59">
        <f>G59/(K59*(1-L59))</f>
        <v/>
      </c>
    </row>
    <row r="60">
      <c r="A60" t="inlineStr">
        <is>
          <t>B3 大批次 20 tok/s，η_d 隨批次（k：Hopper 4.3、Blackwell 2.7）</t>
        </is>
      </c>
      <c r="B60" t="inlineStr">
        <is>
          <t>Hopper</t>
        </is>
      </c>
      <c r="C60" t="inlineStr">
        <is>
          <t>Astra（頂層）</t>
        </is>
      </c>
      <c r="D60" s="2" t="n">
        <v>2.533</v>
      </c>
      <c r="E60" s="2" t="n">
        <v>55</v>
      </c>
      <c r="F60" s="2" t="n">
        <v>32768</v>
      </c>
      <c r="G60" s="2" t="n">
        <v>4096</v>
      </c>
      <c r="H60" s="2" t="n">
        <v>37.1115090691772</v>
      </c>
      <c r="I60" s="2" t="n">
        <v>25.0204222399711</v>
      </c>
      <c r="J60" s="2" t="n">
        <v>15.5090860617669</v>
      </c>
      <c r="K60" s="2" t="n">
        <v>230.250217675425</v>
      </c>
      <c r="L60" s="2" t="n">
        <v>0.09508696152609381</v>
      </c>
      <c r="M60" t="n">
        <v>20</v>
      </c>
      <c r="N60" t="n">
        <v>4.3</v>
      </c>
      <c r="O60">
        <f>MIN((D60*1000/M60-H60)/(I60/N60),J60)</f>
        <v/>
      </c>
      <c r="P60">
        <f>O60*D60*1000/(H60+O60*I60/N60)</f>
        <v/>
      </c>
      <c r="Q60">
        <f>K60*L60+G60/P60</f>
        <v/>
      </c>
      <c r="R60">
        <f>K60/Q60</f>
        <v/>
      </c>
      <c r="S60">
        <f>G60/(K60*(1-L60))</f>
        <v/>
      </c>
    </row>
    <row r="61">
      <c r="A61" t="inlineStr">
        <is>
          <t>B3 大批次 20 tok/s，η_d 隨批次（k：Hopper 4.3、Blackwell 2.7）</t>
        </is>
      </c>
      <c r="B61" t="inlineStr">
        <is>
          <t>GB200</t>
        </is>
      </c>
      <c r="C61" t="inlineStr">
        <is>
          <t>Luna（低層）</t>
        </is>
      </c>
      <c r="D61" s="2" t="n">
        <v>2.533</v>
      </c>
      <c r="E61" s="2" t="n">
        <v>120</v>
      </c>
      <c r="F61" s="2" t="n">
        <v>8192</v>
      </c>
      <c r="G61" s="2" t="n">
        <v>1024</v>
      </c>
      <c r="H61" s="2" t="n">
        <v>8.70315739008759</v>
      </c>
      <c r="I61" s="2" t="n">
        <v>0.43326149865173</v>
      </c>
      <c r="J61" s="2" t="n">
        <v>6457.29248791911</v>
      </c>
      <c r="K61" s="2" t="n">
        <v>0.345047709230292</v>
      </c>
      <c r="L61" s="2" t="n">
        <v>0.136252643049218</v>
      </c>
      <c r="M61" t="n">
        <v>20</v>
      </c>
      <c r="N61" t="n">
        <v>2.7</v>
      </c>
      <c r="O61">
        <f>MIN((D61*1000/M61-H61)/(I61/N61),J61)</f>
        <v/>
      </c>
      <c r="P61">
        <f>O61*D61*1000/(H61+O61*I61/N61)</f>
        <v/>
      </c>
      <c r="Q61">
        <f>K61*L61+G61/P61</f>
        <v/>
      </c>
      <c r="R61">
        <f>K61/Q61</f>
        <v/>
      </c>
      <c r="S61">
        <f>G61/(K61*(1-L61))</f>
        <v/>
      </c>
    </row>
    <row r="62">
      <c r="A62" t="inlineStr">
        <is>
          <t>B3 大批次 20 tok/s，η_d 隨批次（k：Hopper 4.3、Blackwell 2.7）</t>
        </is>
      </c>
      <c r="B62" t="inlineStr">
        <is>
          <t>GB200</t>
        </is>
      </c>
      <c r="C62" t="inlineStr">
        <is>
          <t>Sol（中層）</t>
        </is>
      </c>
      <c r="D62" s="2" t="n">
        <v>2.533</v>
      </c>
      <c r="E62" s="2" t="n">
        <v>65</v>
      </c>
      <c r="F62" s="2" t="n">
        <v>16384</v>
      </c>
      <c r="G62" s="2" t="n">
        <v>2048</v>
      </c>
      <c r="H62" s="2" t="n">
        <v>16.3216531987164</v>
      </c>
      <c r="I62" s="2" t="n">
        <v>1.49211697714465</v>
      </c>
      <c r="J62" s="2" t="n">
        <v>1729.19391665125</v>
      </c>
      <c r="K62" s="2" t="n">
        <v>2.40220758847735</v>
      </c>
      <c r="L62" s="2" t="n">
        <v>0.135853894511149</v>
      </c>
      <c r="M62" t="n">
        <v>20</v>
      </c>
      <c r="N62" t="n">
        <v>2.7</v>
      </c>
      <c r="O62">
        <f>MIN((D62*1000/M62-H62)/(I62/N62),J62)</f>
        <v/>
      </c>
      <c r="P62">
        <f>O62*D62*1000/(H62+O62*I62/N62)</f>
        <v/>
      </c>
      <c r="Q62">
        <f>K62*L62+G62/P62</f>
        <v/>
      </c>
      <c r="R62">
        <f>K62/Q62</f>
        <v/>
      </c>
      <c r="S62">
        <f>G62/(K62*(1-L62))</f>
        <v/>
      </c>
    </row>
    <row r="63">
      <c r="A63" t="inlineStr">
        <is>
          <t>B3 大批次 20 tok/s，η_d 隨批次（k：Hopper 4.3、Blackwell 2.7）</t>
        </is>
      </c>
      <c r="B63" t="inlineStr">
        <is>
          <t>GB200</t>
        </is>
      </c>
      <c r="C63" t="inlineStr">
        <is>
          <t>Astra（頂層）</t>
        </is>
      </c>
      <c r="D63" s="2" t="n">
        <v>2.533</v>
      </c>
      <c r="E63" s="2" t="n">
        <v>55</v>
      </c>
      <c r="F63" s="2" t="n">
        <v>32768</v>
      </c>
      <c r="G63" s="2" t="n">
        <v>4096</v>
      </c>
      <c r="H63" s="2" t="n">
        <v>27.8397021231931</v>
      </c>
      <c r="I63" s="2" t="n">
        <v>5.94184987354833</v>
      </c>
      <c r="J63" s="2" t="n">
        <v>38.6451779217801</v>
      </c>
      <c r="K63" s="2" t="n">
        <v>26.4589866162974</v>
      </c>
      <c r="L63" s="2" t="n">
        <v>0.0818359454728944</v>
      </c>
      <c r="M63" t="n">
        <v>20</v>
      </c>
      <c r="N63" t="n">
        <v>2.7</v>
      </c>
      <c r="O63">
        <f>MIN((D63*1000/M63-H63)/(I63/N63),J63)</f>
        <v/>
      </c>
      <c r="P63">
        <f>O63*D63*1000/(H63+O63*I63/N63)</f>
        <v/>
      </c>
      <c r="Q63">
        <f>K63*L63+G63/P63</f>
        <v/>
      </c>
      <c r="R63">
        <f>K63/Q63</f>
        <v/>
      </c>
      <c r="S63">
        <f>G63/(K63*(1-L63))</f>
        <v/>
      </c>
    </row>
    <row r="64">
      <c r="A64" t="inlineStr">
        <is>
          <t>B3 大批次 20 tok/s，η_d 隨批次（k：Hopper 4.3、Blackwell 2.7）</t>
        </is>
      </c>
      <c r="B64" t="inlineStr">
        <is>
          <t>GB300</t>
        </is>
      </c>
      <c r="C64" t="inlineStr">
        <is>
          <t>Luna（低層）</t>
        </is>
      </c>
      <c r="D64" s="2" t="n">
        <v>2.533</v>
      </c>
      <c r="E64" s="2" t="n">
        <v>120</v>
      </c>
      <c r="F64" s="2" t="n">
        <v>8192</v>
      </c>
      <c r="G64" s="2" t="n">
        <v>1024</v>
      </c>
      <c r="H64" s="2" t="n">
        <v>8.70315739008759</v>
      </c>
      <c r="I64" s="2" t="n">
        <v>0.288840999101154</v>
      </c>
      <c r="J64" s="2" t="n">
        <v>10230.7719154683</v>
      </c>
      <c r="K64" s="2" t="n">
        <v>0.230031806153528</v>
      </c>
      <c r="L64" s="2" t="n">
        <v>0.136252643049218</v>
      </c>
      <c r="M64" t="n">
        <v>20</v>
      </c>
      <c r="N64" t="n">
        <v>2.7</v>
      </c>
      <c r="O64">
        <f>MIN((D64*1000/M64-H64)/(I64/N64),J64)</f>
        <v/>
      </c>
      <c r="P64">
        <f>O64*D64*1000/(H64+O64*I64/N64)</f>
        <v/>
      </c>
      <c r="Q64">
        <f>K64*L64+G64/P64</f>
        <v/>
      </c>
      <c r="R64">
        <f>K64/Q64</f>
        <v/>
      </c>
      <c r="S64">
        <f>G64/(K64*(1-L64))</f>
        <v/>
      </c>
    </row>
    <row r="65">
      <c r="A65" t="inlineStr">
        <is>
          <t>B3 大批次 20 tok/s，η_d 隨批次（k：Hopper 4.3、Blackwell 2.7）</t>
        </is>
      </c>
      <c r="B65" t="inlineStr">
        <is>
          <t>GB300</t>
        </is>
      </c>
      <c r="C65" t="inlineStr">
        <is>
          <t>Sol（中層）</t>
        </is>
      </c>
      <c r="D65" s="2" t="n">
        <v>2.533</v>
      </c>
      <c r="E65" s="2" t="n">
        <v>65</v>
      </c>
      <c r="F65" s="2" t="n">
        <v>16384</v>
      </c>
      <c r="G65" s="2" t="n">
        <v>2048</v>
      </c>
      <c r="H65" s="2" t="n">
        <v>16.3216531987164</v>
      </c>
      <c r="I65" s="2" t="n">
        <v>0.994744651429766</v>
      </c>
      <c r="J65" s="2" t="n">
        <v>3059.19076406613</v>
      </c>
      <c r="K65" s="2" t="n">
        <v>1.60147172565157</v>
      </c>
      <c r="L65" s="2" t="n">
        <v>0.135853894511149</v>
      </c>
      <c r="M65" t="n">
        <v>20</v>
      </c>
      <c r="N65" t="n">
        <v>2.7</v>
      </c>
      <c r="O65">
        <f>MIN((D65*1000/M65-H65)/(I65/N65),J65)</f>
        <v/>
      </c>
      <c r="P65">
        <f>O65*D65*1000/(H65+O65*I65/N65)</f>
        <v/>
      </c>
      <c r="Q65">
        <f>K65*L65+G65/P65</f>
        <v/>
      </c>
      <c r="R65">
        <f>K65/Q65</f>
        <v/>
      </c>
      <c r="S65">
        <f>G65/(K65*(1-L65))</f>
        <v/>
      </c>
    </row>
    <row r="66">
      <c r="A66" t="inlineStr">
        <is>
          <t>B3 大批次 20 tok/s，η_d 隨批次（k：Hopper 4.3、Blackwell 2.7）</t>
        </is>
      </c>
      <c r="B66" t="inlineStr">
        <is>
          <t>GB300</t>
        </is>
      </c>
      <c r="C66" t="inlineStr">
        <is>
          <t>Astra（頂層）</t>
        </is>
      </c>
      <c r="D66" s="2" t="n">
        <v>2.533</v>
      </c>
      <c r="E66" s="2" t="n">
        <v>55</v>
      </c>
      <c r="F66" s="2" t="n">
        <v>32768</v>
      </c>
      <c r="G66" s="2" t="n">
        <v>4096</v>
      </c>
      <c r="H66" s="2" t="n">
        <v>31.4173994138344</v>
      </c>
      <c r="I66" s="2" t="n">
        <v>3.96123324903222</v>
      </c>
      <c r="J66" s="2" t="n">
        <v>70.14930241977061</v>
      </c>
      <c r="K66" s="2" t="n">
        <v>21.5979955065559</v>
      </c>
      <c r="L66" s="2" t="n">
        <v>0.06683633165068791</v>
      </c>
      <c r="M66" t="n">
        <v>20</v>
      </c>
      <c r="N66" t="n">
        <v>2.7</v>
      </c>
      <c r="O66">
        <f>MIN((D66*1000/M66-H66)/(I66/N66),J66)</f>
        <v/>
      </c>
      <c r="P66">
        <f>O66*D66*1000/(H66+O66*I66/N66)</f>
        <v/>
      </c>
      <c r="Q66">
        <f>K66*L66+G66/P66</f>
        <v/>
      </c>
      <c r="R66">
        <f>K66/Q66</f>
        <v/>
      </c>
      <c r="S66">
        <f>G66/(K66*(1-L66))</f>
        <v/>
      </c>
    </row>
    <row r="68">
      <c r="A68" t="inlineStr">
        <is>
          <t>彙總：機隊加權（層級 token 權重 Luna 0.4／Sol 0.45／Astra 0.15，沿用 C90 付費組合；2025 服務世代 Hopper 0.6／GB200 0.4，Alloc_In C9:C10）。L1_MFleet 新值＝現值 ÷ 機隊 token 比值（假設機隊付費 token 與 IF_TokGW 成正比）</t>
        </is>
      </c>
    </row>
    <row r="69">
      <c r="A69" t="inlineStr">
        <is>
          <t>情境</t>
        </is>
      </c>
      <c r="B69" t="inlineStr">
        <is>
          <t>Hopper 加權比值</t>
        </is>
      </c>
      <c r="C69" t="inlineStr">
        <is>
          <t>GB200 加權比值</t>
        </is>
      </c>
      <c r="D69" t="inlineStr">
        <is>
          <t>GB300 加權比值</t>
        </is>
      </c>
      <c r="E69" t="inlineStr">
        <is>
          <t>2025 機隊比值</t>
        </is>
      </c>
      <c r="F69" t="inlineStr">
        <is>
          <t>L1_MFleet 現值</t>
        </is>
      </c>
      <c r="G69" t="inlineStr">
        <is>
          <t>L1_MFleet 新值（粗估）</t>
        </is>
      </c>
    </row>
    <row r="70">
      <c r="A70" t="inlineStr">
        <is>
          <t>S0 基準（核對）</t>
        </is>
      </c>
      <c r="B70">
        <f>(0.4*K4/(F4+G4)+0.45*K5/(F5+G5)+0.15*K6/(F6+G6))/(0.4*Q4/(F4+G4)+0.45*Q5/(F5+G5)+0.15*Q6/(F6+G6))</f>
        <v/>
      </c>
      <c r="C70">
        <f>(0.4*K7/(F7+G7)+0.45*K8/(F8+G8)+0.15*K9/(F9+G9))/(0.4*Q7/(F7+G7)+0.45*Q8/(F8+G8)+0.15*Q9/(F9+G9))</f>
        <v/>
      </c>
      <c r="D70">
        <f>(0.4*K10/(F10+G10)+0.45*K11/(F11+G11)+0.15*K12/(F12+G12))/(0.4*Q10/(F10+G10)+0.45*Q11/(F11+G11)+0.15*Q12/(F12+G12))</f>
        <v/>
      </c>
      <c r="E70">
        <f>(0.6/(0.4*K4/(F4+G4)+0.45*K5/(F5+G5)+0.15*K6/(F6+G6))*B70+0.4/(0.4*K7/(F7+G7)+0.45*K8/(F8+G8)+0.15*K9/(F9+G9))*C70)/(0.6/(0.4*K4/(F4+G4)+0.45*K5/(F5+G5)+0.15*K6/(F6+G6))+0.4/(0.4*K7/(F7+G7)+0.45*K8/(F8+G8)+0.15*K9/(F9+G9)))</f>
        <v/>
      </c>
      <c r="F70" s="2" t="n">
        <v>0.550473237218948</v>
      </c>
      <c r="G70">
        <f>F70/E70</f>
        <v/>
      </c>
    </row>
    <row r="71">
      <c r="A71" t="inlineStr">
        <is>
          <t>A1 觀測中位速度（Luna 90／Sol 55／Astra 40）</t>
        </is>
      </c>
      <c r="B71">
        <f>(0.4*K13/(F13+G13)+0.45*K14/(F14+G14)+0.15*K15/(F15+G15))/(0.4*Q13/(F13+G13)+0.45*Q14/(F14+G14)+0.15*Q15/(F15+G15))</f>
        <v/>
      </c>
      <c r="C71">
        <f>(0.4*K16/(F16+G16)+0.45*K17/(F17+G17)+0.15*K18/(F18+G18))/(0.4*Q16/(F16+G16)+0.45*Q17/(F17+G17)+0.15*Q18/(F18+G18))</f>
        <v/>
      </c>
      <c r="D71">
        <f>(0.4*K19/(F19+G19)+0.45*K20/(F20+G20)+0.15*K21/(F21+G21))/(0.4*Q19/(F19+G19)+0.45*Q20/(F20+G20)+0.15*Q21/(F21+G21))</f>
        <v/>
      </c>
      <c r="E71">
        <f>(0.6/(0.4*K13/(F13+G13)+0.45*K14/(F14+G14)+0.15*K15/(F15+G15))*B71+0.4/(0.4*K16/(F16+G16)+0.45*K17/(F17+G17)+0.15*K18/(F18+G18))*C71)/(0.6/(0.4*K13/(F13+G13)+0.45*K14/(F14+G14)+0.15*K15/(F15+G15))+0.4/(0.4*K16/(F16+G16)+0.45*K17/(F17+G17)+0.15*K18/(F18+G18)))</f>
        <v/>
      </c>
      <c r="F71" s="2" t="n">
        <v>0.550473237218948</v>
      </c>
      <c r="G71">
        <f>F71/E71</f>
        <v/>
      </c>
    </row>
    <row r="72">
      <c r="A72" t="inlineStr">
        <is>
          <t>A2 ChatGPT／Codex 舊預設（Luna 60／Sol 30／Astra 30）</t>
        </is>
      </c>
      <c r="B72">
        <f>(0.4*K22/(F22+G22)+0.45*K23/(F23+G23)+0.15*K24/(F24+G24))/(0.4*Q22/(F22+G22)+0.45*Q23/(F23+G23)+0.15*Q24/(F24+G24))</f>
        <v/>
      </c>
      <c r="C72">
        <f>(0.4*K25/(F25+G25)+0.45*K26/(F26+G26)+0.15*K27/(F27+G27))/(0.4*Q25/(F25+G25)+0.45*Q26/(F26+G26)+0.15*Q27/(F27+G27))</f>
        <v/>
      </c>
      <c r="D72">
        <f>(0.4*K28/(F28+G28)+0.45*K29/(F29+G29)+0.15*K30/(F30+G30))/(0.4*Q28/(F28+G28)+0.45*Q29/(F29+G29)+0.15*Q30/(F30+G30))</f>
        <v/>
      </c>
      <c r="E72">
        <f>(0.6/(0.4*K22/(F22+G22)+0.45*K23/(F23+G23)+0.15*K24/(F24+G24))*B72+0.4/(0.4*K25/(F25+G25)+0.45*K26/(F26+G26)+0.15*K27/(F27+G27))*C72)/(0.6/(0.4*K22/(F22+G22)+0.45*K23/(F23+G23)+0.15*K24/(F24+G24))+0.4/(0.4*K25/(F25+G25)+0.45*K26/(F26+G26)+0.15*K27/(F27+G27)))</f>
        <v/>
      </c>
      <c r="F72" s="2" t="n">
        <v>0.550473237218948</v>
      </c>
      <c r="G72">
        <f>F72/E72</f>
        <v/>
      </c>
    </row>
    <row r="73">
      <c r="A73" t="inlineStr">
        <is>
          <t>A3 A1 速度＋世代換算修正（k：Hopper 3.6、GB200 1.4、GB300 1）</t>
        </is>
      </c>
      <c r="B73">
        <f>(0.4*K31/(F31+G31)+0.45*K32/(F32+G32)+0.15*K33/(F33+G33))/(0.4*Q31/(F31+G31)+0.45*Q32/(F32+G32)+0.15*Q33/(F33+G33))</f>
        <v/>
      </c>
      <c r="C73">
        <f>(0.4*K34/(F34+G34)+0.45*K35/(F35+G35)+0.15*K36/(F36+G36))/(0.4*Q34/(F34+G34)+0.45*Q35/(F35+G35)+0.15*Q36/(F36+G36))</f>
        <v/>
      </c>
      <c r="D73">
        <f>(0.4*K37/(F37+G37)+0.45*K38/(F38+G38)+0.15*K39/(F39+G39))/(0.4*Q37/(F37+G37)+0.45*Q38/(F38+G38)+0.15*Q39/(F39+G39))</f>
        <v/>
      </c>
      <c r="E73">
        <f>(0.6/(0.4*K31/(F31+G31)+0.45*K32/(F32+G32)+0.15*K33/(F33+G33))*B73+0.4/(0.4*K34/(F34+G34)+0.45*K35/(F35+G35)+0.15*K36/(F36+G36))*C73)/(0.6/(0.4*K31/(F31+G31)+0.45*K32/(F32+G32)+0.15*K33/(F33+G33))+0.4/(0.4*K34/(F34+G34)+0.45*K35/(F35+G35)+0.15*K36/(F36+G36)))</f>
        <v/>
      </c>
      <c r="F73" s="2" t="n">
        <v>0.550473237218948</v>
      </c>
      <c r="G73">
        <f>F73/E73</f>
        <v/>
      </c>
    </row>
    <row r="74">
      <c r="A74" t="inlineStr">
        <is>
          <t>B1 大批次速度 20 tok/s，η_d 不變</t>
        </is>
      </c>
      <c r="B74">
        <f>(0.4*K40/(F40+G40)+0.45*K41/(F41+G41)+0.15*K42/(F42+G42))/(0.4*Q40/(F40+G40)+0.45*Q41/(F41+G41)+0.15*Q42/(F42+G42))</f>
        <v/>
      </c>
      <c r="C74">
        <f>(0.4*K43/(F43+G43)+0.45*K44/(F44+G44)+0.15*K45/(F45+G45))/(0.4*Q43/(F43+G43)+0.45*Q44/(F44+G44)+0.15*Q45/(F45+G45))</f>
        <v/>
      </c>
      <c r="D74">
        <f>(0.4*K46/(F46+G46)+0.45*K47/(F47+G47)+0.15*K48/(F48+G48))/(0.4*Q46/(F46+G46)+0.45*Q47/(F47+G47)+0.15*Q48/(F48+G48))</f>
        <v/>
      </c>
      <c r="E74">
        <f>(0.6/(0.4*K40/(F40+G40)+0.45*K41/(F41+G41)+0.15*K42/(F42+G42))*B74+0.4/(0.4*K43/(F43+G43)+0.45*K44/(F44+G44)+0.15*K45/(F45+G45))*C74)/(0.6/(0.4*K40/(F40+G40)+0.45*K41/(F41+G41)+0.15*K42/(F42+G42))+0.4/(0.4*K43/(F43+G43)+0.45*K44/(F44+G44)+0.15*K45/(F45+G45)))</f>
        <v/>
      </c>
      <c r="F74" s="2" t="n">
        <v>0.550473237218948</v>
      </c>
      <c r="G74">
        <f>F74/E74</f>
        <v/>
      </c>
    </row>
    <row r="75">
      <c r="A75" t="inlineStr">
        <is>
          <t>B2 大批次 20 tok/s，η_d 隨批次（k：Hopper 3.6、Blackwell 1.4）</t>
        </is>
      </c>
      <c r="B75">
        <f>(0.4*K49/(F49+G49)+0.45*K50/(F50+G50)+0.15*K51/(F51+G51))/(0.4*Q49/(F49+G49)+0.45*Q50/(F50+G50)+0.15*Q51/(F51+G51))</f>
        <v/>
      </c>
      <c r="C75">
        <f>(0.4*K52/(F52+G52)+0.45*K53/(F53+G53)+0.15*K54/(F54+G54))/(0.4*Q52/(F52+G52)+0.45*Q53/(F53+G53)+0.15*Q54/(F54+G54))</f>
        <v/>
      </c>
      <c r="D75">
        <f>(0.4*K55/(F55+G55)+0.45*K56/(F56+G56)+0.15*K57/(F57+G57))/(0.4*Q55/(F55+G55)+0.45*Q56/(F56+G56)+0.15*Q57/(F57+G57))</f>
        <v/>
      </c>
      <c r="E75">
        <f>(0.6/(0.4*K49/(F49+G49)+0.45*K50/(F50+G50)+0.15*K51/(F51+G51))*B75+0.4/(0.4*K52/(F52+G52)+0.45*K53/(F53+G53)+0.15*K54/(F54+G54))*C75)/(0.6/(0.4*K49/(F49+G49)+0.45*K50/(F50+G50)+0.15*K51/(F51+G51))+0.4/(0.4*K52/(F52+G52)+0.45*K53/(F53+G53)+0.15*K54/(F54+G54)))</f>
        <v/>
      </c>
      <c r="F75" s="2" t="n">
        <v>0.550473237218948</v>
      </c>
      <c r="G75">
        <f>F75/E75</f>
        <v/>
      </c>
    </row>
    <row r="76">
      <c r="A76" t="inlineStr">
        <is>
          <t>B3 大批次 20 tok/s，η_d 隨批次（k：Hopper 4.3、Blackwell 2.7）</t>
        </is>
      </c>
      <c r="B76">
        <f>(0.4*K58/(F58+G58)+0.45*K59/(F59+G59)+0.15*K60/(F60+G60))/(0.4*Q58/(F58+G58)+0.45*Q59/(F59+G59)+0.15*Q60/(F60+G60))</f>
        <v/>
      </c>
      <c r="C76">
        <f>(0.4*K61/(F61+G61)+0.45*K62/(F62+G62)+0.15*K63/(F63+G63))/(0.4*Q61/(F61+G61)+0.45*Q62/(F62+G62)+0.15*Q63/(F63+G63))</f>
        <v/>
      </c>
      <c r="D76">
        <f>(0.4*K64/(F64+G64)+0.45*K65/(F65+G65)+0.15*K66/(F66+G66))/(0.4*Q64/(F64+G64)+0.45*Q65/(F65+G65)+0.15*Q66/(F66+G66))</f>
        <v/>
      </c>
      <c r="E76">
        <f>(0.6/(0.4*K58/(F58+G58)+0.45*K59/(F59+G59)+0.15*K60/(F60+G60))*B76+0.4/(0.4*K61/(F61+G61)+0.45*K62/(F62+G62)+0.15*K63/(F63+G63))*C76)/(0.6/(0.4*K58/(F58+G58)+0.45*K59/(F59+G59)+0.15*K60/(F60+G60))+0.4/(0.4*K61/(F61+G61)+0.45*K62/(F62+G62)+0.15*K63/(F63+G63)))</f>
        <v/>
      </c>
      <c r="F76" s="2" t="n">
        <v>0.550473237218948</v>
      </c>
      <c r="G76">
        <f>F76/E76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MLCommons inference_results_v6.0 summary_results.json 中 deepseek-r1 全部列（2026-10-16 下載）；per_GPU＝Performance_Result ÷ Total Accelerators（本段相除）</t>
        </is>
      </c>
    </row>
    <row r="2">
      <c r="A2" t="inlineStr">
        <is>
          <t>ID</t>
        </is>
      </c>
      <c r="B2" t="inlineStr">
        <is>
          <t>Submitter</t>
        </is>
      </c>
      <c r="C2" t="inlineStr">
        <is>
          <t>Category</t>
        </is>
      </c>
      <c r="D2" t="inlineStr">
        <is>
          <t>Availability</t>
        </is>
      </c>
      <c r="E2" t="inlineStr">
        <is>
          <t>System</t>
        </is>
      </c>
      <c r="F2" t="inlineStr">
        <is>
          <t>Scenario</t>
        </is>
      </c>
      <c r="G2" t="inlineStr">
        <is>
          <t>Total Accelerators</t>
        </is>
      </c>
      <c r="H2" t="inlineStr">
        <is>
          <t>Performance_Result</t>
        </is>
      </c>
      <c r="I2" t="inlineStr">
        <is>
          <t>Units</t>
        </is>
      </c>
      <c r="J2" t="inlineStr">
        <is>
          <t>per_GPU</t>
        </is>
      </c>
    </row>
    <row r="3">
      <c r="A3" t="inlineStr">
        <is>
          <t>6.0-0010</t>
        </is>
      </c>
      <c r="B3" t="inlineStr">
        <is>
          <t>Cisco</t>
        </is>
      </c>
      <c r="C3" t="inlineStr">
        <is>
          <t>closed</t>
        </is>
      </c>
      <c r="D3" t="inlineStr">
        <is>
          <t>available</t>
        </is>
      </c>
      <c r="E3" t="inlineStr">
        <is>
          <t>Cisco UCS C880A M8 (8x NVIDIA B300-SXM-270GB, TensorRT)</t>
        </is>
      </c>
      <c r="F3" t="inlineStr">
        <is>
          <t>Offline</t>
        </is>
      </c>
      <c r="G3" t="n">
        <v>8</v>
      </c>
      <c r="H3" t="n">
        <v>69251.39999999999</v>
      </c>
      <c r="I3" t="inlineStr">
        <is>
          <t>Tokens/s</t>
        </is>
      </c>
      <c r="J3" t="n">
        <v>8656.4</v>
      </c>
    </row>
    <row r="4">
      <c r="A4" t="inlineStr">
        <is>
          <t>6.0-0010</t>
        </is>
      </c>
      <c r="B4" t="inlineStr">
        <is>
          <t>Cisco</t>
        </is>
      </c>
      <c r="C4" t="inlineStr">
        <is>
          <t>closed</t>
        </is>
      </c>
      <c r="D4" t="inlineStr">
        <is>
          <t>available</t>
        </is>
      </c>
      <c r="E4" t="inlineStr">
        <is>
          <t>Cisco UCS C880A M8 (8x NVIDIA B300-SXM-270GB, TensorRT)</t>
        </is>
      </c>
      <c r="F4" t="inlineStr">
        <is>
          <t>Server</t>
        </is>
      </c>
      <c r="G4" t="n">
        <v>8</v>
      </c>
      <c r="H4" t="n">
        <v>58553.3</v>
      </c>
      <c r="I4" t="inlineStr">
        <is>
          <t>Tokens/s</t>
        </is>
      </c>
      <c r="J4" t="n">
        <v>7319.2</v>
      </c>
    </row>
    <row r="5">
      <c r="A5" t="inlineStr">
        <is>
          <t>6.0-0015</t>
        </is>
      </c>
      <c r="B5" t="inlineStr">
        <is>
          <t>CoreWeave</t>
        </is>
      </c>
      <c r="C5" t="inlineStr">
        <is>
          <t>closed</t>
        </is>
      </c>
      <c r="D5" t="inlineStr">
        <is>
          <t>available</t>
        </is>
      </c>
      <c r="E5" t="inlineStr">
        <is>
          <t>CoreWeave GB200 NVL72 (64x GB200-186GB_aarch64, TensorRT)</t>
        </is>
      </c>
      <c r="F5" t="inlineStr">
        <is>
          <t>Offline</t>
        </is>
      </c>
      <c r="G5" t="n">
        <v>64</v>
      </c>
      <c r="H5" t="n">
        <v>468665</v>
      </c>
      <c r="I5" t="inlineStr">
        <is>
          <t>Tokens/s</t>
        </is>
      </c>
      <c r="J5" t="n">
        <v>7322.9</v>
      </c>
    </row>
    <row r="6">
      <c r="A6" t="inlineStr">
        <is>
          <t>6.0-0015</t>
        </is>
      </c>
      <c r="B6" t="inlineStr">
        <is>
          <t>CoreWeave</t>
        </is>
      </c>
      <c r="C6" t="inlineStr">
        <is>
          <t>closed</t>
        </is>
      </c>
      <c r="D6" t="inlineStr">
        <is>
          <t>available</t>
        </is>
      </c>
      <c r="E6" t="inlineStr">
        <is>
          <t>CoreWeave GB200 NVL72 (64x GB200-186GB_aarch64, TensorRT)</t>
        </is>
      </c>
      <c r="F6" t="inlineStr">
        <is>
          <t>Server</t>
        </is>
      </c>
      <c r="G6" t="n">
        <v>64</v>
      </c>
      <c r="H6" t="n">
        <v>311531</v>
      </c>
      <c r="I6" t="inlineStr">
        <is>
          <t>Tokens/s</t>
        </is>
      </c>
      <c r="J6" t="n">
        <v>4867.7</v>
      </c>
    </row>
    <row r="7">
      <c r="A7" t="inlineStr">
        <is>
          <t>6.0-0017</t>
        </is>
      </c>
      <c r="B7" t="inlineStr">
        <is>
          <t>CoreWeave</t>
        </is>
      </c>
      <c r="C7" t="inlineStr">
        <is>
          <t>closed</t>
        </is>
      </c>
      <c r="D7" t="inlineStr">
        <is>
          <t>available</t>
        </is>
      </c>
      <c r="E7" t="inlineStr">
        <is>
          <t>CoreWeave GB300 NVL72 (8x GB300-288GB_aarch64, TensorRT)</t>
        </is>
      </c>
      <c r="F7" t="inlineStr">
        <is>
          <t>Offline</t>
        </is>
      </c>
      <c r="G7" t="n">
        <v>8</v>
      </c>
      <c r="H7" t="n">
        <v>78564</v>
      </c>
      <c r="I7" t="inlineStr">
        <is>
          <t>Tokens/s</t>
        </is>
      </c>
      <c r="J7" t="n">
        <v>9820.5</v>
      </c>
    </row>
    <row r="8">
      <c r="A8" t="inlineStr">
        <is>
          <t>6.0-0017</t>
        </is>
      </c>
      <c r="B8" t="inlineStr">
        <is>
          <t>CoreWeave</t>
        </is>
      </c>
      <c r="C8" t="inlineStr">
        <is>
          <t>closed</t>
        </is>
      </c>
      <c r="D8" t="inlineStr">
        <is>
          <t>available</t>
        </is>
      </c>
      <c r="E8" t="inlineStr">
        <is>
          <t>CoreWeave GB300 NVL72 (8x GB300-288GB_aarch64, TensorRT)</t>
        </is>
      </c>
      <c r="F8" t="inlineStr">
        <is>
          <t>Server</t>
        </is>
      </c>
      <c r="G8" t="n">
        <v>8</v>
      </c>
      <c r="H8" t="n">
        <v>44589.7</v>
      </c>
      <c r="I8" t="inlineStr">
        <is>
          <t>Tokens/s</t>
        </is>
      </c>
      <c r="J8" t="n">
        <v>5573.7</v>
      </c>
    </row>
    <row r="9">
      <c r="A9" t="inlineStr">
        <is>
          <t>6.0-0024</t>
        </is>
      </c>
      <c r="B9" t="inlineStr">
        <is>
          <t>Dell</t>
        </is>
      </c>
      <c r="C9" t="inlineStr">
        <is>
          <t>closed</t>
        </is>
      </c>
      <c r="D9" t="inlineStr">
        <is>
          <t>available</t>
        </is>
      </c>
      <c r="E9" t="inlineStr">
        <is>
          <t>PowerEdge XE9780L (8x B300-SXM-270GB, TensorRT)</t>
        </is>
      </c>
      <c r="F9" t="inlineStr">
        <is>
          <t>Offline</t>
        </is>
      </c>
      <c r="G9" t="n">
        <v>8</v>
      </c>
      <c r="H9" t="n">
        <v>66287.89999999999</v>
      </c>
      <c r="I9" t="inlineStr">
        <is>
          <t>Tokens/s</t>
        </is>
      </c>
      <c r="J9" t="n">
        <v>8286</v>
      </c>
    </row>
    <row r="10">
      <c r="A10" t="inlineStr">
        <is>
          <t>6.0-0024</t>
        </is>
      </c>
      <c r="B10" t="inlineStr">
        <is>
          <t>Dell</t>
        </is>
      </c>
      <c r="C10" t="inlineStr">
        <is>
          <t>closed</t>
        </is>
      </c>
      <c r="D10" t="inlineStr">
        <is>
          <t>available</t>
        </is>
      </c>
      <c r="E10" t="inlineStr">
        <is>
          <t>PowerEdge XE9780L (8x B300-SXM-270GB, TensorRT)</t>
        </is>
      </c>
      <c r="F10" t="inlineStr">
        <is>
          <t>Server</t>
        </is>
      </c>
      <c r="G10" t="n">
        <v>8</v>
      </c>
      <c r="H10" t="n">
        <v>46510.6</v>
      </c>
      <c r="I10" t="inlineStr">
        <is>
          <t>Tokens/s</t>
        </is>
      </c>
      <c r="J10" t="n">
        <v>5813.8</v>
      </c>
    </row>
    <row r="11">
      <c r="A11" t="inlineStr">
        <is>
          <t>6.0-0026</t>
        </is>
      </c>
      <c r="B11" t="inlineStr">
        <is>
          <t>Dell</t>
        </is>
      </c>
      <c r="C11" t="inlineStr">
        <is>
          <t>closed</t>
        </is>
      </c>
      <c r="D11" t="inlineStr">
        <is>
          <t>available</t>
        </is>
      </c>
      <c r="E11" t="inlineStr">
        <is>
          <t>PowerEdge XE9780 (8x B200-SXM-180GB, TensorRT)</t>
        </is>
      </c>
      <c r="F11" t="inlineStr">
        <is>
          <t>Offline</t>
        </is>
      </c>
      <c r="G11" t="n">
        <v>8</v>
      </c>
      <c r="H11" t="n">
        <v>58235.4</v>
      </c>
      <c r="I11" t="inlineStr">
        <is>
          <t>Tokens/s</t>
        </is>
      </c>
      <c r="J11" t="n">
        <v>7279.4</v>
      </c>
    </row>
    <row r="12">
      <c r="A12" t="inlineStr">
        <is>
          <t>6.0-0026</t>
        </is>
      </c>
      <c r="B12" t="inlineStr">
        <is>
          <t>Dell</t>
        </is>
      </c>
      <c r="C12" t="inlineStr">
        <is>
          <t>closed</t>
        </is>
      </c>
      <c r="D12" t="inlineStr">
        <is>
          <t>available</t>
        </is>
      </c>
      <c r="E12" t="inlineStr">
        <is>
          <t>PowerEdge XE9780 (8x B200-SXM-180GB, TensorRT)</t>
        </is>
      </c>
      <c r="F12" t="inlineStr">
        <is>
          <t>Server</t>
        </is>
      </c>
      <c r="G12" t="n">
        <v>8</v>
      </c>
      <c r="H12" t="n">
        <v>40949.5</v>
      </c>
      <c r="I12" t="inlineStr">
        <is>
          <t>Tokens/s</t>
        </is>
      </c>
      <c r="J12" t="n">
        <v>5118.7</v>
      </c>
    </row>
    <row r="13">
      <c r="A13" t="inlineStr">
        <is>
          <t>6.0-0027</t>
        </is>
      </c>
      <c r="B13" t="inlineStr">
        <is>
          <t>Dell</t>
        </is>
      </c>
      <c r="C13" t="inlineStr">
        <is>
          <t>closed</t>
        </is>
      </c>
      <c r="D13" t="inlineStr">
        <is>
          <t>available</t>
        </is>
      </c>
      <c r="E13" t="inlineStr">
        <is>
          <t>PowerEdge XE9780 (8x B300-SXM-270GB, TensorRT)</t>
        </is>
      </c>
      <c r="F13" t="inlineStr">
        <is>
          <t>Offline</t>
        </is>
      </c>
      <c r="G13" t="n">
        <v>8</v>
      </c>
      <c r="H13" t="n">
        <v>69021.2</v>
      </c>
      <c r="I13" t="inlineStr">
        <is>
          <t>Tokens/s</t>
        </is>
      </c>
      <c r="J13" t="n">
        <v>8627.6</v>
      </c>
    </row>
    <row r="14">
      <c r="A14" t="inlineStr">
        <is>
          <t>6.0-0027</t>
        </is>
      </c>
      <c r="B14" t="inlineStr">
        <is>
          <t>Dell</t>
        </is>
      </c>
      <c r="C14" t="inlineStr">
        <is>
          <t>closed</t>
        </is>
      </c>
      <c r="D14" t="inlineStr">
        <is>
          <t>available</t>
        </is>
      </c>
      <c r="E14" t="inlineStr">
        <is>
          <t>PowerEdge XE9780 (8x B300-SXM-270GB, TensorRT)</t>
        </is>
      </c>
      <c r="F14" t="inlineStr">
        <is>
          <t>Server</t>
        </is>
      </c>
      <c r="G14" t="n">
        <v>8</v>
      </c>
      <c r="H14" t="n">
        <v>46513.1</v>
      </c>
      <c r="I14" t="inlineStr">
        <is>
          <t>Tokens/s</t>
        </is>
      </c>
      <c r="J14" t="n">
        <v>5814.1</v>
      </c>
    </row>
    <row r="15">
      <c r="A15" t="inlineStr">
        <is>
          <t>6.0-0039</t>
        </is>
      </c>
      <c r="B15" t="inlineStr">
        <is>
          <t>GigaComputing</t>
        </is>
      </c>
      <c r="C15" t="inlineStr">
        <is>
          <t>closed</t>
        </is>
      </c>
      <c r="D15" t="inlineStr">
        <is>
          <t>available</t>
        </is>
      </c>
      <c r="E15" t="inlineStr">
        <is>
          <t>G894-SD3-AAX7</t>
        </is>
      </c>
      <c r="F15" t="inlineStr">
        <is>
          <t>Interactive</t>
        </is>
      </c>
      <c r="G15" t="n">
        <v>8</v>
      </c>
      <c r="H15" t="n">
        <v>4934.65</v>
      </c>
      <c r="I15" t="inlineStr">
        <is>
          <t>Tokens/s</t>
        </is>
      </c>
      <c r="J15" t="n">
        <v>616.8</v>
      </c>
    </row>
    <row r="16">
      <c r="A16" t="inlineStr">
        <is>
          <t>6.0-0039</t>
        </is>
      </c>
      <c r="B16" t="inlineStr">
        <is>
          <t>GigaComputing</t>
        </is>
      </c>
      <c r="C16" t="inlineStr">
        <is>
          <t>closed</t>
        </is>
      </c>
      <c r="D16" t="inlineStr">
        <is>
          <t>available</t>
        </is>
      </c>
      <c r="E16" t="inlineStr">
        <is>
          <t>G894-SD3-AAX7</t>
        </is>
      </c>
      <c r="F16" t="inlineStr">
        <is>
          <t>Offline</t>
        </is>
      </c>
      <c r="G16" t="n">
        <v>8</v>
      </c>
      <c r="H16" t="n">
        <v>69617.39999999999</v>
      </c>
      <c r="I16" t="inlineStr">
        <is>
          <t>Tokens/s</t>
        </is>
      </c>
      <c r="J16" t="n">
        <v>8702.200000000001</v>
      </c>
    </row>
    <row r="17">
      <c r="A17" t="inlineStr">
        <is>
          <t>6.0-0039</t>
        </is>
      </c>
      <c r="B17" t="inlineStr">
        <is>
          <t>GigaComputing</t>
        </is>
      </c>
      <c r="C17" t="inlineStr">
        <is>
          <t>closed</t>
        </is>
      </c>
      <c r="D17" t="inlineStr">
        <is>
          <t>available</t>
        </is>
      </c>
      <c r="E17" t="inlineStr">
        <is>
          <t>G894-SD3-AAX7</t>
        </is>
      </c>
      <c r="F17" t="inlineStr">
        <is>
          <t>Server</t>
        </is>
      </c>
      <c r="G17" t="n">
        <v>8</v>
      </c>
      <c r="H17" t="n">
        <v>35552.6</v>
      </c>
      <c r="I17" t="inlineStr">
        <is>
          <t>Tokens/s</t>
        </is>
      </c>
      <c r="J17" t="n">
        <v>4444.1</v>
      </c>
    </row>
    <row r="18">
      <c r="A18" t="inlineStr">
        <is>
          <t>6.0-0040</t>
        </is>
      </c>
      <c r="B18" t="inlineStr">
        <is>
          <t>Google</t>
        </is>
      </c>
      <c r="C18" t="inlineStr">
        <is>
          <t>closed</t>
        </is>
      </c>
      <c r="D18" t="inlineStr">
        <is>
          <t>available</t>
        </is>
      </c>
      <c r="E18" t="inlineStr">
        <is>
          <t>NVIDIA DGX B200 (8x B200-SXM-180GB, TensorRT)</t>
        </is>
      </c>
      <c r="F18" t="inlineStr">
        <is>
          <t>Offline</t>
        </is>
      </c>
      <c r="G18" t="n">
        <v>8</v>
      </c>
      <c r="H18" t="n">
        <v>57116.9</v>
      </c>
      <c r="I18" t="inlineStr">
        <is>
          <t>Tokens/s</t>
        </is>
      </c>
      <c r="J18" t="n">
        <v>7139.6</v>
      </c>
    </row>
    <row r="19">
      <c r="A19" t="inlineStr">
        <is>
          <t>6.0-0040</t>
        </is>
      </c>
      <c r="B19" t="inlineStr">
        <is>
          <t>Google</t>
        </is>
      </c>
      <c r="C19" t="inlineStr">
        <is>
          <t>closed</t>
        </is>
      </c>
      <c r="D19" t="inlineStr">
        <is>
          <t>available</t>
        </is>
      </c>
      <c r="E19" t="inlineStr">
        <is>
          <t>NVIDIA DGX B200 (8x B200-SXM-180GB, TensorRT)</t>
        </is>
      </c>
      <c r="F19" t="inlineStr">
        <is>
          <t>Server</t>
        </is>
      </c>
      <c r="G19" t="n">
        <v>8</v>
      </c>
      <c r="H19" t="n">
        <v>41027.9</v>
      </c>
      <c r="I19" t="inlineStr">
        <is>
          <t>Tokens/s</t>
        </is>
      </c>
      <c r="J19" t="n">
        <v>5128.5</v>
      </c>
    </row>
    <row r="20">
      <c r="A20" t="inlineStr">
        <is>
          <t>6.0-0042</t>
        </is>
      </c>
      <c r="B20" t="inlineStr">
        <is>
          <t>Google</t>
        </is>
      </c>
      <c r="C20" t="inlineStr">
        <is>
          <t>closed</t>
        </is>
      </c>
      <c r="D20" t="inlineStr">
        <is>
          <t>available</t>
        </is>
      </c>
      <c r="E20" t="inlineStr">
        <is>
          <t>NVIDIA GB200 NVL72 (72x GB200-186GB_aarch64, TensorRT)</t>
        </is>
      </c>
      <c r="F20" t="inlineStr">
        <is>
          <t>Offline</t>
        </is>
      </c>
      <c r="G20" t="n">
        <v>72</v>
      </c>
      <c r="H20" t="n">
        <v>307874</v>
      </c>
      <c r="I20" t="inlineStr">
        <is>
          <t>Tokens/s</t>
        </is>
      </c>
      <c r="J20" t="n">
        <v>4276</v>
      </c>
    </row>
    <row r="21">
      <c r="A21" t="inlineStr">
        <is>
          <t>6.0-0042</t>
        </is>
      </c>
      <c r="B21" t="inlineStr">
        <is>
          <t>Google</t>
        </is>
      </c>
      <c r="C21" t="inlineStr">
        <is>
          <t>closed</t>
        </is>
      </c>
      <c r="D21" t="inlineStr">
        <is>
          <t>available</t>
        </is>
      </c>
      <c r="E21" t="inlineStr">
        <is>
          <t>NVIDIA GB200 NVL72 (72x GB200-186GB_aarch64, TensorRT)</t>
        </is>
      </c>
      <c r="F21" t="inlineStr">
        <is>
          <t>Server</t>
        </is>
      </c>
      <c r="G21" t="n">
        <v>72</v>
      </c>
      <c r="H21" t="n">
        <v>156781</v>
      </c>
      <c r="I21" t="inlineStr">
        <is>
          <t>Tokens/s</t>
        </is>
      </c>
      <c r="J21" t="n">
        <v>2177.5</v>
      </c>
    </row>
    <row r="22">
      <c r="A22" t="inlineStr">
        <is>
          <t>6.0-0073</t>
        </is>
      </c>
      <c r="B22" t="inlineStr">
        <is>
          <t>NVIDIA</t>
        </is>
      </c>
      <c r="C22" t="inlineStr">
        <is>
          <t>closed</t>
        </is>
      </c>
      <c r="D22" t="inlineStr">
        <is>
          <t>available</t>
        </is>
      </c>
      <c r="E22" t="inlineStr">
        <is>
          <t>NVIDIA DGX B300 (8x B300-SXM-270GB, TensorRT)</t>
        </is>
      </c>
      <c r="F22" t="inlineStr">
        <is>
          <t>Offline</t>
        </is>
      </c>
      <c r="G22" t="n">
        <v>8</v>
      </c>
      <c r="H22" t="n">
        <v>70325.7</v>
      </c>
      <c r="I22" t="inlineStr">
        <is>
          <t>Tokens/s</t>
        </is>
      </c>
      <c r="J22" t="n">
        <v>8790.700000000001</v>
      </c>
    </row>
    <row r="23">
      <c r="A23" t="inlineStr">
        <is>
          <t>6.0-0073</t>
        </is>
      </c>
      <c r="B23" t="inlineStr">
        <is>
          <t>NVIDIA</t>
        </is>
      </c>
      <c r="C23" t="inlineStr">
        <is>
          <t>closed</t>
        </is>
      </c>
      <c r="D23" t="inlineStr">
        <is>
          <t>available</t>
        </is>
      </c>
      <c r="E23" t="inlineStr">
        <is>
          <t>NVIDIA DGX B300 (8x B300-SXM-270GB, TensorRT)</t>
        </is>
      </c>
      <c r="F23" t="inlineStr">
        <is>
          <t>Server</t>
        </is>
      </c>
      <c r="G23" t="n">
        <v>8</v>
      </c>
      <c r="H23" t="n">
        <v>42721.4</v>
      </c>
      <c r="I23" t="inlineStr">
        <is>
          <t>Tokens/s</t>
        </is>
      </c>
      <c r="J23" t="n">
        <v>5340.2</v>
      </c>
    </row>
    <row r="24">
      <c r="A24" t="inlineStr">
        <is>
          <t>6.0-0075</t>
        </is>
      </c>
      <c r="B24" t="inlineStr">
        <is>
          <t>NVIDIA</t>
        </is>
      </c>
      <c r="C24" t="inlineStr">
        <is>
          <t>closed</t>
        </is>
      </c>
      <c r="D24" t="inlineStr">
        <is>
          <t>available</t>
        </is>
      </c>
      <c r="E24" t="inlineStr">
        <is>
          <t>NVIDIA GB200 NVL72 (72x GB200-186GB_aarch64, TensorRT)</t>
        </is>
      </c>
      <c r="F24" t="inlineStr">
        <is>
          <t>Interactive</t>
        </is>
      </c>
      <c r="G24" t="n">
        <v>72</v>
      </c>
      <c r="H24" t="n">
        <v>240318</v>
      </c>
      <c r="I24" t="inlineStr">
        <is>
          <t>Tokens/s</t>
        </is>
      </c>
      <c r="J24" t="n">
        <v>3337.8</v>
      </c>
    </row>
    <row r="25">
      <c r="A25" t="inlineStr">
        <is>
          <t>6.0-0075</t>
        </is>
      </c>
      <c r="B25" t="inlineStr">
        <is>
          <t>NVIDIA</t>
        </is>
      </c>
      <c r="C25" t="inlineStr">
        <is>
          <t>closed</t>
        </is>
      </c>
      <c r="D25" t="inlineStr">
        <is>
          <t>available</t>
        </is>
      </c>
      <c r="E25" t="inlineStr">
        <is>
          <t>NVIDIA GB200 NVL72 (72x GB200-186GB_aarch64, TensorRT)</t>
        </is>
      </c>
      <c r="F25" t="inlineStr">
        <is>
          <t>Offline</t>
        </is>
      </c>
      <c r="G25" t="n">
        <v>72</v>
      </c>
      <c r="H25" t="n">
        <v>486141</v>
      </c>
      <c r="I25" t="inlineStr">
        <is>
          <t>Tokens/s</t>
        </is>
      </c>
      <c r="J25" t="n">
        <v>6752</v>
      </c>
    </row>
    <row r="26">
      <c r="A26" t="inlineStr">
        <is>
          <t>6.0-0075</t>
        </is>
      </c>
      <c r="B26" t="inlineStr">
        <is>
          <t>NVIDIA</t>
        </is>
      </c>
      <c r="C26" t="inlineStr">
        <is>
          <t>closed</t>
        </is>
      </c>
      <c r="D26" t="inlineStr">
        <is>
          <t>available</t>
        </is>
      </c>
      <c r="E26" t="inlineStr">
        <is>
          <t>NVIDIA GB200 NVL72 (72x GB200-186GB_aarch64, TensorRT)</t>
        </is>
      </c>
      <c r="F26" t="inlineStr">
        <is>
          <t>Server</t>
        </is>
      </c>
      <c r="G26" t="n">
        <v>72</v>
      </c>
      <c r="H26" t="n">
        <v>336106</v>
      </c>
      <c r="I26" t="inlineStr">
        <is>
          <t>Tokens/s</t>
        </is>
      </c>
      <c r="J26" t="n">
        <v>4668.1</v>
      </c>
    </row>
    <row r="27">
      <c r="A27" t="inlineStr">
        <is>
          <t>6.0-0076</t>
        </is>
      </c>
      <c r="B27" t="inlineStr">
        <is>
          <t>NVIDIA</t>
        </is>
      </c>
      <c r="C27" t="inlineStr">
        <is>
          <t>closed</t>
        </is>
      </c>
      <c r="D27" t="inlineStr">
        <is>
          <t>available</t>
        </is>
      </c>
      <c r="E27" t="inlineStr">
        <is>
          <t>NVIDIA GB300 NVL72 (72x GB300-288GB_aarch64, TensorRT)</t>
        </is>
      </c>
      <c r="F27" t="inlineStr">
        <is>
          <t>Offline</t>
        </is>
      </c>
      <c r="G27" t="n">
        <v>288</v>
      </c>
      <c r="H27" t="n">
        <v>2494310</v>
      </c>
      <c r="I27" t="inlineStr">
        <is>
          <t>Tokens/s</t>
        </is>
      </c>
      <c r="J27" t="n">
        <v>8660.799999999999</v>
      </c>
    </row>
    <row r="28">
      <c r="A28" t="inlineStr">
        <is>
          <t>6.0-0076</t>
        </is>
      </c>
      <c r="B28" t="inlineStr">
        <is>
          <t>NVIDIA</t>
        </is>
      </c>
      <c r="C28" t="inlineStr">
        <is>
          <t>closed</t>
        </is>
      </c>
      <c r="D28" t="inlineStr">
        <is>
          <t>available</t>
        </is>
      </c>
      <c r="E28" t="inlineStr">
        <is>
          <t>NVIDIA GB300 NVL72 (72x GB300-288GB_aarch64, TensorRT)</t>
        </is>
      </c>
      <c r="F28" t="inlineStr">
        <is>
          <t>Server</t>
        </is>
      </c>
      <c r="G28" t="n">
        <v>288</v>
      </c>
      <c r="H28" t="n">
        <v>1555110</v>
      </c>
      <c r="I28" t="inlineStr">
        <is>
          <t>Tokens/s</t>
        </is>
      </c>
      <c r="J28" t="n">
        <v>5399.7</v>
      </c>
    </row>
    <row r="29">
      <c r="A29" t="inlineStr">
        <is>
          <t>6.0-0078</t>
        </is>
      </c>
      <c r="B29" t="inlineStr">
        <is>
          <t>NVIDIA</t>
        </is>
      </c>
      <c r="C29" t="inlineStr">
        <is>
          <t>closed</t>
        </is>
      </c>
      <c r="D29" t="inlineStr">
        <is>
          <t>available</t>
        </is>
      </c>
      <c r="E29" t="inlineStr">
        <is>
          <t>NVIDIA GB300 NVL72 (72x GB300-288GB_aarch64, TensorRT)</t>
        </is>
      </c>
      <c r="F29" t="inlineStr">
        <is>
          <t>Interactive</t>
        </is>
      </c>
      <c r="G29" t="n">
        <v>72</v>
      </c>
      <c r="H29" t="n">
        <v>250634</v>
      </c>
      <c r="I29" t="inlineStr">
        <is>
          <t>Tokens/s</t>
        </is>
      </c>
      <c r="J29" t="n">
        <v>3481</v>
      </c>
    </row>
    <row r="30">
      <c r="A30" t="inlineStr">
        <is>
          <t>6.0-0078</t>
        </is>
      </c>
      <c r="B30" t="inlineStr">
        <is>
          <t>NVIDIA</t>
        </is>
      </c>
      <c r="C30" t="inlineStr">
        <is>
          <t>closed</t>
        </is>
      </c>
      <c r="D30" t="inlineStr">
        <is>
          <t>available</t>
        </is>
      </c>
      <c r="E30" t="inlineStr">
        <is>
          <t>NVIDIA GB300 NVL72 (72x GB300-288GB_aarch64, TensorRT)</t>
        </is>
      </c>
      <c r="F30" t="inlineStr">
        <is>
          <t>Offline</t>
        </is>
      </c>
      <c r="G30" t="n">
        <v>72</v>
      </c>
      <c r="H30" t="n">
        <v>647076</v>
      </c>
      <c r="I30" t="inlineStr">
        <is>
          <t>Tokens/s</t>
        </is>
      </c>
      <c r="J30" t="n">
        <v>8987.200000000001</v>
      </c>
    </row>
    <row r="31">
      <c r="A31" t="inlineStr">
        <is>
          <t>6.0-0078</t>
        </is>
      </c>
      <c r="B31" t="inlineStr">
        <is>
          <t>NVIDIA</t>
        </is>
      </c>
      <c r="C31" t="inlineStr">
        <is>
          <t>closed</t>
        </is>
      </c>
      <c r="D31" t="inlineStr">
        <is>
          <t>available</t>
        </is>
      </c>
      <c r="E31" t="inlineStr">
        <is>
          <t>NVIDIA GB300 NVL72 (72x GB300-288GB_aarch64, TensorRT)</t>
        </is>
      </c>
      <c r="F31" t="inlineStr">
        <is>
          <t>Server</t>
        </is>
      </c>
      <c r="G31" t="n">
        <v>72</v>
      </c>
      <c r="H31" t="n">
        <v>400437</v>
      </c>
      <c r="I31" t="inlineStr">
        <is>
          <t>Tokens/s</t>
        </is>
      </c>
      <c r="J31" t="n">
        <v>5561.6</v>
      </c>
    </row>
    <row r="32">
      <c r="A32" t="inlineStr">
        <is>
          <t>6.0-0081</t>
        </is>
      </c>
      <c r="B32" t="inlineStr">
        <is>
          <t>Nebius</t>
        </is>
      </c>
      <c r="C32" t="inlineStr">
        <is>
          <t>closed</t>
        </is>
      </c>
      <c r="D32" t="inlineStr">
        <is>
          <t>available</t>
        </is>
      </c>
      <c r="E32" t="inlineStr">
        <is>
          <t>Nebius GB300 NVL72 (72x GB300-288GB_aarch64, TensorRT)</t>
        </is>
      </c>
      <c r="F32" t="inlineStr">
        <is>
          <t>Offline</t>
        </is>
      </c>
      <c r="G32" t="n">
        <v>72</v>
      </c>
      <c r="H32" t="n">
        <v>673936</v>
      </c>
      <c r="I32" t="inlineStr">
        <is>
          <t>Tokens/s</t>
        </is>
      </c>
      <c r="J32" t="n">
        <v>9360.200000000001</v>
      </c>
    </row>
    <row r="33">
      <c r="A33" t="inlineStr">
        <is>
          <t>6.0-0081</t>
        </is>
      </c>
      <c r="B33" t="inlineStr">
        <is>
          <t>Nebius</t>
        </is>
      </c>
      <c r="C33" t="inlineStr">
        <is>
          <t>closed</t>
        </is>
      </c>
      <c r="D33" t="inlineStr">
        <is>
          <t>available</t>
        </is>
      </c>
      <c r="E33" t="inlineStr">
        <is>
          <t>Nebius GB300 NVL72 (72x GB300-288GB_aarch64, TensorRT)</t>
        </is>
      </c>
      <c r="F33" t="inlineStr">
        <is>
          <t>Server</t>
        </is>
      </c>
      <c r="G33" t="n">
        <v>72</v>
      </c>
      <c r="H33" t="n">
        <v>575580</v>
      </c>
      <c r="I33" t="inlineStr">
        <is>
          <t>Tokens/s</t>
        </is>
      </c>
      <c r="J33" t="n">
        <v>7994.2</v>
      </c>
    </row>
    <row r="34">
      <c r="A34" t="inlineStr">
        <is>
          <t>6.0-0082</t>
        </is>
      </c>
      <c r="B34" t="inlineStr">
        <is>
          <t>Nebius</t>
        </is>
      </c>
      <c r="C34" t="inlineStr">
        <is>
          <t>closed</t>
        </is>
      </c>
      <c r="D34" t="inlineStr">
        <is>
          <t>available</t>
        </is>
      </c>
      <c r="E34" t="inlineStr">
        <is>
          <t>Nebius GB300 NVL72 (4x GB300-288GB_aarch64, TensorRT)</t>
        </is>
      </c>
      <c r="F34" t="inlineStr">
        <is>
          <t>Offline</t>
        </is>
      </c>
      <c r="G34" t="n">
        <v>8</v>
      </c>
      <c r="H34" t="n">
        <v>76346.60000000001</v>
      </c>
      <c r="I34" t="inlineStr">
        <is>
          <t>Tokens/s</t>
        </is>
      </c>
      <c r="J34" t="n">
        <v>9543.299999999999</v>
      </c>
    </row>
    <row r="35">
      <c r="A35" t="inlineStr">
        <is>
          <t>6.0-0082</t>
        </is>
      </c>
      <c r="B35" t="inlineStr">
        <is>
          <t>Nebius</t>
        </is>
      </c>
      <c r="C35" t="inlineStr">
        <is>
          <t>closed</t>
        </is>
      </c>
      <c r="D35" t="inlineStr">
        <is>
          <t>available</t>
        </is>
      </c>
      <c r="E35" t="inlineStr">
        <is>
          <t>Nebius GB300 NVL72 (4x GB300-288GB_aarch64, TensorRT)</t>
        </is>
      </c>
      <c r="F35" t="inlineStr">
        <is>
          <t>Server</t>
        </is>
      </c>
      <c r="G35" t="n">
        <v>8</v>
      </c>
      <c r="H35" t="n">
        <v>64510</v>
      </c>
      <c r="I35" t="inlineStr">
        <is>
          <t>Tokens/s</t>
        </is>
      </c>
      <c r="J35" t="n">
        <v>8063.8</v>
      </c>
    </row>
    <row r="36">
      <c r="A36" t="inlineStr">
        <is>
          <t>6.0-0083</t>
        </is>
      </c>
      <c r="B36" t="inlineStr">
        <is>
          <t>Nebius</t>
        </is>
      </c>
      <c r="C36" t="inlineStr">
        <is>
          <t>closed</t>
        </is>
      </c>
      <c r="D36" t="inlineStr">
        <is>
          <t>available</t>
        </is>
      </c>
      <c r="E36" t="inlineStr">
        <is>
          <t>Nebius B200 n1 (8x B200-SXM-180GB, TensorRT)</t>
        </is>
      </c>
      <c r="F36" t="inlineStr">
        <is>
          <t>Offline</t>
        </is>
      </c>
      <c r="G36" t="n">
        <v>8</v>
      </c>
      <c r="H36" t="n">
        <v>58581.6</v>
      </c>
      <c r="I36" t="inlineStr">
        <is>
          <t>Tokens/s</t>
        </is>
      </c>
      <c r="J36" t="n">
        <v>7322.7</v>
      </c>
    </row>
    <row r="37">
      <c r="A37" t="inlineStr">
        <is>
          <t>6.0-0083</t>
        </is>
      </c>
      <c r="B37" t="inlineStr">
        <is>
          <t>Nebius</t>
        </is>
      </c>
      <c r="C37" t="inlineStr">
        <is>
          <t>closed</t>
        </is>
      </c>
      <c r="D37" t="inlineStr">
        <is>
          <t>available</t>
        </is>
      </c>
      <c r="E37" t="inlineStr">
        <is>
          <t>Nebius B200 n1 (8x B200-SXM-180GB, TensorRT)</t>
        </is>
      </c>
      <c r="F37" t="inlineStr">
        <is>
          <t>Server</t>
        </is>
      </c>
      <c r="G37" t="n">
        <v>8</v>
      </c>
      <c r="H37" t="n">
        <v>51692.9</v>
      </c>
      <c r="I37" t="inlineStr">
        <is>
          <t>Tokens/s</t>
        </is>
      </c>
      <c r="J37" t="n">
        <v>6461.6</v>
      </c>
    </row>
    <row r="38">
      <c r="A38" t="inlineStr">
        <is>
          <t>6.0-0084</t>
        </is>
      </c>
      <c r="B38" t="inlineStr">
        <is>
          <t>Nebius</t>
        </is>
      </c>
      <c r="C38" t="inlineStr">
        <is>
          <t>closed</t>
        </is>
      </c>
      <c r="D38" t="inlineStr">
        <is>
          <t>available</t>
        </is>
      </c>
      <c r="E38" t="inlineStr">
        <is>
          <t>Nebius B300 n1 (8x B300-SXM-270GB, TensorRT)</t>
        </is>
      </c>
      <c r="F38" t="inlineStr">
        <is>
          <t>Offline</t>
        </is>
      </c>
      <c r="G38" t="n">
        <v>8</v>
      </c>
      <c r="H38" t="n">
        <v>69318.89999999999</v>
      </c>
      <c r="I38" t="inlineStr">
        <is>
          <t>Tokens/s</t>
        </is>
      </c>
      <c r="J38" t="n">
        <v>8664.9</v>
      </c>
    </row>
    <row r="39">
      <c r="A39" t="inlineStr">
        <is>
          <t>6.0-0084</t>
        </is>
      </c>
      <c r="B39" t="inlineStr">
        <is>
          <t>Nebius</t>
        </is>
      </c>
      <c r="C39" t="inlineStr">
        <is>
          <t>closed</t>
        </is>
      </c>
      <c r="D39" t="inlineStr">
        <is>
          <t>available</t>
        </is>
      </c>
      <c r="E39" t="inlineStr">
        <is>
          <t>Nebius B300 n1 (8x B300-SXM-270GB, TensorRT)</t>
        </is>
      </c>
      <c r="F39" t="inlineStr">
        <is>
          <t>Server</t>
        </is>
      </c>
      <c r="G39" t="n">
        <v>8</v>
      </c>
      <c r="H39" t="n">
        <v>60413.4</v>
      </c>
      <c r="I39" t="inlineStr">
        <is>
          <t>Tokens/s</t>
        </is>
      </c>
      <c r="J39" t="n">
        <v>7551.7</v>
      </c>
    </row>
    <row r="40">
      <c r="A40" t="inlineStr">
        <is>
          <t>6.0-0089</t>
        </is>
      </c>
      <c r="B40" t="inlineStr">
        <is>
          <t>Quanta_Cloud_Technology</t>
        </is>
      </c>
      <c r="C40" t="inlineStr">
        <is>
          <t>closed</t>
        </is>
      </c>
      <c r="D40" t="inlineStr">
        <is>
          <t>available</t>
        </is>
      </c>
      <c r="E40" t="inlineStr">
        <is>
          <t>QuantaGrid D75H-10U (8x B300-SXM-270GB, TensorRT)</t>
        </is>
      </c>
      <c r="F40" t="inlineStr">
        <is>
          <t>Offline</t>
        </is>
      </c>
      <c r="G40" t="n">
        <v>8</v>
      </c>
      <c r="H40" t="n">
        <v>69263.2</v>
      </c>
      <c r="I40" t="inlineStr">
        <is>
          <t>Tokens/s</t>
        </is>
      </c>
      <c r="J40" t="n">
        <v>8657.9</v>
      </c>
    </row>
    <row r="41">
      <c r="A41" t="inlineStr">
        <is>
          <t>6.0-0089</t>
        </is>
      </c>
      <c r="B41" t="inlineStr">
        <is>
          <t>Quanta_Cloud_Technology</t>
        </is>
      </c>
      <c r="C41" t="inlineStr">
        <is>
          <t>closed</t>
        </is>
      </c>
      <c r="D41" t="inlineStr">
        <is>
          <t>available</t>
        </is>
      </c>
      <c r="E41" t="inlineStr">
        <is>
          <t>QuantaGrid D75H-10U (8x B300-SXM-270GB, TensorRT)</t>
        </is>
      </c>
      <c r="F41" t="inlineStr">
        <is>
          <t>Server</t>
        </is>
      </c>
      <c r="G41" t="n">
        <v>8</v>
      </c>
      <c r="H41" t="n">
        <v>35435.7</v>
      </c>
      <c r="I41" t="inlineStr">
        <is>
          <t>Tokens/s</t>
        </is>
      </c>
      <c r="J41" t="n">
        <v>4429.5</v>
      </c>
    </row>
    <row r="42">
      <c r="A42" t="inlineStr">
        <is>
          <t>6.0-0104</t>
        </is>
      </c>
      <c r="B42" t="inlineStr">
        <is>
          <t>CoreWeave</t>
        </is>
      </c>
      <c r="C42" t="inlineStr">
        <is>
          <t>open</t>
        </is>
      </c>
      <c r="D42" t="inlineStr">
        <is>
          <t>available</t>
        </is>
      </c>
      <c r="E42" t="inlineStr">
        <is>
          <t>CoreWeave GB300 NVL72 (64x GB300-288GB_aarch64, TensorRT)</t>
        </is>
      </c>
      <c r="F42" t="inlineStr">
        <is>
          <t>Offline</t>
        </is>
      </c>
      <c r="G42" t="n">
        <v>64</v>
      </c>
      <c r="H42" t="n">
        <v>627653</v>
      </c>
      <c r="I42" t="inlineStr">
        <is>
          <t>Tokens/s</t>
        </is>
      </c>
      <c r="J42" t="n">
        <v>9807.1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2026-10-16T09:50:32Z</dcterms:created>
  <dcterms:modified xmlns:dcterms="http://purl.org/dc/terms/" xmlns:xsi="http://www.w3.org/2001/XMLSchema-instance" xsi:type="dcterms:W3CDTF">2026-10-16T09:50:32Z</dcterms:modified>
</cp:coreProperties>
</file>