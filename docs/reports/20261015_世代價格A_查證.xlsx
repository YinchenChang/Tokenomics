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說明" sheetId="1" state="visible" r:id="rId3"/>
    <sheet name="價格點_a_同等能力" sheetId="2" state="visible" r:id="rId4"/>
    <sheet name="價格點_b_層級牌價" sheetId="3" state="visible" r:id="rId5"/>
    <sheet name="價格點_c_算力租賃" sheetId="4" state="visible" r:id="rId6"/>
    <sheet name="E338-E341確認" sheetId="5" state="visible" r:id="rId7"/>
    <sheet name="上市間隔" sheetId="6" state="visible" r:id="rId8"/>
    <sheet name="對照計算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<sst xmlns="http://schemas.openxmlformats.org/spreadsheetml/2006/main" count="1742" uniqueCount="735">
  <si>
    <r>
      <rPr>
        <b val="true"/>
        <sz val="13"/>
        <rFont val="Noto Sans CJK SC"/>
        <family val="2"/>
      </rPr>
      <t xml:space="preserve">世代間每 </t>
    </r>
    <r>
      <rPr>
        <b val="true"/>
        <sz val="13"/>
        <rFont val="Cambria"/>
        <family val="0"/>
        <charset val="1"/>
      </rPr>
      <t xml:space="preserve">MW </t>
    </r>
    <r>
      <rPr>
        <b val="true"/>
        <sz val="13"/>
        <rFont val="Noto Sans CJK SC"/>
        <family val="2"/>
      </rPr>
      <t xml:space="preserve">簽約收入的產業基準｜</t>
    </r>
    <r>
      <rPr>
        <b val="true"/>
        <sz val="13"/>
        <rFont val="Cambria"/>
        <family val="0"/>
        <charset val="1"/>
      </rPr>
      <t xml:space="preserve">A </t>
    </r>
    <r>
      <rPr>
        <b val="true"/>
        <sz val="13"/>
        <rFont val="Noto Sans CJK SC"/>
        <family val="2"/>
      </rPr>
      <t xml:space="preserve">段查證明細（不改 </t>
    </r>
    <r>
      <rPr>
        <b val="true"/>
        <sz val="13"/>
        <rFont val="Cambria"/>
        <family val="0"/>
        <charset val="1"/>
      </rPr>
      <t xml:space="preserve">Excel </t>
    </r>
    <r>
      <rPr>
        <b val="true"/>
        <sz val="13"/>
        <rFont val="Noto Sans CJK SC"/>
        <family val="2"/>
      </rPr>
      <t xml:space="preserve">模型）</t>
    </r>
  </si>
  <si>
    <r>
      <rPr>
        <sz val="11"/>
        <color theme="1"/>
        <rFont val="Noto Sans CJK SC"/>
        <family val="2"/>
      </rPr>
      <t xml:space="preserve">讀取版本：</t>
    </r>
    <r>
      <rPr>
        <sz val="11"/>
        <color theme="1"/>
        <rFont val="Calibri"/>
        <family val="2"/>
        <charset val="1"/>
      </rPr>
      <t xml:space="preserve">model/20261014_Tokenomics_v5.35.xlsx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master 9dff7f5</t>
    </r>
    <r>
      <rPr>
        <sz val="11"/>
        <color theme="1"/>
        <rFont val="Noto Sans CJK SC"/>
        <family val="2"/>
      </rPr>
      <t xml:space="preserve">）。本檔只新增，不改模型。擷取日 </t>
    </r>
    <r>
      <rPr>
        <sz val="11"/>
        <color theme="1"/>
        <rFont val="Calibri"/>
        <family val="2"/>
        <charset val="1"/>
      </rPr>
      <t xml:space="preserve">2026-10-15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</si>
  <si>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頁籤：價格點</t>
    </r>
    <r>
      <rPr>
        <sz val="11"/>
        <color theme="1"/>
        <rFont val="Calibri"/>
        <family val="2"/>
        <charset val="1"/>
      </rPr>
      <t xml:space="preserve">_a_</t>
    </r>
    <r>
      <rPr>
        <sz val="11"/>
        <color theme="1"/>
        <rFont val="Noto Sans CJK SC"/>
        <family val="2"/>
      </rPr>
      <t xml:space="preserve">同等能力、價格點</t>
    </r>
    <r>
      <rPr>
        <sz val="11"/>
        <color theme="1"/>
        <rFont val="Calibri"/>
        <family val="2"/>
        <charset val="1"/>
      </rPr>
      <t xml:space="preserve">_b_</t>
    </r>
    <r>
      <rPr>
        <sz val="11"/>
        <color theme="1"/>
        <rFont val="Noto Sans CJK SC"/>
        <family val="2"/>
      </rPr>
      <t xml:space="preserve">層級牌價、價格點</t>
    </r>
    <r>
      <rPr>
        <sz val="11"/>
        <color theme="1"/>
        <rFont val="Calibri"/>
        <family val="2"/>
        <charset val="1"/>
      </rPr>
      <t xml:space="preserve">_c_</t>
    </r>
    <r>
      <rPr>
        <sz val="11"/>
        <color theme="1"/>
        <rFont val="Noto Sans CJK SC"/>
        <family val="2"/>
      </rPr>
      <t xml:space="preserve">算力租賃、</t>
    </r>
    <r>
      <rPr>
        <sz val="11"/>
        <color theme="1"/>
        <rFont val="Calibri"/>
        <family val="2"/>
        <charset val="1"/>
      </rPr>
      <t xml:space="preserve">E338-E341</t>
    </r>
    <r>
      <rPr>
        <sz val="11"/>
        <color theme="1"/>
        <rFont val="Noto Sans CJK SC"/>
        <family val="2"/>
      </rPr>
      <t xml:space="preserve">確認、上市間隔、對照計算。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</si>
  <si>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。模型商與雲端商自家牌價一律標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（銷售方），價格事實以官方頁確認。</t>
    </r>
  </si>
  <si>
    <t xml:space="preserve">藍字＝人工輸入的價格或日期（附來源）；黑字＝公式。「對照計算」頁每個結果都是公式，可點格看推導。</t>
  </si>
  <si>
    <r>
      <rPr>
        <sz val="11"/>
        <color theme="1"/>
        <rFont val="Calibri"/>
        <family val="2"/>
        <charset val="1"/>
      </rPr>
      <t xml:space="preserve">Wayback Machine </t>
    </r>
    <r>
      <rPr>
        <sz val="11"/>
        <color theme="1"/>
        <rFont val="Noto Sans CJK SC"/>
        <family val="2"/>
      </rPr>
      <t xml:space="preserve">被工具擋下（</t>
    </r>
    <r>
      <rPr>
        <sz val="11"/>
        <color theme="1"/>
        <rFont val="Calibri"/>
        <family val="2"/>
        <charset val="1"/>
      </rPr>
      <t xml:space="preserve">SITE_BLOCKED</t>
    </r>
    <r>
      <rPr>
        <sz val="11"/>
        <color theme="1"/>
        <rFont val="Noto Sans CJK SC"/>
        <family val="2"/>
      </rPr>
      <t xml:space="preserve">）：歷史牌價改用各模型當時的官方公告頁；上市後 </t>
    </r>
    <r>
      <rPr>
        <sz val="11"/>
        <color theme="1"/>
        <rFont val="Calibri"/>
        <family val="2"/>
        <charset val="1"/>
      </rPr>
      <t xml:space="preserve">0–6 </t>
    </r>
    <r>
      <rPr>
        <sz val="11"/>
        <color theme="1"/>
        <rFont val="Noto Sans CJK SC"/>
        <family val="2"/>
      </rPr>
      <t xml:space="preserve">個月的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租賃官方價格頁快照取不到。</t>
    </r>
  </si>
  <si>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未單獨引用；同源轉載（例如 </t>
    </r>
    <r>
      <rPr>
        <sz val="11"/>
        <color theme="1"/>
        <rFont val="Calibri"/>
        <family val="2"/>
        <charset val="1"/>
      </rPr>
      <t xml:space="preserve">spheron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牌價）不算獨立來源。</t>
    </r>
  </si>
  <si>
    <r>
      <rPr>
        <b val="true"/>
        <sz val="13"/>
        <rFont val="Cambria"/>
        <family val="0"/>
        <charset val="1"/>
      </rPr>
      <t xml:space="preserve">(a) </t>
    </r>
    <r>
      <rPr>
        <b val="true"/>
        <sz val="13"/>
        <rFont val="Noto Sans CJK SC"/>
        <family val="2"/>
      </rPr>
      <t xml:space="preserve">同等能力 </t>
    </r>
    <r>
      <rPr>
        <b val="true"/>
        <sz val="13"/>
        <rFont val="Cambria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價格（固定能力門檻下的最低價格與下降速率）</t>
    </r>
  </si>
  <si>
    <t xml:space="preserve">序列</t>
  </si>
  <si>
    <t xml:space="preserve">模型／門檻</t>
  </si>
  <si>
    <t xml:space="preserve">時點</t>
  </si>
  <si>
    <t xml:space="preserve">數值</t>
  </si>
  <si>
    <t xml:space="preserve">單位</t>
  </si>
  <si>
    <t xml:space="preserve">說明</t>
  </si>
  <si>
    <t xml:space="preserve">標記</t>
  </si>
  <si>
    <t xml:space="preserve">來源</t>
  </si>
  <si>
    <t xml:space="preserve">URL</t>
  </si>
  <si>
    <t xml:space="preserve">文件日期</t>
  </si>
  <si>
    <t xml:space="preserve">擷取日</t>
  </si>
  <si>
    <t xml:space="preserve">利害關係說明</t>
  </si>
  <si>
    <r>
      <rPr>
        <sz val="11"/>
        <color theme="1"/>
        <rFont val="Calibri"/>
        <family val="2"/>
        <charset val="1"/>
      </rPr>
      <t xml:space="preserve">a1 MMLU≥GPT-4-0314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86.0</t>
    </r>
    <r>
      <rPr>
        <sz val="11"/>
        <color theme="1"/>
        <rFont val="Noto Sans CJK SC"/>
        <family val="2"/>
      </rPr>
      <t xml:space="preserve">）最低價</t>
    </r>
  </si>
  <si>
    <t xml:space="preserve">GPT-4-0314</t>
  </si>
  <si>
    <t xml:space="preserve">2023-03-14</t>
  </si>
  <si>
    <r>
      <rPr>
        <sz val="11"/>
        <color theme="1"/>
        <rFont val="Calibri"/>
        <family val="2"/>
        <charset val="1"/>
      </rPr>
      <t xml:space="preserve">$/M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3:1 </t>
    </r>
    <r>
      <rPr>
        <sz val="11"/>
        <color theme="1"/>
        <rFont val="Noto Sans CJK SC"/>
        <family val="2"/>
      </rPr>
      <t xml:space="preserve">混合）</t>
    </r>
  </si>
  <si>
    <r>
      <rPr>
        <sz val="11"/>
        <color theme="1"/>
        <rFont val="Noto Sans CJK SC"/>
        <family val="2"/>
      </rPr>
      <t xml:space="preserve">計算：</t>
    </r>
    <r>
      <rPr>
        <sz val="11"/>
        <color theme="1"/>
        <rFont val="Calibri"/>
        <family val="2"/>
        <charset val="1"/>
      </rPr>
      <t xml:space="preserve">(3×30+60)/4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</si>
  <si>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</si>
  <si>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Epoch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Cottier </t>
    </r>
    <r>
      <rPr>
        <sz val="11"/>
        <color theme="1"/>
        <rFont val="Noto Sans CJK SC"/>
        <family val="2"/>
      </rPr>
      <t xml:space="preserve">等）</t>
    </r>
    <r>
      <rPr>
        <sz val="11"/>
        <color theme="1"/>
        <rFont val="Calibri"/>
        <family val="2"/>
        <charset val="1"/>
      </rPr>
      <t xml:space="preserve">2025-03-12</t>
    </r>
  </si>
  <si>
    <t xml:space="preserve">https://epoch.ai/data-insights/llm-inference-price-trends</t>
  </si>
  <si>
    <t xml:space="preserve">2025-03-12</t>
  </si>
  <si>
    <t xml:space="preserve">2026-10-15</t>
  </si>
  <si>
    <r>
      <rPr>
        <sz val="11"/>
        <color theme="1"/>
        <rFont val="Noto Sans CJK SC"/>
        <family val="2"/>
      </rPr>
      <t xml:space="preserve">非銷售方（研究機構）；價格為 </t>
    </r>
    <r>
      <rPr>
        <sz val="11"/>
        <color theme="1"/>
        <rFont val="Calibri"/>
        <family val="2"/>
        <charset val="1"/>
      </rPr>
      <t xml:space="preserve">3:1 </t>
    </r>
    <r>
      <rPr>
        <sz val="11"/>
        <color theme="1"/>
        <rFont val="Noto Sans CJK SC"/>
        <family val="2"/>
      </rPr>
      <t xml:space="preserve">輸入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輸出混合（由 </t>
    </r>
    <r>
      <rPr>
        <sz val="11"/>
        <color theme="1"/>
        <rFont val="Calibri"/>
        <family val="2"/>
        <charset val="1"/>
      </rPr>
      <t xml:space="preserve">GPT-4 30/60→37.5 </t>
    </r>
    <r>
      <rPr>
        <sz val="11"/>
        <color theme="1"/>
        <rFont val="Noto Sans CJK SC"/>
        <family val="2"/>
      </rPr>
      <t xml:space="preserve">驗證）</t>
    </r>
  </si>
  <si>
    <t xml:space="preserve">GPT-4 Turbo</t>
  </si>
  <si>
    <t xml:space="preserve">2023-11-06</t>
  </si>
  <si>
    <r>
      <rPr>
        <sz val="11"/>
        <color theme="1"/>
        <rFont val="Noto Sans CJK SC"/>
        <family val="2"/>
      </rPr>
      <t xml:space="preserve">計算：</t>
    </r>
    <r>
      <rPr>
        <sz val="11"/>
        <color theme="1"/>
        <rFont val="Calibri"/>
        <family val="2"/>
        <charset val="1"/>
      </rPr>
      <t xml:space="preserve">(3×10+30)/4</t>
    </r>
  </si>
  <si>
    <t xml:space="preserve">GPT-4o-2024-05</t>
  </si>
  <si>
    <t xml:space="preserve">2024-05-13</t>
  </si>
  <si>
    <r>
      <rPr>
        <sz val="11"/>
        <color theme="1"/>
        <rFont val="Noto Sans CJK SC"/>
        <family val="2"/>
      </rPr>
      <t xml:space="preserve">計算：</t>
    </r>
    <r>
      <rPr>
        <sz val="11"/>
        <color theme="1"/>
        <rFont val="Calibri"/>
        <family val="2"/>
        <charset val="1"/>
      </rPr>
      <t xml:space="preserve">(3×5+15)/4</t>
    </r>
  </si>
  <si>
    <t xml:space="preserve">Gemini-1.5-Pro-2024-05</t>
  </si>
  <si>
    <t xml:space="preserve">2024-05-23</t>
  </si>
  <si>
    <r>
      <rPr>
        <sz val="11"/>
        <color theme="1"/>
        <rFont val="Noto Sans CJK SC"/>
        <family val="2"/>
      </rPr>
      <t xml:space="preserve">計算：</t>
    </r>
    <r>
      <rPr>
        <sz val="11"/>
        <color theme="1"/>
        <rFont val="Calibri"/>
        <family val="2"/>
        <charset val="1"/>
      </rPr>
      <t xml:space="preserve">(3×1.25+5)/4</t>
    </r>
    <r>
      <rPr>
        <sz val="11"/>
        <color theme="1"/>
        <rFont val="Noto Sans CJK SC"/>
        <family val="2"/>
      </rPr>
      <t xml:space="preserve">；用的是 </t>
    </r>
    <r>
      <rPr>
        <sz val="11"/>
        <color theme="1"/>
        <rFont val="Calibri"/>
        <family val="2"/>
        <charset val="1"/>
      </rPr>
      <t xml:space="preserve">2024-10 </t>
    </r>
    <r>
      <rPr>
        <sz val="11"/>
        <color theme="1"/>
        <rFont val="Noto Sans CJK SC"/>
        <family val="2"/>
      </rPr>
      <t xml:space="preserve">降價後的價格，日期卻是模型發布日；時點與價格不同步</t>
    </r>
  </si>
  <si>
    <t xml:space="preserve">Gemini 2.0 Flash</t>
  </si>
  <si>
    <t xml:space="preserve">2025-02-05</t>
  </si>
  <si>
    <r>
      <rPr>
        <sz val="11"/>
        <color theme="1"/>
        <rFont val="Calibri"/>
        <family val="2"/>
        <charset val="1"/>
      </rPr>
      <t xml:space="preserve">a2 GPQA Diamond≥33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GPT-4-0314 </t>
    </r>
    <r>
      <rPr>
        <sz val="11"/>
        <color theme="1"/>
        <rFont val="Noto Sans CJK SC"/>
        <family val="2"/>
      </rPr>
      <t xml:space="preserve">水準）最低價</t>
    </r>
  </si>
  <si>
    <t xml:space="preserve">Mistral-Large-2024-02</t>
  </si>
  <si>
    <t xml:space="preserve">2024-02-26</t>
  </si>
  <si>
    <t xml:space="preserve">Claude-3-Haiku</t>
  </si>
  <si>
    <t xml:space="preserve">2024-03-04</t>
  </si>
  <si>
    <r>
      <rPr>
        <sz val="11"/>
        <color theme="1"/>
        <rFont val="Noto Sans CJK SC"/>
        <family val="2"/>
      </rPr>
      <t xml:space="preserve">計算：</t>
    </r>
    <r>
      <rPr>
        <sz val="11"/>
        <color theme="1"/>
        <rFont val="Calibri"/>
        <family val="2"/>
        <charset val="1"/>
      </rPr>
      <t xml:space="preserve">(3×0.25+1.25)/4</t>
    </r>
  </si>
  <si>
    <t xml:space="preserve">Gemini-1.5-Flash-2024-05</t>
  </si>
  <si>
    <t xml:space="preserve">2024-05-10</t>
  </si>
  <si>
    <t xml:space="preserve">同上，價格可能為降價後</t>
  </si>
  <si>
    <t xml:space="preserve">Phi 4</t>
  </si>
  <si>
    <t xml:space="preserve">2024-12-13</t>
  </si>
  <si>
    <r>
      <rPr>
        <sz val="11"/>
        <color theme="1"/>
        <rFont val="Calibri"/>
        <family val="2"/>
        <charset val="1"/>
      </rPr>
      <t xml:space="preserve">a3 </t>
    </r>
    <r>
      <rPr>
        <sz val="11"/>
        <color theme="1"/>
        <rFont val="Noto Sans CJK SC"/>
        <family val="2"/>
      </rPr>
      <t xml:space="preserve">彙總速率（</t>
    </r>
    <r>
      <rPr>
        <sz val="11"/>
        <color theme="1"/>
        <rFont val="Calibri"/>
        <family val="2"/>
        <charset val="1"/>
      </rPr>
      <t xml:space="preserve">Epoch 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</si>
  <si>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GPQA </t>
    </r>
    <r>
      <rPr>
        <sz val="11"/>
        <color theme="1"/>
        <rFont val="Noto Sans CJK SC"/>
        <family val="2"/>
      </rPr>
      <t xml:space="preserve">達 </t>
    </r>
    <r>
      <rPr>
        <sz val="11"/>
        <color theme="1"/>
        <rFont val="Calibri"/>
        <family val="2"/>
        <charset val="1"/>
      </rPr>
      <t xml:space="preserve">GPT-4-0314 </t>
    </r>
    <r>
      <rPr>
        <sz val="11"/>
        <color theme="1"/>
        <rFont val="Noto Sans CJK SC"/>
        <family val="2"/>
      </rPr>
      <t xml:space="preserve">水準</t>
    </r>
  </si>
  <si>
    <t xml:space="preserve">2023-03→2025-02</t>
  </si>
  <si>
    <t xml:space="preserve">倍／年</t>
  </si>
  <si>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：價格每年下降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倍；各門檻範圍 </t>
    </r>
    <r>
      <rPr>
        <sz val="11"/>
        <color theme="1"/>
        <rFont val="Calibri"/>
        <family val="2"/>
        <charset val="1"/>
      </rPr>
      <t xml:space="preserve">9–900 </t>
    </r>
    <r>
      <rPr>
        <sz val="11"/>
        <color theme="1"/>
        <rFont val="Noto Sans CJK SC"/>
        <family val="2"/>
      </rPr>
      <t xml:space="preserve">倍／年；「最快的下降發生在最近一年，不確定是否持續」</t>
    </r>
  </si>
  <si>
    <r>
      <rPr>
        <sz val="11"/>
        <color theme="1"/>
        <rFont val="Calibri"/>
        <family val="2"/>
        <charset val="1"/>
      </rPr>
      <t xml:space="preserve">a3 </t>
    </r>
    <r>
      <rPr>
        <sz val="11"/>
        <color theme="1"/>
        <rFont val="Noto Sans CJK SC"/>
        <family val="2"/>
      </rPr>
      <t xml:space="preserve">彙總速率（</t>
    </r>
    <r>
      <rPr>
        <sz val="11"/>
        <color theme="1"/>
        <rFont val="Calibri"/>
        <family val="2"/>
        <charset val="1"/>
      </rPr>
      <t xml:space="preserve">Epoch 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</si>
  <si>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五個基準平均（</t>
    </r>
    <r>
      <rPr>
        <sz val="11"/>
        <color theme="1"/>
        <rFont val="Calibri"/>
        <family val="2"/>
        <charset val="1"/>
      </rPr>
      <t xml:space="preserve">AIME</t>
    </r>
    <r>
      <rPr>
        <sz val="11"/>
        <color theme="1"/>
        <rFont val="Noto Sans CJK SC"/>
        <family val="2"/>
      </rPr>
      <t xml:space="preserve">、棋題、</t>
    </r>
    <r>
      <rPr>
        <sz val="11"/>
        <color theme="1"/>
        <rFont val="Calibri"/>
        <family val="2"/>
        <charset val="1"/>
      </rPr>
      <t xml:space="preserve">FrontierMath 1–3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GPQA Diamond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Mystery Game</t>
    </r>
    <r>
      <rPr>
        <sz val="11"/>
        <color theme="1"/>
        <rFont val="Noto Sans CJK SC"/>
        <family val="2"/>
      </rPr>
      <t xml:space="preserve">）</t>
    </r>
  </si>
  <si>
    <t xml:space="preserve">2023→2026</t>
  </si>
  <si>
    <r>
      <rPr>
        <sz val="11"/>
        <color theme="1"/>
        <rFont val="Noto Sans CJK SC"/>
        <family val="2"/>
      </rPr>
      <t xml:space="preserve">倍／年（≈每季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</si>
  <si>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成本＝達到固定準確度的實際花費（含推理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，由測試逐題紀錄計算），不是牌價；最前沿 −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／季（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倍／年）；</t>
    </r>
    <r>
      <rPr>
        <sz val="11"/>
        <color theme="1"/>
        <rFont val="Calibri"/>
        <family val="2"/>
        <charset val="1"/>
      </rPr>
      <t xml:space="preserve">SOTA </t>
    </r>
    <r>
      <rPr>
        <sz val="11"/>
        <color theme="1"/>
        <rFont val="Noto Sans CJK SC"/>
        <family val="2"/>
      </rPr>
      <t xml:space="preserve">後兩年 −</t>
    </r>
    <r>
      <rPr>
        <sz val="11"/>
        <color theme="1"/>
        <rFont val="Calibri"/>
        <family val="2"/>
        <charset val="1"/>
      </rPr>
      <t xml:space="preserve">32%</t>
    </r>
    <r>
      <rPr>
        <sz val="11"/>
        <color theme="1"/>
        <rFont val="Noto Sans CJK SC"/>
        <family val="2"/>
      </rPr>
      <t xml:space="preserve">／季（</t>
    </r>
    <r>
      <rPr>
        <sz val="11"/>
        <color theme="1"/>
        <rFont val="Calibri"/>
        <family val="2"/>
        <charset val="1"/>
      </rPr>
      <t xml:space="preserve">4.7 </t>
    </r>
    <r>
      <rPr>
        <sz val="11"/>
        <color theme="1"/>
        <rFont val="Noto Sans CJK SC"/>
        <family val="2"/>
      </rPr>
      <t xml:space="preserve">倍／年）；開源模型以租用硬體計價</t>
    </r>
  </si>
  <si>
    <r>
      <rPr>
        <sz val="11"/>
        <color theme="1"/>
        <rFont val="Calibri"/>
        <family val="2"/>
        <charset val="1"/>
      </rPr>
      <t xml:space="preserve">Epoch AI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The plunging price of thought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Emberson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Roodman</t>
    </r>
    <r>
      <rPr>
        <sz val="11"/>
        <color theme="1"/>
        <rFont val="Noto Sans CJK SC"/>
        <family val="2"/>
      </rPr>
      <t xml:space="preserve">）</t>
    </r>
  </si>
  <si>
    <t xml:space="preserve">https://epoch.ai/publications/the-plunging-price-of-thought</t>
  </si>
  <si>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2026-09-23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</si>
  <si>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Noto Sans CJK SC"/>
        <family val="2"/>
      </rPr>
      <t xml:space="preserve">研究機構；成本口徑含推理 </t>
    </r>
    <r>
      <rPr>
        <sz val="11"/>
        <color theme="1"/>
        <rFont val="Calibri"/>
        <family val="2"/>
        <charset val="1"/>
      </rPr>
      <t xml:space="preserve">token</t>
    </r>
  </si>
  <si>
    <r>
      <rPr>
        <sz val="11"/>
        <color theme="1"/>
        <rFont val="Calibri"/>
        <family val="2"/>
        <charset val="1"/>
      </rPr>
      <t xml:space="preserve">o3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2025-01-31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GPT-5.6 Luna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個月後）達 </t>
    </r>
    <r>
      <rPr>
        <sz val="11"/>
        <color theme="1"/>
        <rFont val="Calibri"/>
        <family val="2"/>
        <charset val="1"/>
      </rPr>
      <t xml:space="preserve">GPQA Diamond 75%</t>
    </r>
  </si>
  <si>
    <t xml:space="preserve">2025-01→2026-07</t>
  </si>
  <si>
    <r>
      <rPr>
        <sz val="11"/>
        <color theme="1"/>
        <rFont val="Noto Sans CJK SC"/>
        <family val="2"/>
      </rPr>
      <t xml:space="preserve">倍（每題成本 </t>
    </r>
    <r>
      <rPr>
        <sz val="11"/>
        <color theme="1"/>
        <rFont val="Calibri"/>
        <family val="2"/>
        <charset val="1"/>
      </rPr>
      <t xml:space="preserve">$0.30→$0.0004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</si>
  <si>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舉例</t>
    </r>
  </si>
  <si>
    <r>
      <rPr>
        <sz val="11"/>
        <color theme="1"/>
        <rFont val="Calibri"/>
        <family val="2"/>
        <charset val="1"/>
      </rPr>
      <t xml:space="preserve">Epoch AI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The plunging price of thought</t>
    </r>
    <r>
      <rPr>
        <sz val="11"/>
        <color theme="1"/>
        <rFont val="Noto Sans CJK SC"/>
        <family val="2"/>
      </rPr>
      <t xml:space="preserve">」</t>
    </r>
  </si>
  <si>
    <t xml:space="preserve">2026-09-22</t>
  </si>
  <si>
    <r>
      <rPr>
        <sz val="11"/>
        <color theme="1"/>
        <rFont val="Calibri"/>
        <family val="2"/>
        <charset val="1"/>
      </rPr>
      <t xml:space="preserve">a3 </t>
    </r>
    <r>
      <rPr>
        <sz val="11"/>
        <color theme="1"/>
        <rFont val="Noto Sans CJK SC"/>
        <family val="2"/>
      </rPr>
      <t xml:space="preserve">彙總速率（學術）</t>
    </r>
  </si>
  <si>
    <t xml:space="preserve">前沿模型達固定基準分數的成本（知識、推理、數學、軟體工程基準）</t>
  </si>
  <si>
    <t xml:space="preserve">2022→2025</t>
  </si>
  <si>
    <r>
      <rPr>
        <sz val="11"/>
        <color theme="1"/>
        <rFont val="Noto Sans CJK SC"/>
        <family val="2"/>
      </rPr>
      <t xml:space="preserve">倍／年（</t>
    </r>
    <r>
      <rPr>
        <sz val="11"/>
        <color theme="1"/>
        <rFont val="Calibri"/>
        <family val="2"/>
        <charset val="1"/>
      </rPr>
      <t xml:space="preserve">5–10 </t>
    </r>
    <r>
      <rPr>
        <sz val="11"/>
        <color theme="1"/>
        <rFont val="Noto Sans CJK SC"/>
        <family val="2"/>
      </rPr>
      <t xml:space="preserve">倍）</t>
    </r>
  </si>
  <si>
    <r>
      <rPr>
        <sz val="11"/>
        <color theme="1"/>
        <rFont val="Calibri"/>
        <family val="2"/>
        <charset val="1"/>
      </rPr>
      <t xml:space="preserve">Gundlach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Lynch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Mertens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Thompson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arXiv 2511.23455v2</t>
    </r>
    <r>
      <rPr>
        <sz val="11"/>
        <color theme="1"/>
        <rFont val="Noto Sans CJK SC"/>
        <family val="2"/>
      </rPr>
      <t xml:space="preserve">）：演算法效率約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倍／年；前沿模型的執行價格另以每年 </t>
    </r>
    <r>
      <rPr>
        <sz val="11"/>
        <color theme="1"/>
        <rFont val="Calibri"/>
        <family val="2"/>
        <charset val="1"/>
      </rPr>
      <t xml:space="preserve">3–18 </t>
    </r>
    <r>
      <rPr>
        <sz val="11"/>
        <color theme="1"/>
        <rFont val="Noto Sans CJK SC"/>
        <family val="2"/>
      </rPr>
      <t xml:space="preserve">倍上升</t>
    </r>
  </si>
  <si>
    <r>
      <rPr>
        <sz val="11"/>
        <color theme="1"/>
        <rFont val="Calibri"/>
        <family val="2"/>
        <charset val="1"/>
      </rPr>
      <t xml:space="preserve">arXiv 2511.23455v2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The Price of Progress</t>
    </r>
    <r>
      <rPr>
        <sz val="11"/>
        <color theme="1"/>
        <rFont val="Noto Sans CJK SC"/>
        <family val="2"/>
      </rPr>
      <t xml:space="preserve">」</t>
    </r>
  </si>
  <si>
    <t xml:space="preserve">https://arxiv.org/abs/2511.23455v2</t>
  </si>
  <si>
    <r>
      <rPr>
        <sz val="11"/>
        <color theme="1"/>
        <rFont val="Calibri"/>
        <family val="2"/>
        <charset val="1"/>
      </rPr>
      <t xml:space="preserve">2026-03-23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）</t>
    </r>
  </si>
  <si>
    <t xml:space="preserve">學術研究</t>
  </si>
  <si>
    <r>
      <rPr>
        <b val="true"/>
        <sz val="11"/>
        <rFont val="Cambria"/>
        <family val="0"/>
        <charset val="1"/>
      </rPr>
      <t xml:space="preserve">(a′) </t>
    </r>
    <r>
      <rPr>
        <b val="true"/>
        <sz val="11"/>
        <rFont val="Noto Sans CJK SC"/>
        <family val="2"/>
      </rPr>
      <t xml:space="preserve">同一模型壽命內降價（供 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區分「壽命內衰減」與「世代間價格變化」）</t>
    </r>
  </si>
  <si>
    <t xml:space="preserve">模型</t>
  </si>
  <si>
    <t xml:space="preserve">生效日</t>
  </si>
  <si>
    <t xml:space="preserve">舊價</t>
  </si>
  <si>
    <t xml:space="preserve">新價</t>
  </si>
  <si>
    <t xml:space="preserve">幅度</t>
  </si>
  <si>
    <t xml:space="preserve">o3</t>
  </si>
  <si>
    <t xml:space="preserve">2025-06-10</t>
  </si>
  <si>
    <r>
      <rPr>
        <sz val="11"/>
        <color theme="1"/>
        <rFont val="Calibri"/>
        <family val="2"/>
        <charset val="1"/>
      </rPr>
      <t xml:space="preserve">10/40</t>
    </r>
    <r>
      <rPr>
        <sz val="11"/>
        <color theme="1"/>
        <rFont val="Noto Sans CJK SC"/>
        <family val="2"/>
      </rPr>
      <t xml:space="preserve">（圖說）</t>
    </r>
  </si>
  <si>
    <t xml:space="preserve">2/8</t>
  </si>
  <si>
    <r>
      <rPr>
        <sz val="11"/>
        <color theme="1"/>
        <rFont val="Calibri"/>
        <family val="2"/>
        <charset val="1"/>
      </rPr>
      <t xml:space="preserve">$/M </t>
    </r>
    <r>
      <rPr>
        <sz val="11"/>
        <color theme="1"/>
        <rFont val="Noto Sans CJK SC"/>
        <family val="2"/>
      </rPr>
      <t xml:space="preserve">輸入／輸出（−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</si>
  <si>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舊價僅見於圖說（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產生圖說），官方文字只給新價 </t>
    </r>
    <r>
      <rPr>
        <sz val="11"/>
        <color theme="1"/>
        <rFont val="Calibri"/>
        <family val="2"/>
        <charset val="1"/>
      </rPr>
      <t xml:space="preserve">2/8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</si>
  <si>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</si>
  <si>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OpenAI Developer Community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o3 is 80% cheaper</t>
    </r>
    <r>
      <rPr>
        <sz val="11"/>
        <color theme="1"/>
        <rFont val="Noto Sans CJK SC"/>
        <family val="2"/>
      </rPr>
      <t xml:space="preserve">」</t>
    </r>
  </si>
  <si>
    <t xml:space="preserve">https://community.openai.com/t/o3-is-80-cheaper-and-introducing-o3-pro/1284925</t>
  </si>
  <si>
    <t xml:space="preserve">賣方（模型商）自家牌價；價格事實以官方頁確認，立場為銷售方</t>
  </si>
  <si>
    <t xml:space="preserve">Gemini 1.5 Pro</t>
  </si>
  <si>
    <t xml:space="preserve">2024-10-01</t>
  </si>
  <si>
    <r>
      <rPr>
        <sz val="11"/>
        <color theme="1"/>
        <rFont val="Calibri"/>
        <family val="2"/>
        <charset val="1"/>
      </rPr>
      <t xml:space="preserve">3.5/10.5</t>
    </r>
    <r>
      <rPr>
        <sz val="11"/>
        <color theme="1"/>
        <rFont val="Noto Sans CJK SC"/>
        <family val="2"/>
      </rPr>
      <t xml:space="preserve">（推算）</t>
    </r>
  </si>
  <si>
    <r>
      <rPr>
        <sz val="11"/>
        <color theme="1"/>
        <rFont val="Calibri"/>
        <family val="2"/>
        <charset val="1"/>
      </rPr>
      <t xml:space="preserve">1.25/5</t>
    </r>
    <r>
      <rPr>
        <sz val="11"/>
        <color theme="1"/>
        <rFont val="Noto Sans CJK SC"/>
        <family val="2"/>
      </rPr>
      <t xml:space="preserve">（推算）</t>
    </r>
  </si>
  <si>
    <r>
      <rPr>
        <sz val="11"/>
        <color theme="1"/>
        <rFont val="Noto Sans CJK SC"/>
        <family val="2"/>
      </rPr>
      <t xml:space="preserve">輸入 −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／輸出 −</t>
    </r>
    <r>
      <rPr>
        <sz val="11"/>
        <color theme="1"/>
        <rFont val="Calibri"/>
        <family val="2"/>
        <charset val="1"/>
      </rPr>
      <t xml:space="preserve">52%</t>
    </r>
  </si>
  <si>
    <t xml:space="preserve">官方只給降幅</t>
  </si>
  <si>
    <t xml:space="preserve">developers.googleblog.com</t>
  </si>
  <si>
    <t xml:space="preserve">https://developers.googleblog.com/en/updated-production-ready-gemini-models-reduced-15-pro-pricing-increased-rate-limits-and-more/</t>
  </si>
  <si>
    <t xml:space="preserve">2024-09-24</t>
  </si>
  <si>
    <t xml:space="preserve">GPT-5.6 Luna</t>
  </si>
  <si>
    <t xml:space="preserve">2026-07-30</t>
  </si>
  <si>
    <t xml:space="preserve">—</t>
  </si>
  <si>
    <t xml:space="preserve">−80%</t>
  </si>
  <si>
    <t xml:space="preserve">developers.openai.com changelog</t>
  </si>
  <si>
    <t xml:space="preserve">https://developers.openai.com/api/docs/changelog</t>
  </si>
  <si>
    <t xml:space="preserve">GPT-5.6 Terra</t>
  </si>
  <si>
    <t xml:space="preserve">2.5/15</t>
  </si>
  <si>
    <r>
      <rPr>
        <sz val="11"/>
        <color theme="1"/>
        <rFont val="Calibri"/>
        <family val="2"/>
        <charset val="1"/>
      </rPr>
      <t xml:space="preserve">2/12</t>
    </r>
    <r>
      <rPr>
        <sz val="11"/>
        <color theme="1"/>
        <rFont val="Noto Sans CJK SC"/>
        <family val="2"/>
      </rPr>
      <t xml:space="preserve">（推算）</t>
    </r>
  </si>
  <si>
    <t xml:space="preserve">−20%</t>
  </si>
  <si>
    <t xml:space="preserve">openai.com/index/gpt-5-6/</t>
  </si>
  <si>
    <t xml:space="preserve">https://openai.com/index/gpt-5-6/</t>
  </si>
  <si>
    <t xml:space="preserve">GPT-5.6 Sol</t>
  </si>
  <si>
    <t xml:space="preserve">2026-08-21</t>
  </si>
  <si>
    <t xml:space="preserve">5/30</t>
  </si>
  <si>
    <t xml:space="preserve">4/20</t>
  </si>
  <si>
    <r>
      <rPr>
        <sz val="11"/>
        <color theme="1"/>
        <rFont val="Noto Sans CJK SC"/>
        <family val="2"/>
      </rPr>
      <t xml:space="preserve">輸入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／輸出 −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（促銷，至少至 </t>
    </r>
    <r>
      <rPr>
        <sz val="11"/>
        <color theme="1"/>
        <rFont val="Calibri"/>
        <family val="2"/>
        <charset val="1"/>
      </rPr>
      <t xml:space="preserve">2026-11-21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</si>
  <si>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P5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on-demand</t>
    </r>
  </si>
  <si>
    <t xml:space="preserve">2025-06-01</t>
  </si>
  <si>
    <r>
      <rPr>
        <sz val="11"/>
        <color theme="1"/>
        <rFont val="Calibri"/>
        <family val="2"/>
        <charset val="1"/>
      </rPr>
      <t xml:space="preserve">~12.29/GPU-hr</t>
    </r>
    <r>
      <rPr>
        <sz val="11"/>
        <color theme="1"/>
        <rFont val="Noto Sans CJK SC"/>
        <family val="2"/>
      </rPr>
      <t xml:space="preserve">（推算：</t>
    </r>
    <r>
      <rPr>
        <sz val="11"/>
        <color theme="1"/>
        <rFont val="Calibri"/>
        <family val="2"/>
        <charset val="1"/>
      </rPr>
      <t xml:space="preserve">55.04÷0.56÷8</t>
    </r>
    <r>
      <rPr>
        <sz val="11"/>
        <color theme="1"/>
        <rFont val="Noto Sans CJK SC"/>
        <family val="2"/>
      </rPr>
      <t xml:space="preserve">）</t>
    </r>
  </si>
  <si>
    <t xml:space="preserve">6.88/GPU-hr</t>
  </si>
  <si>
    <r>
      <rPr>
        <sz val="11"/>
        <color theme="1"/>
        <rFont val="Calibri"/>
        <family val="2"/>
        <charset val="1"/>
      </rPr>
      <t xml:space="preserve">−44%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Savings Plans −25% </t>
    </r>
    <r>
      <rPr>
        <sz val="11"/>
        <color theme="1"/>
        <rFont val="Noto Sans CJK SC"/>
        <family val="2"/>
      </rPr>
      <t xml:space="preserve">至 −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</si>
  <si>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t xml:space="preserve">此項屬算力租賃，列此供對照</t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</si>
  <si>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部落格「</t>
    </r>
    <r>
      <rPr>
        <sz val="11"/>
        <color theme="1"/>
        <rFont val="Calibri"/>
        <family val="2"/>
        <charset val="1"/>
      </rPr>
      <t xml:space="preserve">up to 45% price reduction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instances.vantage.sh</t>
    </r>
    <r>
      <rPr>
        <sz val="11"/>
        <color theme="1"/>
        <rFont val="Noto Sans CJK SC"/>
        <family val="2"/>
      </rPr>
      <t xml:space="preserve">（現價）</t>
    </r>
  </si>
  <si>
    <t xml:space="preserve">https://aws.amazon.com/blogs/aws/announcing-up-to-45-price-reduction-for-amazon-ec2-nvidia-gpu-accelerated-instances/</t>
  </si>
  <si>
    <t xml:space="preserve">2025-06</t>
  </si>
  <si>
    <t xml:space="preserve">賣方（雲端商）自家牌價；立場為銷售方</t>
  </si>
  <si>
    <t xml:space="preserve">Claude Sonnet 5</t>
  </si>
  <si>
    <t xml:space="preserve">2026-08-10</t>
  </si>
  <si>
    <r>
      <rPr>
        <sz val="11"/>
        <color theme="1"/>
        <rFont val="Noto Sans CJK SC"/>
        <family val="2"/>
      </rPr>
      <t xml:space="preserve">（原訂 </t>
    </r>
    <r>
      <rPr>
        <sz val="11"/>
        <color theme="1"/>
        <rFont val="Calibri"/>
        <family val="2"/>
        <charset val="1"/>
      </rPr>
      <t xml:space="preserve">9/1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3/15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</si>
  <si>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2/10 </t>
    </r>
    <r>
      <rPr>
        <sz val="11"/>
        <color theme="1"/>
        <rFont val="Noto Sans CJK SC"/>
        <family val="2"/>
      </rPr>
      <t xml:space="preserve">轉為永久</t>
    </r>
  </si>
  <si>
    <t xml:space="preserve">未實現的漲價取消</t>
  </si>
  <si>
    <t xml:space="preserve">anthropic.com/news/claude-sonnet-5</t>
  </si>
  <si>
    <t xml:space="preserve">https://www.anthropic.com/news/claude-sonnet-5</t>
  </si>
  <si>
    <r>
      <rPr>
        <sz val="11"/>
        <color theme="1"/>
        <rFont val="Noto Sans CJK SC"/>
        <family val="2"/>
      </rPr>
      <t xml:space="preserve">已搜尋，未找到：</t>
    </r>
    <r>
      <rPr>
        <sz val="11"/>
        <color theme="1"/>
        <rFont val="Calibri"/>
        <family val="2"/>
        <charset val="1"/>
      </rPr>
      <t xml:space="preserve">2025-02 </t>
    </r>
    <r>
      <rPr>
        <sz val="11"/>
        <color theme="1"/>
        <rFont val="Noto Sans CJK SC"/>
        <family val="2"/>
      </rPr>
      <t xml:space="preserve">以後、可回溯到原始牌價的逐點「固定能力最低價」序列（</t>
    </r>
    <r>
      <rPr>
        <sz val="11"/>
        <color theme="1"/>
        <rFont val="Calibri"/>
        <family val="2"/>
        <charset val="1"/>
      </rPr>
      <t xml:space="preserve">Epoch 2025 </t>
    </r>
    <r>
      <rPr>
        <sz val="11"/>
        <color theme="1"/>
        <rFont val="Noto Sans CJK SC"/>
        <family val="2"/>
      </rPr>
      <t xml:space="preserve">表止於 </t>
    </r>
    <r>
      <rPr>
        <sz val="11"/>
        <color theme="1"/>
        <rFont val="Calibri"/>
        <family val="2"/>
        <charset val="1"/>
      </rPr>
      <t xml:space="preserve">2025-02-05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Epoch 2026-09 </t>
    </r>
    <r>
      <rPr>
        <sz val="11"/>
        <color theme="1"/>
        <rFont val="Noto Sans CJK SC"/>
        <family val="2"/>
      </rPr>
      <t xml:space="preserve">報告為成本口徑彙總，圖內數值未提供）。已搜尋管道：</t>
    </r>
    <r>
      <rPr>
        <sz val="11"/>
        <color theme="1"/>
        <rFont val="Calibri"/>
        <family val="2"/>
        <charset val="1"/>
      </rPr>
      <t xml:space="preserve">epoch.ai </t>
    </r>
    <r>
      <rPr>
        <sz val="11"/>
        <color theme="1"/>
        <rFont val="Noto Sans CJK SC"/>
        <family val="2"/>
      </rPr>
      <t xml:space="preserve">兩篇、</t>
    </r>
    <r>
      <rPr>
        <sz val="11"/>
        <color theme="1"/>
        <rFont val="Calibri"/>
        <family val="2"/>
        <charset val="1"/>
      </rPr>
      <t xml:space="preserve">arXiv 2511.23455</t>
    </r>
    <r>
      <rPr>
        <sz val="11"/>
        <color theme="1"/>
        <rFont val="Noto Sans CJK SC"/>
        <family val="2"/>
      </rPr>
      <t xml:space="preserve">。未查：</t>
    </r>
    <r>
      <rPr>
        <sz val="11"/>
        <color theme="1"/>
        <rFont val="Calibri"/>
        <family val="2"/>
        <charset val="1"/>
      </rPr>
      <t xml:space="preserve">Artificial Analysis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</si>
  <si>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3"/>
        <rFont val="Cambria"/>
        <family val="0"/>
        <charset val="1"/>
      </rPr>
      <t xml:space="preserve">(b) </t>
    </r>
    <r>
      <rPr>
        <b val="true"/>
        <sz val="13"/>
        <rFont val="Noto Sans CJK SC"/>
        <family val="2"/>
      </rPr>
      <t xml:space="preserve">層級牌價（上市時每 </t>
    </r>
    <r>
      <rPr>
        <b val="true"/>
        <sz val="13"/>
        <rFont val="Cambria"/>
        <family val="0"/>
        <charset val="1"/>
      </rPr>
      <t xml:space="preserve">M token</t>
    </r>
    <r>
      <rPr>
        <b val="true"/>
        <sz val="13"/>
        <rFont val="Noto Sans CJK SC"/>
        <family val="2"/>
      </rPr>
      <t xml:space="preserve">；輸入、輸出分開）</t>
    </r>
  </si>
  <si>
    <t xml:space="preserve">業者</t>
  </si>
  <si>
    <t xml:space="preserve">層級</t>
  </si>
  <si>
    <t xml:space="preserve">上市／生效日</t>
  </si>
  <si>
    <r>
      <rPr>
        <b val="true"/>
        <sz val="11"/>
        <color rgb="FFFFFFFF"/>
        <rFont val="Noto Sans CJK SC"/>
        <family val="2"/>
      </rPr>
      <t xml:space="preserve">輸入 </t>
    </r>
    <r>
      <rPr>
        <b val="true"/>
        <sz val="11"/>
        <color rgb="FFFFFFFF"/>
        <rFont val="Cambria"/>
        <family val="0"/>
        <charset val="1"/>
      </rPr>
      <t xml:space="preserve">$/M</t>
    </r>
  </si>
  <si>
    <r>
      <rPr>
        <b val="true"/>
        <sz val="11"/>
        <color rgb="FFFFFFFF"/>
        <rFont val="Noto Sans CJK SC"/>
        <family val="2"/>
      </rPr>
      <t xml:space="preserve">輸出 </t>
    </r>
    <r>
      <rPr>
        <b val="true"/>
        <sz val="11"/>
        <color rgb="FFFFFFFF"/>
        <rFont val="Cambria"/>
        <family val="0"/>
        <charset val="1"/>
      </rPr>
      <t xml:space="preserve">$/M</t>
    </r>
  </si>
  <si>
    <r>
      <rPr>
        <b val="true"/>
        <sz val="11"/>
        <color rgb="FFFFFFFF"/>
        <rFont val="Cambria"/>
        <family val="0"/>
        <charset val="1"/>
      </rPr>
      <t xml:space="preserve">3:1 </t>
    </r>
    <r>
      <rPr>
        <b val="true"/>
        <sz val="11"/>
        <color rgb="FFFFFFFF"/>
        <rFont val="Noto Sans CJK SC"/>
        <family val="2"/>
      </rPr>
      <t xml:space="preserve">混合 </t>
    </r>
    <r>
      <rPr>
        <b val="true"/>
        <sz val="11"/>
        <color rgb="FFFFFFFF"/>
        <rFont val="Cambria"/>
        <family val="0"/>
        <charset val="1"/>
      </rPr>
      <t xml:space="preserve">$/M</t>
    </r>
  </si>
  <si>
    <r>
      <rPr>
        <b val="true"/>
        <sz val="11"/>
        <color rgb="FFFFFFFF"/>
        <rFont val="Cambria"/>
        <family val="0"/>
        <charset val="1"/>
      </rPr>
      <t xml:space="preserve">8:1 </t>
    </r>
    <r>
      <rPr>
        <b val="true"/>
        <sz val="11"/>
        <color rgb="FFFFFFFF"/>
        <rFont val="Noto Sans CJK SC"/>
        <family val="2"/>
      </rPr>
      <t xml:space="preserve">混合 </t>
    </r>
    <r>
      <rPr>
        <b val="true"/>
        <sz val="11"/>
        <color rgb="FFFFFFFF"/>
        <rFont val="Cambria"/>
        <family val="0"/>
        <charset val="1"/>
      </rPr>
      <t xml:space="preserve">$/M</t>
    </r>
  </si>
  <si>
    <t xml:space="preserve">備註</t>
  </si>
  <si>
    <t xml:space="preserve">OpenAI</t>
  </si>
  <si>
    <t xml:space="preserve">中階</t>
  </si>
  <si>
    <t xml:space="preserve">GPT-4 (8K)</t>
  </si>
  <si>
    <t xml:space="preserve">openai.com/index/gpt-4-research/</t>
  </si>
  <si>
    <t xml:space="preserve">https://openai.com/index/gpt-4-research/</t>
  </si>
  <si>
    <t xml:space="preserve">當時為旗艦</t>
  </si>
  <si>
    <r>
      <rPr>
        <sz val="11"/>
        <color theme="1"/>
        <rFont val="Calibri"/>
        <family val="2"/>
        <charset val="1"/>
      </rPr>
      <t xml:space="preserve">openai.com DevDay </t>
    </r>
    <r>
      <rPr>
        <sz val="11"/>
        <color theme="1"/>
        <rFont val="Noto Sans CJK SC"/>
        <family val="2"/>
      </rPr>
      <t xml:space="preserve">公告</t>
    </r>
  </si>
  <si>
    <t xml:space="preserve">https://openai.com/index/new-models-and-developer-products-announced-at-devday/</t>
  </si>
  <si>
    <t xml:space="preserve">GPT-4o</t>
  </si>
  <si>
    <r>
      <rPr>
        <sz val="11"/>
        <color theme="1"/>
        <rFont val="Calibri"/>
        <family val="2"/>
        <charset val="1"/>
      </rPr>
      <t xml:space="preserve">OpenAI Developer Community </t>
    </r>
    <r>
      <rPr>
        <sz val="11"/>
        <color theme="1"/>
        <rFont val="Noto Sans CJK SC"/>
        <family val="2"/>
      </rPr>
      <t xml:space="preserve">官方公告貼文</t>
    </r>
  </si>
  <si>
    <t xml:space="preserve">https://community.openai.com/t/announcing-gpt-4o-in-the-api/744700</t>
  </si>
  <si>
    <r>
      <rPr>
        <sz val="11"/>
        <color theme="1"/>
        <rFont val="Noto Sans CJK SC"/>
        <family val="2"/>
      </rPr>
      <t xml:space="preserve">當時為旗艦；</t>
    </r>
    <r>
      <rPr>
        <sz val="11"/>
        <color theme="1"/>
        <rFont val="Calibri"/>
        <family val="2"/>
        <charset val="1"/>
      </rPr>
      <t xml:space="preserve">openai.com </t>
    </r>
    <r>
      <rPr>
        <sz val="11"/>
        <color theme="1"/>
        <rFont val="Noto Sans CJK SC"/>
        <family val="2"/>
      </rPr>
      <t xml:space="preserve">本站頁無絕對價</t>
    </r>
  </si>
  <si>
    <t xml:space="preserve">GPT-4o-2024-08-06</t>
  </si>
  <si>
    <t xml:space="preserve">2024-08-06</t>
  </si>
  <si>
    <r>
      <rPr>
        <sz val="11"/>
        <color theme="1"/>
        <rFont val="Calibri"/>
        <family val="2"/>
        <charset val="1"/>
      </rPr>
      <t xml:space="preserve">openai.com structured outputs </t>
    </r>
    <r>
      <rPr>
        <sz val="11"/>
        <color theme="1"/>
        <rFont val="Noto Sans CJK SC"/>
        <family val="2"/>
      </rPr>
      <t xml:space="preserve">公告</t>
    </r>
  </si>
  <si>
    <t xml:space="preserve">https://openai.com/index/introducing-structured-outputs-in-the-api/</t>
  </si>
  <si>
    <t xml:space="preserve">新快照降價</t>
  </si>
  <si>
    <t xml:space="preserve">GPT-4.1</t>
  </si>
  <si>
    <t xml:space="preserve">2025-04-14</t>
  </si>
  <si>
    <t xml:space="preserve">openai.com/index/gpt-4-1/</t>
  </si>
  <si>
    <t xml:space="preserve">https://openai.com/index/gpt-4-1/</t>
  </si>
  <si>
    <t xml:space="preserve">GPT-5</t>
  </si>
  <si>
    <t xml:space="preserve">2025-08-07</t>
  </si>
  <si>
    <t xml:space="preserve">openai.com GPT-5 for developers</t>
  </si>
  <si>
    <t xml:space="preserve">https://openai.com/index/introducing-gpt-5-for-developers/</t>
  </si>
  <si>
    <t xml:space="preserve">GPT-5.2</t>
  </si>
  <si>
    <t xml:space="preserve">2025-12-11</t>
  </si>
  <si>
    <t xml:space="preserve">openai.com/index/introducing-gpt-5-2/</t>
  </si>
  <si>
    <t xml:space="preserve">https://openai.com/index/introducing-gpt-5-2/</t>
  </si>
  <si>
    <t xml:space="preserve">GPT-5.4</t>
  </si>
  <si>
    <t xml:space="preserve">2026-03-05</t>
  </si>
  <si>
    <t xml:space="preserve">openai.com/index/introducing-gpt-5-4/</t>
  </si>
  <si>
    <t xml:space="preserve">https://openai.com/index/introducing-gpt-5-4/</t>
  </si>
  <si>
    <r>
      <rPr>
        <sz val="11"/>
        <color theme="1"/>
        <rFont val="Calibri"/>
        <family val="2"/>
        <charset val="1"/>
      </rPr>
      <t xml:space="preserve">GPT-5.6 Terra</t>
    </r>
    <r>
      <rPr>
        <sz val="11"/>
        <color theme="1"/>
        <rFont val="Noto Sans CJK SC"/>
        <family val="2"/>
      </rPr>
      <t xml:space="preserve">（上市價）</t>
    </r>
  </si>
  <si>
    <t xml:space="preserve">2026-07-09</t>
  </si>
  <si>
    <r>
      <rPr>
        <sz val="11"/>
        <color theme="1"/>
        <rFont val="Calibri"/>
        <family val="2"/>
        <charset val="1"/>
      </rPr>
      <t xml:space="preserve">2026-07-30 </t>
    </r>
    <r>
      <rPr>
        <sz val="11"/>
        <color theme="1"/>
        <rFont val="Noto Sans CJK SC"/>
        <family val="2"/>
      </rPr>
      <t xml:space="preserve">降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</si>
  <si>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GPT-5.6 Terra</t>
    </r>
    <r>
      <rPr>
        <sz val="11"/>
        <color theme="1"/>
        <rFont val="Noto Sans CJK SC"/>
        <family val="2"/>
      </rPr>
      <t xml:space="preserve">（降價後）</t>
    </r>
  </si>
  <si>
    <r>
      <rPr>
        <sz val="11"/>
        <color theme="1"/>
        <rFont val="Calibri"/>
        <family val="2"/>
        <charset val="1"/>
      </rPr>
      <t xml:space="preserve">openai.com/index/gpt-5-6/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developers.openai.com changelog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</si>
  <si>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降幅推得（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</si>
  <si>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GPT-6 Sol</t>
  </si>
  <si>
    <r>
      <rPr>
        <sz val="11"/>
        <color theme="1"/>
        <rFont val="Calibri"/>
        <family val="2"/>
        <charset val="1"/>
      </rPr>
      <t xml:space="preserve">openai.com/index/introducing-gpt-6-sol-and-luna/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changelog</t>
    </r>
  </si>
  <si>
    <t xml:space="preserve">https://openai.com/index/introducing-gpt-6-sol-and-luna/</t>
  </si>
  <si>
    <r>
      <rPr>
        <sz val="11"/>
        <color theme="1"/>
        <rFont val="Noto Sans CJK SC"/>
        <family val="2"/>
      </rPr>
      <t xml:space="preserve">層級名換位：</t>
    </r>
    <r>
      <rPr>
        <sz val="11"/>
        <color theme="1"/>
        <rFont val="Calibri"/>
        <family val="2"/>
        <charset val="1"/>
      </rPr>
      <t xml:space="preserve">GPT-6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Sol </t>
    </r>
    <r>
      <rPr>
        <sz val="11"/>
        <color theme="1"/>
        <rFont val="Noto Sans CJK SC"/>
        <family val="2"/>
      </rPr>
      <t xml:space="preserve">為中階</t>
    </r>
  </si>
  <si>
    <t xml:space="preserve">GPT-6.1 Sol</t>
  </si>
  <si>
    <t xml:space="preserve">2026-09-29</t>
  </si>
  <si>
    <r>
      <rPr>
        <sz val="11"/>
        <color theme="1"/>
        <rFont val="Noto Sans CJK SC"/>
        <family val="2"/>
      </rPr>
      <t xml:space="preserve">快取 </t>
    </r>
    <r>
      <rPr>
        <sz val="11"/>
        <color theme="1"/>
        <rFont val="Calibri"/>
        <family val="2"/>
        <charset val="1"/>
      </rPr>
      <t xml:space="preserve">0.10</t>
    </r>
  </si>
  <si>
    <t xml:space="preserve">旗艦</t>
  </si>
  <si>
    <t xml:space="preserve">openai.com DevDay</t>
  </si>
  <si>
    <r>
      <rPr>
        <sz val="11"/>
        <color theme="1"/>
        <rFont val="Calibri"/>
        <family val="2"/>
        <charset val="1"/>
      </rPr>
      <t xml:space="preserve">OpenAI Developer Community </t>
    </r>
    <r>
      <rPr>
        <sz val="11"/>
        <color theme="1"/>
        <rFont val="Noto Sans CJK SC"/>
        <family val="2"/>
      </rPr>
      <t xml:space="preserve">官方公告</t>
    </r>
  </si>
  <si>
    <t xml:space="preserve">openai.com GPT-5.2</t>
  </si>
  <si>
    <t xml:space="preserve">openai.com GPT-5.4</t>
  </si>
  <si>
    <r>
      <rPr>
        <sz val="11"/>
        <color theme="1"/>
        <rFont val="Calibri"/>
        <family val="2"/>
        <charset val="1"/>
      </rPr>
      <t xml:space="preserve">GPT-5.6 Sol</t>
    </r>
    <r>
      <rPr>
        <sz val="11"/>
        <color theme="1"/>
        <rFont val="Noto Sans CJK SC"/>
        <family val="2"/>
      </rPr>
      <t xml:space="preserve">（上市價）</t>
    </r>
  </si>
  <si>
    <r>
      <rPr>
        <sz val="11"/>
        <color theme="1"/>
        <rFont val="Calibri"/>
        <family val="2"/>
        <charset val="1"/>
      </rPr>
      <t xml:space="preserve">2026-08-21 </t>
    </r>
    <r>
      <rPr>
        <sz val="11"/>
        <color theme="1"/>
        <rFont val="Noto Sans CJK SC"/>
        <family val="2"/>
      </rPr>
      <t xml:space="preserve">起促銷 </t>
    </r>
    <r>
      <rPr>
        <sz val="11"/>
        <color theme="1"/>
        <rFont val="Calibri"/>
        <family val="2"/>
        <charset val="1"/>
      </rPr>
      <t xml:space="preserve">4/20</t>
    </r>
    <r>
      <rPr>
        <sz val="11"/>
        <color theme="1"/>
        <rFont val="Noto Sans CJK SC"/>
        <family val="2"/>
      </rPr>
      <t xml:space="preserve">，至少至 </t>
    </r>
    <r>
      <rPr>
        <sz val="11"/>
        <color theme="1"/>
        <rFont val="Calibri"/>
        <family val="2"/>
        <charset val="1"/>
      </rPr>
      <t xml:space="preserve">2026-11-21</t>
    </r>
  </si>
  <si>
    <t xml:space="preserve">GPT-6 Astra</t>
  </si>
  <si>
    <t xml:space="preserve">2026-09-03</t>
  </si>
  <si>
    <r>
      <rPr>
        <sz val="11"/>
        <color theme="1"/>
        <rFont val="Calibri"/>
        <family val="2"/>
        <charset val="1"/>
      </rPr>
      <t xml:space="preserve">developers.openai.com changelog</t>
    </r>
    <r>
      <rPr>
        <sz val="11"/>
        <color theme="1"/>
        <rFont val="Noto Sans CJK SC"/>
        <family val="2"/>
      </rPr>
      <t xml:space="preserve">（上市日）、</t>
    </r>
    <r>
      <rPr>
        <sz val="11"/>
        <color theme="1"/>
        <rFont val="Calibri"/>
        <family val="2"/>
        <charset val="1"/>
      </rPr>
      <t xml:space="preserve">openai.com/index/gpt-6-astra/</t>
    </r>
    <r>
      <rPr>
        <sz val="11"/>
        <color theme="1"/>
        <rFont val="Noto Sans CJK SC"/>
        <family val="2"/>
      </rPr>
      <t xml:space="preserve">（價格）</t>
    </r>
  </si>
  <si>
    <t xml:space="preserve">https://openai.com/index/gpt-6-astra/</t>
  </si>
  <si>
    <t xml:space="preserve">Anthropic</t>
  </si>
  <si>
    <r>
      <rPr>
        <sz val="11"/>
        <color theme="1"/>
        <rFont val="Noto Sans CJK SC"/>
        <family val="2"/>
      </rPr>
      <t xml:space="preserve">中階（</t>
    </r>
    <r>
      <rPr>
        <sz val="11"/>
        <color theme="1"/>
        <rFont val="Calibri"/>
        <family val="2"/>
        <charset val="1"/>
      </rPr>
      <t xml:space="preserve">Sonnet</t>
    </r>
    <r>
      <rPr>
        <sz val="11"/>
        <color theme="1"/>
        <rFont val="Noto Sans CJK SC"/>
        <family val="2"/>
      </rPr>
      <t xml:space="preserve">）</t>
    </r>
  </si>
  <si>
    <t xml:space="preserve">Claude 3 Sonnet</t>
  </si>
  <si>
    <t xml:space="preserve">anthropic.com/news/claude-3-family</t>
  </si>
  <si>
    <t xml:space="preserve">https://www.anthropic.com/news/claude-3-family</t>
  </si>
  <si>
    <t xml:space="preserve">Claude 3.5 Sonnet</t>
  </si>
  <si>
    <t xml:space="preserve">2024-06-21</t>
  </si>
  <si>
    <t xml:space="preserve">anthropic.com/news/claude-3-5-sonnet</t>
  </si>
  <si>
    <t xml:space="preserve">https://www.anthropic.com/news/claude-3-5-sonnet</t>
  </si>
  <si>
    <t xml:space="preserve">Claude 3.7 Sonnet</t>
  </si>
  <si>
    <t xml:space="preserve">2025-02-24</t>
  </si>
  <si>
    <t xml:space="preserve">anthropic.com/news/claude-3-7-sonnet</t>
  </si>
  <si>
    <t xml:space="preserve">https://www.anthropic.com/news/claude-3-7-sonnet</t>
  </si>
  <si>
    <t xml:space="preserve">Claude Sonnet 4</t>
  </si>
  <si>
    <t xml:space="preserve">2025-05-22</t>
  </si>
  <si>
    <t xml:space="preserve">anthropic.com/news/claude-4</t>
  </si>
  <si>
    <t xml:space="preserve">https://www.anthropic.com/news/claude-4</t>
  </si>
  <si>
    <t xml:space="preserve">Claude Sonnet 4.5</t>
  </si>
  <si>
    <t xml:space="preserve">2025-09-29</t>
  </si>
  <si>
    <t xml:space="preserve">anthropic.com/news/claude-sonnet-4-5</t>
  </si>
  <si>
    <t xml:space="preserve">https://www.anthropic.com/news/claude-sonnet-4-5</t>
  </si>
  <si>
    <t xml:space="preserve">Claude Sonnet 4.6</t>
  </si>
  <si>
    <t xml:space="preserve">2026-02-17</t>
  </si>
  <si>
    <t xml:space="preserve">anthropic.com/news/claude-sonnet-4-6</t>
  </si>
  <si>
    <t xml:space="preserve">https://www.anthropic.com/news/claude-sonnet-4-6</t>
  </si>
  <si>
    <t xml:space="preserve">2026-06-30</t>
  </si>
  <si>
    <r>
      <rPr>
        <sz val="11"/>
        <color theme="1"/>
        <rFont val="Calibri"/>
        <family val="2"/>
        <charset val="1"/>
      </rPr>
      <t xml:space="preserve">2026-08-10 </t>
    </r>
    <r>
      <rPr>
        <sz val="11"/>
        <color theme="1"/>
        <rFont val="Noto Sans CJK SC"/>
        <family val="2"/>
      </rPr>
      <t xml:space="preserve">起「</t>
    </r>
    <r>
      <rPr>
        <sz val="11"/>
        <color theme="1"/>
        <rFont val="Calibri"/>
        <family val="2"/>
        <charset val="1"/>
      </rPr>
      <t xml:space="preserve">introductory 2/10 </t>
    </r>
    <r>
      <rPr>
        <sz val="11"/>
        <color theme="1"/>
        <rFont val="Noto Sans CJK SC"/>
        <family val="2"/>
      </rPr>
      <t xml:space="preserve">變永久」；新 </t>
    </r>
    <r>
      <rPr>
        <sz val="11"/>
        <color theme="1"/>
        <rFont val="Calibri"/>
        <family val="2"/>
        <charset val="1"/>
      </rPr>
      <t xml:space="preserve">tokenizer</t>
    </r>
    <r>
      <rPr>
        <sz val="11"/>
        <color theme="1"/>
        <rFont val="Noto Sans CJK SC"/>
        <family val="2"/>
      </rPr>
      <t xml:space="preserve">（同文字約 </t>
    </r>
    <r>
      <rPr>
        <sz val="11"/>
        <color theme="1"/>
        <rFont val="Calibri"/>
        <family val="2"/>
        <charset val="1"/>
      </rPr>
      <t xml:space="preserve">1.0–1.35× token</t>
    </r>
    <r>
      <rPr>
        <sz val="11"/>
        <color theme="1"/>
        <rFont val="Noto Sans CJK SC"/>
        <family val="2"/>
      </rPr>
      <t xml:space="preserve">）</t>
    </r>
  </si>
  <si>
    <t xml:space="preserve">Claude Sonnet 5.5</t>
  </si>
  <si>
    <t xml:space="preserve">2026-09-28</t>
  </si>
  <si>
    <t xml:space="preserve">anthropic.com/news/claude-sonnet-5-5</t>
  </si>
  <si>
    <t xml:space="preserve">https://www.anthropic.com/news/claude-sonnet-5-5</t>
  </si>
  <si>
    <r>
      <rPr>
        <sz val="11"/>
        <color theme="1"/>
        <rFont val="Noto Sans CJK SC"/>
        <family val="2"/>
      </rPr>
      <t xml:space="preserve">旗艦（</t>
    </r>
    <r>
      <rPr>
        <sz val="11"/>
        <color theme="1"/>
        <rFont val="Calibri"/>
        <family val="2"/>
        <charset val="1"/>
      </rPr>
      <t xml:space="preserve">Opus</t>
    </r>
    <r>
      <rPr>
        <sz val="11"/>
        <color theme="1"/>
        <rFont val="Noto Sans CJK SC"/>
        <family val="2"/>
      </rPr>
      <t xml:space="preserve">）</t>
    </r>
  </si>
  <si>
    <t xml:space="preserve">Claude 3 Opus</t>
  </si>
  <si>
    <t xml:space="preserve">Claude Opus 4</t>
  </si>
  <si>
    <t xml:space="preserve">Claude Opus 4.5</t>
  </si>
  <si>
    <t xml:space="preserve">2025-11-24</t>
  </si>
  <si>
    <t xml:space="preserve">anthropic.com/news/claude-opus-4-5</t>
  </si>
  <si>
    <t xml:space="preserve">https://www.anthropic.com/news/claude-opus-4-5</t>
  </si>
  <si>
    <r>
      <rPr>
        <sz val="11"/>
        <color theme="1"/>
        <rFont val="Noto Sans CJK SC"/>
        <family val="2"/>
      </rPr>
      <t xml:space="preserve">頁面未標輸入／輸出，</t>
    </r>
    <r>
      <rPr>
        <sz val="11"/>
        <color theme="1"/>
        <rFont val="Calibri"/>
        <family val="2"/>
        <charset val="1"/>
      </rPr>
      <t xml:space="preserve">$5/$25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platform.claude.com </t>
    </r>
    <r>
      <rPr>
        <sz val="11"/>
        <color theme="1"/>
        <rFont val="Noto Sans CJK SC"/>
        <family val="2"/>
      </rPr>
      <t xml:space="preserve">定價頁</t>
    </r>
  </si>
  <si>
    <t xml:space="preserve">Claude Opus 5</t>
  </si>
  <si>
    <t xml:space="preserve">2026-07-24</t>
  </si>
  <si>
    <t xml:space="preserve">anthropic.com/news/claude-opus-5</t>
  </si>
  <si>
    <t xml:space="preserve">https://www.anthropic.com/news/claude-opus-5</t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</si>
  <si>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Opus 4.8 </t>
    </r>
    <r>
      <rPr>
        <sz val="11"/>
        <color theme="1"/>
        <rFont val="Noto Sans CJK SC"/>
        <family val="2"/>
      </rPr>
      <t xml:space="preserve">同價</t>
    </r>
  </si>
  <si>
    <t xml:space="preserve">Claude Opus 5.5</t>
  </si>
  <si>
    <t xml:space="preserve">platform.claude.com/docs/en/models/opus-5-5/overview</t>
  </si>
  <si>
    <t xml:space="preserve">https://platform.claude.com/docs/en/models/opus-5-5/overview</t>
  </si>
  <si>
    <r>
      <rPr>
        <sz val="11"/>
        <color theme="1"/>
        <rFont val="Noto Sans CJK SC"/>
        <family val="2"/>
      </rPr>
      <t xml:space="preserve">頂層（</t>
    </r>
    <r>
      <rPr>
        <sz val="11"/>
        <color theme="1"/>
        <rFont val="Calibri"/>
        <family val="2"/>
        <charset val="1"/>
      </rPr>
      <t xml:space="preserve">Fable</t>
    </r>
    <r>
      <rPr>
        <sz val="11"/>
        <color theme="1"/>
        <rFont val="Noto Sans CJK SC"/>
        <family val="2"/>
      </rPr>
      <t xml:space="preserve">）</t>
    </r>
  </si>
  <si>
    <t xml:space="preserve">Claude Fable 5</t>
  </si>
  <si>
    <t xml:space="preserve">2026-06-09</t>
  </si>
  <si>
    <t xml:space="preserve">platform.claude.com/docs/en/models/fable-5/overview</t>
  </si>
  <si>
    <t xml:space="preserve">https://platform.claude.com/docs/en/models/fable-5/overview</t>
  </si>
  <si>
    <r>
      <rPr>
        <sz val="11"/>
        <color theme="1"/>
        <rFont val="Calibri"/>
        <family val="2"/>
        <charset val="1"/>
      </rPr>
      <t xml:space="preserve">Fable </t>
    </r>
    <r>
      <rPr>
        <sz val="11"/>
        <color theme="1"/>
        <rFont val="Noto Sans CJK SC"/>
        <family val="2"/>
      </rPr>
      <t xml:space="preserve">價高於 </t>
    </r>
    <r>
      <rPr>
        <sz val="11"/>
        <color theme="1"/>
        <rFont val="Calibri"/>
        <family val="2"/>
        <charset val="1"/>
      </rPr>
      <t xml:space="preserve">Opus 5.5</t>
    </r>
  </si>
  <si>
    <t xml:space="preserve">Google</t>
  </si>
  <si>
    <r>
      <rPr>
        <sz val="11"/>
        <color theme="1"/>
        <rFont val="Noto Sans CJK SC"/>
        <family val="2"/>
      </rPr>
      <t xml:space="preserve">旗艦（</t>
    </r>
    <r>
      <rPr>
        <sz val="11"/>
        <color theme="1"/>
        <rFont val="Calibri"/>
        <family val="2"/>
        <charset val="1"/>
      </rPr>
      <t xml:space="preserve">Pro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</si>
  <si>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Gemini 1.5 Pro</t>
    </r>
    <r>
      <rPr>
        <sz val="11"/>
        <color theme="1"/>
        <rFont val="Noto Sans CJK SC"/>
        <family val="2"/>
      </rPr>
      <t xml:space="preserve">（≤</t>
    </r>
    <r>
      <rPr>
        <sz val="11"/>
        <color theme="1"/>
        <rFont val="Calibri"/>
        <family val="2"/>
        <charset val="1"/>
      </rPr>
      <t xml:space="preserve">128K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</si>
  <si>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AI Developers Forum </t>
    </r>
    <r>
      <rPr>
        <sz val="11"/>
        <color theme="1"/>
        <rFont val="Noto Sans CJK SC"/>
        <family val="2"/>
      </rPr>
      <t xml:space="preserve">使用者貼文（輸入 </t>
    </r>
    <r>
      <rPr>
        <sz val="11"/>
        <color theme="1"/>
        <rFont val="Calibri"/>
        <family val="2"/>
        <charset val="1"/>
      </rPr>
      <t xml:space="preserve">3.50</t>
    </r>
    <r>
      <rPr>
        <sz val="11"/>
        <color theme="1"/>
        <rFont val="Noto Sans CJK SC"/>
        <family val="2"/>
      </rPr>
      <t xml:space="preserve">）；輸出 </t>
    </r>
    <r>
      <rPr>
        <sz val="11"/>
        <color theme="1"/>
        <rFont val="Calibri"/>
        <family val="2"/>
        <charset val="1"/>
      </rPr>
      <t xml:space="preserve">10.5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2024-09-24 </t>
    </r>
    <r>
      <rPr>
        <sz val="11"/>
        <color theme="1"/>
        <rFont val="Noto Sans CJK SC"/>
        <family val="2"/>
      </rPr>
      <t xml:space="preserve">降幅（輸入 −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、輸出 −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）與降後 </t>
    </r>
    <r>
      <rPr>
        <sz val="11"/>
        <color theme="1"/>
        <rFont val="Calibri"/>
        <family val="2"/>
        <charset val="1"/>
      </rPr>
      <t xml:space="preserve">1.25/5 </t>
    </r>
    <r>
      <rPr>
        <sz val="11"/>
        <color theme="1"/>
        <rFont val="Noto Sans CJK SC"/>
        <family val="2"/>
      </rPr>
      <t xml:space="preserve">反推</t>
    </r>
  </si>
  <si>
    <t xml:space="preserve">https://discuss.ai.google.dev/t/pay-as-you-go-plan-of-gemini-pro-1-5-3-5-million-tokens-meaning/3375</t>
  </si>
  <si>
    <t xml:space="preserve">賣方牌價；官方一手頁缺，輸入來自社群貼文</t>
  </si>
  <si>
    <r>
      <rPr>
        <sz val="11"/>
        <color theme="1"/>
        <rFont val="Noto Sans CJK SC"/>
        <family val="2"/>
      </rPr>
      <t xml:space="preserve">找不到官方頁絕對價；輸出為 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</si>
  <si>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Gemini 1.5 Pro</t>
    </r>
    <r>
      <rPr>
        <sz val="11"/>
        <color theme="1"/>
        <rFont val="Noto Sans CJK SC"/>
        <family val="2"/>
      </rPr>
      <t xml:space="preserve">（降價後，≤</t>
    </r>
    <r>
      <rPr>
        <sz val="11"/>
        <color theme="1"/>
        <rFont val="Calibri"/>
        <family val="2"/>
        <charset val="1"/>
      </rPr>
      <t xml:space="preserve">128K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</si>
  <si>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developers.googleblog.com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2024-09-24</t>
    </r>
    <r>
      <rPr>
        <sz val="11"/>
        <color theme="1"/>
        <rFont val="Noto Sans CJK SC"/>
        <family val="2"/>
      </rPr>
      <t xml:space="preserve">）降幅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反推</t>
    </r>
  </si>
  <si>
    <r>
      <rPr>
        <sz val="11"/>
        <color theme="1"/>
        <rFont val="Noto Sans CJK SC"/>
        <family val="2"/>
      </rPr>
      <t xml:space="preserve">官方只給降幅；</t>
    </r>
    <r>
      <rPr>
        <sz val="11"/>
        <color theme="1"/>
        <rFont val="Calibri"/>
        <family val="2"/>
        <charset val="1"/>
      </rPr>
      <t xml:space="preserve">1.25/5 </t>
    </r>
    <r>
      <rPr>
        <sz val="11"/>
        <color theme="1"/>
        <rFont val="Noto Sans CJK SC"/>
        <family val="2"/>
      </rPr>
      <t xml:space="preserve">為推算相符值</t>
    </r>
  </si>
  <si>
    <r>
      <rPr>
        <sz val="11"/>
        <color theme="1"/>
        <rFont val="Calibri"/>
        <family val="2"/>
        <charset val="1"/>
      </rPr>
      <t xml:space="preserve">Gemini 2.5 Pro</t>
    </r>
    <r>
      <rPr>
        <sz val="11"/>
        <color theme="1"/>
        <rFont val="Noto Sans CJK SC"/>
        <family val="2"/>
      </rPr>
      <t xml:space="preserve">（≤</t>
    </r>
    <r>
      <rPr>
        <sz val="11"/>
        <color theme="1"/>
        <rFont val="Calibri"/>
        <family val="2"/>
        <charset val="1"/>
      </rPr>
      <t xml:space="preserve">200K</t>
    </r>
    <r>
      <rPr>
        <sz val="11"/>
        <color theme="1"/>
        <rFont val="Noto Sans CJK SC"/>
        <family val="2"/>
      </rPr>
      <t xml:space="preserve">）</t>
    </r>
  </si>
  <si>
    <t xml:space="preserve">2025-04-04</t>
  </si>
  <si>
    <r>
      <rPr>
        <sz val="11"/>
        <color theme="1"/>
        <rFont val="Calibri"/>
        <family val="2"/>
        <charset val="1"/>
      </rPr>
      <t xml:space="preserve">ai.google.dev </t>
    </r>
    <r>
      <rPr>
        <sz val="11"/>
        <color theme="1"/>
        <rFont val="Noto Sans CJK SC"/>
        <family val="2"/>
      </rPr>
      <t xml:space="preserve">現行定價頁（價）；</t>
    </r>
    <r>
      <rPr>
        <sz val="11"/>
        <color theme="1"/>
        <rFont val="Calibri"/>
        <family val="2"/>
        <charset val="1"/>
      </rPr>
      <t xml:space="preserve">blog.google 2025-04-04</t>
    </r>
    <r>
      <rPr>
        <sz val="11"/>
        <color theme="1"/>
        <rFont val="Noto Sans CJK SC"/>
        <family val="2"/>
      </rPr>
      <t xml:space="preserve">（開始計費日，價為圖片）</t>
    </r>
  </si>
  <si>
    <t xml:space="preserve">https://ai.google.dev/gemini-api/docs/pricing</t>
  </si>
  <si>
    <r>
      <rPr>
        <sz val="11"/>
        <color theme="1"/>
        <rFont val="Noto Sans CJK SC"/>
        <family val="2"/>
      </rPr>
      <t xml:space="preserve">日期為首次公開計費日；</t>
    </r>
    <r>
      <rPr>
        <sz val="11"/>
        <color theme="1"/>
        <rFont val="Calibri"/>
        <family val="2"/>
        <charset val="1"/>
      </rPr>
      <t xml:space="preserve">2025-06-17 GA </t>
    </r>
    <r>
      <rPr>
        <sz val="11"/>
        <color theme="1"/>
        <rFont val="Noto Sans CJK SC"/>
        <family val="2"/>
      </rPr>
      <t xml:space="preserve">同價</t>
    </r>
  </si>
  <si>
    <r>
      <rPr>
        <sz val="11"/>
        <color theme="1"/>
        <rFont val="Calibri"/>
        <family val="2"/>
        <charset val="1"/>
      </rPr>
      <t xml:space="preserve">Gemini 3 Pro</t>
    </r>
    <r>
      <rPr>
        <sz val="11"/>
        <color theme="1"/>
        <rFont val="Noto Sans CJK SC"/>
        <family val="2"/>
      </rPr>
      <t xml:space="preserve">（≤</t>
    </r>
    <r>
      <rPr>
        <sz val="11"/>
        <color theme="1"/>
        <rFont val="Calibri"/>
        <family val="2"/>
        <charset val="1"/>
      </rPr>
      <t xml:space="preserve">200K</t>
    </r>
    <r>
      <rPr>
        <sz val="11"/>
        <color theme="1"/>
        <rFont val="Noto Sans CJK SC"/>
        <family val="2"/>
      </rPr>
      <t xml:space="preserve">）</t>
    </r>
  </si>
  <si>
    <t xml:space="preserve">2025-11-18</t>
  </si>
  <si>
    <r>
      <rPr>
        <sz val="11"/>
        <color theme="1"/>
        <rFont val="Calibri"/>
        <family val="2"/>
        <charset val="1"/>
      </rPr>
      <t xml:space="preserve">blog.google/technology/developers/gemini-3-developers/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changelog</t>
    </r>
    <r>
      <rPr>
        <sz val="11"/>
        <color theme="1"/>
        <rFont val="Noto Sans CJK SC"/>
        <family val="2"/>
      </rPr>
      <t xml:space="preserve">（上市日）</t>
    </r>
  </si>
  <si>
    <t xml:space="preserve">https://blog.google/technology/developers/gemini-3-developers/</t>
  </si>
  <si>
    <r>
      <rPr>
        <sz val="11"/>
        <color theme="1"/>
        <rFont val="Calibri"/>
        <family val="2"/>
        <charset val="1"/>
      </rPr>
      <t xml:space="preserve">Gemini 3.1 Pro Preview</t>
    </r>
    <r>
      <rPr>
        <sz val="11"/>
        <color theme="1"/>
        <rFont val="Noto Sans CJK SC"/>
        <family val="2"/>
      </rPr>
      <t xml:space="preserve">（≤</t>
    </r>
    <r>
      <rPr>
        <sz val="11"/>
        <color theme="1"/>
        <rFont val="Calibri"/>
        <family val="2"/>
        <charset val="1"/>
      </rPr>
      <t xml:space="preserve">200K</t>
    </r>
    <r>
      <rPr>
        <sz val="11"/>
        <color theme="1"/>
        <rFont val="Noto Sans CJK SC"/>
        <family val="2"/>
      </rPr>
      <t xml:space="preserve">）</t>
    </r>
  </si>
  <si>
    <t xml:space="preserve">2026-02-19</t>
  </si>
  <si>
    <r>
      <rPr>
        <sz val="11"/>
        <color theme="1"/>
        <rFont val="Calibri"/>
        <family val="2"/>
        <charset val="1"/>
      </rPr>
      <t xml:space="preserve">ai.google.dev </t>
    </r>
    <r>
      <rPr>
        <sz val="11"/>
        <color theme="1"/>
        <rFont val="Noto Sans CJK SC"/>
        <family val="2"/>
      </rPr>
      <t xml:space="preserve">定價頁；</t>
    </r>
    <r>
      <rPr>
        <sz val="11"/>
        <color theme="1"/>
        <rFont val="Calibri"/>
        <family val="2"/>
        <charset val="1"/>
      </rPr>
      <t xml:space="preserve">changelog</t>
    </r>
    <r>
      <rPr>
        <sz val="11"/>
        <color theme="1"/>
        <rFont val="Noto Sans CJK SC"/>
        <family val="2"/>
      </rPr>
      <t xml:space="preserve">（上市日）</t>
    </r>
  </si>
  <si>
    <r>
      <rPr>
        <sz val="11"/>
        <color theme="1"/>
        <rFont val="Calibri"/>
        <family val="2"/>
        <charset val="1"/>
      </rPr>
      <t xml:space="preserve">Gemini 4 Argon</t>
    </r>
    <r>
      <rPr>
        <sz val="11"/>
        <color theme="1"/>
        <rFont val="Noto Sans CJK SC"/>
        <family val="2"/>
      </rPr>
      <t xml:space="preserve">（導入價）</t>
    </r>
  </si>
  <si>
    <t xml:space="preserve">2026-10-13</t>
  </si>
  <si>
    <r>
      <rPr>
        <sz val="11"/>
        <color theme="1"/>
        <rFont val="Calibri"/>
        <family val="2"/>
        <charset val="1"/>
      </rPr>
      <t xml:space="preserve">blog.google Gemini 4 Argon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ai.google.dev </t>
    </r>
    <r>
      <rPr>
        <sz val="11"/>
        <color theme="1"/>
        <rFont val="Noto Sans CJK SC"/>
        <family val="2"/>
      </rPr>
      <t xml:space="preserve">定價頁</t>
    </r>
  </si>
  <si>
    <r>
      <rPr>
        <sz val="11"/>
        <color theme="1"/>
        <rFont val="Noto Sans CJK SC"/>
        <family val="2"/>
      </rPr>
      <t xml:space="preserve">導入價至 </t>
    </r>
    <r>
      <rPr>
        <sz val="11"/>
        <color theme="1"/>
        <rFont val="Calibri"/>
        <family val="2"/>
        <charset val="1"/>
      </rPr>
      <t xml:space="preserve">2026-11-30</t>
    </r>
    <r>
      <rPr>
        <sz val="11"/>
        <color theme="1"/>
        <rFont val="Noto Sans CJK SC"/>
        <family val="2"/>
      </rPr>
      <t xml:space="preserve">，之後 </t>
    </r>
    <r>
      <rPr>
        <sz val="11"/>
        <color theme="1"/>
        <rFont val="Calibri"/>
        <family val="2"/>
        <charset val="1"/>
      </rPr>
      <t xml:space="preserve">4/20</t>
    </r>
  </si>
  <si>
    <r>
      <rPr>
        <sz val="11"/>
        <color theme="1"/>
        <rFont val="Noto Sans CJK SC"/>
        <family val="2"/>
      </rPr>
      <t xml:space="preserve">中階（</t>
    </r>
    <r>
      <rPr>
        <sz val="11"/>
        <color theme="1"/>
        <rFont val="Calibri"/>
        <family val="2"/>
        <charset val="1"/>
      </rPr>
      <t xml:space="preserve">Flash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</si>
  <si>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Gemini 2.5 Flash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</t>
    </r>
    <r>
      <rPr>
        <sz val="11"/>
        <color theme="1"/>
        <rFont val="Noto Sans CJK SC"/>
        <family val="2"/>
      </rPr>
      <t xml:space="preserve">）</t>
    </r>
  </si>
  <si>
    <t xml:space="preserve">2025-06-17</t>
  </si>
  <si>
    <r>
      <rPr>
        <sz val="11"/>
        <color theme="1"/>
        <rFont val="Calibri"/>
        <family val="2"/>
        <charset val="1"/>
      </rPr>
      <t xml:space="preserve">developers.googleblog.com Gemini 2.5 </t>
    </r>
    <r>
      <rPr>
        <sz val="11"/>
        <color theme="1"/>
        <rFont val="Noto Sans CJK SC"/>
        <family val="2"/>
      </rPr>
      <t xml:space="preserve">更新</t>
    </r>
  </si>
  <si>
    <t xml:space="preserve">https://developers.googleblog.com/en/gemini-2-5-thinking-model-updates/</t>
  </si>
  <si>
    <t xml:space="preserve">Gemini 3 Flash</t>
  </si>
  <si>
    <t xml:space="preserve">2025-12-17</t>
  </si>
  <si>
    <t xml:space="preserve">blog.google/products/gemini/gemini-3-flash/</t>
  </si>
  <si>
    <t xml:space="preserve">https://blog.google/products/gemini/gemini-3-flash/</t>
  </si>
  <si>
    <r>
      <rPr>
        <sz val="11"/>
        <color theme="1"/>
        <rFont val="Calibri"/>
        <family val="2"/>
        <charset val="1"/>
      </rPr>
      <t xml:space="preserve">Gemini 3.6 Flash</t>
    </r>
    <r>
      <rPr>
        <sz val="11"/>
        <color theme="1"/>
        <rFont val="Noto Sans CJK SC"/>
        <family val="2"/>
      </rPr>
      <t xml:space="preserve">（原價，由 </t>
    </r>
    <r>
      <rPr>
        <sz val="11"/>
        <color theme="1"/>
        <rFont val="Calibri"/>
        <family val="2"/>
        <charset val="1"/>
      </rPr>
      <t xml:space="preserve">3.7 </t>
    </r>
    <r>
      <rPr>
        <sz val="11"/>
        <color theme="1"/>
        <rFont val="Noto Sans CJK SC"/>
        <family val="2"/>
      </rPr>
      <t xml:space="preserve">公告反推）</t>
    </r>
  </si>
  <si>
    <t xml:space="preserve">2026-07-21</t>
  </si>
  <si>
    <r>
      <rPr>
        <sz val="11"/>
        <color theme="1"/>
        <rFont val="Calibri"/>
        <family val="2"/>
        <charset val="1"/>
      </rPr>
      <t xml:space="preserve">blog.google Gemini 3.7 Flash</t>
    </r>
    <r>
      <rPr>
        <sz val="11"/>
        <color theme="1"/>
        <rFont val="Noto Sans CJK SC"/>
        <family val="2"/>
      </rPr>
      <t xml:space="preserve">（「導入價為 </t>
    </r>
    <r>
      <rPr>
        <sz val="11"/>
        <color theme="1"/>
        <rFont val="Calibri"/>
        <family val="2"/>
        <charset val="1"/>
      </rPr>
      <t xml:space="preserve">3.6 Flash </t>
    </r>
    <r>
      <rPr>
        <sz val="11"/>
        <color theme="1"/>
        <rFont val="Noto Sans CJK SC"/>
        <family val="2"/>
      </rPr>
      <t xml:space="preserve">原價的一半」）；</t>
    </r>
    <r>
      <rPr>
        <sz val="11"/>
        <color theme="1"/>
        <rFont val="Calibri"/>
        <family val="2"/>
        <charset val="1"/>
      </rPr>
      <t xml:space="preserve">changelog </t>
    </r>
    <r>
      <rPr>
        <sz val="11"/>
        <color theme="1"/>
        <rFont val="Noto Sans CJK SC"/>
        <family val="2"/>
      </rPr>
      <t xml:space="preserve">上市日</t>
    </r>
  </si>
  <si>
    <t xml:space="preserve">https://blog.google/innovation-and-ai/models-and-research/gemini-models/introducing-gemini-3-7-flash/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</si>
  <si>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3.6 Flash </t>
    </r>
    <r>
      <rPr>
        <sz val="11"/>
        <color theme="1"/>
        <rFont val="Noto Sans CJK SC"/>
        <family val="2"/>
      </rPr>
      <t xml:space="preserve">現行頁標導入價 </t>
    </r>
    <r>
      <rPr>
        <sz val="11"/>
        <color theme="1"/>
        <rFont val="Calibri"/>
        <family val="2"/>
        <charset val="1"/>
      </rPr>
      <t xml:space="preserve">0.75/3.75</t>
    </r>
  </si>
  <si>
    <r>
      <rPr>
        <sz val="11"/>
        <color theme="1"/>
        <rFont val="Calibri"/>
        <family val="2"/>
        <charset val="1"/>
      </rPr>
      <t xml:space="preserve">Gemini 3.7 Flash</t>
    </r>
    <r>
      <rPr>
        <sz val="11"/>
        <color theme="1"/>
        <rFont val="Noto Sans CJK SC"/>
        <family val="2"/>
      </rPr>
      <t xml:space="preserve">（導入價）</t>
    </r>
  </si>
  <si>
    <t xml:space="preserve">2026-08-13</t>
  </si>
  <si>
    <t xml:space="preserve">blog.google Gemini 3.7 Flash</t>
  </si>
  <si>
    <r>
      <rPr>
        <sz val="11"/>
        <color theme="1"/>
        <rFont val="Calibri"/>
        <family val="2"/>
        <charset val="1"/>
      </rPr>
      <t xml:space="preserve">2027-01-01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1.5/7.5</t>
    </r>
  </si>
  <si>
    <r>
      <rPr>
        <sz val="11"/>
        <color theme="1"/>
        <rFont val="Noto Sans CJK SC"/>
        <family val="2"/>
      </rPr>
      <t xml:space="preserve">已搜尋，未找到：</t>
    </r>
    <r>
      <rPr>
        <sz val="11"/>
        <color theme="1"/>
        <rFont val="Calibri"/>
        <family val="2"/>
        <charset val="1"/>
      </rPr>
      <t xml:space="preserve">OpenAI o1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GPT-4.5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2025-02-27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openai.com </t>
    </r>
    <r>
      <rPr>
        <sz val="11"/>
        <color theme="1"/>
        <rFont val="Noto Sans CJK SC"/>
        <family val="2"/>
      </rPr>
      <t xml:space="preserve">頁無絕對價）的官方牌價頁（</t>
    </r>
    <r>
      <rPr>
        <sz val="11"/>
        <color theme="1"/>
        <rFont val="Calibri"/>
        <family val="2"/>
        <charset val="1"/>
      </rPr>
      <t xml:space="preserve">Wayback </t>
    </r>
    <r>
      <rPr>
        <sz val="11"/>
        <color theme="1"/>
        <rFont val="Noto Sans CJK SC"/>
        <family val="2"/>
      </rPr>
      <t xml:space="preserve">被擋）；</t>
    </r>
    <r>
      <rPr>
        <sz val="11"/>
        <color theme="1"/>
        <rFont val="Calibri"/>
        <family val="2"/>
        <charset val="1"/>
      </rPr>
      <t xml:space="preserve">Anthropic Mythos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5.1 </t>
    </r>
    <r>
      <rPr>
        <sz val="11"/>
        <color theme="1"/>
        <rFont val="Noto Sans CJK SC"/>
        <family val="2"/>
      </rPr>
      <t xml:space="preserve">無公開價；</t>
    </r>
    <r>
      <rPr>
        <sz val="11"/>
        <color theme="1"/>
        <rFont val="Calibri"/>
        <family val="2"/>
        <charset val="1"/>
      </rPr>
      <t xml:space="preserve">Gemini 1.5 Pro </t>
    </r>
    <r>
      <rPr>
        <sz val="11"/>
        <color theme="1"/>
        <rFont val="Noto Sans CJK SC"/>
        <family val="2"/>
      </rPr>
      <t xml:space="preserve">上市價的官方頁（只找到社群貼文與降幅）。</t>
    </r>
  </si>
  <si>
    <r>
      <rPr>
        <b val="true"/>
        <sz val="13"/>
        <rFont val="Cambria"/>
        <family val="0"/>
        <charset val="1"/>
      </rPr>
      <t xml:space="preserve">(c) </t>
    </r>
    <r>
      <rPr>
        <b val="true"/>
        <sz val="13"/>
        <rFont val="Noto Sans CJK SC"/>
        <family val="2"/>
      </rPr>
      <t xml:space="preserve">算力租賃價格（隨需、預留、長約分開；每 </t>
    </r>
    <r>
      <rPr>
        <b val="true"/>
        <sz val="13"/>
        <rFont val="Cambria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小時與每 </t>
    </r>
    <r>
      <rPr>
        <b val="true"/>
        <sz val="13"/>
        <rFont val="Cambria"/>
        <family val="0"/>
        <charset val="1"/>
      </rPr>
      <t xml:space="preserve">MW </t>
    </r>
    <r>
      <rPr>
        <b val="true"/>
        <sz val="13"/>
        <rFont val="Noto Sans CJK SC"/>
        <family val="2"/>
      </rPr>
      <t xml:space="preserve">年）</t>
    </r>
  </si>
  <si>
    <r>
      <rPr>
        <b val="true"/>
        <sz val="11"/>
        <color rgb="FFFFFFFF"/>
        <rFont val="Cambria"/>
        <family val="0"/>
        <charset val="1"/>
      </rPr>
      <t xml:space="preserve">GPU</t>
    </r>
    <r>
      <rPr>
        <b val="true"/>
        <sz val="11"/>
        <color rgb="FFFFFFFF"/>
        <rFont val="Noto Sans CJK SC"/>
        <family val="2"/>
      </rPr>
      <t xml:space="preserve">／產品</t>
    </r>
  </si>
  <si>
    <t xml:space="preserve">計價層</t>
  </si>
  <si>
    <t xml:space="preserve">世代</t>
  </si>
  <si>
    <t xml:space="preserve">A100 80GB</t>
  </si>
  <si>
    <t xml:space="preserve">隨需</t>
  </si>
  <si>
    <r>
      <rPr>
        <sz val="11"/>
        <color theme="1"/>
        <rFont val="Calibri"/>
        <family val="2"/>
        <charset val="1"/>
      </rPr>
      <t xml:space="preserve">Ampere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A100</t>
    </r>
    <r>
      <rPr>
        <sz val="11"/>
        <color theme="1"/>
        <rFont val="Noto Sans CJK SC"/>
        <family val="2"/>
      </rPr>
      <t xml:space="preserve">）</t>
    </r>
  </si>
  <si>
    <t xml:space="preserve">現價（頁面未標日）</t>
  </si>
  <si>
    <t xml:space="preserve">$/GPU-hr</t>
  </si>
  <si>
    <t xml:space="preserve">Lambda</t>
  </si>
  <si>
    <t xml:space="preserve">lambda.ai/pricing</t>
  </si>
  <si>
    <t xml:space="preserve">https://lambda.ai/pricing</t>
  </si>
  <si>
    <t xml:space="preserve">（無）</t>
  </si>
  <si>
    <t xml:space="preserve">CoreWeave</t>
  </si>
  <si>
    <r>
      <rPr>
        <sz val="11"/>
        <color theme="1"/>
        <rFont val="Calibri"/>
        <family val="2"/>
        <charset val="1"/>
      </rPr>
      <t xml:space="preserve">coreweave.com/pricing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卡 </t>
    </r>
    <r>
      <rPr>
        <sz val="11"/>
        <color theme="1"/>
        <rFont val="Calibri"/>
        <family val="2"/>
        <charset val="1"/>
      </rPr>
      <t xml:space="preserve">$21.60÷8</t>
    </r>
    <r>
      <rPr>
        <sz val="11"/>
        <color theme="1"/>
        <rFont val="Noto Sans CJK SC"/>
        <family val="2"/>
      </rPr>
      <t xml:space="preserve">）</t>
    </r>
  </si>
  <si>
    <t xml:space="preserve">https://www.coreweave.com/pricing</t>
  </si>
  <si>
    <r>
      <rPr>
        <sz val="11"/>
        <color theme="1"/>
        <rFont val="Calibri"/>
        <family val="2"/>
        <charset val="1"/>
      </rPr>
      <t xml:space="preserve">A100 8 </t>
    </r>
    <r>
      <rPr>
        <sz val="11"/>
        <color theme="1"/>
        <rFont val="Noto Sans CJK SC"/>
        <family val="2"/>
      </rPr>
      <t xml:space="preserve">卡 </t>
    </r>
    <r>
      <rPr>
        <sz val="11"/>
        <color theme="1"/>
        <rFont val="Calibri"/>
        <family val="2"/>
        <charset val="1"/>
      </rPr>
      <t xml:space="preserve">p4d</t>
    </r>
  </si>
  <si>
    <r>
      <rPr>
        <sz val="11"/>
        <color theme="1"/>
        <rFont val="Calibri"/>
        <family val="2"/>
        <charset val="1"/>
      </rPr>
      <t xml:space="preserve">2025-06 </t>
    </r>
    <r>
      <rPr>
        <sz val="11"/>
        <color theme="1"/>
        <rFont val="Noto Sans CJK SC"/>
        <family val="2"/>
      </rPr>
      <t xml:space="preserve">降價後現價</t>
    </r>
  </si>
  <si>
    <t xml:space="preserve">AWS</t>
  </si>
  <si>
    <r>
      <rPr>
        <sz val="11"/>
        <color theme="1"/>
        <rFont val="Calibri"/>
        <family val="2"/>
        <charset val="1"/>
      </rPr>
      <t xml:space="preserve">instances.vantage.sh</t>
    </r>
    <r>
      <rPr>
        <sz val="11"/>
        <color theme="1"/>
        <rFont val="Noto Sans CJK SC"/>
        <family val="2"/>
      </rPr>
      <t xml:space="preserve">（彙整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牌價 </t>
    </r>
    <r>
      <rPr>
        <sz val="11"/>
        <color theme="1"/>
        <rFont val="Calibri"/>
        <family val="2"/>
        <charset val="1"/>
      </rPr>
      <t xml:space="preserve">$21.958÷8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部落格確認 </t>
    </r>
    <r>
      <rPr>
        <sz val="11"/>
        <color theme="1"/>
        <rFont val="Calibri"/>
        <family val="2"/>
        <charset val="1"/>
      </rPr>
      <t xml:space="preserve">2025-06-01 </t>
    </r>
    <r>
      <rPr>
        <sz val="11"/>
        <color theme="1"/>
        <rFont val="Noto Sans CJK SC"/>
        <family val="2"/>
      </rPr>
      <t xml:space="preserve">降 </t>
    </r>
    <r>
      <rPr>
        <sz val="11"/>
        <color theme="1"/>
        <rFont val="Calibri"/>
        <family val="2"/>
        <charset val="1"/>
      </rPr>
      <t xml:space="preserve">33%</t>
    </r>
  </si>
  <si>
    <t xml:space="preserve">https://instances.vantage.sh/aws/ec2/p4d.24xlarge</t>
  </si>
  <si>
    <t xml:space="preserve">二手彙整站</t>
  </si>
  <si>
    <r>
      <rPr>
        <sz val="11"/>
        <color theme="1"/>
        <rFont val="Noto Sans CJK SC"/>
        <family val="2"/>
      </rPr>
      <t xml:space="preserve">預留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</si>
  <si>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instances.vantage.sh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$13.921÷8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</si>
  <si>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預留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</si>
  <si>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instances.vantage.sh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$9.374÷8</t>
    </r>
    <r>
      <rPr>
        <sz val="11"/>
        <color theme="1"/>
        <rFont val="Noto Sans CJK SC"/>
        <family val="2"/>
      </rPr>
      <t xml:space="preserve">）</t>
    </r>
  </si>
  <si>
    <t xml:space="preserve">H100 PCIe</t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</si>
  <si>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）</t>
    </r>
  </si>
  <si>
    <t xml:space="preserve">2023-05-10</t>
  </si>
  <si>
    <r>
      <rPr>
        <sz val="11"/>
        <color theme="1"/>
        <rFont val="Calibri"/>
        <family val="2"/>
        <charset val="1"/>
      </rPr>
      <t xml:space="preserve">lambda.ai/blog/lambda-cloud-deploys-nvidia-h100-tensor-core-gpus</t>
    </r>
    <r>
      <rPr>
        <sz val="11"/>
        <color theme="1"/>
        <rFont val="Noto Sans CJK SC"/>
        <family val="2"/>
      </rPr>
      <t xml:space="preserve">（上市後約 </t>
    </r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Noto Sans CJK SC"/>
        <family val="2"/>
      </rPr>
      <t xml:space="preserve">個月）</t>
    </r>
  </si>
  <si>
    <t xml:space="preserve">https://lambda.ai/blog/lambda-cloud-deploys-nvidia-h100-tensor-core-gpus</t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</si>
  <si>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卡 </t>
    </r>
    <r>
      <rPr>
        <sz val="11"/>
        <color theme="1"/>
        <rFont val="Calibri"/>
        <family val="2"/>
        <charset val="1"/>
      </rPr>
      <t xml:space="preserve">PCIe</t>
    </r>
  </si>
  <si>
    <t xml:space="preserve">H100 SXM 8x</t>
  </si>
  <si>
    <t xml:space="preserve">2023-08-02</t>
  </si>
  <si>
    <r>
      <rPr>
        <sz val="11"/>
        <color theme="1"/>
        <rFont val="Calibri"/>
        <family val="2"/>
        <charset val="1"/>
      </rPr>
      <t xml:space="preserve">lambda.ai </t>
    </r>
    <r>
      <rPr>
        <sz val="11"/>
        <color theme="1"/>
        <rFont val="Noto Sans CJK SC"/>
        <family val="2"/>
      </rPr>
      <t xml:space="preserve">部落格（</t>
    </r>
    <r>
      <rPr>
        <sz val="11"/>
        <color theme="1"/>
        <rFont val="Calibri"/>
        <family val="2"/>
        <charset val="1"/>
      </rPr>
      <t xml:space="preserve">8x H100 SXM </t>
    </r>
    <r>
      <rPr>
        <sz val="11"/>
        <color theme="1"/>
        <rFont val="Noto Sans CJK SC"/>
        <family val="2"/>
      </rPr>
      <t xml:space="preserve">隨需）</t>
    </r>
  </si>
  <si>
    <t xml:space="preserve">https://lambda.ai/blog/lambda-cloud-deploys-on-demand-nvidia-hgx-h100-with-8x-h100-sxm-instances</t>
  </si>
  <si>
    <t xml:space="preserve">2024-10-07</t>
  </si>
  <si>
    <r>
      <rPr>
        <sz val="11"/>
        <color theme="1"/>
        <rFont val="Calibri"/>
        <family val="2"/>
        <charset val="1"/>
      </rPr>
      <t xml:space="preserve">lambda.ai </t>
    </r>
    <r>
      <rPr>
        <sz val="11"/>
        <color theme="1"/>
        <rFont val="Noto Sans CJK SC"/>
        <family val="2"/>
      </rPr>
      <t xml:space="preserve">部落格（</t>
    </r>
    <r>
      <rPr>
        <sz val="11"/>
        <color theme="1"/>
        <rFont val="Calibri"/>
        <family val="2"/>
        <charset val="1"/>
      </rPr>
      <t xml:space="preserve">1x $3.29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2x $3.19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4x $3.09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8x $2.99</t>
    </r>
    <r>
      <rPr>
        <sz val="11"/>
        <color theme="1"/>
        <rFont val="Noto Sans CJK SC"/>
        <family val="2"/>
      </rPr>
      <t xml:space="preserve">）</t>
    </r>
  </si>
  <si>
    <t xml:space="preserve">https://lambda.ai/blog/creating-more-options-for-ai-developers-new-1x-2x-and-4x-sxm</t>
  </si>
  <si>
    <t xml:space="preserve">H100 SXM</t>
  </si>
  <si>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2024-10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2.99</t>
    </r>
  </si>
  <si>
    <t xml:space="preserve">H100 1-Click Cluster</t>
  </si>
  <si>
    <r>
      <rPr>
        <sz val="11"/>
        <color theme="1"/>
        <rFont val="Noto Sans CJK SC"/>
        <family val="2"/>
      </rPr>
      <t xml:space="preserve">預留（最短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週）</t>
    </r>
  </si>
  <si>
    <t xml:space="preserve">2024-06-03</t>
  </si>
  <si>
    <r>
      <rPr>
        <sz val="11"/>
        <color theme="1"/>
        <rFont val="Calibri"/>
        <family val="2"/>
        <charset val="1"/>
      </rPr>
      <t xml:space="preserve">lambda.ai 1-Click Clusters </t>
    </r>
    <r>
      <rPr>
        <sz val="11"/>
        <color theme="1"/>
        <rFont val="Noto Sans CJK SC"/>
        <family val="2"/>
      </rPr>
      <t xml:space="preserve">公告</t>
    </r>
  </si>
  <si>
    <t xml:space="preserve">https://lambda.ai/blog/introducing-lambda-1-click-clusters-a-new-way-to-train-large-ai-models</t>
  </si>
  <si>
    <r>
      <rPr>
        <sz val="11"/>
        <color theme="1"/>
        <rFont val="Calibri"/>
        <family val="2"/>
        <charset val="1"/>
      </rPr>
      <t xml:space="preserve">2024-06-03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2024-08-16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</si>
  <si>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Calibri"/>
        <family val="2"/>
        <charset val="1"/>
      </rPr>
      <t xml:space="preserve">H100 8 </t>
    </r>
    <r>
      <rPr>
        <sz val="11"/>
        <color theme="1"/>
        <rFont val="Noto Sans CJK SC"/>
        <family val="2"/>
      </rPr>
      <t xml:space="preserve">卡 </t>
    </r>
    <r>
      <rPr>
        <sz val="11"/>
        <color theme="1"/>
        <rFont val="Calibri"/>
        <family val="2"/>
        <charset val="1"/>
      </rPr>
      <t xml:space="preserve">HGX</t>
    </r>
  </si>
  <si>
    <r>
      <rPr>
        <sz val="11"/>
        <color theme="1"/>
        <rFont val="Calibri"/>
        <family val="2"/>
        <charset val="1"/>
      </rPr>
      <t xml:space="preserve">coreweave.com/pricing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$49.24÷8</t>
    </r>
    <r>
      <rPr>
        <sz val="11"/>
        <color theme="1"/>
        <rFont val="Noto Sans CJK SC"/>
        <family val="2"/>
      </rPr>
      <t xml:space="preserve">）；另稱預留承諾最高折 </t>
    </r>
    <r>
      <rPr>
        <sz val="11"/>
        <color theme="1"/>
        <rFont val="Calibri"/>
        <family val="2"/>
        <charset val="1"/>
      </rPr>
      <t xml:space="preserve">60%</t>
    </r>
  </si>
  <si>
    <t xml:space="preserve">H100</t>
  </si>
  <si>
    <r>
      <rPr>
        <sz val="11"/>
        <color theme="1"/>
        <rFont val="Noto Sans CJK SC"/>
        <family val="2"/>
      </rPr>
      <t xml:space="preserve">現價（頁面頁尾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，圖檔 </t>
    </r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）</t>
    </r>
  </si>
  <si>
    <t xml:space="preserve">Nebius</t>
  </si>
  <si>
    <r>
      <rPr>
        <sz val="11"/>
        <color theme="1"/>
        <rFont val="Calibri"/>
        <family val="2"/>
        <charset val="1"/>
      </rPr>
      <t xml:space="preserve">nebius.com/prices</t>
    </r>
    <r>
      <rPr>
        <sz val="11"/>
        <color theme="1"/>
        <rFont val="Noto Sans CJK SC"/>
        <family val="2"/>
      </rPr>
      <t xml:space="preserve">（可能過時）；稱大型叢集承諾折扣最高約 </t>
    </r>
    <r>
      <rPr>
        <sz val="11"/>
        <color theme="1"/>
        <rFont val="Calibri"/>
        <family val="2"/>
        <charset val="1"/>
      </rPr>
      <t xml:space="preserve">35%</t>
    </r>
  </si>
  <si>
    <t xml:space="preserve">https://nebius.com/prices</t>
  </si>
  <si>
    <t xml:space="preserve">頁面日期不明</t>
  </si>
  <si>
    <t xml:space="preserve">H100 p5.48xlarge</t>
  </si>
  <si>
    <r>
      <rPr>
        <sz val="11"/>
        <color theme="1"/>
        <rFont val="Calibri"/>
        <family val="2"/>
        <charset val="1"/>
      </rPr>
      <t xml:space="preserve">instances.vantage.sh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$55.04÷8</t>
    </r>
    <r>
      <rPr>
        <sz val="11"/>
        <color theme="1"/>
        <rFont val="Noto Sans CJK SC"/>
        <family val="2"/>
      </rPr>
      <t xml:space="preserve">）；降幅出自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部落格</t>
    </r>
  </si>
  <si>
    <t xml:space="preserve">https://instances.vantage.sh/aws/ec2/p5.48xlarge</t>
  </si>
  <si>
    <t xml:space="preserve">隨需（降價前）</t>
  </si>
  <si>
    <r>
      <rPr>
        <sz val="11"/>
        <color theme="1"/>
        <rFont val="Calibri"/>
        <family val="2"/>
        <charset val="1"/>
      </rPr>
      <t xml:space="preserve">2023-07-26 </t>
    </r>
    <r>
      <rPr>
        <sz val="11"/>
        <color theme="1"/>
        <rFont val="Noto Sans CJK SC"/>
        <family val="2"/>
      </rPr>
      <t xml:space="preserve">上市價（推算）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</si>
  <si>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$55.04÷(1−0.44)÷8 </t>
    </r>
    <r>
      <rPr>
        <sz val="11"/>
        <color theme="1"/>
        <rFont val="Noto Sans CJK SC"/>
        <family val="2"/>
      </rPr>
      <t xml:space="preserve">推算；</t>
    </r>
    <r>
      <rPr>
        <sz val="11"/>
        <color theme="1"/>
        <rFont val="Calibri"/>
        <family val="2"/>
        <charset val="1"/>
      </rPr>
      <t xml:space="preserve">P5 GA 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2023-07-26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AWS What's New</t>
    </r>
    <r>
      <rPr>
        <sz val="11"/>
        <color theme="1"/>
        <rFont val="Noto Sans CJK SC"/>
        <family val="2"/>
      </rPr>
      <t xml:space="preserve">；上市原價未直接讀到</t>
    </r>
  </si>
  <si>
    <t xml:space="preserve">https://aws.amazon.com/about-aws/whats-new/2023/07/amazon-ec2-p5-instances-generative-ai-hpc-generally-available/</t>
  </si>
  <si>
    <t xml:space="preserve">2023-07-26</t>
  </si>
  <si>
    <t xml:space="preserve">推算值</t>
  </si>
  <si>
    <r>
      <rPr>
        <sz val="11"/>
        <color theme="1"/>
        <rFont val="Calibri"/>
        <family val="2"/>
        <charset val="1"/>
      </rPr>
      <t xml:space="preserve">instances.vantage.sh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$23.777÷8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</si>
  <si>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 Data </t>
    </r>
    <r>
      <rPr>
        <sz val="11"/>
        <color theme="1"/>
        <rFont val="Noto Sans CJK SC"/>
        <family val="2"/>
      </rPr>
      <t xml:space="preserve">指數）</t>
    </r>
  </si>
  <si>
    <t xml:space="preserve">隨需（指數，超大規模雲）</t>
  </si>
  <si>
    <r>
      <rPr>
        <sz val="11"/>
        <color theme="1"/>
        <rFont val="Calibri"/>
        <family val="2"/>
        <charset val="1"/>
      </rPr>
      <t xml:space="preserve">2023-08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2023-12</t>
    </r>
  </si>
  <si>
    <r>
      <rPr>
        <sz val="11"/>
        <color theme="1"/>
        <rFont val="Calibri"/>
        <family val="2"/>
        <charset val="1"/>
      </rPr>
      <t xml:space="preserve">$/GPU-hr</t>
    </r>
    <r>
      <rPr>
        <sz val="11"/>
        <color theme="1"/>
        <rFont val="Noto Sans CJK SC"/>
        <family val="2"/>
      </rPr>
      <t xml:space="preserve">（中位）</t>
    </r>
  </si>
  <si>
    <t xml:space="preserve">Silicon Data</t>
  </si>
  <si>
    <r>
      <rPr>
        <sz val="11"/>
        <color theme="1"/>
        <rFont val="Calibri"/>
        <family val="2"/>
        <charset val="1"/>
      </rPr>
      <t xml:space="preserve">Silicon Data </t>
    </r>
    <r>
      <rPr>
        <sz val="11"/>
        <color theme="1"/>
        <rFont val="Noto Sans CJK SC"/>
        <family val="2"/>
      </rPr>
      <t xml:space="preserve">部落格「</t>
    </r>
    <r>
      <rPr>
        <sz val="11"/>
        <color theme="1"/>
        <rFont val="Calibri"/>
        <family val="2"/>
        <charset val="1"/>
      </rPr>
      <t xml:space="preserve">H100 Rental Price Over Time</t>
    </r>
    <r>
      <rPr>
        <sz val="11"/>
        <color theme="1"/>
        <rFont val="Noto Sans CJK SC"/>
        <family val="2"/>
      </rPr>
      <t xml:space="preserve">」</t>
    </r>
  </si>
  <si>
    <t xml:space="preserve">https://www.silicondata.com/blog/h100-rental-price-over-time</t>
  </si>
  <si>
    <t xml:space="preserve">2025-12-21</t>
  </si>
  <si>
    <t xml:space="preserve">指數供應商自家文章；方法不透明、與資料來源無法獨立驗證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</si>
  <si>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7.62–7.77</t>
    </r>
  </si>
  <si>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2025-12</t>
    </r>
  </si>
  <si>
    <t xml:space="preserve">同上</t>
  </si>
  <si>
    <t xml:space="preserve">隨需（指數，新雲）</t>
  </si>
  <si>
    <r>
      <rPr>
        <sz val="11"/>
        <color theme="1"/>
        <rFont val="Calibri"/>
        <family val="2"/>
        <charset val="1"/>
      </rPr>
      <t xml:space="preserve">2024-06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2024-12</t>
    </r>
  </si>
  <si>
    <t xml:space="preserve">隨需（指數，市集）</t>
  </si>
  <si>
    <r>
      <rPr>
        <sz val="11"/>
        <color theme="1"/>
        <rFont val="Calibri"/>
        <family val="2"/>
        <charset val="1"/>
      </rPr>
      <t xml:space="preserve">H100 SDH100RT </t>
    </r>
    <r>
      <rPr>
        <sz val="11"/>
        <color theme="1"/>
        <rFont val="Noto Sans CJK SC"/>
        <family val="2"/>
      </rPr>
      <t xml:space="preserve">指數</t>
    </r>
  </si>
  <si>
    <t xml:space="preserve">2026-10-14</t>
  </si>
  <si>
    <t xml:space="preserve">silicondata.com/products/silicon-index/h100</t>
  </si>
  <si>
    <t xml:space="preserve">https://www.silicondata.com/products/silicon-index/h100</t>
  </si>
  <si>
    <r>
      <rPr>
        <sz val="11"/>
        <color theme="1"/>
        <rFont val="Noto Sans CJK SC"/>
        <family val="2"/>
      </rPr>
      <t xml:space="preserve">同上；同頁 </t>
    </r>
    <r>
      <rPr>
        <sz val="11"/>
        <color theme="1"/>
        <rFont val="Calibri"/>
        <family val="2"/>
        <charset val="1"/>
      </rPr>
      <t xml:space="preserve">FAQ </t>
    </r>
    <r>
      <rPr>
        <sz val="11"/>
        <color theme="1"/>
        <rFont val="Noto Sans CJK SC"/>
        <family val="2"/>
      </rPr>
      <t xml:space="preserve">寫 </t>
    </r>
    <r>
      <rPr>
        <sz val="11"/>
        <color theme="1"/>
        <rFont val="Calibri"/>
        <family val="2"/>
        <charset val="1"/>
      </rPr>
      <t xml:space="preserve">2.53</t>
    </r>
    <r>
      <rPr>
        <sz val="11"/>
        <color theme="1"/>
        <rFont val="Noto Sans CJK SC"/>
        <family val="2"/>
      </rPr>
      <t xml:space="preserve">，頁內不一致</t>
    </r>
  </si>
  <si>
    <r>
      <rPr>
        <sz val="11"/>
        <color theme="1"/>
        <rFont val="Noto Sans CJK SC"/>
        <family val="2"/>
      </rPr>
      <t xml:space="preserve">頁內兩個數字不一致（</t>
    </r>
    <r>
      <rPr>
        <sz val="11"/>
        <color theme="1"/>
        <rFont val="Calibri"/>
        <family val="2"/>
        <charset val="1"/>
      </rPr>
      <t xml:space="preserve">2.85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2.53</t>
    </r>
    <r>
      <rPr>
        <sz val="11"/>
        <color theme="1"/>
        <rFont val="Noto Sans CJK SC"/>
        <family val="2"/>
      </rPr>
      <t xml:space="preserve">）</t>
    </r>
  </si>
  <si>
    <t xml:space="preserve">B200 SXM6 8x</t>
  </si>
  <si>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）</t>
    </r>
  </si>
  <si>
    <t xml:space="preserve">2025-08-12</t>
  </si>
  <si>
    <r>
      <rPr>
        <sz val="11"/>
        <color theme="1"/>
        <rFont val="Calibri"/>
        <family val="2"/>
        <charset val="1"/>
      </rPr>
      <t xml:space="preserve">lambda.ai/blog/nvidia-b200-lambda-on-demand-cloud</t>
    </r>
    <r>
      <rPr>
        <sz val="11"/>
        <color theme="1"/>
        <rFont val="Noto Sans CJK SC"/>
        <family val="2"/>
      </rPr>
      <t xml:space="preserve">（頁面 </t>
    </r>
    <r>
      <rPr>
        <sz val="11"/>
        <color theme="1"/>
        <rFont val="Calibri"/>
        <family val="2"/>
        <charset val="1"/>
      </rPr>
      <t xml:space="preserve">2025-11-05 </t>
    </r>
    <r>
      <rPr>
        <sz val="11"/>
        <color theme="1"/>
        <rFont val="Noto Sans CJK SC"/>
        <family val="2"/>
      </rPr>
      <t xml:space="preserve">更新）</t>
    </r>
  </si>
  <si>
    <t xml:space="preserve">https://lambda.ai/blog/nvidia-b200-lambda-on-demand-cloud</t>
  </si>
  <si>
    <r>
      <rPr>
        <sz val="11"/>
        <color theme="1"/>
        <rFont val="Calibri"/>
        <family val="2"/>
        <charset val="1"/>
      </rPr>
      <t xml:space="preserve">Lambda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B200 </t>
    </r>
    <r>
      <rPr>
        <sz val="11"/>
        <color theme="1"/>
        <rFont val="Noto Sans CJK SC"/>
        <family val="2"/>
      </rPr>
      <t xml:space="preserve">上市日；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2025-02 </t>
    </r>
    <r>
      <rPr>
        <sz val="11"/>
        <color theme="1"/>
        <rFont val="Noto Sans CJK SC"/>
        <family val="2"/>
      </rPr>
      <t xml:space="preserve">已上線 </t>
    </r>
    <r>
      <rPr>
        <sz val="11"/>
        <color theme="1"/>
        <rFont val="Calibri"/>
        <family val="2"/>
        <charset val="1"/>
      </rPr>
      <t xml:space="preserve">GB200</t>
    </r>
  </si>
  <si>
    <t xml:space="preserve">B200 SXM6</t>
  </si>
  <si>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2025-08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4.99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getdeploying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B200 </t>
    </r>
    <r>
      <rPr>
        <sz val="11"/>
        <color theme="1"/>
        <rFont val="Noto Sans CJK SC"/>
        <family val="2"/>
      </rPr>
      <t xml:space="preserve">中位隨需價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+19%</t>
    </r>
  </si>
  <si>
    <t xml:space="preserve">B200 1-Click Cluster</t>
  </si>
  <si>
    <r>
      <rPr>
        <sz val="11"/>
        <color theme="1"/>
        <rFont val="Noto Sans CJK SC"/>
        <family val="2"/>
      </rPr>
      <t xml:space="preserve">預留（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週～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256+ </t>
    </r>
    <r>
      <rPr>
        <sz val="11"/>
        <color theme="1"/>
        <rFont val="Noto Sans CJK SC"/>
        <family val="2"/>
      </rPr>
      <t xml:space="preserve">卡）</t>
    </r>
  </si>
  <si>
    <r>
      <rPr>
        <sz val="11"/>
        <color rgb="FF0000FF"/>
        <rFont val="Cambria"/>
        <family val="0"/>
        <charset val="1"/>
      </rPr>
      <t xml:space="preserve">9.86</t>
    </r>
    <r>
      <rPr>
        <sz val="11"/>
        <color rgb="FF0000FF"/>
        <rFont val="Noto Sans CJK SC"/>
        <family val="2"/>
      </rPr>
      <t xml:space="preserve">／</t>
    </r>
    <r>
      <rPr>
        <sz val="11"/>
        <color rgb="FF0000FF"/>
        <rFont val="Cambria"/>
        <family val="0"/>
        <charset val="1"/>
      </rPr>
      <t xml:space="preserve">9.36</t>
    </r>
    <r>
      <rPr>
        <sz val="11"/>
        <color rgb="FF0000FF"/>
        <rFont val="Noto Sans CJK SC"/>
        <family val="2"/>
      </rPr>
      <t xml:space="preserve">／</t>
    </r>
    <r>
      <rPr>
        <sz val="11"/>
        <color rgb="FF0000FF"/>
        <rFont val="Cambria"/>
        <family val="0"/>
        <charset val="1"/>
      </rPr>
      <t xml:space="preserve">8.87</t>
    </r>
  </si>
  <si>
    <t xml:space="preserve">lambda.ai/service/gpu-cloud/1-click-clusters</t>
  </si>
  <si>
    <t xml:space="preserve">https://lambda.ai/service/gpu-cloud/1-click-clusters</t>
  </si>
  <si>
    <r>
      <rPr>
        <sz val="11"/>
        <color theme="1"/>
        <rFont val="Calibri"/>
        <family val="2"/>
        <charset val="1"/>
      </rPr>
      <t xml:space="preserve">B200 HGX 8 </t>
    </r>
    <r>
      <rPr>
        <sz val="11"/>
        <color theme="1"/>
        <rFont val="Noto Sans CJK SC"/>
        <family val="2"/>
      </rPr>
      <t xml:space="preserve">卡</t>
    </r>
  </si>
  <si>
    <r>
      <rPr>
        <sz val="11"/>
        <color theme="1"/>
        <rFont val="Calibri"/>
        <family val="2"/>
        <charset val="1"/>
      </rPr>
      <t xml:space="preserve">coreweave.com/pricing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$68.80÷8</t>
    </r>
    <r>
      <rPr>
        <sz val="11"/>
        <color theme="1"/>
        <rFont val="Noto Sans CJK SC"/>
        <family val="2"/>
      </rPr>
      <t xml:space="preserve">）</t>
    </r>
  </si>
  <si>
    <t xml:space="preserve">B200</t>
  </si>
  <si>
    <t xml:space="preserve">現價（頁面日期不明）</t>
  </si>
  <si>
    <t xml:space="preserve">nebius.com/prices</t>
  </si>
  <si>
    <t xml:space="preserve">B200 p6-b200.48xlarge</t>
  </si>
  <si>
    <t xml:space="preserve">現價</t>
  </si>
  <si>
    <r>
      <rPr>
        <sz val="11"/>
        <color theme="1"/>
        <rFont val="Calibri"/>
        <family val="2"/>
        <charset val="1"/>
      </rPr>
      <t xml:space="preserve">instances.vantage.sh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$113.933÷8</t>
    </r>
    <r>
      <rPr>
        <sz val="11"/>
        <color theme="1"/>
        <rFont val="Noto Sans CJK SC"/>
        <family val="2"/>
      </rPr>
      <t xml:space="preserve">）</t>
    </r>
  </si>
  <si>
    <t xml:space="preserve">https://instances.vantage.sh/aws/ec2/p6-b200.48xlarge</t>
  </si>
  <si>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（多家業者中位）</t>
    </r>
  </si>
  <si>
    <r>
      <rPr>
        <sz val="11"/>
        <color theme="1"/>
        <rFont val="Calibri"/>
        <family val="2"/>
        <charset val="1"/>
      </rPr>
      <t xml:space="preserve">$/GPU-hr</t>
    </r>
    <r>
      <rPr>
        <sz val="11"/>
        <color theme="1"/>
        <rFont val="Noto Sans CJK SC"/>
        <family val="2"/>
      </rPr>
      <t xml:space="preserve">（中位數，</t>
    </r>
    <r>
      <rPr>
        <sz val="11"/>
        <color theme="1"/>
        <rFont val="Calibri"/>
        <family val="2"/>
        <charset val="1"/>
      </rPr>
      <t xml:space="preserve">67 </t>
    </r>
    <r>
      <rPr>
        <sz val="11"/>
        <color theme="1"/>
        <rFont val="Noto Sans CJK SC"/>
        <family val="2"/>
      </rPr>
      <t xml:space="preserve">組）</t>
    </r>
  </si>
  <si>
    <r>
      <rPr>
        <sz val="11"/>
        <color theme="1"/>
        <rFont val="Calibri"/>
        <family val="2"/>
        <charset val="1"/>
      </rPr>
      <t xml:space="preserve">getdeploying.com </t>
    </r>
    <r>
      <rPr>
        <sz val="11"/>
        <color theme="1"/>
        <rFont val="Noto Sans CJK SC"/>
        <family val="2"/>
      </rPr>
      <t xml:space="preserve">彙整</t>
    </r>
  </si>
  <si>
    <t xml:space="preserve">getdeploying.com/gpus/nvidia-b200</t>
  </si>
  <si>
    <t xml:space="preserve">https://getdeploying.com/gpus/nvidia-b200</t>
  </si>
  <si>
    <t xml:space="preserve">Analogy</t>
  </si>
  <si>
    <t xml:space="preserve">彙整站含贊助商標示；僅作橫斷面對照</t>
  </si>
  <si>
    <r>
      <rPr>
        <sz val="11"/>
        <color theme="1"/>
        <rFont val="Noto Sans CJK SC"/>
        <family val="2"/>
      </rPr>
      <t xml:space="preserve">預留中位 </t>
    </r>
    <r>
      <rPr>
        <sz val="11"/>
        <color theme="1"/>
        <rFont val="Calibri"/>
        <family val="2"/>
        <charset val="1"/>
      </rPr>
      <t xml:space="preserve">5.62</t>
    </r>
    <r>
      <rPr>
        <sz val="11"/>
        <color theme="1"/>
        <rFont val="Noto Sans CJK SC"/>
        <family val="2"/>
      </rPr>
      <t xml:space="preserve">；隨需中位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 </t>
    </r>
    <r>
      <rPr>
        <sz val="11"/>
        <color theme="1"/>
        <rFont val="Calibri"/>
        <family val="2"/>
        <charset val="1"/>
      </rPr>
      <t xml:space="preserve">+4%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+19%</t>
    </r>
  </si>
  <si>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GPU </t>
    </r>
    <r>
      <rPr>
        <sz val="11"/>
        <color theme="1"/>
        <rFont val="Noto Sans CJK SC"/>
        <family val="2"/>
      </rPr>
      <t xml:space="preserve">單位）</t>
    </r>
  </si>
  <si>
    <t xml:space="preserve">GB200</t>
  </si>
  <si>
    <r>
      <rPr>
        <sz val="11"/>
        <color theme="1"/>
        <rFont val="Calibri"/>
        <family val="2"/>
        <charset val="1"/>
      </rPr>
      <t xml:space="preserve">coreweave.com/pricing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$42.00÷4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SRC_PRC_001 </t>
    </r>
    <r>
      <rPr>
        <sz val="11"/>
        <color theme="1"/>
        <rFont val="Noto Sans CJK SC"/>
        <family val="2"/>
      </rPr>
      <t xml:space="preserve">同一牌價，勿重複計入獨立來源</t>
    </r>
  </si>
  <si>
    <r>
      <rPr>
        <sz val="11"/>
        <color theme="1"/>
        <rFont val="Calibri"/>
        <family val="2"/>
        <charset val="1"/>
      </rPr>
      <t xml:space="preserve">SRC_PRC_001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spheron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為同值 </t>
    </r>
    <r>
      <rPr>
        <sz val="11"/>
        <color theme="1"/>
        <rFont val="Calibri"/>
        <family val="2"/>
        <charset val="1"/>
      </rPr>
      <t xml:space="preserve">$42/4 GPU</t>
    </r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</si>
  <si>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GPU </t>
    </r>
    <r>
      <rPr>
        <sz val="11"/>
        <color theme="1"/>
        <rFont val="Noto Sans CJK SC"/>
        <family val="2"/>
      </rPr>
      <t xml:space="preserve">單位）</t>
    </r>
  </si>
  <si>
    <t xml:space="preserve">GB300</t>
  </si>
  <si>
    <t xml:space="preserve">Oracle Cloud</t>
  </si>
  <si>
    <r>
      <rPr>
        <sz val="11"/>
        <color theme="1"/>
        <rFont val="Calibri"/>
        <family val="2"/>
        <charset val="1"/>
      </rPr>
      <t xml:space="preserve">getdeploying.com </t>
    </r>
    <r>
      <rPr>
        <sz val="11"/>
        <color theme="1"/>
        <rFont val="Noto Sans CJK SC"/>
        <family val="2"/>
      </rPr>
      <t xml:space="preserve">彙整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公開價（</t>
    </r>
    <r>
      <rPr>
        <sz val="11"/>
        <color theme="1"/>
        <rFont val="Calibri"/>
        <family val="2"/>
        <charset val="1"/>
      </rPr>
      <t xml:space="preserve">BM.GPU.GB300.42</t>
    </r>
    <r>
      <rPr>
        <sz val="11"/>
        <color theme="1"/>
        <rFont val="Noto Sans CJK SC"/>
        <family val="2"/>
      </rPr>
      <t xml:space="preserve">）</t>
    </r>
  </si>
  <si>
    <t xml:space="preserve">https://getdeploying.com/gpus/nvidia-gb300</t>
  </si>
  <si>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官方頁價格欄未擷取到（頁面更新 </t>
    </r>
    <r>
      <rPr>
        <sz val="11"/>
        <color theme="1"/>
        <rFont val="Calibri"/>
        <family val="2"/>
        <charset val="1"/>
      </rPr>
      <t xml:space="preserve">2026-08-25</t>
    </r>
    <r>
      <rPr>
        <sz val="11"/>
        <color theme="1"/>
        <rFont val="Noto Sans CJK SC"/>
        <family val="2"/>
      </rPr>
      <t xml:space="preserve">）；此值為二手彙整</t>
    </r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</si>
  <si>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1x </t>
    </r>
    <r>
      <rPr>
        <sz val="11"/>
        <color theme="1"/>
        <rFont val="Noto Sans CJK SC"/>
        <family val="2"/>
      </rPr>
      <t xml:space="preserve">配置）</t>
    </r>
  </si>
  <si>
    <t xml:space="preserve">Verda</t>
  </si>
  <si>
    <t xml:space="preserve">標示缺貨</t>
  </si>
  <si>
    <r>
      <rPr>
        <sz val="11"/>
        <color theme="1"/>
        <rFont val="Noto Sans CJK SC"/>
        <family val="2"/>
      </rPr>
      <t xml:space="preserve">預留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</t>
    </r>
  </si>
  <si>
    <t xml:space="preserve">B300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</si>
  <si>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世代（單卡 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</si>
  <si>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單卡，非 </t>
    </r>
    <r>
      <rPr>
        <sz val="11"/>
        <color theme="1"/>
        <rFont val="Calibri"/>
        <family val="2"/>
        <charset val="1"/>
      </rPr>
      <t xml:space="preserve">NVL72</t>
    </r>
  </si>
  <si>
    <t xml:space="preserve">GB300 NVL72</t>
  </si>
  <si>
    <t xml:space="preserve">隨需／預留</t>
  </si>
  <si>
    <t xml:space="preserve">（聯絡業務）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</si>
  <si>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Together 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Gcore</t>
    </r>
  </si>
  <si>
    <r>
      <rPr>
        <sz val="11"/>
        <color theme="1"/>
        <rFont val="Calibri"/>
        <family val="2"/>
        <charset val="1"/>
      </rPr>
      <t xml:space="preserve">getdeploying.com </t>
    </r>
    <r>
      <rPr>
        <sz val="11"/>
        <color theme="1"/>
        <rFont val="Noto Sans CJK SC"/>
        <family val="2"/>
      </rPr>
      <t xml:space="preserve">彙整與各家定價頁</t>
    </r>
  </si>
  <si>
    <t xml:space="preserve">已搜尋，未找到公開標價</t>
  </si>
  <si>
    <t xml:space="preserve">VR200 NVL72</t>
  </si>
  <si>
    <t xml:space="preserve">VR200</t>
  </si>
  <si>
    <r>
      <rPr>
        <sz val="11"/>
        <color theme="1"/>
        <rFont val="Calibri"/>
        <family val="2"/>
        <charset val="1"/>
      </rPr>
      <t xml:space="preserve">CoreWeave 2026-09-30 </t>
    </r>
    <r>
      <rPr>
        <sz val="11"/>
        <color theme="1"/>
        <rFont val="Noto Sans CJK SC"/>
        <family val="2"/>
      </rPr>
      <t xml:space="preserve">宣布供應，未載價格</t>
    </r>
  </si>
  <si>
    <r>
      <rPr>
        <sz val="11"/>
        <color theme="1"/>
        <rFont val="Calibri"/>
        <family val="2"/>
        <charset val="1"/>
      </rPr>
      <t xml:space="preserve">coreweave.com/news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Cognition </t>
    </r>
    <r>
      <rPr>
        <sz val="11"/>
        <color theme="1"/>
        <rFont val="Noto Sans CJK SC"/>
        <family val="2"/>
      </rPr>
      <t xml:space="preserve">首位客戶）</t>
    </r>
  </si>
  <si>
    <t xml:space="preserve">https://www.coreweave.com/news/coreweave-delivers-nvidia-vera-rubin-nvl72-performance-at-production-scale-starting-with-cognition</t>
  </si>
  <si>
    <t xml:space="preserve">2026-09-30</t>
  </si>
  <si>
    <t xml:space="preserve">已搜尋，未找到公開價格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</si>
  <si>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長約（</t>
    </r>
    <r>
      <rPr>
        <sz val="11"/>
        <color theme="1"/>
        <rFont val="Calibri"/>
        <family val="2"/>
        <charset val="1"/>
      </rPr>
      <t xml:space="preserve">IREN—Microsoft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關鍵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負載）</t>
    </r>
  </si>
  <si>
    <r>
      <rPr>
        <sz val="11"/>
        <color theme="1"/>
        <rFont val="Noto Sans CJK SC"/>
        <family val="2"/>
      </rPr>
      <t xml:space="preserve">長約（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年；含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預付）</t>
    </r>
  </si>
  <si>
    <t xml:space="preserve">2025-11-03</t>
  </si>
  <si>
    <r>
      <rPr>
        <sz val="11"/>
        <color theme="1"/>
        <rFont val="Calibri"/>
        <family val="2"/>
        <charset val="1"/>
      </rPr>
      <t xml:space="preserve">$M/MW-IT/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= $9.7B ÷ 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÷ 200 MW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</si>
  <si>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（賣方揭露）</t>
    </r>
  </si>
  <si>
    <r>
      <rPr>
        <sz val="11"/>
        <color theme="1"/>
        <rFont val="Calibri"/>
        <family val="2"/>
        <charset val="1"/>
      </rPr>
      <t xml:space="preserve">iren.com </t>
    </r>
    <r>
      <rPr>
        <sz val="11"/>
        <color theme="1"/>
        <rFont val="Noto Sans CJK SC"/>
        <family val="2"/>
      </rPr>
      <t xml:space="preserve">公告（合約價值約 </t>
    </r>
    <r>
      <rPr>
        <sz val="11"/>
        <color theme="1"/>
        <rFont val="Calibri"/>
        <family val="2"/>
        <charset val="1"/>
      </rPr>
      <t xml:space="preserve">$9.7B</t>
    </r>
    <r>
      <rPr>
        <sz val="11"/>
        <color theme="1"/>
        <rFont val="Noto Sans CJK SC"/>
        <family val="2"/>
      </rPr>
      <t xml:space="preserve">、五年、</t>
    </r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關鍵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負載、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預付）</t>
    </r>
  </si>
  <si>
    <t xml:space="preserve">https://iren.com/resources/blog/iren-signs97-billion-agreement-with-microsoft-to-deploy-ai-cloud-infrastructure</t>
  </si>
  <si>
    <t xml:space="preserve">賣方公司自行揭露；只記單價，不記合約組合、客戶細節或公司指引</t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</si>
  <si>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契約第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節對帳提醒 </t>
    </r>
    <r>
      <rPr>
        <sz val="11"/>
        <color theme="1"/>
        <rFont val="Calibri"/>
        <family val="2"/>
        <charset val="1"/>
      </rPr>
      <t xml:space="preserve">9.70 </t>
    </r>
    <r>
      <rPr>
        <sz val="11"/>
        <color theme="1"/>
        <rFont val="Noto Sans CJK SC"/>
        <family val="2"/>
      </rPr>
      <t xml:space="preserve">一致；公告未載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</si>
  <si>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長約（</t>
    </r>
    <r>
      <rPr>
        <sz val="11"/>
        <color theme="1"/>
        <rFont val="Calibri"/>
        <family val="2"/>
        <charset val="1"/>
      </rPr>
      <t xml:space="preserve">Nebius—Microsoft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</si>
  <si>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長約（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年）</t>
    </r>
  </si>
  <si>
    <t xml:space="preserve">2025-09-09</t>
  </si>
  <si>
    <t xml:space="preserve">（無法換算）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</si>
  <si>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（賣方揭露）</t>
    </r>
  </si>
  <si>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轉述（合約 </t>
    </r>
    <r>
      <rPr>
        <sz val="11"/>
        <color theme="1"/>
        <rFont val="Calibri"/>
        <family val="2"/>
        <charset val="1"/>
      </rPr>
      <t xml:space="preserve">$17.4B</t>
    </r>
    <r>
      <rPr>
        <sz val="11"/>
        <color theme="1"/>
        <rFont val="Noto Sans CJK SC"/>
        <family val="2"/>
      </rPr>
      <t xml:space="preserve">，至多 </t>
    </r>
    <r>
      <rPr>
        <sz val="11"/>
        <color theme="1"/>
        <rFont val="Calibri"/>
        <family val="2"/>
        <charset val="1"/>
      </rPr>
      <t xml:space="preserve">$19.4B</t>
    </r>
    <r>
      <rPr>
        <sz val="11"/>
        <color theme="1"/>
        <rFont val="Noto Sans CJK SC"/>
        <family val="2"/>
      </rPr>
      <t xml:space="preserve">；公告未載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數）</t>
    </r>
  </si>
  <si>
    <t xml:space="preserve">https://datacenterdynamics.com/en/news/microsoft-to-use-nebius-gpu-data-centers-in-deal-worth-174bn-over-five-years</t>
  </si>
  <si>
    <t xml:space="preserve">賣方揭露；二手轉述</t>
  </si>
  <si>
    <r>
      <rPr>
        <sz val="11"/>
        <color theme="1"/>
        <rFont val="Noto Sans CJK SC"/>
        <family val="2"/>
      </rPr>
      <t xml:space="preserve">缺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數，無法換算單價；不列入實算</t>
    </r>
  </si>
  <si>
    <r>
      <rPr>
        <sz val="11"/>
        <color theme="1"/>
        <rFont val="Noto Sans CJK SC"/>
        <family val="2"/>
      </rPr>
      <t xml:space="preserve">已搜尋，未找到：</t>
    </r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Together 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Gcore </t>
    </r>
    <r>
      <rPr>
        <sz val="11"/>
        <color theme="1"/>
        <rFont val="Noto Sans CJK SC"/>
        <family val="2"/>
      </rPr>
      <t xml:space="preserve">的公開標價（皆「聯絡業務」）；</t>
    </r>
    <r>
      <rPr>
        <sz val="11"/>
        <color theme="1"/>
        <rFont val="Calibri"/>
        <family val="2"/>
        <charset val="1"/>
      </rPr>
      <t xml:space="preserve">VR200 NVL72 </t>
    </r>
    <r>
      <rPr>
        <sz val="11"/>
        <color theme="1"/>
        <rFont val="Noto Sans CJK SC"/>
        <family val="2"/>
      </rPr>
      <t xml:space="preserve">的任何公開價格；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上市後 </t>
    </r>
    <r>
      <rPr>
        <sz val="11"/>
        <color theme="1"/>
        <rFont val="Calibri"/>
        <family val="2"/>
        <charset val="1"/>
      </rPr>
      <t xml:space="preserve">0–6 </t>
    </r>
    <r>
      <rPr>
        <sz val="11"/>
        <color theme="1"/>
        <rFont val="Noto Sans CJK SC"/>
        <family val="2"/>
      </rPr>
      <t xml:space="preserve">個月的官方價格頁快照（</t>
    </r>
    <r>
      <rPr>
        <sz val="11"/>
        <color theme="1"/>
        <rFont val="Calibri"/>
        <family val="2"/>
        <charset val="1"/>
      </rPr>
      <t xml:space="preserve">Wayback </t>
    </r>
    <r>
      <rPr>
        <sz val="11"/>
        <color theme="1"/>
        <rFont val="Noto Sans CJK SC"/>
        <family val="2"/>
      </rPr>
      <t xml:space="preserve">被擋）；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上市價（</t>
    </r>
    <r>
      <rPr>
        <sz val="11"/>
        <color theme="1"/>
        <rFont val="Calibri"/>
        <family val="2"/>
        <charset val="1"/>
      </rPr>
      <t xml:space="preserve">2025-02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官方頁價格欄擷取為空，</t>
    </r>
    <r>
      <rPr>
        <sz val="11"/>
        <color theme="1"/>
        <rFont val="Calibri"/>
        <family val="2"/>
        <charset val="1"/>
      </rPr>
      <t xml:space="preserve">GB300 18.00 </t>
    </r>
    <r>
      <rPr>
        <sz val="11"/>
        <color theme="1"/>
        <rFont val="Noto Sans CJK SC"/>
        <family val="2"/>
      </rPr>
      <t xml:space="preserve">採二手彙整。</t>
    </r>
  </si>
  <si>
    <r>
      <rPr>
        <b val="true"/>
        <sz val="13"/>
        <rFont val="Cambria"/>
        <family val="0"/>
        <charset val="1"/>
      </rPr>
      <t xml:space="preserve">E338–E341 </t>
    </r>
    <r>
      <rPr>
        <b val="true"/>
        <sz val="13"/>
        <rFont val="Noto Sans CJK SC"/>
        <family val="2"/>
      </rPr>
      <t xml:space="preserve">一手確認與年變化率重算</t>
    </r>
  </si>
  <si>
    <t xml:space="preserve">證據</t>
  </si>
  <si>
    <t xml:space="preserve">項目</t>
  </si>
  <si>
    <r>
      <rPr>
        <b val="true"/>
        <sz val="11"/>
        <color rgb="FFFFFFFF"/>
        <rFont val="Cambria"/>
        <family val="0"/>
        <charset val="1"/>
      </rPr>
      <t xml:space="preserve">E338–E341 </t>
    </r>
    <r>
      <rPr>
        <b val="true"/>
        <sz val="11"/>
        <color rgb="FFFFFFFF"/>
        <rFont val="Noto Sans CJK SC"/>
        <family val="2"/>
      </rPr>
      <t xml:space="preserve">原值</t>
    </r>
  </si>
  <si>
    <t xml:space="preserve">一手來源與讀到的值</t>
  </si>
  <si>
    <t xml:space="preserve">判定</t>
  </si>
  <si>
    <t xml:space="preserve">E338</t>
  </si>
  <si>
    <t xml:space="preserve">GPT-4</t>
  </si>
  <si>
    <r>
      <rPr>
        <sz val="11"/>
        <color theme="1"/>
        <rFont val="Calibri"/>
        <family val="2"/>
        <charset val="1"/>
      </rPr>
      <t xml:space="preserve">30/60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</si>
  <si>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$0.03/$0.06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1K</t>
    </r>
  </si>
  <si>
    <t xml:space="preserve">一致</t>
  </si>
  <si>
    <r>
      <rPr>
        <sz val="11"/>
        <color theme="1"/>
        <rFont val="Calibri"/>
        <family val="2"/>
        <charset val="1"/>
      </rPr>
      <t xml:space="preserve">10/30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</si>
  <si>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$0.01/$0.03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1K</t>
    </r>
  </si>
  <si>
    <r>
      <rPr>
        <sz val="11"/>
        <color theme="1"/>
        <rFont val="Calibri"/>
        <family val="2"/>
        <charset val="1"/>
      </rPr>
      <t xml:space="preserve">5/15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</si>
  <si>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官方社群公告 </t>
    </r>
    <r>
      <rPr>
        <sz val="11"/>
        <color theme="1"/>
        <rFont val="Calibri"/>
        <family val="2"/>
        <charset val="1"/>
      </rPr>
      <t xml:space="preserve">$5/$15</t>
    </r>
    <r>
      <rPr>
        <sz val="11"/>
        <color theme="1"/>
        <rFont val="Noto Sans CJK SC"/>
        <family val="2"/>
      </rPr>
      <t xml:space="preserve">（本站頁無絕對價）</t>
    </r>
  </si>
  <si>
    <t xml:space="preserve">一致（來源為官方社群公告）</t>
  </si>
  <si>
    <t xml:space="preserve">GPT-4o-0806</t>
  </si>
  <si>
    <t xml:space="preserve">2.5/10</t>
  </si>
  <si>
    <t xml:space="preserve">$2.50/$10.00</t>
  </si>
  <si>
    <r>
      <rPr>
        <sz val="11"/>
        <color theme="1"/>
        <rFont val="Calibri"/>
        <family val="2"/>
        <charset val="1"/>
      </rPr>
      <t xml:space="preserve">2/8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2025-04</t>
    </r>
    <r>
      <rPr>
        <sz val="11"/>
        <color theme="1"/>
        <rFont val="Noto Sans CJK SC"/>
        <family val="2"/>
      </rPr>
      <t xml:space="preserve">）</t>
    </r>
  </si>
  <si>
    <t xml:space="preserve">$2.00/$8.00</t>
  </si>
  <si>
    <r>
      <rPr>
        <sz val="11"/>
        <color theme="1"/>
        <rFont val="Calibri"/>
        <family val="2"/>
        <charset val="1"/>
      </rPr>
      <t xml:space="preserve">1.25/10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2025-08</t>
    </r>
    <r>
      <rPr>
        <sz val="11"/>
        <color theme="1"/>
        <rFont val="Noto Sans CJK SC"/>
        <family val="2"/>
      </rPr>
      <t xml:space="preserve">）</t>
    </r>
  </si>
  <si>
    <t xml:space="preserve">$1.25/$10.00</t>
  </si>
  <si>
    <r>
      <rPr>
        <sz val="11"/>
        <color theme="1"/>
        <rFont val="Calibri"/>
        <family val="2"/>
        <charset val="1"/>
      </rPr>
      <t xml:space="preserve">1.75/14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）</t>
    </r>
  </si>
  <si>
    <t xml:space="preserve">$1.75/$14</t>
  </si>
  <si>
    <r>
      <rPr>
        <sz val="11"/>
        <color theme="1"/>
        <rFont val="Calibri"/>
        <family val="2"/>
        <charset val="1"/>
      </rPr>
      <t xml:space="preserve">2.5/15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</si>
  <si>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$2.50/$15</t>
  </si>
  <si>
    <r>
      <rPr>
        <sz val="11"/>
        <color theme="1"/>
        <rFont val="Calibri"/>
        <family val="2"/>
        <charset val="1"/>
      </rPr>
      <t xml:space="preserve">2/12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</si>
  <si>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上市價 </t>
    </r>
    <r>
      <rPr>
        <sz val="11"/>
        <color theme="1"/>
        <rFont val="Calibri"/>
        <family val="2"/>
        <charset val="1"/>
      </rPr>
      <t xml:space="preserve">$2.50/$15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2026-07-09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2026-07-30 </t>
    </r>
    <r>
      <rPr>
        <sz val="11"/>
        <color theme="1"/>
        <rFont val="Noto Sans CJK SC"/>
        <family val="2"/>
      </rPr>
      <t xml:space="preserve">降 </t>
    </r>
    <r>
      <rPr>
        <sz val="11"/>
        <color theme="1"/>
        <rFont val="Calibri"/>
        <family val="2"/>
        <charset val="1"/>
      </rPr>
      <t xml:space="preserve">20% → 2/12</t>
    </r>
  </si>
  <si>
    <r>
      <rPr>
        <sz val="11"/>
        <color theme="1"/>
        <rFont val="Calibri"/>
        <family val="2"/>
        <charset val="1"/>
      </rPr>
      <t xml:space="preserve">2026-07-09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07-30</t>
    </r>
  </si>
  <si>
    <r>
      <rPr>
        <sz val="11"/>
        <color theme="1"/>
        <rFont val="Noto Sans CJK SC"/>
        <family val="2"/>
      </rPr>
      <t xml:space="preserve">不一致（時點）：</t>
    </r>
    <r>
      <rPr>
        <sz val="11"/>
        <color theme="1"/>
        <rFont val="Calibri"/>
        <family val="2"/>
        <charset val="1"/>
      </rPr>
      <t xml:space="preserve">2/12 </t>
    </r>
    <r>
      <rPr>
        <sz val="11"/>
        <color theme="1"/>
        <rFont val="Noto Sans CJK SC"/>
        <family val="2"/>
      </rPr>
      <t xml:space="preserve">是降價後價；上市價 </t>
    </r>
    <r>
      <rPr>
        <sz val="11"/>
        <color theme="1"/>
        <rFont val="Calibri"/>
        <family val="2"/>
        <charset val="1"/>
      </rPr>
      <t xml:space="preserve">2.5/15</t>
    </r>
  </si>
  <si>
    <r>
      <rPr>
        <sz val="11"/>
        <color theme="1"/>
        <rFont val="Calibri"/>
        <family val="2"/>
        <charset val="1"/>
      </rPr>
      <t xml:space="preserve">2/10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</si>
  <si>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$2/$10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changelog 2026-09-22 </t>
    </r>
    <r>
      <rPr>
        <sz val="11"/>
        <color theme="1"/>
        <rFont val="Noto Sans CJK SC"/>
        <family val="2"/>
      </rPr>
      <t xml:space="preserve">上市</t>
    </r>
  </si>
  <si>
    <r>
      <rPr>
        <sz val="11"/>
        <color theme="1"/>
        <rFont val="Noto Sans CJK SC"/>
        <family val="2"/>
      </rPr>
      <t xml:space="preserve">一致（</t>
    </r>
    <r>
      <rPr>
        <sz val="11"/>
        <color theme="1"/>
        <rFont val="Calibri"/>
        <family val="2"/>
        <charset val="1"/>
      </rPr>
      <t xml:space="preserve">SRC_PRC_006–008 </t>
    </r>
    <r>
      <rPr>
        <sz val="11"/>
        <color theme="1"/>
        <rFont val="Noto Sans CJK SC"/>
        <family val="2"/>
      </rPr>
      <t xml:space="preserve">記 </t>
    </r>
    <r>
      <rPr>
        <sz val="11"/>
        <color theme="1"/>
        <rFont val="Calibri"/>
        <family val="2"/>
        <charset val="1"/>
      </rPr>
      <t xml:space="preserve">09-25</t>
    </r>
    <r>
      <rPr>
        <sz val="11"/>
        <color theme="1"/>
        <rFont val="Noto Sans CJK SC"/>
        <family val="2"/>
      </rPr>
      <t xml:space="preserve">，差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天）</t>
    </r>
  </si>
  <si>
    <r>
      <rPr>
        <sz val="11"/>
        <color theme="1"/>
        <rFont val="Calibri"/>
        <family val="2"/>
        <charset val="1"/>
      </rPr>
      <t xml:space="preserve">2/10</t>
    </r>
    <r>
      <rPr>
        <sz val="11"/>
        <color theme="1"/>
        <rFont val="Noto Sans CJK SC"/>
        <family val="2"/>
      </rPr>
      <t xml:space="preserve">、快取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</si>
  <si>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changelog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$2 input, $0.10 cached input, $2.50 cache write, $10 output</t>
    </r>
    <r>
      <rPr>
        <sz val="11"/>
        <color theme="1"/>
        <rFont val="Noto Sans CJK SC"/>
        <family val="2"/>
      </rPr>
      <t xml:space="preserve">」</t>
    </r>
  </si>
  <si>
    <t xml:space="preserve">E339</t>
  </si>
  <si>
    <r>
      <rPr>
        <sz val="11"/>
        <color theme="1"/>
        <rFont val="Calibri"/>
        <family val="2"/>
        <charset val="1"/>
      </rPr>
      <t xml:space="preserve">Claude 3 Sonnet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Sonnet 4.6</t>
    </r>
  </si>
  <si>
    <r>
      <rPr>
        <sz val="11"/>
        <color theme="1"/>
        <rFont val="Calibri"/>
        <family val="2"/>
        <charset val="1"/>
      </rPr>
      <t xml:space="preserve">3/15 </t>
    </r>
    <r>
      <rPr>
        <sz val="11"/>
        <color theme="1"/>
        <rFont val="Noto Sans CJK SC"/>
        <family val="2"/>
      </rPr>
      <t xml:space="preserve">持平</t>
    </r>
  </si>
  <si>
    <r>
      <rPr>
        <sz val="11"/>
        <color theme="1"/>
        <rFont val="Calibri"/>
        <family val="2"/>
        <charset val="1"/>
      </rPr>
      <t xml:space="preserve">3 Sonnet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4.6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$3/$15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Sonnet 4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4.5 </t>
    </r>
    <r>
      <rPr>
        <sz val="11"/>
        <color theme="1"/>
        <rFont val="Noto Sans CJK SC"/>
        <family val="2"/>
      </rPr>
      <t xml:space="preserve">公告間接確認）</t>
    </r>
  </si>
  <si>
    <r>
      <rPr>
        <sz val="11"/>
        <color theme="1"/>
        <rFont val="Calibri"/>
        <family val="2"/>
        <charset val="1"/>
      </rPr>
      <t xml:space="preserve">2024-03-04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2026-02-17</t>
    </r>
  </si>
  <si>
    <r>
      <rPr>
        <sz val="11"/>
        <color theme="1"/>
        <rFont val="Calibri"/>
        <family val="2"/>
        <charset val="1"/>
      </rPr>
      <t xml:space="preserve">3/15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標準價）</t>
    </r>
  </si>
  <si>
    <r>
      <rPr>
        <sz val="11"/>
        <color theme="1"/>
        <rFont val="Noto Sans CJK SC"/>
        <family val="2"/>
      </rPr>
      <t xml:space="preserve">上市價 </t>
    </r>
    <r>
      <rPr>
        <sz val="11"/>
        <color theme="1"/>
        <rFont val="Calibri"/>
        <family val="2"/>
        <charset val="1"/>
      </rPr>
      <t xml:space="preserve">$2/$10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）；原訂 </t>
    </r>
    <r>
      <rPr>
        <sz val="11"/>
        <color theme="1"/>
        <rFont val="Calibri"/>
        <family val="2"/>
        <charset val="1"/>
      </rPr>
      <t xml:space="preserve">9/1 </t>
    </r>
    <r>
      <rPr>
        <sz val="11"/>
        <color theme="1"/>
        <rFont val="Noto Sans CJK SC"/>
        <family val="2"/>
      </rPr>
      <t xml:space="preserve">起標準價 </t>
    </r>
    <r>
      <rPr>
        <sz val="11"/>
        <color theme="1"/>
        <rFont val="Calibri"/>
        <family val="2"/>
        <charset val="1"/>
      </rPr>
      <t xml:space="preserve">3/15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2026-08-10 </t>
    </r>
    <r>
      <rPr>
        <sz val="11"/>
        <color theme="1"/>
        <rFont val="Noto Sans CJK SC"/>
        <family val="2"/>
      </rPr>
      <t xml:space="preserve">更新「</t>
    </r>
    <r>
      <rPr>
        <sz val="11"/>
        <color theme="1"/>
        <rFont val="Calibri"/>
        <family val="2"/>
        <charset val="1"/>
      </rPr>
      <t xml:space="preserve">2/10 </t>
    </r>
    <r>
      <rPr>
        <sz val="11"/>
        <color theme="1"/>
        <rFont val="Noto Sans CJK SC"/>
        <family val="2"/>
      </rPr>
      <t xml:space="preserve">轉為永久，</t>
    </r>
    <r>
      <rPr>
        <sz val="11"/>
        <color theme="1"/>
        <rFont val="Calibri"/>
        <family val="2"/>
        <charset val="1"/>
      </rPr>
      <t xml:space="preserve">3/15 </t>
    </r>
    <r>
      <rPr>
        <sz val="11"/>
        <color theme="1"/>
        <rFont val="Noto Sans CJK SC"/>
        <family val="2"/>
      </rPr>
      <t xml:space="preserve">不再適用」；定價頁 </t>
    </r>
    <r>
      <rPr>
        <sz val="11"/>
        <color theme="1"/>
        <rFont val="Calibri"/>
        <family val="2"/>
        <charset val="1"/>
      </rPr>
      <t xml:space="preserve">Sonnet 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5.5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2/10</t>
    </r>
  </si>
  <si>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08-10</t>
    </r>
  </si>
  <si>
    <r>
      <rPr>
        <sz val="11"/>
        <color theme="1"/>
        <rFont val="Noto Sans CJK SC"/>
        <family val="2"/>
      </rPr>
      <t xml:space="preserve">不一致：</t>
    </r>
    <r>
      <rPr>
        <sz val="11"/>
        <color theme="1"/>
        <rFont val="Calibri"/>
        <family val="2"/>
        <charset val="1"/>
      </rPr>
      <t xml:space="preserve">Sonnet </t>
    </r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2/10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3/15</t>
    </r>
  </si>
  <si>
    <r>
      <rPr>
        <sz val="11"/>
        <color theme="1"/>
        <rFont val="Calibri"/>
        <family val="2"/>
        <charset val="1"/>
      </rPr>
      <t xml:space="preserve">Sonnet 5 </t>
    </r>
    <r>
      <rPr>
        <sz val="11"/>
        <color theme="1"/>
        <rFont val="Noto Sans CJK SC"/>
        <family val="2"/>
      </rPr>
      <t xml:space="preserve">換 </t>
    </r>
    <r>
      <rPr>
        <sz val="11"/>
        <color theme="1"/>
        <rFont val="Calibri"/>
        <family val="2"/>
        <charset val="1"/>
      </rPr>
      <t xml:space="preserve">tokenizer</t>
    </r>
  </si>
  <si>
    <t xml:space="preserve">每單位文字實價未定</t>
  </si>
  <si>
    <r>
      <rPr>
        <sz val="11"/>
        <color theme="1"/>
        <rFont val="Calibri"/>
        <family val="2"/>
        <charset val="1"/>
      </rPr>
      <t xml:space="preserve">Sonnet 5 </t>
    </r>
    <r>
      <rPr>
        <sz val="11"/>
        <color theme="1"/>
        <rFont val="Noto Sans CJK SC"/>
        <family val="2"/>
      </rPr>
      <t xml:space="preserve">頁：同一輸入約 </t>
    </r>
    <r>
      <rPr>
        <sz val="11"/>
        <color theme="1"/>
        <rFont val="Calibri"/>
        <family val="2"/>
        <charset val="1"/>
      </rPr>
      <t xml:space="preserve">1.0–1.35× token</t>
    </r>
  </si>
  <si>
    <t xml:space="preserve">E340</t>
  </si>
  <si>
    <t xml:space="preserve">3.5/10.5</t>
  </si>
  <si>
    <r>
      <rPr>
        <sz val="11"/>
        <color theme="1"/>
        <rFont val="Noto Sans CJK SC"/>
        <family val="2"/>
      </rPr>
      <t xml:space="preserve">輸入 </t>
    </r>
    <r>
      <rPr>
        <sz val="11"/>
        <color theme="1"/>
        <rFont val="Calibri"/>
        <family val="2"/>
        <charset val="1"/>
      </rPr>
      <t xml:space="preserve">3.50 </t>
    </r>
    <r>
      <rPr>
        <sz val="11"/>
        <color theme="1"/>
        <rFont val="Noto Sans CJK SC"/>
        <family val="2"/>
      </rPr>
      <t xml:space="preserve">僅見社群貼文（</t>
    </r>
    <r>
      <rPr>
        <sz val="11"/>
        <color theme="1"/>
        <rFont val="Calibri"/>
        <family val="2"/>
        <charset val="1"/>
      </rPr>
      <t xml:space="preserve">2024-05-23</t>
    </r>
    <r>
      <rPr>
        <sz val="11"/>
        <color theme="1"/>
        <rFont val="Noto Sans CJK SC"/>
        <family val="2"/>
      </rPr>
      <t xml:space="preserve">）；官方頁取不到</t>
    </r>
  </si>
  <si>
    <t xml:space="preserve">找不到官方一手（輸入：社群貼文；輸出：無）</t>
  </si>
  <si>
    <r>
      <rPr>
        <sz val="11"/>
        <color theme="1"/>
        <rFont val="Calibri"/>
        <family val="2"/>
        <charset val="1"/>
      </rPr>
      <t xml:space="preserve">Gemini 1.5 Pro </t>
    </r>
    <r>
      <rPr>
        <sz val="11"/>
        <color theme="1"/>
        <rFont val="Noto Sans CJK SC"/>
        <family val="2"/>
      </rPr>
      <t xml:space="preserve">降價</t>
    </r>
  </si>
  <si>
    <r>
      <rPr>
        <sz val="11"/>
        <color theme="1"/>
        <rFont val="Calibri"/>
        <family val="2"/>
        <charset val="1"/>
      </rPr>
      <t xml:space="preserve">1.25/5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</si>
  <si>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官方：自 </t>
    </r>
    <r>
      <rPr>
        <sz val="11"/>
        <color theme="1"/>
        <rFont val="Calibri"/>
        <family val="2"/>
        <charset val="1"/>
      </rPr>
      <t xml:space="preserve">2024-10-01 </t>
    </r>
    <r>
      <rPr>
        <sz val="11"/>
        <color theme="1"/>
        <rFont val="Noto Sans CJK SC"/>
        <family val="2"/>
      </rPr>
      <t xml:space="preserve">輸入 −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、輸出 −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（價格表為圖片）；</t>
    </r>
    <r>
      <rPr>
        <sz val="11"/>
        <color theme="1"/>
        <rFont val="Calibri"/>
        <family val="2"/>
        <charset val="1"/>
      </rPr>
      <t xml:space="preserve">3.5×0.36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10.5×0.48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5.04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1.25/5 </t>
    </r>
    <r>
      <rPr>
        <sz val="11"/>
        <color theme="1"/>
        <rFont val="Noto Sans CJK SC"/>
        <family val="2"/>
      </rPr>
      <t xml:space="preserve">相符</t>
    </r>
  </si>
  <si>
    <t xml:space="preserve">降幅一手確認；絕對值為推算相符</t>
  </si>
  <si>
    <t xml:space="preserve">Gemini 2.5 Pro</t>
  </si>
  <si>
    <t xml:space="preserve">1.25/10</t>
  </si>
  <si>
    <r>
      <rPr>
        <sz val="11"/>
        <color theme="1"/>
        <rFont val="Calibri"/>
        <family val="2"/>
        <charset val="1"/>
      </rPr>
      <t xml:space="preserve">ai.google.dev </t>
    </r>
    <r>
      <rPr>
        <sz val="11"/>
        <color theme="1"/>
        <rFont val="Noto Sans CJK SC"/>
        <family val="2"/>
      </rPr>
      <t xml:space="preserve">定價頁 ≤</t>
    </r>
    <r>
      <rPr>
        <sz val="11"/>
        <color theme="1"/>
        <rFont val="Calibri"/>
        <family val="2"/>
        <charset val="1"/>
      </rPr>
      <t xml:space="preserve">200K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$1.25/$10.00</t>
    </r>
  </si>
  <si>
    <r>
      <rPr>
        <sz val="11"/>
        <color theme="1"/>
        <rFont val="Noto Sans CJK SC"/>
        <family val="2"/>
      </rPr>
      <t xml:space="preserve">現行頁（無日期）；</t>
    </r>
    <r>
      <rPr>
        <sz val="11"/>
        <color theme="1"/>
        <rFont val="Calibri"/>
        <family val="2"/>
        <charset val="1"/>
      </rPr>
      <t xml:space="preserve">GA 2025-06-17</t>
    </r>
  </si>
  <si>
    <t xml:space="preserve">Gemini 3 Pro</t>
  </si>
  <si>
    <t xml:space="preserve">2/12</t>
  </si>
  <si>
    <r>
      <rPr>
        <sz val="11"/>
        <color theme="1"/>
        <rFont val="Calibri"/>
        <family val="2"/>
        <charset val="1"/>
      </rPr>
      <t xml:space="preserve">$2/$12</t>
    </r>
    <r>
      <rPr>
        <sz val="11"/>
        <color theme="1"/>
        <rFont val="Noto Sans CJK SC"/>
        <family val="2"/>
      </rPr>
      <t xml:space="preserve">（≤</t>
    </r>
    <r>
      <rPr>
        <sz val="11"/>
        <color theme="1"/>
        <rFont val="Calibri"/>
        <family val="2"/>
        <charset val="1"/>
      </rPr>
      <t xml:space="preserve">200K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2025-11-18 </t>
    </r>
    <r>
      <rPr>
        <sz val="11"/>
        <color theme="1"/>
        <rFont val="Noto Sans CJK SC"/>
        <family val="2"/>
      </rPr>
      <t xml:space="preserve">上市</t>
    </r>
  </si>
  <si>
    <t xml:space="preserve">Gemini 3.1 Pro</t>
  </si>
  <si>
    <r>
      <rPr>
        <sz val="11"/>
        <color theme="1"/>
        <rFont val="Noto Sans CJK SC"/>
        <family val="2"/>
      </rPr>
      <t xml:space="preserve">定價頁 </t>
    </r>
    <r>
      <rPr>
        <sz val="11"/>
        <color theme="1"/>
        <rFont val="Calibri"/>
        <family val="2"/>
        <charset val="1"/>
      </rPr>
      <t xml:space="preserve">Preview ≤200K $2.00/$12.00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2026-02-19 </t>
    </r>
    <r>
      <rPr>
        <sz val="11"/>
        <color theme="1"/>
        <rFont val="Noto Sans CJK SC"/>
        <family val="2"/>
      </rPr>
      <t xml:space="preserve">上市</t>
    </r>
  </si>
  <si>
    <t xml:space="preserve">E341</t>
  </si>
  <si>
    <t xml:space="preserve">迴歸結果</t>
  </si>
  <si>
    <t xml:space="preserve">見下表</t>
  </si>
  <si>
    <r>
      <rPr>
        <sz val="11"/>
        <color theme="1"/>
        <rFont val="Noto Sans CJK SC"/>
        <family val="2"/>
      </rPr>
      <t xml:space="preserve">無法由 </t>
    </r>
    <r>
      <rPr>
        <sz val="11"/>
        <color theme="1"/>
        <rFont val="Calibri"/>
        <family val="2"/>
        <charset val="1"/>
      </rPr>
      <t xml:space="preserve">E338–E340 </t>
    </r>
    <r>
      <rPr>
        <sz val="11"/>
        <color theme="1"/>
        <rFont val="Noto Sans CJK SC"/>
        <family val="2"/>
      </rPr>
      <t xml:space="preserve">復現（原始取點與腳本未留存）；重算見下表</t>
    </r>
  </si>
  <si>
    <t xml:space="preserve">不可復現</t>
  </si>
  <si>
    <r>
      <rPr>
        <b val="true"/>
        <sz val="11"/>
        <rFont val="Cambria"/>
        <family val="0"/>
        <charset val="1"/>
      </rPr>
      <t xml:space="preserve">E341 </t>
    </r>
    <r>
      <rPr>
        <b val="true"/>
        <sz val="11"/>
        <rFont val="Noto Sans CJK SC"/>
        <family val="2"/>
      </rPr>
      <t xml:space="preserve">重算：對數線性迴歸，年變化率＝</t>
    </r>
    <r>
      <rPr>
        <b val="true"/>
        <sz val="11"/>
        <rFont val="Cambria"/>
        <family val="0"/>
        <charset val="1"/>
      </rPr>
      <t xml:space="preserve">EXP(SLOPE(LN(</t>
    </r>
    <r>
      <rPr>
        <b val="true"/>
        <sz val="11"/>
        <rFont val="Noto Sans CJK SC"/>
        <family val="2"/>
      </rPr>
      <t xml:space="preserve">混合價</t>
    </r>
    <r>
      <rPr>
        <b val="true"/>
        <sz val="11"/>
        <rFont val="Cambria"/>
        <family val="0"/>
        <charset val="1"/>
      </rPr>
      <t xml:space="preserve">),</t>
    </r>
    <r>
      <rPr>
        <b val="true"/>
        <sz val="11"/>
        <rFont val="Noto Sans CJK SC"/>
        <family val="2"/>
      </rPr>
      <t xml:space="preserve">年</t>
    </r>
    <r>
      <rPr>
        <b val="true"/>
        <sz val="11"/>
        <rFont val="Cambria"/>
        <family val="0"/>
        <charset val="1"/>
      </rPr>
      <t xml:space="preserve">))−1</t>
    </r>
    <r>
      <rPr>
        <b val="true"/>
        <sz val="11"/>
        <rFont val="Noto Sans CJK SC"/>
        <family val="2"/>
      </rPr>
      <t xml:space="preserve">；取點＝上市日；混合價＝</t>
    </r>
    <r>
      <rPr>
        <b val="true"/>
        <sz val="11"/>
        <rFont val="Cambria"/>
        <family val="0"/>
        <charset val="1"/>
      </rPr>
      <t xml:space="preserve">w×</t>
    </r>
    <r>
      <rPr>
        <b val="true"/>
        <sz val="11"/>
        <rFont val="Noto Sans CJK SC"/>
        <family val="2"/>
      </rPr>
      <t xml:space="preserve">輸入＋</t>
    </r>
    <r>
      <rPr>
        <b val="true"/>
        <sz val="11"/>
        <rFont val="Cambria"/>
        <family val="0"/>
        <charset val="1"/>
      </rPr>
      <t xml:space="preserve">(1−w)×</t>
    </r>
    <r>
      <rPr>
        <b val="true"/>
        <sz val="11"/>
        <rFont val="Noto Sans CJK SC"/>
        <family val="2"/>
      </rPr>
      <t xml:space="preserve">輸出</t>
    </r>
  </si>
  <si>
    <r>
      <rPr>
        <sz val="11"/>
        <color theme="1"/>
        <rFont val="Calibri"/>
        <family val="2"/>
        <charset val="1"/>
      </rPr>
      <t xml:space="preserve">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8:1</t>
    </r>
    <r>
      <rPr>
        <sz val="11"/>
        <color theme="1"/>
        <rFont val="Noto Sans CJK SC"/>
        <family val="2"/>
      </rPr>
      <t xml:space="preserve">，對應參考請求 </t>
    </r>
    <r>
      <rPr>
        <sz val="11"/>
        <color theme="1"/>
        <rFont val="Calibri"/>
        <family val="2"/>
        <charset val="1"/>
      </rPr>
      <t xml:space="preserve">ISL 16,384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OSL 2,048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</si>
  <si>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3:1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</si>
  <si>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中階（</t>
    </r>
    <r>
      <rPr>
        <b val="true"/>
        <sz val="11"/>
        <rFont val="Cambria"/>
        <family val="0"/>
        <charset val="1"/>
      </rPr>
      <t xml:space="preserve">E338 </t>
    </r>
    <r>
      <rPr>
        <b val="true"/>
        <sz val="11"/>
        <rFont val="Noto Sans CJK SC"/>
        <family val="2"/>
      </rPr>
      <t xml:space="preserve">原序列）</t>
    </r>
  </si>
  <si>
    <t xml:space="preserve">日期</t>
  </si>
  <si>
    <t xml:space="preserve">輸入</t>
  </si>
  <si>
    <t xml:space="preserve">輸出</t>
  </si>
  <si>
    <r>
      <rPr>
        <b val="true"/>
        <sz val="11"/>
        <rFont val="Noto Sans CJK SC"/>
        <family val="2"/>
      </rPr>
      <t xml:space="preserve">年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小數</t>
    </r>
    <r>
      <rPr>
        <b val="true"/>
        <sz val="11"/>
        <rFont val="Cambria"/>
        <family val="0"/>
        <charset val="1"/>
      </rPr>
      <t xml:space="preserve">)</t>
    </r>
  </si>
  <si>
    <t xml:space="preserve">LN(8:1)</t>
  </si>
  <si>
    <t xml:space="preserve">LN(3:1)</t>
  </si>
  <si>
    <t xml:space="preserve">窗口</t>
  </si>
  <si>
    <t xml:space="preserve">點數</t>
  </si>
  <si>
    <r>
      <rPr>
        <b val="true"/>
        <sz val="11"/>
        <rFont val="Noto Sans CJK SC"/>
        <family val="2"/>
      </rPr>
      <t xml:space="preserve">年變化 </t>
    </r>
    <r>
      <rPr>
        <b val="true"/>
        <sz val="11"/>
        <rFont val="Cambria"/>
        <family val="0"/>
        <charset val="1"/>
      </rPr>
      <t xml:space="preserve">8:1</t>
    </r>
  </si>
  <si>
    <r>
      <rPr>
        <b val="true"/>
        <sz val="11"/>
        <rFont val="Noto Sans CJK SC"/>
        <family val="2"/>
      </rPr>
      <t xml:space="preserve">年變化 </t>
    </r>
    <r>
      <rPr>
        <b val="true"/>
        <sz val="11"/>
        <rFont val="Cambria"/>
        <family val="0"/>
        <charset val="1"/>
      </rPr>
      <t xml:space="preserve">3:1</t>
    </r>
  </si>
  <si>
    <t xml:space="preserve">2023–2026.8</t>
  </si>
  <si>
    <t xml:space="preserve">2024.3–2026.8</t>
  </si>
  <si>
    <t xml:space="preserve">2025–2026.8</t>
  </si>
  <si>
    <t xml:space="preserve">2024.3–2026.10</t>
  </si>
  <si>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中階（確認序列：</t>
    </r>
    <r>
      <rPr>
        <b val="true"/>
        <sz val="11"/>
        <rFont val="Cambria"/>
        <family val="0"/>
        <charset val="1"/>
      </rPr>
      <t xml:space="preserve">Terra </t>
    </r>
    <r>
      <rPr>
        <b val="true"/>
        <sz val="11"/>
        <rFont val="Noto Sans CJK SC"/>
        <family val="2"/>
      </rPr>
      <t xml:space="preserve">取上市價 </t>
    </r>
    <r>
      <rPr>
        <b val="true"/>
        <sz val="11"/>
        <rFont val="Cambria"/>
        <family val="0"/>
        <charset val="1"/>
      </rPr>
      <t xml:space="preserve">2.5/15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</si>
  <si>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Claude Sonnet</t>
    </r>
    <r>
      <rPr>
        <b val="true"/>
        <sz val="11"/>
        <rFont val="Noto Sans CJK SC"/>
        <family val="2"/>
      </rPr>
      <t xml:space="preserve">（確認序列：</t>
    </r>
    <r>
      <rPr>
        <b val="true"/>
        <sz val="11"/>
        <rFont val="Cambria"/>
        <family val="0"/>
        <charset val="1"/>
      </rPr>
      <t xml:space="preserve">Sonnet 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5.5 </t>
    </r>
    <r>
      <rPr>
        <b val="true"/>
        <sz val="11"/>
        <rFont val="Noto Sans CJK SC"/>
        <family val="2"/>
      </rPr>
      <t xml:space="preserve">取 </t>
    </r>
    <r>
      <rPr>
        <b val="true"/>
        <sz val="11"/>
        <rFont val="Cambria"/>
        <family val="0"/>
        <charset val="1"/>
      </rPr>
      <t xml:space="preserve">2/10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</si>
  <si>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Claude Sonnet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E339 </t>
    </r>
    <r>
      <rPr>
        <b val="true"/>
        <sz val="11"/>
        <rFont val="Noto Sans CJK SC"/>
        <family val="2"/>
      </rPr>
      <t xml:space="preserve">說法：</t>
    </r>
    <r>
      <rPr>
        <b val="true"/>
        <sz val="11"/>
        <rFont val="Cambria"/>
        <family val="0"/>
        <charset val="1"/>
      </rPr>
      <t xml:space="preserve">Sonnet 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5.5 </t>
    </r>
    <r>
      <rPr>
        <b val="true"/>
        <sz val="11"/>
        <rFont val="Noto Sans CJK SC"/>
        <family val="2"/>
      </rPr>
      <t xml:space="preserve">仍 </t>
    </r>
    <r>
      <rPr>
        <b val="true"/>
        <sz val="11"/>
        <rFont val="Cambria"/>
        <family val="0"/>
        <charset val="1"/>
      </rPr>
      <t xml:space="preserve">3/15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</si>
  <si>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Gemini Pro</t>
    </r>
    <r>
      <rPr>
        <b val="true"/>
        <sz val="11"/>
        <rFont val="Noto Sans CJK SC"/>
        <family val="2"/>
      </rPr>
      <t xml:space="preserve">（確認序列）</t>
    </r>
  </si>
  <si>
    <r>
      <rPr>
        <sz val="11"/>
        <color theme="1"/>
        <rFont val="Calibri"/>
        <family val="2"/>
        <charset val="1"/>
      </rPr>
      <t xml:space="preserve">E341 </t>
    </r>
    <r>
      <rPr>
        <sz val="11"/>
        <color theme="1"/>
        <rFont val="Noto Sans CJK SC"/>
        <family val="2"/>
      </rPr>
      <t xml:space="preserve">原值：</t>
    </r>
    <r>
      <rPr>
        <sz val="11"/>
        <color theme="1"/>
        <rFont val="Calibri"/>
        <family val="2"/>
        <charset val="1"/>
      </rPr>
      <t xml:space="preserve">OpenAI 2023–2026.8 −49%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38%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2024.3–2026.8 −24%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2025–2026.8 +8%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+12%</t>
    </r>
    <r>
      <rPr>
        <sz val="11"/>
        <color theme="1"/>
        <rFont val="Noto Sans CJK SC"/>
        <family val="2"/>
      </rPr>
      <t xml:space="preserve">（參考請求權重／</t>
    </r>
    <r>
      <rPr>
        <sz val="11"/>
        <color theme="1"/>
        <rFont val="Calibri"/>
        <family val="2"/>
        <charset val="1"/>
      </rPr>
      <t xml:space="preserve">3:1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Sonnet </t>
    </r>
    <r>
      <rPr>
        <sz val="11"/>
        <color theme="1"/>
        <rFont val="Noto Sans CJK SC"/>
        <family val="2"/>
      </rPr>
      <t xml:space="preserve">持平；</t>
    </r>
    <r>
      <rPr>
        <sz val="11"/>
        <color theme="1"/>
        <rFont val="Calibri"/>
        <family val="2"/>
        <charset val="1"/>
      </rPr>
      <t xml:space="preserve">Gemini Pro −18%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+11%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</si>
  <si>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3"/>
        <rFont val="Noto Sans CJK SC"/>
        <family val="2"/>
      </rPr>
      <t xml:space="preserve">世代上市間隔（步驟 </t>
    </r>
    <r>
      <rPr>
        <b val="true"/>
        <sz val="13"/>
        <rFont val="Cambria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）：發表會日期與「量產出貨／雲端開始供應」日期分開記</t>
    </r>
  </si>
  <si>
    <t xml:space="preserve">事件</t>
  </si>
  <si>
    <t xml:space="preserve">事件類型</t>
  </si>
  <si>
    <t xml:space="preserve">Hopper H100</t>
  </si>
  <si>
    <r>
      <rPr>
        <sz val="11"/>
        <color theme="1"/>
        <rFont val="Calibri"/>
        <family val="2"/>
        <charset val="1"/>
      </rPr>
      <t xml:space="preserve">GTC </t>
    </r>
    <r>
      <rPr>
        <sz val="11"/>
        <color theme="1"/>
        <rFont val="Noto Sans CJK SC"/>
        <family val="2"/>
      </rPr>
      <t xml:space="preserve">發表</t>
    </r>
  </si>
  <si>
    <t xml:space="preserve">發表會</t>
  </si>
  <si>
    <t xml:space="preserve">（常識；本次未取一手頁）</t>
  </si>
  <si>
    <t xml:space="preserve">未驗證</t>
  </si>
  <si>
    <t xml:space="preserve">未逐筆取一手頁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</si>
  <si>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宣布 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全面量產</t>
    </r>
  </si>
  <si>
    <t xml:space="preserve">量產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</si>
  <si>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新聞稿「</t>
    </r>
    <r>
      <rPr>
        <sz val="11"/>
        <color theme="1"/>
        <rFont val="Calibri"/>
        <family val="2"/>
        <charset val="1"/>
      </rPr>
      <t xml:space="preserve">Hopper in Full Production</t>
    </r>
    <r>
      <rPr>
        <sz val="11"/>
        <color theme="1"/>
        <rFont val="Noto Sans CJK SC"/>
        <family val="2"/>
      </rPr>
      <t xml:space="preserve">」</t>
    </r>
  </si>
  <si>
    <t xml:space="preserve">https://nvidianews.nvidia.com/news/nvidia-hopper-in-full-production</t>
  </si>
  <si>
    <r>
      <rPr>
        <sz val="11"/>
        <color theme="1"/>
        <rFont val="Noto Sans CJK SC"/>
        <family val="2"/>
      </rPr>
      <t xml:space="preserve">系統預計 </t>
    </r>
    <r>
      <rPr>
        <sz val="11"/>
        <color theme="1"/>
        <rFont val="Calibri"/>
        <family val="2"/>
        <charset val="1"/>
      </rPr>
      <t xml:space="preserve">2022-10 </t>
    </r>
    <r>
      <rPr>
        <sz val="11"/>
        <color theme="1"/>
        <rFont val="Noto Sans CJK SC"/>
        <family val="2"/>
      </rPr>
      <t xml:space="preserve">起出貨</t>
    </r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</si>
  <si>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Cirrascale </t>
    </r>
    <r>
      <rPr>
        <sz val="11"/>
        <color theme="1"/>
        <rFont val="Noto Sans CJK SC"/>
        <family val="2"/>
      </rPr>
      <t xml:space="preserve">雲端 </t>
    </r>
    <r>
      <rPr>
        <sz val="11"/>
        <color theme="1"/>
        <rFont val="Calibri"/>
        <family val="2"/>
        <charset val="1"/>
      </rPr>
      <t xml:space="preserve">GA</t>
    </r>
  </si>
  <si>
    <t xml:space="preserve">雲端開始供應（基準）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</si>
  <si>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新聞稿「</t>
    </r>
    <r>
      <rPr>
        <sz val="11"/>
        <color theme="1"/>
        <rFont val="Calibri"/>
        <family val="2"/>
        <charset val="1"/>
      </rPr>
      <t xml:space="preserve">Hopper GPUs Expand Reach</t>
    </r>
    <r>
      <rPr>
        <sz val="11"/>
        <color theme="1"/>
        <rFont val="Noto Sans CJK SC"/>
        <family val="2"/>
      </rPr>
      <t xml:space="preserve">」</t>
    </r>
  </si>
  <si>
    <t xml:space="preserve">https://nvidianews.nvidia.com/news/nvidia-hopper-gpus-expand-reach-as-demand-for-ai-grows</t>
  </si>
  <si>
    <r>
      <rPr>
        <sz val="11"/>
        <color theme="1"/>
        <rFont val="Noto Sans CJK SC"/>
        <family val="2"/>
      </rPr>
      <t xml:space="preserve">同稿：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限量、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預覽</t>
    </r>
  </si>
  <si>
    <r>
      <rPr>
        <sz val="11"/>
        <color theme="1"/>
        <rFont val="Calibri"/>
        <family val="2"/>
        <charset val="1"/>
      </rPr>
      <t xml:space="preserve">Lambda H100 </t>
    </r>
    <r>
      <rPr>
        <sz val="11"/>
        <color theme="1"/>
        <rFont val="Noto Sans CJK SC"/>
        <family val="2"/>
      </rPr>
      <t xml:space="preserve">隨需上線</t>
    </r>
  </si>
  <si>
    <t xml:space="preserve">雲端開始供應</t>
  </si>
  <si>
    <r>
      <rPr>
        <sz val="11"/>
        <color theme="1"/>
        <rFont val="Calibri"/>
        <family val="2"/>
        <charset val="1"/>
      </rPr>
      <t xml:space="preserve">Lambda </t>
    </r>
    <r>
      <rPr>
        <sz val="11"/>
        <color theme="1"/>
        <rFont val="Noto Sans CJK SC"/>
        <family val="2"/>
      </rPr>
      <t xml:space="preserve">部落格</t>
    </r>
  </si>
  <si>
    <t xml:space="preserve">AWS P5 GA</t>
  </si>
  <si>
    <t xml:space="preserve">雲端開始供應（超大規模雲）</t>
  </si>
  <si>
    <t xml:space="preserve">AWS What's New</t>
  </si>
  <si>
    <t xml:space="preserve">GB200 NVL72</t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</si>
  <si>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in full production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</si>
  <si>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第三季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財報新聞稿</t>
    </r>
  </si>
  <si>
    <t xml:space="preserve">https://nvidianews.nvidia.com/news/nvidia-announces-financial-results-for-third-quarter-fiscal-2025</t>
  </si>
  <si>
    <t xml:space="preserve">未載出貨起日</t>
  </si>
  <si>
    <r>
      <rPr>
        <sz val="11"/>
        <color theme="1"/>
        <rFont val="Calibri"/>
        <family val="2"/>
        <charset val="1"/>
      </rPr>
      <t xml:space="preserve">CoreWeave GB200 NVL72 GA</t>
    </r>
    <r>
      <rPr>
        <sz val="11"/>
        <color theme="1"/>
        <rFont val="Noto Sans CJK SC"/>
        <family val="2"/>
      </rPr>
      <t xml:space="preserve">（首家）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</si>
  <si>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部落格</t>
    </r>
  </si>
  <si>
    <t xml:space="preserve">https://blogs.nvidia.com/blog/blackwell-coreweave-gb200-nvl72-instances-cloud/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</si>
  <si>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文件稱 </t>
    </r>
    <r>
      <rPr>
        <sz val="11"/>
        <color theme="1"/>
        <rFont val="Calibri"/>
        <family val="2"/>
        <charset val="1"/>
      </rPr>
      <t xml:space="preserve">2025-02-03 </t>
    </r>
    <r>
      <rPr>
        <sz val="11"/>
        <color theme="1"/>
        <rFont val="Noto Sans CJK SC"/>
        <family val="2"/>
      </rPr>
      <t xml:space="preserve">實例上線</t>
    </r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</si>
  <si>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首家部署 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出貨）</t>
    </r>
  </si>
  <si>
    <t xml:space="preserve">出貨／部署（基準）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</si>
  <si>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新聞稿</t>
    </r>
  </si>
  <si>
    <t xml:space="preserve">https://www.coreweave.com/news/coreweave-becomes-first-cloud-provider-to-deploy-nvidia-gb300-nvl72-platform</t>
  </si>
  <si>
    <r>
      <rPr>
        <sz val="11"/>
        <color theme="1"/>
        <rFont val="Calibri"/>
        <family val="2"/>
        <charset val="1"/>
      </rPr>
      <t xml:space="preserve">CoreWeave GB300 </t>
    </r>
    <r>
      <rPr>
        <sz val="11"/>
        <color theme="1"/>
        <rFont val="Noto Sans CJK SC"/>
        <family val="2"/>
      </rPr>
      <t xml:space="preserve">實例上線</t>
    </r>
  </si>
  <si>
    <t xml:space="preserve">雲端開始供應（替代）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</si>
  <si>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文件標題（搜尋結果標題，未開頁）</t>
    </r>
  </si>
  <si>
    <t xml:space="preserve">https://docs.coreweave.com/release-notes/gb300-nvl72</t>
  </si>
  <si>
    <t xml:space="preserve">僅見搜尋結果標題</t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</si>
  <si>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in full production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</si>
  <si>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NVIDIA CES </t>
    </r>
    <r>
      <rPr>
        <sz val="11"/>
        <color theme="1"/>
        <rFont val="Noto Sans CJK SC"/>
        <family val="2"/>
      </rPr>
      <t xml:space="preserve">新聞稿</t>
    </r>
  </si>
  <si>
    <t xml:space="preserve">https://nvidianews.nvidia.com/news/rubin-platform-ai-supercomputer</t>
  </si>
  <si>
    <r>
      <rPr>
        <sz val="11"/>
        <color theme="1"/>
        <rFont val="Noto Sans CJK SC"/>
        <family val="2"/>
      </rPr>
      <t xml:space="preserve">合作夥伴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下半年供應</t>
    </r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</si>
  <si>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宣布 </t>
    </r>
    <r>
      <rPr>
        <sz val="11"/>
        <color theme="1"/>
        <rFont val="Calibri"/>
        <family val="2"/>
        <charset val="1"/>
      </rPr>
      <t xml:space="preserve">VR NVL72 </t>
    </r>
    <r>
      <rPr>
        <sz val="11"/>
        <color theme="1"/>
        <rFont val="Noto Sans CJK SC"/>
        <family val="2"/>
      </rPr>
      <t xml:space="preserve">供應，首位客戶 </t>
    </r>
    <r>
      <rPr>
        <sz val="11"/>
        <color theme="1"/>
        <rFont val="Calibri"/>
        <family val="2"/>
        <charset val="1"/>
      </rPr>
      <t xml:space="preserve">Cognition </t>
    </r>
    <r>
      <rPr>
        <sz val="11"/>
        <color theme="1"/>
        <rFont val="Noto Sans CJK SC"/>
        <family val="2"/>
      </rPr>
      <t xml:space="preserve">正式上線</t>
    </r>
  </si>
  <si>
    <r>
      <rPr>
        <sz val="11"/>
        <color theme="1"/>
        <rFont val="Noto Sans CJK SC"/>
        <family val="2"/>
      </rPr>
      <t xml:space="preserve">頁面未稱 </t>
    </r>
    <r>
      <rPr>
        <sz val="11"/>
        <color theme="1"/>
        <rFont val="Calibri"/>
        <family val="2"/>
        <charset val="1"/>
      </rPr>
      <t xml:space="preserve">GA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Cognition </t>
    </r>
    <r>
      <rPr>
        <sz val="11"/>
        <color theme="1"/>
        <rFont val="Noto Sans CJK SC"/>
        <family val="2"/>
      </rPr>
      <t xml:space="preserve">叢集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初建置</t>
    </r>
  </si>
  <si>
    <t xml:space="preserve">相鄰世代間隔（年）</t>
  </si>
  <si>
    <t xml:space="preserve">世代對</t>
  </si>
  <si>
    <t xml:space="preserve">基準（雲端開始供應→雲端開始供應）</t>
  </si>
  <si>
    <t xml:space="preserve">低</t>
  </si>
  <si>
    <t xml:space="preserve">高</t>
  </si>
  <si>
    <t xml:space="preserve">基準天數</t>
  </si>
  <si>
    <t xml:space="preserve">低天數</t>
  </si>
  <si>
    <t xml:space="preserve">高天數</t>
  </si>
  <si>
    <t xml:space="preserve">Hopper→GB200</t>
  </si>
  <si>
    <r>
      <rPr>
        <sz val="11"/>
        <color theme="1"/>
        <rFont val="Noto Sans CJK SC"/>
        <family val="2"/>
      </rPr>
      <t xml:space="preserve">低＝雲端對雲端；高＝量產宣布對量產宣布（</t>
    </r>
    <r>
      <rPr>
        <sz val="11"/>
        <color theme="1"/>
        <rFont val="Calibri"/>
        <family val="2"/>
        <charset val="1"/>
      </rPr>
      <t xml:space="preserve">2022-09-20→2024-11-20</t>
    </r>
    <r>
      <rPr>
        <sz val="11"/>
        <color theme="1"/>
        <rFont val="Noto Sans CJK SC"/>
        <family val="2"/>
      </rPr>
      <t xml:space="preserve">）</t>
    </r>
  </si>
  <si>
    <t xml:space="preserve">GB200→GB300</t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</si>
  <si>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雲端 </t>
    </r>
    <r>
      <rPr>
        <sz val="11"/>
        <color theme="1"/>
        <rFont val="Calibri"/>
        <family val="2"/>
        <charset val="1"/>
      </rPr>
      <t xml:space="preserve">GA→GB300 </t>
    </r>
    <r>
      <rPr>
        <sz val="11"/>
        <color theme="1"/>
        <rFont val="Noto Sans CJK SC"/>
        <family val="2"/>
      </rPr>
      <t xml:space="preserve">首家部署；高＝→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實例上線（</t>
    </r>
    <r>
      <rPr>
        <sz val="11"/>
        <color theme="1"/>
        <rFont val="Calibri"/>
        <family val="2"/>
        <charset val="1"/>
      </rPr>
      <t xml:space="preserve">2025-08-19</t>
    </r>
    <r>
      <rPr>
        <sz val="11"/>
        <color theme="1"/>
        <rFont val="Noto Sans CJK SC"/>
        <family val="2"/>
      </rPr>
      <t xml:space="preserve">）</t>
    </r>
  </si>
  <si>
    <t xml:space="preserve">GB300→VR200</t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</si>
  <si>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實例上線→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首位客戶上線；高＝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首家部署→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（基準取中點）</t>
    </r>
  </si>
  <si>
    <r>
      <rPr>
        <sz val="11"/>
        <color theme="1"/>
        <rFont val="Noto Sans CJK SC"/>
        <family val="2"/>
      </rPr>
      <t xml:space="preserve">發表會對發表會（參考，不作基準）：</t>
    </r>
    <r>
      <rPr>
        <sz val="11"/>
        <color theme="1"/>
        <rFont val="Calibri"/>
        <family val="2"/>
        <charset val="1"/>
      </rPr>
      <t xml:space="preserve">Hopper→Blackwell 2022-03-22→2024-03-18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Blackwell→Blackwell Ultra 2024-03-18→2025-03-18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年；發表會日期未逐筆取一手頁。</t>
    </r>
  </si>
  <si>
    <r>
      <rPr>
        <sz val="11"/>
        <color theme="1"/>
        <rFont val="Noto Sans CJK SC"/>
        <family val="2"/>
      </rPr>
      <t xml:space="preserve">標記：區間為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（三對世代各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個樣本，無統計意義）；日期本身為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（業者新聞稿）。</t>
    </r>
  </si>
  <si>
    <r>
      <rPr>
        <b val="true"/>
        <sz val="13"/>
        <rFont val="Noto Sans CJK SC"/>
        <family val="2"/>
      </rPr>
      <t xml:space="preserve">步驟 </t>
    </r>
    <r>
      <rPr>
        <b val="true"/>
        <sz val="13"/>
        <rFont val="Cambria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實算對照：世代每 </t>
    </r>
    <r>
      <rPr>
        <b val="true"/>
        <sz val="13"/>
        <rFont val="Cambria"/>
        <family val="0"/>
        <charset val="1"/>
      </rPr>
      <t xml:space="preserve">MW </t>
    </r>
    <r>
      <rPr>
        <b val="true"/>
        <sz val="13"/>
        <rFont val="Noto Sans CJK SC"/>
        <family val="2"/>
      </rPr>
      <t xml:space="preserve">收入指數（上市對上市）與回本餘裕</t>
    </r>
  </si>
  <si>
    <r>
      <rPr>
        <sz val="11"/>
        <color theme="1"/>
        <rFont val="Calibri"/>
        <family val="2"/>
        <charset val="1"/>
      </rPr>
      <t xml:space="preserve">q</t>
    </r>
    <r>
      <rPr>
        <sz val="11"/>
        <color theme="1"/>
        <rFont val="Noto Sans CJK SC"/>
        <family val="2"/>
      </rPr>
      <t xml:space="preserve">、持有成本、每 </t>
    </r>
    <r>
      <rPr>
        <sz val="11"/>
        <color theme="1"/>
        <rFont val="Calibri"/>
        <family val="2"/>
        <charset val="1"/>
      </rPr>
      <t xml:space="preserve">MW GPU </t>
    </r>
    <r>
      <rPr>
        <sz val="11"/>
        <color theme="1"/>
        <rFont val="Noto Sans CJK SC"/>
        <family val="2"/>
      </rPr>
      <t xml:space="preserve">數取自 </t>
    </r>
    <r>
      <rPr>
        <sz val="11"/>
        <color theme="1"/>
        <rFont val="Calibri"/>
        <family val="2"/>
        <charset val="1"/>
      </rPr>
      <t xml:space="preserve">model/20261014_Tokenomics_v5.35.xlsx</t>
    </r>
    <r>
      <rPr>
        <sz val="11"/>
        <color theme="1"/>
        <rFont val="Noto Sans CJK SC"/>
        <family val="2"/>
      </rPr>
      <t xml:space="preserve">（括號為原格）；</t>
    </r>
    <r>
      <rPr>
        <sz val="11"/>
        <color theme="1"/>
        <rFont val="Calibri"/>
        <family val="2"/>
        <charset val="1"/>
      </rPr>
      <t xml:space="preserve">Δ </t>
    </r>
    <r>
      <rPr>
        <sz val="11"/>
        <color theme="1"/>
        <rFont val="Noto Sans CJK SC"/>
        <family val="2"/>
      </rPr>
      <t xml:space="preserve">取自「上市間隔」頁；藍字為人工輸入價格</t>
    </r>
  </si>
  <si>
    <r>
      <rPr>
        <b val="true"/>
        <sz val="11"/>
        <color rgb="FFFFFFFF"/>
        <rFont val="Cambria"/>
        <family val="0"/>
        <charset val="1"/>
      </rPr>
      <t xml:space="preserve">A. </t>
    </r>
    <r>
      <rPr>
        <b val="true"/>
        <sz val="11"/>
        <color rgb="FFFFFFFF"/>
        <rFont val="Noto Sans CJK SC"/>
        <family val="2"/>
      </rPr>
      <t xml:space="preserve">輸入（</t>
    </r>
    <r>
      <rPr>
        <b val="true"/>
        <sz val="11"/>
        <color rgb="FFFFFFFF"/>
        <rFont val="Cambria"/>
        <family val="0"/>
        <charset val="1"/>
      </rPr>
      <t xml:space="preserve">Excel v5.35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</si>
  <si>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來源格</t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</si>
  <si>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基準（新世代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舊世代 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總產出，</t>
    </r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</si>
  <si>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L1!D58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D59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D60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</si>
  <si>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Sens_Perf η_d×0.5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</si>
  <si>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L1!E58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E59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E60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</si>
  <si>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η_d×1.5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</si>
  <si>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L1!F58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F59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F60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</si>
  <si>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 舊世代 </t>
    </r>
    <r>
      <rPr>
        <sz val="11"/>
        <color theme="1"/>
        <rFont val="Calibri"/>
        <family val="2"/>
        <charset val="1"/>
      </rPr>
      <t xml:space="preserve">$M/MW/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</si>
  <si>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L1!D54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D56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L1_HoldEconMW_*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</si>
  <si>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 新世代 </t>
    </r>
    <r>
      <rPr>
        <sz val="11"/>
        <color theme="1"/>
        <rFont val="Calibri"/>
        <family val="2"/>
        <charset val="1"/>
      </rPr>
      <t xml:space="preserve">$M/MW/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</si>
  <si>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L1!D55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D57</t>
    </r>
  </si>
  <si>
    <r>
      <rPr>
        <sz val="11"/>
        <color theme="1"/>
        <rFont val="Noto Sans CJK SC"/>
        <family val="2"/>
      </rPr>
      <t xml:space="preserve">持有成本比（新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舊）</t>
    </r>
  </si>
  <si>
    <t xml:space="preserve">公式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</si>
  <si>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GPU </t>
    </r>
    <r>
      <rPr>
        <sz val="11"/>
        <color theme="1"/>
        <rFont val="Noto Sans CJK SC"/>
        <family val="2"/>
      </rPr>
      <t xml:space="preserve">數 舊世代（顆）</t>
    </r>
  </si>
  <si>
    <r>
      <rPr>
        <sz val="11"/>
        <color theme="1"/>
        <rFont val="Calibri"/>
        <family val="2"/>
        <charset val="1"/>
      </rPr>
      <t xml:space="preserve">Interface!D7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J7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數基準欄）</t>
    </r>
    <r>
      <rPr>
        <sz val="11"/>
        <color theme="1"/>
        <rFont val="Calibri"/>
        <family val="2"/>
        <charset val="1"/>
      </rPr>
      <t xml:space="preserve">÷1000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</si>
  <si>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GPU </t>
    </r>
    <r>
      <rPr>
        <sz val="11"/>
        <color theme="1"/>
        <rFont val="Noto Sans CJK SC"/>
        <family val="2"/>
      </rPr>
      <t xml:space="preserve">數 新世代（顆）</t>
    </r>
  </si>
  <si>
    <r>
      <rPr>
        <sz val="11"/>
        <color theme="1"/>
        <rFont val="Calibri"/>
        <family val="2"/>
        <charset val="1"/>
      </rPr>
      <t xml:space="preserve">Interface!G7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M7 ÷1000</t>
    </r>
  </si>
  <si>
    <r>
      <rPr>
        <sz val="11"/>
        <color theme="1"/>
        <rFont val="Calibri"/>
        <family val="2"/>
        <charset val="1"/>
      </rPr>
      <t xml:space="preserve">Δ </t>
    </r>
    <r>
      <rPr>
        <sz val="11"/>
        <color theme="1"/>
        <rFont val="Noto Sans CJK SC"/>
        <family val="2"/>
      </rPr>
      <t xml:space="preserve">基準（年；「上市間隔」頁）</t>
    </r>
  </si>
  <si>
    <r>
      <rPr>
        <sz val="11"/>
        <color theme="1"/>
        <rFont val="Calibri"/>
        <family val="2"/>
        <charset val="1"/>
      </rPr>
      <t xml:space="preserve">Δ </t>
    </r>
    <r>
      <rPr>
        <sz val="11"/>
        <color theme="1"/>
        <rFont val="Noto Sans CJK SC"/>
        <family val="2"/>
      </rPr>
      <t xml:space="preserve">低（年）</t>
    </r>
  </si>
  <si>
    <r>
      <rPr>
        <sz val="11"/>
        <color theme="1"/>
        <rFont val="Calibri"/>
        <family val="2"/>
        <charset val="1"/>
      </rPr>
      <t xml:space="preserve">Δ </t>
    </r>
    <r>
      <rPr>
        <sz val="11"/>
        <color theme="1"/>
        <rFont val="Noto Sans CJK SC"/>
        <family val="2"/>
      </rPr>
      <t xml:space="preserve">高（年）</t>
    </r>
  </si>
  <si>
    <r>
      <rPr>
        <b val="true"/>
        <sz val="11"/>
        <color rgb="FFFFFFFF"/>
        <rFont val="Cambria"/>
        <family val="0"/>
        <charset val="1"/>
      </rPr>
      <t xml:space="preserve">B. </t>
    </r>
    <r>
      <rPr>
        <b val="true"/>
        <sz val="11"/>
        <color rgb="FFFFFFFF"/>
        <rFont val="Noto Sans CJK SC"/>
        <family val="2"/>
      </rPr>
      <t xml:space="preserve">兩個門檻（年價格變化率 </t>
    </r>
    <r>
      <rPr>
        <b val="true"/>
        <sz val="11"/>
        <color rgb="FFFFFFFF"/>
        <rFont val="Cambria"/>
        <family val="0"/>
        <charset val="1"/>
      </rPr>
      <t xml:space="preserve">g</t>
    </r>
    <r>
      <rPr>
        <b val="true"/>
        <sz val="11"/>
        <color rgb="FFFFFFFF"/>
        <rFont val="Noto Sans CJK SC"/>
        <family val="2"/>
      </rPr>
      <t xml:space="preserve">；價格每年變化 </t>
    </r>
    <r>
      <rPr>
        <b val="true"/>
        <sz val="11"/>
        <color rgb="FFFFFFFF"/>
        <rFont val="Cambria"/>
        <family val="0"/>
        <charset val="1"/>
      </rPr>
      <t xml:space="preserve">g</t>
    </r>
    <r>
      <rPr>
        <b val="true"/>
        <sz val="11"/>
        <color rgb="FFFFFFFF"/>
        <rFont val="Noto Sans CJK SC"/>
        <family val="2"/>
      </rPr>
      <t xml:space="preserve">，持續 </t>
    </r>
    <r>
      <rPr>
        <b val="true"/>
        <sz val="11"/>
        <color rgb="FFFFFFFF"/>
        <rFont val="Cambria"/>
        <family val="0"/>
        <charset val="1"/>
      </rPr>
      <t xml:space="preserve">Δ </t>
    </r>
    <r>
      <rPr>
        <b val="true"/>
        <sz val="11"/>
        <color rgb="FFFFFFFF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</si>
  <si>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g*</t>
    </r>
    <r>
      <rPr>
        <sz val="11"/>
        <color theme="1"/>
        <rFont val="Noto Sans CJK SC"/>
        <family val="2"/>
      </rPr>
      <t xml:space="preserve">（收入指數＝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Δ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</si>
  <si>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q×(1+g)^Δ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→ 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q^(−1/Δ)−1</t>
    </r>
    <r>
      <rPr>
        <sz val="11"/>
        <color theme="1"/>
        <rFont val="Noto Sans CJK SC"/>
        <family val="2"/>
      </rPr>
      <t xml:space="preserve">；實際年價格變化率高於此值，世代每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收入指數＞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</si>
  <si>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g*</t>
    </r>
    <r>
      <rPr>
        <sz val="11"/>
        <color theme="1"/>
        <rFont val="Noto Sans CJK SC"/>
        <family val="2"/>
      </rPr>
      <t xml:space="preserve">（收入指數＝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Δ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</si>
  <si>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g*</t>
    </r>
    <r>
      <rPr>
        <sz val="11"/>
        <color theme="1"/>
        <rFont val="Noto Sans CJK SC"/>
        <family val="2"/>
      </rPr>
      <t xml:space="preserve">（收入指數＝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Δ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</si>
  <si>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g*</t>
    </r>
    <r>
      <rPr>
        <sz val="11"/>
        <color theme="1"/>
        <rFont val="Noto Sans CJK SC"/>
        <family val="2"/>
      </rPr>
      <t xml:space="preserve">（回本餘裕＝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Δ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</si>
  <si>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q×(1+g)^Δ÷</t>
    </r>
    <r>
      <rPr>
        <sz val="11"/>
        <color theme="1"/>
        <rFont val="Noto Sans CJK SC"/>
        <family val="2"/>
      </rPr>
      <t xml:space="preserve">成本比＝</t>
    </r>
    <r>
      <rPr>
        <sz val="11"/>
        <color theme="1"/>
        <rFont val="Calibri"/>
        <family val="2"/>
        <charset val="1"/>
      </rPr>
      <t xml:space="preserve">1 → 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成本比</t>
    </r>
    <r>
      <rPr>
        <sz val="11"/>
        <color theme="1"/>
        <rFont val="Calibri"/>
        <family val="2"/>
        <charset val="1"/>
      </rPr>
      <t xml:space="preserve">÷q)^(1/Δ)−1</t>
    </r>
    <r>
      <rPr>
        <sz val="11"/>
        <color theme="1"/>
        <rFont val="Noto Sans CJK SC"/>
        <family val="2"/>
      </rPr>
      <t xml:space="preserve">；高於此值，回本餘裕＞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</si>
  <si>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g*</t>
    </r>
    <r>
      <rPr>
        <sz val="11"/>
        <color theme="1"/>
        <rFont val="Noto Sans CJK SC"/>
        <family val="2"/>
      </rPr>
      <t xml:space="preserve">（回本餘裕＝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Δ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</si>
  <si>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g*</t>
    </r>
    <r>
      <rPr>
        <sz val="11"/>
        <color theme="1"/>
        <rFont val="Noto Sans CJK SC"/>
        <family val="2"/>
      </rPr>
      <t xml:space="preserve">（回本餘裕＝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Δ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</si>
  <si>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g*</t>
    </r>
    <r>
      <rPr>
        <sz val="11"/>
        <color theme="1"/>
        <rFont val="Noto Sans CJK SC"/>
        <family val="2"/>
      </rPr>
      <t xml:space="preserve">（收入指數＝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低、</t>
    </r>
    <r>
      <rPr>
        <sz val="11"/>
        <color theme="1"/>
        <rFont val="Calibri"/>
        <family val="2"/>
        <charset val="1"/>
      </rPr>
      <t xml:space="preserve">Δ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區間低端）</t>
    </r>
  </si>
  <si>
    <r>
      <rPr>
        <sz val="11"/>
        <color theme="1"/>
        <rFont val="Calibri"/>
        <family val="2"/>
        <charset val="1"/>
      </rPr>
      <t xml:space="preserve">g*</t>
    </r>
    <r>
      <rPr>
        <sz val="11"/>
        <color theme="1"/>
        <rFont val="Noto Sans CJK SC"/>
        <family val="2"/>
      </rPr>
      <t xml:space="preserve">（收入指數＝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Δ </t>
    </r>
    <r>
      <rPr>
        <sz val="11"/>
        <color theme="1"/>
        <rFont val="Noto Sans CJK SC"/>
        <family val="2"/>
      </rPr>
      <t xml:space="preserve">基準</t>
    </r>
  </si>
  <si>
    <r>
      <rPr>
        <b val="true"/>
        <sz val="11"/>
        <color rgb="FFFFFFFF"/>
        <rFont val="Cambria"/>
        <family val="0"/>
        <charset val="1"/>
      </rPr>
      <t xml:space="preserve">C. </t>
    </r>
    <r>
      <rPr>
        <b val="true"/>
        <sz val="11"/>
        <color rgb="FFFFFFFF"/>
        <rFont val="Noto Sans CJK SC"/>
        <family val="2"/>
      </rPr>
      <t xml:space="preserve">推算值 </t>
    </r>
    <r>
      <rPr>
        <b val="true"/>
        <sz val="11"/>
        <color rgb="FFFFFFFF"/>
        <rFont val="Cambria"/>
        <family val="0"/>
        <charset val="1"/>
      </rPr>
      <t xml:space="preserve">q×(1+g)^Δ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Cambria"/>
        <family val="0"/>
        <charset val="1"/>
      </rPr>
      <t xml:space="preserve">Δ </t>
    </r>
    <r>
      <rPr>
        <b val="true"/>
        <sz val="11"/>
        <color rgb="FFFFFFFF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</si>
  <si>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收入指數：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＝−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</si>
  <si>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Cap_In I-1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基準／區間（−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；−</t>
    </r>
    <r>
      <rPr>
        <sz val="11"/>
        <color theme="1"/>
        <rFont val="Calibri"/>
        <family val="2"/>
        <charset val="1"/>
      </rPr>
      <t xml:space="preserve">0.25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+0.05</t>
    </r>
    <r>
      <rPr>
        <sz val="11"/>
        <color theme="1"/>
        <rFont val="Noto Sans CJK SC"/>
        <family val="2"/>
      </rPr>
      <t xml:space="preserve">）並列</t>
    </r>
  </si>
  <si>
    <r>
      <rPr>
        <sz val="11"/>
        <color theme="1"/>
        <rFont val="Noto Sans CJK SC"/>
        <family val="2"/>
      </rPr>
      <t xml:space="preserve">收入指數：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＝−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</si>
  <si>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收入指數：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+5%</t>
    </r>
  </si>
  <si>
    <r>
      <rPr>
        <sz val="11"/>
        <color theme="1"/>
        <rFont val="Noto Sans CJK SC"/>
        <family val="2"/>
      </rPr>
      <t xml:space="preserve">回本餘裕（指數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成本比）：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＝−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</si>
  <si>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回本餘裕（指數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成本比）：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＝−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</si>
  <si>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回本餘裕（指數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成本比）：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+5%</t>
    </r>
  </si>
  <si>
    <r>
      <rPr>
        <b val="true"/>
        <sz val="11"/>
        <color rgb="FFFFFFFF"/>
        <rFont val="Cambria"/>
        <family val="0"/>
        <charset val="1"/>
      </rPr>
      <t xml:space="preserve">D. </t>
    </r>
    <r>
      <rPr>
        <b val="true"/>
        <sz val="11"/>
        <color rgb="FFFFFFFF"/>
        <rFont val="Noto Sans CJK SC"/>
        <family val="2"/>
      </rPr>
      <t xml:space="preserve">實證價格 → 上市對上市因子與指數</t>
    </r>
  </si>
  <si>
    <t xml:space="preserve">價格點與備註</t>
  </si>
  <si>
    <r>
      <rPr>
        <sz val="11"/>
        <color theme="1"/>
        <rFont val="Noto Sans CJK SC"/>
        <family val="2"/>
      </rPr>
      <t xml:space="preserve">混合權重 </t>
    </r>
    <r>
      <rPr>
        <sz val="11"/>
        <color theme="1"/>
        <rFont val="Calibri"/>
        <family val="2"/>
        <charset val="1"/>
      </rPr>
      <t xml:space="preserve">w</t>
    </r>
    <r>
      <rPr>
        <sz val="11"/>
        <color theme="1"/>
        <rFont val="Noto Sans CJK SC"/>
        <family val="2"/>
      </rPr>
      <t xml:space="preserve">（輸入占比；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3:1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8/9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8:1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</si>
  <si>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b1 OpenAI </t>
    </r>
    <r>
      <rPr>
        <b val="true"/>
        <sz val="11"/>
        <rFont val="Noto Sans CJK SC"/>
        <family val="2"/>
      </rPr>
      <t xml:space="preserve">中階牌價（</t>
    </r>
    <r>
      <rPr>
        <b val="true"/>
        <sz val="11"/>
        <rFont val="Cambria"/>
        <family val="0"/>
        <charset val="1"/>
      </rPr>
      <t xml:space="preserve">GPT-4 → 4o-0806 → 4.1 → 6.1 Sol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</si>
  <si>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時點：</t>
    </r>
    <r>
      <rPr>
        <sz val="11"/>
        <color theme="1"/>
        <rFont val="Calibri"/>
        <family val="2"/>
        <charset val="1"/>
      </rPr>
      <t xml:space="preserve">2023-03-21 </t>
    </r>
    <r>
      <rPr>
        <sz val="11"/>
        <color theme="1"/>
        <rFont val="Noto Sans CJK SC"/>
        <family val="2"/>
      </rPr>
      <t xml:space="preserve">最新＝</t>
    </r>
    <r>
      <rPr>
        <sz val="11"/>
        <color theme="1"/>
        <rFont val="Calibri"/>
        <family val="2"/>
        <charset val="1"/>
      </rPr>
      <t xml:space="preserve">GPT-4</t>
    </r>
    <r>
      <rPr>
        <sz val="11"/>
        <color theme="1"/>
        <rFont val="Noto Sans CJK SC"/>
        <family val="2"/>
      </rPr>
      <t xml:space="preserve">（當時為旗艦）；</t>
    </r>
    <r>
      <rPr>
        <sz val="11"/>
        <color theme="1"/>
        <rFont val="Calibri"/>
        <family val="2"/>
        <charset val="1"/>
      </rPr>
      <t xml:space="preserve">2025-02-04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GPT-4o-0806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2025-07-03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GPT-4.1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GPT-6.1 Sol</t>
    </r>
    <r>
      <rPr>
        <sz val="11"/>
        <color theme="1"/>
        <rFont val="Noto Sans CJK SC"/>
        <family val="2"/>
      </rPr>
      <t xml:space="preserve">。第一對的「中階」其實是旗艦；層級口徑不連續。</t>
    </r>
  </si>
  <si>
    <r>
      <rPr>
        <sz val="11"/>
        <color theme="1"/>
        <rFont val="Noto Sans CJK SC"/>
        <family val="2"/>
      </rPr>
      <t xml:space="preserve">  舊世代時點混合價 </t>
    </r>
    <r>
      <rPr>
        <sz val="11"/>
        <color theme="1"/>
        <rFont val="Calibri"/>
        <family val="2"/>
        <charset val="1"/>
      </rPr>
      <t xml:space="preserve">$/M</t>
    </r>
  </si>
  <si>
    <r>
      <rPr>
        <sz val="11"/>
        <color theme="1"/>
        <rFont val="Noto Sans CJK SC"/>
        <family val="2"/>
      </rPr>
      <t xml:space="preserve">  新世代時點混合價 </t>
    </r>
    <r>
      <rPr>
        <sz val="11"/>
        <color theme="1"/>
        <rFont val="Calibri"/>
        <family val="2"/>
        <charset val="1"/>
      </rPr>
      <t xml:space="preserve">$/M</t>
    </r>
  </si>
  <si>
    <r>
      <rPr>
        <sz val="11"/>
        <color theme="1"/>
        <rFont val="Noto Sans CJK SC"/>
        <family val="2"/>
      </rPr>
      <t xml:space="preserve">  價格因子（新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舊）</t>
    </r>
  </si>
  <si>
    <r>
      <rPr>
        <sz val="11"/>
        <color theme="1"/>
        <rFont val="Noto Sans CJK SC"/>
        <family val="2"/>
      </rPr>
      <t xml:space="preserve">  收入指數＝</t>
    </r>
    <r>
      <rPr>
        <sz val="11"/>
        <color theme="1"/>
        <rFont val="Calibri"/>
        <family val="2"/>
        <charset val="1"/>
      </rPr>
      <t xml:space="preserve">q×</t>
    </r>
    <r>
      <rPr>
        <sz val="11"/>
        <color theme="1"/>
        <rFont val="Noto Sans CJK SC"/>
        <family val="2"/>
      </rPr>
      <t xml:space="preserve">因子</t>
    </r>
  </si>
  <si>
    <t xml:space="preserve">  年化價格變化率</t>
  </si>
  <si>
    <r>
      <rPr>
        <sz val="11"/>
        <color theme="1"/>
        <rFont val="Noto Sans CJK SC"/>
        <family val="2"/>
      </rPr>
      <t xml:space="preserve">  回本餘裕＝指數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成本比</t>
    </r>
  </si>
  <si>
    <r>
      <rPr>
        <sz val="11"/>
        <color theme="1"/>
        <rFont val="Noto Sans CJK SC"/>
        <family val="2"/>
      </rPr>
      <t xml:space="preserve">  收入指數＝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門檻：實證在門檻哪一側</t>
    </r>
  </si>
  <si>
    <r>
      <rPr>
        <sz val="11"/>
        <color theme="1"/>
        <rFont val="Noto Sans CJK SC"/>
        <family val="2"/>
      </rPr>
      <t xml:space="preserve">  回本餘裕＝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門檻：實證在哪一側</t>
    </r>
  </si>
  <si>
    <r>
      <rPr>
        <b val="true"/>
        <sz val="11"/>
        <rFont val="Cambria"/>
        <family val="0"/>
        <charset val="1"/>
      </rPr>
      <t xml:space="preserve">b2 Anthropic Sonnet </t>
    </r>
    <r>
      <rPr>
        <b val="true"/>
        <sz val="11"/>
        <rFont val="Noto Sans CJK SC"/>
        <family val="2"/>
      </rPr>
      <t xml:space="preserve">牌價</t>
    </r>
  </si>
  <si>
    <r>
      <rPr>
        <sz val="11"/>
        <color theme="1"/>
        <rFont val="Calibri"/>
        <family val="2"/>
        <charset val="1"/>
      </rPr>
      <t xml:space="preserve">Hopper→GB200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2023-03 </t>
    </r>
    <r>
      <rPr>
        <sz val="11"/>
        <color theme="1"/>
        <rFont val="Noto Sans CJK SC"/>
        <family val="2"/>
      </rPr>
      <t xml:space="preserve">時點無 </t>
    </r>
    <r>
      <rPr>
        <sz val="11"/>
        <color theme="1"/>
        <rFont val="Calibri"/>
        <family val="2"/>
        <charset val="1"/>
      </rPr>
      <t xml:space="preserve">Claude 3 </t>
    </r>
    <r>
      <rPr>
        <sz val="11"/>
        <color theme="1"/>
        <rFont val="Noto Sans CJK SC"/>
        <family val="2"/>
      </rPr>
      <t xml:space="preserve">系列（</t>
    </r>
    <r>
      <rPr>
        <sz val="11"/>
        <color theme="1"/>
        <rFont val="Calibri"/>
        <family val="2"/>
        <charset val="1"/>
      </rPr>
      <t xml:space="preserve">Claude 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），缺資料。</t>
    </r>
    <r>
      <rPr>
        <sz val="11"/>
        <color theme="1"/>
        <rFont val="Calibri"/>
        <family val="2"/>
        <charset val="1"/>
      </rPr>
      <t xml:space="preserve">GB200→GB300 </t>
    </r>
    <r>
      <rPr>
        <sz val="11"/>
        <color theme="1"/>
        <rFont val="Noto Sans CJK SC"/>
        <family val="2"/>
      </rPr>
      <t xml:space="preserve">兩端皆 </t>
    </r>
    <r>
      <rPr>
        <sz val="11"/>
        <color theme="1"/>
        <rFont val="Calibri"/>
        <family val="2"/>
        <charset val="1"/>
      </rPr>
      <t xml:space="preserve">3/15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GB300→VR200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Sonnet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3/15</t>
    </r>
    <r>
      <rPr>
        <sz val="11"/>
        <color theme="1"/>
        <rFont val="Noto Sans CJK SC"/>
        <family val="2"/>
      </rPr>
      <t xml:space="preserve">）→</t>
    </r>
    <r>
      <rPr>
        <sz val="11"/>
        <color theme="1"/>
        <rFont val="Calibri"/>
        <family val="2"/>
        <charset val="1"/>
      </rPr>
      <t xml:space="preserve">Sonnet 5.5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2/10</t>
    </r>
    <r>
      <rPr>
        <sz val="11"/>
        <color theme="1"/>
        <rFont val="Noto Sans CJK SC"/>
        <family val="2"/>
      </rPr>
      <t xml:space="preserve">）。</t>
    </r>
  </si>
  <si>
    <t xml:space="preserve">無法實算</t>
  </si>
  <si>
    <t xml:space="preserve">缺資料</t>
  </si>
  <si>
    <r>
      <rPr>
        <b val="true"/>
        <sz val="11"/>
        <rFont val="Cambria"/>
        <family val="0"/>
        <charset val="1"/>
      </rPr>
      <t xml:space="preserve">b3 Google Pro </t>
    </r>
    <r>
      <rPr>
        <b val="true"/>
        <sz val="11"/>
        <rFont val="Noto Sans CJK SC"/>
        <family val="2"/>
      </rPr>
      <t xml:space="preserve">牌價</t>
    </r>
  </si>
  <si>
    <r>
      <rPr>
        <sz val="11"/>
        <color theme="1"/>
        <rFont val="Calibri"/>
        <family val="2"/>
        <charset val="1"/>
      </rPr>
      <t xml:space="preserve">Hopper→GB200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2023-03 </t>
    </r>
    <r>
      <rPr>
        <sz val="11"/>
        <color theme="1"/>
        <rFont val="Noto Sans CJK SC"/>
        <family val="2"/>
      </rPr>
      <t xml:space="preserve">時點無 </t>
    </r>
    <r>
      <rPr>
        <sz val="11"/>
        <color theme="1"/>
        <rFont val="Calibri"/>
        <family val="2"/>
        <charset val="1"/>
      </rPr>
      <t xml:space="preserve">Gemini Pro </t>
    </r>
    <r>
      <rPr>
        <sz val="11"/>
        <color theme="1"/>
        <rFont val="Noto Sans CJK SC"/>
        <family val="2"/>
      </rPr>
      <t xml:space="preserve">牌價資料（</t>
    </r>
    <r>
      <rPr>
        <sz val="11"/>
        <color theme="1"/>
        <rFont val="Calibri"/>
        <family val="2"/>
        <charset val="1"/>
      </rPr>
      <t xml:space="preserve">1.5 Pro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2024-05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時點＝</t>
    </r>
    <r>
      <rPr>
        <sz val="11"/>
        <color theme="1"/>
        <rFont val="Calibri"/>
        <family val="2"/>
        <charset val="1"/>
      </rPr>
      <t xml:space="preserve">1.5 Pro</t>
    </r>
    <r>
      <rPr>
        <sz val="11"/>
        <color theme="1"/>
        <rFont val="Noto Sans CJK SC"/>
        <family val="2"/>
      </rPr>
      <t xml:space="preserve">（降價後）；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時點＝</t>
    </r>
    <r>
      <rPr>
        <sz val="11"/>
        <color theme="1"/>
        <rFont val="Calibri"/>
        <family val="2"/>
        <charset val="1"/>
      </rPr>
      <t xml:space="preserve">2.5 Pro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時點＝</t>
    </r>
    <r>
      <rPr>
        <sz val="11"/>
        <color theme="1"/>
        <rFont val="Calibri"/>
        <family val="2"/>
        <charset val="1"/>
      </rPr>
      <t xml:space="preserve">3.1 Pro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Gemini 4 Argon 2026-10-13 </t>
    </r>
    <r>
      <rPr>
        <sz val="11"/>
        <color theme="1"/>
        <rFont val="Noto Sans CJK SC"/>
        <family val="2"/>
      </rPr>
      <t xml:space="preserve">晚於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基準日）。</t>
    </r>
  </si>
  <si>
    <r>
      <rPr>
        <b val="true"/>
        <sz val="11"/>
        <rFont val="Cambria"/>
        <family val="0"/>
        <charset val="1"/>
      </rPr>
      <t xml:space="preserve">a1 </t>
    </r>
    <r>
      <rPr>
        <b val="true"/>
        <sz val="11"/>
        <rFont val="Noto Sans CJK SC"/>
        <family val="2"/>
      </rPr>
      <t xml:space="preserve">同等能力（</t>
    </r>
    <r>
      <rPr>
        <b val="true"/>
        <sz val="11"/>
        <rFont val="Cambria"/>
        <family val="0"/>
        <charset val="1"/>
      </rPr>
      <t xml:space="preserve">Epoch MMLU≥86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Hopper→GB200 </t>
    </r>
    <r>
      <rPr>
        <b val="true"/>
        <sz val="11"/>
        <rFont val="Noto Sans CJK SC"/>
        <family val="2"/>
      </rPr>
      <t xml:space="preserve">用逐點；其餘用速率</t>
    </r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</si>
  <si>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表為 </t>
    </r>
    <r>
      <rPr>
        <sz val="11"/>
        <color theme="1"/>
        <rFont val="Calibri"/>
        <family val="2"/>
        <charset val="1"/>
      </rPr>
      <t xml:space="preserve">3:1 </t>
    </r>
    <r>
      <rPr>
        <sz val="11"/>
        <color theme="1"/>
        <rFont val="Noto Sans CJK SC"/>
        <family val="2"/>
      </rPr>
      <t xml:space="preserve">混合價，因此此區塊不受 </t>
    </r>
    <r>
      <rPr>
        <sz val="11"/>
        <color theme="1"/>
        <rFont val="Calibri"/>
        <family val="2"/>
        <charset val="1"/>
      </rPr>
      <t xml:space="preserve">B36 </t>
    </r>
    <r>
      <rPr>
        <sz val="11"/>
        <color theme="1"/>
        <rFont val="Noto Sans CJK SC"/>
        <family val="2"/>
      </rPr>
      <t xml:space="preserve">影響。第一對：</t>
    </r>
    <r>
      <rPr>
        <sz val="11"/>
        <color theme="1"/>
        <rFont val="Calibri"/>
        <family val="2"/>
        <charset val="1"/>
      </rPr>
      <t xml:space="preserve">37.50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2023-03-14</t>
    </r>
    <r>
      <rPr>
        <sz val="11"/>
        <color theme="1"/>
        <rFont val="Noto Sans CJK SC"/>
        <family val="2"/>
      </rPr>
      <t xml:space="preserve">）→</t>
    </r>
    <r>
      <rPr>
        <sz val="11"/>
        <color theme="1"/>
        <rFont val="Calibri"/>
        <family val="2"/>
        <charset val="1"/>
      </rPr>
      <t xml:space="preserve">0.18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2025-02-05</t>
    </r>
    <r>
      <rPr>
        <sz val="11"/>
        <color theme="1"/>
        <rFont val="Noto Sans CJK SC"/>
        <family val="2"/>
      </rPr>
      <t xml:space="preserve">）。第二、三對無逐點資料，改用下列速率換算。</t>
    </r>
  </si>
  <si>
    <r>
      <rPr>
        <sz val="11"/>
        <color theme="1"/>
        <rFont val="Noto Sans CJK SC"/>
        <family val="2"/>
      </rPr>
      <t xml:space="preserve">  舊世代時點價 </t>
    </r>
    <r>
      <rPr>
        <sz val="11"/>
        <color theme="1"/>
        <rFont val="Calibri"/>
        <family val="2"/>
        <charset val="1"/>
      </rPr>
      <t xml:space="preserve">$/M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3:1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</si>
  <si>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新世代時點價 </t>
    </r>
    <r>
      <rPr>
        <sz val="11"/>
        <color theme="1"/>
        <rFont val="Calibri"/>
        <family val="2"/>
        <charset val="1"/>
      </rPr>
      <t xml:space="preserve">$/M</t>
    </r>
  </si>
  <si>
    <t xml:space="preserve">  價格因子</t>
  </si>
  <si>
    <t xml:space="preserve">  回本餘裕</t>
  </si>
  <si>
    <r>
      <rPr>
        <sz val="11"/>
        <color theme="1"/>
        <rFont val="Noto Sans CJK SC"/>
        <family val="2"/>
      </rPr>
      <t xml:space="preserve">  收入指數＝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門檻</t>
    </r>
  </si>
  <si>
    <r>
      <rPr>
        <sz val="11"/>
        <color theme="1"/>
        <rFont val="Noto Sans CJK SC"/>
        <family val="2"/>
      </rPr>
      <t xml:space="preserve">  回本餘裕＝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門檻</t>
    </r>
  </si>
  <si>
    <r>
      <rPr>
        <b val="true"/>
        <sz val="11"/>
        <rFont val="Cambria"/>
        <family val="0"/>
        <charset val="1"/>
      </rPr>
      <t xml:space="preserve">a2 </t>
    </r>
    <r>
      <rPr>
        <b val="true"/>
        <sz val="11"/>
        <rFont val="Noto Sans CJK SC"/>
        <family val="2"/>
      </rPr>
      <t xml:space="preserve">同等能力（</t>
    </r>
    <r>
      <rPr>
        <b val="true"/>
        <sz val="11"/>
        <rFont val="Cambria"/>
        <family val="0"/>
        <charset val="1"/>
      </rPr>
      <t xml:space="preserve">Epoch GPQA≥33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Hopper→GB200</t>
    </r>
  </si>
  <si>
    <r>
      <rPr>
        <sz val="11"/>
        <color theme="1"/>
        <rFont val="Noto Sans CJK SC"/>
        <family val="2"/>
      </rPr>
      <t xml:space="preserve">  舊 </t>
    </r>
    <r>
      <rPr>
        <sz val="11"/>
        <color theme="1"/>
        <rFont val="Calibri"/>
        <family val="2"/>
        <charset val="1"/>
      </rPr>
      <t xml:space="preserve">37.50 → </t>
    </r>
    <r>
      <rPr>
        <sz val="11"/>
        <color theme="1"/>
        <rFont val="Noto Sans CJK SC"/>
        <family val="2"/>
      </rPr>
      <t xml:space="preserve">新 </t>
    </r>
    <r>
      <rPr>
        <sz val="11"/>
        <color theme="1"/>
        <rFont val="Calibri"/>
        <family val="2"/>
        <charset val="1"/>
      </rPr>
      <t xml:space="preserve">0.12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Phi 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2024-12-13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2025-02-04 </t>
    </r>
    <r>
      <rPr>
        <sz val="11"/>
        <color theme="1"/>
        <rFont val="Noto Sans CJK SC"/>
        <family val="2"/>
      </rPr>
      <t xml:space="preserve">時點最低價）</t>
    </r>
  </si>
  <si>
    <r>
      <rPr>
        <b val="true"/>
        <sz val="11"/>
        <rFont val="Cambria"/>
        <family val="0"/>
        <charset val="1"/>
      </rPr>
      <t xml:space="preserve">a3 </t>
    </r>
    <r>
      <rPr>
        <b val="true"/>
        <sz val="11"/>
        <rFont val="Noto Sans CJK SC"/>
        <family val="2"/>
      </rPr>
      <t xml:space="preserve">同等能力：速率換算（每年下降倍數 </t>
    </r>
    <r>
      <rPr>
        <b val="true"/>
        <sz val="11"/>
        <rFont val="Cambria"/>
        <family val="0"/>
        <charset val="1"/>
      </rPr>
      <t xml:space="preserve">R</t>
    </r>
    <r>
      <rPr>
        <b val="true"/>
        <sz val="11"/>
        <rFont val="Noto Sans CJK SC"/>
        <family val="2"/>
      </rPr>
      <t xml:space="preserve">；因子＝</t>
    </r>
    <r>
      <rPr>
        <b val="true"/>
        <sz val="11"/>
        <rFont val="Cambria"/>
        <family val="0"/>
        <charset val="1"/>
      </rPr>
      <t xml:space="preserve">R^(−Δ)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</si>
  <si>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速率來源：</t>
    </r>
    <r>
      <rPr>
        <sz val="11"/>
        <color theme="1"/>
        <rFont val="Calibri"/>
        <family val="2"/>
        <charset val="1"/>
      </rPr>
      <t xml:space="preserve">Gundlach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5–10 </t>
    </r>
    <r>
      <rPr>
        <sz val="11"/>
        <color theme="1"/>
        <rFont val="Noto Sans CJK SC"/>
        <family val="2"/>
      </rPr>
      <t xml:space="preserve">倍／年（取 </t>
    </r>
    <r>
      <rPr>
        <sz val="11"/>
        <color theme="1"/>
        <rFont val="Calibri"/>
        <family val="2"/>
        <charset val="1"/>
      </rPr>
      <t xml:space="preserve">7.5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Epoch 2026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倍／年；</t>
    </r>
    <r>
      <rPr>
        <sz val="11"/>
        <color theme="1"/>
        <rFont val="Calibri"/>
        <family val="2"/>
        <charset val="1"/>
      </rPr>
      <t xml:space="preserve">Epoch 2026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SOTA </t>
    </r>
    <r>
      <rPr>
        <sz val="11"/>
        <color theme="1"/>
        <rFont val="Noto Sans CJK SC"/>
        <family val="2"/>
      </rPr>
      <t xml:space="preserve">後兩年」</t>
    </r>
    <r>
      <rPr>
        <sz val="11"/>
        <color theme="1"/>
        <rFont val="Calibri"/>
        <family val="2"/>
        <charset val="1"/>
      </rPr>
      <t xml:space="preserve">4.7 </t>
    </r>
    <r>
      <rPr>
        <sz val="11"/>
        <color theme="1"/>
        <rFont val="Noto Sans CJK SC"/>
        <family val="2"/>
      </rPr>
      <t xml:space="preserve">倍／年；</t>
    </r>
    <r>
      <rPr>
        <sz val="11"/>
        <color theme="1"/>
        <rFont val="Calibri"/>
        <family val="2"/>
        <charset val="1"/>
      </rPr>
      <t xml:space="preserve">Epoch 2025 GPQA 40 </t>
    </r>
    <r>
      <rPr>
        <sz val="11"/>
        <color theme="1"/>
        <rFont val="Noto Sans CJK SC"/>
        <family val="2"/>
      </rPr>
      <t xml:space="preserve">倍／年。注意：此速率含演算法效率與競價，不只硬體。</t>
    </r>
  </si>
  <si>
    <r>
      <rPr>
        <sz val="11"/>
        <color theme="1"/>
        <rFont val="Calibri"/>
        <family val="2"/>
        <charset val="1"/>
      </rPr>
      <t xml:space="preserve">  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4.7 </t>
    </r>
    <r>
      <rPr>
        <sz val="11"/>
        <color theme="1"/>
        <rFont val="Noto Sans CJK SC"/>
        <family val="2"/>
      </rPr>
      <t xml:space="preserve">倍／年（</t>
    </r>
    <r>
      <rPr>
        <sz val="11"/>
        <color theme="1"/>
        <rFont val="Calibri"/>
        <family val="2"/>
        <charset val="1"/>
      </rPr>
      <t xml:space="preserve">Epoch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SOTA </t>
    </r>
    <r>
      <rPr>
        <sz val="11"/>
        <color theme="1"/>
        <rFont val="Noto Sans CJK SC"/>
        <family val="2"/>
      </rPr>
      <t xml:space="preserve">後兩年）</t>
    </r>
  </si>
  <si>
    <r>
      <rPr>
        <sz val="11"/>
        <color theme="1"/>
        <rFont val="Noto Sans CJK SC"/>
        <family val="2"/>
      </rPr>
      <t xml:space="preserve">    價格因子 </t>
    </r>
    <r>
      <rPr>
        <sz val="11"/>
        <color theme="1"/>
        <rFont val="Calibri"/>
        <family val="2"/>
        <charset val="1"/>
      </rPr>
      <t xml:space="preserve">R^(−Δ)</t>
    </r>
  </si>
  <si>
    <r>
      <rPr>
        <sz val="11"/>
        <color theme="1"/>
        <rFont val="Noto Sans CJK SC"/>
        <family val="2"/>
      </rPr>
      <t xml:space="preserve">    收入指數＝</t>
    </r>
    <r>
      <rPr>
        <sz val="11"/>
        <color theme="1"/>
        <rFont val="Calibri"/>
        <family val="2"/>
        <charset val="1"/>
      </rPr>
      <t xml:space="preserve">q×</t>
    </r>
    <r>
      <rPr>
        <sz val="11"/>
        <color theme="1"/>
        <rFont val="Noto Sans CJK SC"/>
        <family val="2"/>
      </rPr>
      <t xml:space="preserve">因子</t>
    </r>
  </si>
  <si>
    <t xml:space="preserve">    回本餘裕</t>
  </si>
  <si>
    <t xml:space="preserve">    年化價格變化率</t>
  </si>
  <si>
    <r>
      <rPr>
        <sz val="11"/>
        <color theme="1"/>
        <rFont val="Calibri"/>
        <family val="2"/>
        <charset val="1"/>
      </rPr>
      <t xml:space="preserve">  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7.5 </t>
    </r>
    <r>
      <rPr>
        <sz val="11"/>
        <color theme="1"/>
        <rFont val="Noto Sans CJK SC"/>
        <family val="2"/>
      </rPr>
      <t xml:space="preserve">倍／年（</t>
    </r>
    <r>
      <rPr>
        <sz val="11"/>
        <color theme="1"/>
        <rFont val="Calibri"/>
        <family val="2"/>
        <charset val="1"/>
      </rPr>
      <t xml:space="preserve">Gundlach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5–10 </t>
    </r>
    <r>
      <rPr>
        <sz val="11"/>
        <color theme="1"/>
        <rFont val="Noto Sans CJK SC"/>
        <family val="2"/>
      </rPr>
      <t xml:space="preserve">倍的中點）</t>
    </r>
  </si>
  <si>
    <r>
      <rPr>
        <sz val="11"/>
        <color theme="1"/>
        <rFont val="Calibri"/>
        <family val="2"/>
        <charset val="1"/>
      </rPr>
      <t xml:space="preserve">  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倍／年（</t>
    </r>
    <r>
      <rPr>
        <sz val="11"/>
        <color theme="1"/>
        <rFont val="Calibri"/>
        <family val="2"/>
        <charset val="1"/>
      </rPr>
      <t xml:space="preserve">Epoch 2026 </t>
    </r>
    <r>
      <rPr>
        <sz val="11"/>
        <color theme="1"/>
        <rFont val="Noto Sans CJK SC"/>
        <family val="2"/>
      </rPr>
      <t xml:space="preserve">平均，≈每季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</si>
  <si>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倍／年（</t>
    </r>
    <r>
      <rPr>
        <sz val="11"/>
        <color theme="1"/>
        <rFont val="Calibri"/>
        <family val="2"/>
        <charset val="1"/>
      </rPr>
      <t xml:space="preserve">Epoch 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GPQA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GPT-4-0314 </t>
    </r>
    <r>
      <rPr>
        <sz val="11"/>
        <color theme="1"/>
        <rFont val="Noto Sans CJK SC"/>
        <family val="2"/>
      </rPr>
      <t xml:space="preserve">水準）</t>
    </r>
  </si>
  <si>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算力租賃：每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小時 → 每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年（單位換算：價格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MW GPU </t>
    </r>
    <r>
      <rPr>
        <b val="true"/>
        <sz val="11"/>
        <rFont val="Noto Sans CJK SC"/>
        <family val="2"/>
      </rPr>
      <t xml:space="preserve">數 </t>
    </r>
    <r>
      <rPr>
        <b val="true"/>
        <sz val="11"/>
        <rFont val="Cambria"/>
        <family val="0"/>
        <charset val="1"/>
      </rPr>
      <t xml:space="preserve">× 8760 </t>
    </r>
    <r>
      <rPr>
        <b val="true"/>
        <sz val="11"/>
        <rFont val="Noto Sans CJK SC"/>
        <family val="2"/>
      </rPr>
      <t xml:space="preserve">小時 </t>
    </r>
    <r>
      <rPr>
        <b val="true"/>
        <sz val="11"/>
        <rFont val="Cambria"/>
        <family val="0"/>
        <charset val="1"/>
      </rPr>
      <t xml:space="preserve">÷ 1e6</t>
    </r>
    <r>
      <rPr>
        <b val="true"/>
        <sz val="11"/>
        <rFont val="Noto Sans CJK SC"/>
        <family val="2"/>
      </rPr>
      <t xml:space="preserve">，利用率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、未含折扣）</t>
    </r>
  </si>
  <si>
    <r>
      <rPr>
        <sz val="11"/>
        <color theme="1"/>
        <rFont val="Noto Sans CJK SC"/>
        <family val="2"/>
      </rPr>
      <t xml:space="preserve">價格已含硬體速度，因此不再乘 </t>
    </r>
    <r>
      <rPr>
        <sz val="11"/>
        <color theme="1"/>
        <rFont val="Calibri"/>
        <family val="2"/>
        <charset val="1"/>
      </rPr>
      <t xml:space="preserve">q</t>
    </r>
    <r>
      <rPr>
        <sz val="11"/>
        <color theme="1"/>
        <rFont val="Noto Sans CJK SC"/>
        <family val="2"/>
      </rPr>
      <t xml:space="preserve">。換算用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列基準欄的每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 </t>
    </r>
    <r>
      <rPr>
        <sz val="11"/>
        <color theme="1"/>
        <rFont val="Calibri"/>
        <family val="2"/>
        <charset val="1"/>
      </rPr>
      <t xml:space="preserve">÷1000</t>
    </r>
    <r>
      <rPr>
        <sz val="11"/>
        <color theme="1"/>
        <rFont val="Noto Sans CJK SC"/>
        <family val="2"/>
      </rPr>
      <t xml:space="preserve">。</t>
    </r>
  </si>
  <si>
    <t xml:space="preserve">  年小時數</t>
  </si>
  <si>
    <r>
      <rPr>
        <sz val="11"/>
        <color theme="1"/>
        <rFont val="Calibri"/>
        <family val="2"/>
        <charset val="1"/>
      </rPr>
      <t xml:space="preserve">  CoreWeave </t>
    </r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H100 8 </t>
    </r>
    <r>
      <rPr>
        <sz val="11"/>
        <color theme="1"/>
        <rFont val="Noto Sans CJK SC"/>
        <family val="2"/>
      </rPr>
      <t xml:space="preserve">卡 </t>
    </r>
    <r>
      <rPr>
        <sz val="11"/>
        <color theme="1"/>
        <rFont val="Calibri"/>
        <family val="2"/>
        <charset val="1"/>
      </rPr>
      <t xml:space="preserve">$/GPU-hr</t>
    </r>
  </si>
  <si>
    <r>
      <rPr>
        <sz val="11"/>
        <color theme="1"/>
        <rFont val="Calibri"/>
        <family val="2"/>
        <charset val="1"/>
      </rPr>
      <t xml:space="preserve">  CoreWeave </t>
    </r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GB200 NVL72 $/GPU-hr</t>
    </r>
  </si>
  <si>
    <r>
      <rPr>
        <sz val="11"/>
        <color theme="1"/>
        <rFont val="Noto Sans CJK SC"/>
        <family val="2"/>
      </rPr>
      <t xml:space="preserve">  同業者橫斷面：</t>
    </r>
    <r>
      <rPr>
        <sz val="11"/>
        <color theme="1"/>
        <rFont val="Calibri"/>
        <family val="2"/>
        <charset val="1"/>
      </rPr>
      <t xml:space="preserve">GB200÷H100 </t>
    </r>
    <r>
      <rPr>
        <sz val="11"/>
        <color theme="1"/>
        <rFont val="Noto Sans CJK SC"/>
        <family val="2"/>
      </rPr>
      <t xml:space="preserve">價格比（現價，非上市對上市）</t>
    </r>
  </si>
  <si>
    <r>
      <rPr>
        <sz val="11"/>
        <color theme="1"/>
        <rFont val="Noto Sans CJK SC"/>
        <family val="2"/>
      </rPr>
      <t xml:space="preserve">  收入指數（每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）＝價格比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GPU </t>
    </r>
    <r>
      <rPr>
        <sz val="11"/>
        <color theme="1"/>
        <rFont val="Noto Sans CJK SC"/>
        <family val="2"/>
      </rPr>
      <t xml:space="preserve">數比</t>
    </r>
  </si>
  <si>
    <r>
      <rPr>
        <sz val="11"/>
        <color theme="1"/>
        <rFont val="Noto Sans CJK SC"/>
        <family val="2"/>
      </rPr>
      <t xml:space="preserve">  回本餘裕＝指數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成本比（</t>
    </r>
    <r>
      <rPr>
        <sz val="11"/>
        <color theme="1"/>
        <rFont val="Calibri"/>
        <family val="2"/>
        <charset val="1"/>
      </rPr>
      <t xml:space="preserve">Hopper→GB200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</si>
  <si>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GB200→GB300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GB300→VR200</t>
    </r>
  </si>
  <si>
    <r>
      <rPr>
        <sz val="11"/>
        <color theme="1"/>
        <rFont val="Noto Sans CJK SC"/>
        <family val="2"/>
      </rPr>
      <t xml:space="preserve">缺：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公開標價（聯絡業務）；任何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公開價格；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價格</t>
    </r>
  </si>
  <si>
    <r>
      <rPr>
        <b val="true"/>
        <sz val="11"/>
        <rFont val="Noto Sans CJK SC"/>
        <family val="2"/>
      </rPr>
      <t xml:space="preserve">  每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年收入上限（</t>
    </r>
    <r>
      <rPr>
        <b val="true"/>
        <sz val="11"/>
        <rFont val="Cambria"/>
        <family val="0"/>
        <charset val="1"/>
      </rPr>
      <t xml:space="preserve">100% </t>
    </r>
    <r>
      <rPr>
        <b val="true"/>
        <sz val="11"/>
        <rFont val="Noto Sans CJK SC"/>
        <family val="2"/>
      </rPr>
      <t xml:space="preserve">利用率）</t>
    </r>
    <r>
      <rPr>
        <b val="true"/>
        <sz val="11"/>
        <rFont val="Cambria"/>
        <family val="0"/>
        <charset val="1"/>
      </rPr>
      <t xml:space="preserve">$M/MW/</t>
    </r>
    <r>
      <rPr>
        <b val="true"/>
        <sz val="11"/>
        <rFont val="Noto Sans CJK SC"/>
        <family val="2"/>
      </rPr>
      <t xml:space="preserve">年</t>
    </r>
  </si>
  <si>
    <t xml:space="preserve">  價格點</t>
  </si>
  <si>
    <r>
      <rPr>
        <b val="true"/>
        <sz val="11"/>
        <color rgb="FFFFFFFF"/>
        <rFont val="Noto Sans CJK SC"/>
        <family val="2"/>
      </rPr>
      <t xml:space="preserve">每 </t>
    </r>
    <r>
      <rPr>
        <b val="true"/>
        <sz val="11"/>
        <color rgb="FFFFFFFF"/>
        <rFont val="Cambria"/>
        <family val="0"/>
        <charset val="1"/>
      </rPr>
      <t xml:space="preserve">MW GPU </t>
    </r>
    <r>
      <rPr>
        <b val="true"/>
        <sz val="11"/>
        <color rgb="FFFFFFFF"/>
        <rFont val="Noto Sans CJK SC"/>
        <family val="2"/>
      </rPr>
      <t xml:space="preserve">數</t>
    </r>
  </si>
  <si>
    <r>
      <rPr>
        <b val="true"/>
        <sz val="11"/>
        <color rgb="FFFFFFFF"/>
        <rFont val="Cambria"/>
        <family val="0"/>
        <charset val="1"/>
      </rPr>
      <t xml:space="preserve">$M/MW/</t>
    </r>
    <r>
      <rPr>
        <b val="true"/>
        <sz val="11"/>
        <color rgb="FFFFFFFF"/>
        <rFont val="Noto Sans CJK SC"/>
        <family val="2"/>
      </rPr>
      <t xml:space="preserve">年（上限）</t>
    </r>
  </si>
  <si>
    <r>
      <rPr>
        <b val="true"/>
        <sz val="11"/>
        <color rgb="FFFFFFFF"/>
        <rFont val="Noto Sans CJK SC"/>
        <family val="2"/>
      </rPr>
      <t xml:space="preserve">持有成本 </t>
    </r>
    <r>
      <rPr>
        <b val="true"/>
        <sz val="11"/>
        <color rgb="FFFFFFFF"/>
        <rFont val="Cambria"/>
        <family val="0"/>
        <charset val="1"/>
      </rPr>
      <t xml:space="preserve">$M/MW/</t>
    </r>
    <r>
      <rPr>
        <b val="true"/>
        <sz val="11"/>
        <color rgb="FFFFFFFF"/>
        <rFont val="Noto Sans CJK SC"/>
        <family val="2"/>
      </rPr>
      <t xml:space="preserve">年</t>
    </r>
  </si>
  <si>
    <r>
      <rPr>
        <b val="true"/>
        <sz val="11"/>
        <color rgb="FFFFFFFF"/>
        <rFont val="Noto Sans CJK SC"/>
        <family val="2"/>
      </rPr>
      <t xml:space="preserve">上限</t>
    </r>
    <r>
      <rPr>
        <b val="true"/>
        <sz val="11"/>
        <color rgb="FFFFFFFF"/>
        <rFont val="Cambria"/>
        <family val="0"/>
        <charset val="1"/>
      </rPr>
      <t xml:space="preserve">÷</t>
    </r>
    <r>
      <rPr>
        <b val="true"/>
        <sz val="11"/>
        <color rgb="FFFFFFFF"/>
        <rFont val="Noto Sans CJK SC"/>
        <family val="2"/>
      </rPr>
      <t xml:space="preserve">持有成本</t>
    </r>
  </si>
  <si>
    <r>
      <rPr>
        <sz val="11"/>
        <color theme="1"/>
        <rFont val="Calibri"/>
        <family val="2"/>
        <charset val="1"/>
      </rPr>
      <t xml:space="preserve">  CoreWeave H100 </t>
    </r>
    <r>
      <rPr>
        <sz val="11"/>
        <color theme="1"/>
        <rFont val="Noto Sans CJK SC"/>
        <family val="2"/>
      </rPr>
      <t xml:space="preserve">隨需 </t>
    </r>
    <r>
      <rPr>
        <sz val="11"/>
        <color theme="1"/>
        <rFont val="Calibri"/>
        <family val="2"/>
        <charset val="1"/>
      </rPr>
      <t xml:space="preserve">6.16</t>
    </r>
  </si>
  <si>
    <r>
      <rPr>
        <sz val="11"/>
        <color theme="1"/>
        <rFont val="Calibri"/>
        <family val="2"/>
        <charset val="1"/>
      </rPr>
      <t xml:space="preserve">  Silicon Data </t>
    </r>
    <r>
      <rPr>
        <sz val="11"/>
        <color theme="1"/>
        <rFont val="Noto Sans CJK SC"/>
        <family val="2"/>
      </rPr>
      <t xml:space="preserve">新雲 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中位 </t>
    </r>
    <r>
      <rPr>
        <sz val="11"/>
        <color theme="1"/>
        <rFont val="Calibri"/>
        <family val="2"/>
        <charset val="1"/>
      </rPr>
      <t xml:space="preserve">3.33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</si>
  <si>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Silicon Data </t>
    </r>
    <r>
      <rPr>
        <sz val="11"/>
        <color theme="1"/>
        <rFont val="Noto Sans CJK SC"/>
        <family val="2"/>
      </rPr>
      <t xml:space="preserve">市集 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中位 </t>
    </r>
    <r>
      <rPr>
        <sz val="11"/>
        <color theme="1"/>
        <rFont val="Calibri"/>
        <family val="2"/>
        <charset val="1"/>
      </rPr>
      <t xml:space="preserve">1.95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</si>
  <si>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Lambda H100 SXM 8x </t>
    </r>
    <r>
      <rPr>
        <sz val="11"/>
        <color theme="1"/>
        <rFont val="Noto Sans CJK SC"/>
        <family val="2"/>
      </rPr>
      <t xml:space="preserve">隨需 </t>
    </r>
    <r>
      <rPr>
        <sz val="11"/>
        <color theme="1"/>
        <rFont val="Calibri"/>
        <family val="2"/>
        <charset val="1"/>
      </rPr>
      <t xml:space="preserve">2.99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</si>
  <si>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CoreWeave GB200 </t>
    </r>
    <r>
      <rPr>
        <sz val="11"/>
        <color theme="1"/>
        <rFont val="Noto Sans CJK SC"/>
        <family val="2"/>
      </rPr>
      <t xml:space="preserve">隨需 </t>
    </r>
    <r>
      <rPr>
        <sz val="11"/>
        <color theme="1"/>
        <rFont val="Calibri"/>
        <family val="2"/>
        <charset val="1"/>
      </rPr>
      <t xml:space="preserve">10.50</t>
    </r>
  </si>
  <si>
    <r>
      <rPr>
        <sz val="11"/>
        <color theme="1"/>
        <rFont val="Calibri"/>
        <family val="2"/>
        <charset val="1"/>
      </rPr>
      <t xml:space="preserve">  Oracle GB300 </t>
    </r>
    <r>
      <rPr>
        <sz val="11"/>
        <color theme="1"/>
        <rFont val="Noto Sans CJK SC"/>
        <family val="2"/>
      </rPr>
      <t xml:space="preserve">隨需 </t>
    </r>
    <r>
      <rPr>
        <sz val="11"/>
        <color theme="1"/>
        <rFont val="Calibri"/>
        <family val="2"/>
        <charset val="1"/>
      </rPr>
      <t xml:space="preserve">18.00</t>
    </r>
    <r>
      <rPr>
        <sz val="11"/>
        <color theme="1"/>
        <rFont val="Noto Sans CJK SC"/>
        <family val="2"/>
      </rPr>
      <t xml:space="preserve">（二手彙整）</t>
    </r>
  </si>
  <si>
    <r>
      <rPr>
        <sz val="11"/>
        <color theme="1"/>
        <rFont val="Calibri"/>
        <family val="2"/>
        <charset val="1"/>
      </rPr>
      <t xml:space="preserve">  IREN—Microsoft GB300 </t>
    </r>
    <r>
      <rPr>
        <sz val="11"/>
        <color theme="1"/>
        <rFont val="Noto Sans CJK SC"/>
        <family val="2"/>
      </rPr>
      <t xml:space="preserve">長約（賣方揭露，</t>
    </r>
    <r>
      <rPr>
        <sz val="11"/>
        <color theme="1"/>
        <rFont val="Calibri"/>
        <family val="2"/>
        <charset val="1"/>
      </rPr>
      <t xml:space="preserve">$9.7B÷5 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÷200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</si>
  <si>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$M/MW-IT/</t>
    </r>
    <r>
      <rPr>
        <sz val="11"/>
        <color theme="1"/>
        <rFont val="Noto Sans CJK SC"/>
        <family val="2"/>
      </rPr>
      <t xml:space="preserve">年；與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契約第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節對帳提醒 </t>
    </r>
    <r>
      <rPr>
        <sz val="11"/>
        <color theme="1"/>
        <rFont val="Calibri"/>
        <family val="2"/>
        <charset val="1"/>
      </rPr>
      <t xml:space="preserve">9.70 </t>
    </r>
    <r>
      <rPr>
        <sz val="11"/>
        <color theme="1"/>
        <rFont val="Noto Sans CJK SC"/>
        <family val="2"/>
      </rPr>
      <t xml:space="preserve">一致；回本餘裕 </t>
    </r>
    <r>
      <rPr>
        <sz val="11"/>
        <color theme="1"/>
        <rFont val="Calibri"/>
        <family val="2"/>
        <charset val="1"/>
      </rPr>
      <t xml:space="preserve">0.89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10.886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</si>
  <si>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註：隨需牌價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持有成本遠大於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，長約 </t>
    </r>
    <r>
      <rPr>
        <sz val="11"/>
        <color theme="1"/>
        <rFont val="Calibri"/>
        <family val="2"/>
        <charset val="1"/>
      </rPr>
      <t xml:space="preserve">0.89 </t>
    </r>
    <r>
      <rPr>
        <sz val="11"/>
        <color theme="1"/>
        <rFont val="Noto Sans CJK SC"/>
        <family val="2"/>
      </rPr>
      <t xml:space="preserve">小於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：隨需牌價是「上限」，簽約率、利用率與折扣未計入，不能直接當作每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簽約收入。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</si>
</sst>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0.0%"/>
    <numFmt numFmtId="167" formatCode="yyyy\-mm\-dd"/>
    <numFmt numFmtId="168" formatCode="0.00"/>
    <numFmt numFmtId="169" formatCode="0.0000"/>
    <numFmt numFmtId="170" formatCode="0.000"/>
    <numFmt numFmtId="171" formatCode="0.0"/>
    <numFmt numFmtId="172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Cambria"/>
      <family val="0"/>
      <charset val="1"/>
    </font>
    <font>
      <sz val="11"/>
      <color theme="1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color rgb="FF0000FF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3" customFormat="false" ht="17.15" hidden="false" customHeight="false" outlineLevel="0" collapsed="false">
      <c r="A3" s="2" t="s">
        <v>1</v>
      </c>
    </row>
    <row r="4" customFormat="false" ht="17.15" hidden="false" customHeight="false" outlineLevel="0" collapsed="false">
      <c r="A4" s="2" t="s">
        <v>2</v>
      </c>
    </row>
    <row r="5" customFormat="false" ht="17.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7.15" hidden="false" customHeight="false" outlineLevel="0" collapsed="false">
      <c r="A7" s="0" t="s">
        <v>5</v>
      </c>
    </row>
    <row r="8" customFormat="false" ht="17.15" hidden="false" customHeight="false" outlineLevel="0" collapsed="false">
      <c r="A8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60"/>
    <col collapsed="false" customWidth="true" hidden="false" outlineLevel="0" max="7" min="7" style="0" width="12"/>
    <col collapsed="false" customWidth="true" hidden="false" outlineLevel="0" max="8" min="8" style="0" width="36"/>
    <col collapsed="false" customWidth="true" hidden="false" outlineLevel="0" max="9" min="9" style="0" width="50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40"/>
  </cols>
  <sheetData>
    <row r="1" customFormat="false" ht="20.1" hidden="false" customHeight="false" outlineLevel="0" collapsed="false">
      <c r="A1" s="3" t="s">
        <v>7</v>
      </c>
    </row>
    <row r="3" customFormat="false" ht="17.15" hidden="false" customHeight="false" outlineLevel="0" collapsed="false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5" t="s">
        <v>16</v>
      </c>
      <c r="J3" s="4" t="s">
        <v>17</v>
      </c>
      <c r="K3" s="4" t="s">
        <v>18</v>
      </c>
      <c r="L3" s="4" t="s">
        <v>19</v>
      </c>
    </row>
    <row r="4" customFormat="false" ht="32.8" hidden="false" customHeight="false" outlineLevel="0" collapsed="false">
      <c r="A4" s="6" t="s">
        <v>20</v>
      </c>
      <c r="B4" s="6" t="s">
        <v>21</v>
      </c>
      <c r="C4" s="6" t="s">
        <v>22</v>
      </c>
      <c r="D4" s="7" t="n">
        <v>37.5</v>
      </c>
      <c r="E4" s="6" t="s">
        <v>23</v>
      </c>
      <c r="F4" s="8" t="s">
        <v>24</v>
      </c>
      <c r="G4" s="6" t="s">
        <v>25</v>
      </c>
      <c r="H4" s="6" t="s">
        <v>26</v>
      </c>
      <c r="I4" s="6" t="s">
        <v>27</v>
      </c>
      <c r="J4" s="6" t="s">
        <v>28</v>
      </c>
      <c r="K4" s="6" t="s">
        <v>29</v>
      </c>
      <c r="L4" s="8" t="s">
        <v>30</v>
      </c>
    </row>
    <row r="5" customFormat="false" ht="32.8" hidden="false" customHeight="false" outlineLevel="0" collapsed="false">
      <c r="A5" s="6" t="s">
        <v>20</v>
      </c>
      <c r="B5" s="6" t="s">
        <v>31</v>
      </c>
      <c r="C5" s="6" t="s">
        <v>32</v>
      </c>
      <c r="D5" s="7" t="n">
        <v>15</v>
      </c>
      <c r="E5" s="6" t="s">
        <v>23</v>
      </c>
      <c r="F5" s="8" t="s">
        <v>33</v>
      </c>
      <c r="G5" s="6" t="s">
        <v>25</v>
      </c>
      <c r="H5" s="6" t="s">
        <v>26</v>
      </c>
      <c r="I5" s="6" t="s">
        <v>27</v>
      </c>
      <c r="J5" s="6" t="s">
        <v>28</v>
      </c>
      <c r="K5" s="6" t="s">
        <v>29</v>
      </c>
      <c r="L5" s="8" t="s">
        <v>30</v>
      </c>
    </row>
    <row r="6" customFormat="false" ht="32.8" hidden="false" customHeight="false" outlineLevel="0" collapsed="false">
      <c r="A6" s="6" t="s">
        <v>20</v>
      </c>
      <c r="B6" s="6" t="s">
        <v>34</v>
      </c>
      <c r="C6" s="6" t="s">
        <v>35</v>
      </c>
      <c r="D6" s="7" t="n">
        <v>7.5</v>
      </c>
      <c r="E6" s="6" t="s">
        <v>23</v>
      </c>
      <c r="F6" s="8" t="s">
        <v>36</v>
      </c>
      <c r="G6" s="6" t="s">
        <v>25</v>
      </c>
      <c r="H6" s="6" t="s">
        <v>26</v>
      </c>
      <c r="I6" s="6" t="s">
        <v>27</v>
      </c>
      <c r="J6" s="6" t="s">
        <v>28</v>
      </c>
      <c r="K6" s="6" t="s">
        <v>29</v>
      </c>
      <c r="L6" s="8" t="s">
        <v>30</v>
      </c>
    </row>
    <row r="7" customFormat="false" ht="32.8" hidden="false" customHeight="false" outlineLevel="0" collapsed="false">
      <c r="A7" s="6" t="s">
        <v>20</v>
      </c>
      <c r="B7" s="6" t="s">
        <v>37</v>
      </c>
      <c r="C7" s="6" t="s">
        <v>38</v>
      </c>
      <c r="D7" s="7" t="n">
        <v>2.19</v>
      </c>
      <c r="E7" s="6" t="s">
        <v>23</v>
      </c>
      <c r="F7" s="8" t="s">
        <v>39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  <c r="L7" s="8" t="s">
        <v>30</v>
      </c>
    </row>
    <row r="8" customFormat="false" ht="32.8" hidden="false" customHeight="false" outlineLevel="0" collapsed="false">
      <c r="A8" s="6" t="s">
        <v>20</v>
      </c>
      <c r="B8" s="6" t="s">
        <v>40</v>
      </c>
      <c r="C8" s="6" t="s">
        <v>41</v>
      </c>
      <c r="D8" s="7" t="n">
        <v>0.18</v>
      </c>
      <c r="E8" s="6" t="s">
        <v>23</v>
      </c>
      <c r="F8" s="6"/>
      <c r="G8" s="6" t="s">
        <v>25</v>
      </c>
      <c r="H8" s="6" t="s">
        <v>26</v>
      </c>
      <c r="I8" s="6" t="s">
        <v>27</v>
      </c>
      <c r="J8" s="6" t="s">
        <v>28</v>
      </c>
      <c r="K8" s="6" t="s">
        <v>29</v>
      </c>
      <c r="L8" s="8" t="s">
        <v>30</v>
      </c>
    </row>
    <row r="9" customFormat="false" ht="32.8" hidden="false" customHeight="false" outlineLevel="0" collapsed="false">
      <c r="A9" s="6" t="s">
        <v>42</v>
      </c>
      <c r="B9" s="6" t="s">
        <v>21</v>
      </c>
      <c r="C9" s="6" t="s">
        <v>22</v>
      </c>
      <c r="D9" s="7" t="n">
        <v>37.5</v>
      </c>
      <c r="E9" s="6" t="s">
        <v>23</v>
      </c>
      <c r="F9" s="6"/>
      <c r="G9" s="6" t="s">
        <v>25</v>
      </c>
      <c r="H9" s="6" t="s">
        <v>26</v>
      </c>
      <c r="I9" s="6" t="s">
        <v>27</v>
      </c>
      <c r="J9" s="6" t="s">
        <v>28</v>
      </c>
      <c r="K9" s="6" t="s">
        <v>29</v>
      </c>
      <c r="L9" s="8" t="s">
        <v>30</v>
      </c>
    </row>
    <row r="10" customFormat="false" ht="32.8" hidden="false" customHeight="false" outlineLevel="0" collapsed="false">
      <c r="A10" s="6" t="s">
        <v>42</v>
      </c>
      <c r="B10" s="6" t="s">
        <v>31</v>
      </c>
      <c r="C10" s="6" t="s">
        <v>32</v>
      </c>
      <c r="D10" s="7" t="n">
        <v>15</v>
      </c>
      <c r="E10" s="6" t="s">
        <v>23</v>
      </c>
      <c r="F10" s="6"/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8" t="s">
        <v>30</v>
      </c>
    </row>
    <row r="11" customFormat="false" ht="32.8" hidden="false" customHeight="false" outlineLevel="0" collapsed="false">
      <c r="A11" s="6" t="s">
        <v>42</v>
      </c>
      <c r="B11" s="6" t="s">
        <v>43</v>
      </c>
      <c r="C11" s="6" t="s">
        <v>44</v>
      </c>
      <c r="D11" s="7" t="n">
        <v>6</v>
      </c>
      <c r="E11" s="6" t="s">
        <v>23</v>
      </c>
      <c r="F11" s="6"/>
      <c r="G11" s="6" t="s">
        <v>25</v>
      </c>
      <c r="H11" s="6" t="s">
        <v>26</v>
      </c>
      <c r="I11" s="6" t="s">
        <v>27</v>
      </c>
      <c r="J11" s="6" t="s">
        <v>28</v>
      </c>
      <c r="K11" s="6" t="s">
        <v>29</v>
      </c>
      <c r="L11" s="8" t="s">
        <v>30</v>
      </c>
    </row>
    <row r="12" customFormat="false" ht="32.8" hidden="false" customHeight="false" outlineLevel="0" collapsed="false">
      <c r="A12" s="6" t="s">
        <v>42</v>
      </c>
      <c r="B12" s="6" t="s">
        <v>45</v>
      </c>
      <c r="C12" s="6" t="s">
        <v>46</v>
      </c>
      <c r="D12" s="7" t="n">
        <v>0.5</v>
      </c>
      <c r="E12" s="6" t="s">
        <v>23</v>
      </c>
      <c r="F12" s="8" t="s">
        <v>47</v>
      </c>
      <c r="G12" s="6" t="s">
        <v>25</v>
      </c>
      <c r="H12" s="6" t="s">
        <v>26</v>
      </c>
      <c r="I12" s="6" t="s">
        <v>27</v>
      </c>
      <c r="J12" s="6" t="s">
        <v>28</v>
      </c>
      <c r="K12" s="6" t="s">
        <v>29</v>
      </c>
      <c r="L12" s="8" t="s">
        <v>30</v>
      </c>
    </row>
    <row r="13" customFormat="false" ht="32.8" hidden="false" customHeight="false" outlineLevel="0" collapsed="false">
      <c r="A13" s="6" t="s">
        <v>42</v>
      </c>
      <c r="B13" s="6" t="s">
        <v>48</v>
      </c>
      <c r="C13" s="6" t="s">
        <v>49</v>
      </c>
      <c r="D13" s="7" t="n">
        <v>0.13</v>
      </c>
      <c r="E13" s="6" t="s">
        <v>23</v>
      </c>
      <c r="F13" s="8" t="s">
        <v>50</v>
      </c>
      <c r="G13" s="6" t="s">
        <v>25</v>
      </c>
      <c r="H13" s="6" t="s">
        <v>26</v>
      </c>
      <c r="I13" s="6" t="s">
        <v>27</v>
      </c>
      <c r="J13" s="6" t="s">
        <v>28</v>
      </c>
      <c r="K13" s="6" t="s">
        <v>29</v>
      </c>
      <c r="L13" s="8" t="s">
        <v>30</v>
      </c>
    </row>
    <row r="14" customFormat="false" ht="32.8" hidden="false" customHeight="false" outlineLevel="0" collapsed="false">
      <c r="A14" s="6" t="s">
        <v>42</v>
      </c>
      <c r="B14" s="6" t="s">
        <v>51</v>
      </c>
      <c r="C14" s="6" t="s">
        <v>52</v>
      </c>
      <c r="D14" s="7" t="n">
        <v>0.12</v>
      </c>
      <c r="E14" s="6" t="s">
        <v>23</v>
      </c>
      <c r="F14" s="6"/>
      <c r="G14" s="6" t="s">
        <v>25</v>
      </c>
      <c r="H14" s="6" t="s">
        <v>26</v>
      </c>
      <c r="I14" s="6" t="s">
        <v>27</v>
      </c>
      <c r="J14" s="6" t="s">
        <v>28</v>
      </c>
      <c r="K14" s="6" t="s">
        <v>29</v>
      </c>
      <c r="L14" s="8" t="s">
        <v>30</v>
      </c>
    </row>
    <row r="15" customFormat="false" ht="32.8" hidden="false" customHeight="false" outlineLevel="0" collapsed="false">
      <c r="A15" s="6" t="s">
        <v>53</v>
      </c>
      <c r="B15" s="6" t="s">
        <v>54</v>
      </c>
      <c r="C15" s="6" t="s">
        <v>55</v>
      </c>
      <c r="D15" s="7" t="n">
        <v>40</v>
      </c>
      <c r="E15" s="8" t="s">
        <v>56</v>
      </c>
      <c r="F15" s="6" t="s">
        <v>57</v>
      </c>
      <c r="G15" s="6" t="s">
        <v>25</v>
      </c>
      <c r="H15" s="6" t="s">
        <v>26</v>
      </c>
      <c r="I15" s="6" t="s">
        <v>27</v>
      </c>
      <c r="J15" s="6" t="s">
        <v>28</v>
      </c>
      <c r="K15" s="6" t="s">
        <v>29</v>
      </c>
      <c r="L15" s="8" t="s">
        <v>30</v>
      </c>
    </row>
    <row r="16" customFormat="false" ht="48.5" hidden="false" customHeight="false" outlineLevel="0" collapsed="false">
      <c r="A16" s="6" t="s">
        <v>58</v>
      </c>
      <c r="B16" s="8" t="s">
        <v>59</v>
      </c>
      <c r="C16" s="6" t="s">
        <v>60</v>
      </c>
      <c r="D16" s="7" t="n">
        <v>13</v>
      </c>
      <c r="E16" s="8" t="s">
        <v>61</v>
      </c>
      <c r="F16" s="8" t="s">
        <v>62</v>
      </c>
      <c r="G16" s="6" t="s">
        <v>25</v>
      </c>
      <c r="H16" s="6" t="s">
        <v>63</v>
      </c>
      <c r="I16" s="6" t="s">
        <v>64</v>
      </c>
      <c r="J16" s="6" t="s">
        <v>65</v>
      </c>
      <c r="K16" s="6" t="s">
        <v>29</v>
      </c>
      <c r="L16" s="8" t="s">
        <v>66</v>
      </c>
    </row>
    <row r="17" customFormat="false" ht="32.8" hidden="false" customHeight="false" outlineLevel="0" collapsed="false">
      <c r="A17" s="6" t="s">
        <v>58</v>
      </c>
      <c r="B17" s="6" t="s">
        <v>67</v>
      </c>
      <c r="C17" s="6" t="s">
        <v>68</v>
      </c>
      <c r="D17" s="7" t="n">
        <v>725</v>
      </c>
      <c r="E17" s="8" t="s">
        <v>69</v>
      </c>
      <c r="F17" s="6" t="s">
        <v>70</v>
      </c>
      <c r="G17" s="6" t="s">
        <v>25</v>
      </c>
      <c r="H17" s="6" t="s">
        <v>71</v>
      </c>
      <c r="I17" s="6" t="s">
        <v>64</v>
      </c>
      <c r="J17" s="6" t="s">
        <v>72</v>
      </c>
      <c r="K17" s="6" t="s">
        <v>29</v>
      </c>
      <c r="L17" s="8" t="s">
        <v>30</v>
      </c>
    </row>
    <row r="18" customFormat="false" ht="48.5" hidden="false" customHeight="false" outlineLevel="0" collapsed="false">
      <c r="A18" s="6" t="s">
        <v>73</v>
      </c>
      <c r="B18" s="8" t="s">
        <v>74</v>
      </c>
      <c r="C18" s="6" t="s">
        <v>75</v>
      </c>
      <c r="D18" s="7" t="n">
        <v>7.5</v>
      </c>
      <c r="E18" s="8" t="s">
        <v>76</v>
      </c>
      <c r="F18" s="6" t="s">
        <v>77</v>
      </c>
      <c r="G18" s="6" t="s">
        <v>25</v>
      </c>
      <c r="H18" s="6" t="s">
        <v>78</v>
      </c>
      <c r="I18" s="6" t="s">
        <v>79</v>
      </c>
      <c r="J18" s="6" t="s">
        <v>80</v>
      </c>
      <c r="K18" s="6" t="s">
        <v>29</v>
      </c>
      <c r="L18" s="8" t="s">
        <v>81</v>
      </c>
    </row>
    <row r="20" customFormat="false" ht="17.15" hidden="false" customHeight="false" outlineLevel="0" collapsed="false">
      <c r="A20" s="9" t="s">
        <v>82</v>
      </c>
    </row>
    <row r="21" customFormat="false" ht="17.15" hidden="false" customHeight="false" outlineLevel="0" collapsed="false">
      <c r="A21" s="4" t="s">
        <v>83</v>
      </c>
      <c r="B21" s="4" t="s">
        <v>84</v>
      </c>
      <c r="C21" s="4" t="s">
        <v>85</v>
      </c>
      <c r="D21" s="4" t="s">
        <v>86</v>
      </c>
      <c r="E21" s="4" t="s">
        <v>87</v>
      </c>
      <c r="F21" s="4" t="s">
        <v>13</v>
      </c>
      <c r="G21" s="4" t="s">
        <v>14</v>
      </c>
      <c r="H21" s="4" t="s">
        <v>15</v>
      </c>
      <c r="I21" s="5" t="s">
        <v>16</v>
      </c>
      <c r="J21" s="4" t="s">
        <v>17</v>
      </c>
      <c r="K21" s="4" t="s">
        <v>18</v>
      </c>
      <c r="L21" s="4" t="s">
        <v>19</v>
      </c>
    </row>
    <row r="22" customFormat="false" ht="32.8" hidden="false" customHeight="false" outlineLevel="0" collapsed="false">
      <c r="A22" s="6" t="s">
        <v>88</v>
      </c>
      <c r="B22" s="6" t="s">
        <v>89</v>
      </c>
      <c r="C22" s="6" t="s">
        <v>90</v>
      </c>
      <c r="D22" s="6" t="s">
        <v>91</v>
      </c>
      <c r="E22" s="6" t="s">
        <v>92</v>
      </c>
      <c r="F22" s="8" t="s">
        <v>93</v>
      </c>
      <c r="G22" s="6" t="s">
        <v>94</v>
      </c>
      <c r="H22" s="6" t="s">
        <v>95</v>
      </c>
      <c r="I22" s="6" t="s">
        <v>96</v>
      </c>
      <c r="J22" s="6" t="s">
        <v>89</v>
      </c>
      <c r="K22" s="6" t="s">
        <v>29</v>
      </c>
      <c r="L22" s="8" t="s">
        <v>97</v>
      </c>
    </row>
    <row r="23" customFormat="false" ht="41.75" hidden="false" customHeight="false" outlineLevel="0" collapsed="false">
      <c r="A23" s="6" t="s">
        <v>98</v>
      </c>
      <c r="B23" s="6" t="s">
        <v>99</v>
      </c>
      <c r="C23" s="6" t="s">
        <v>100</v>
      </c>
      <c r="D23" s="6" t="s">
        <v>101</v>
      </c>
      <c r="E23" s="8" t="s">
        <v>102</v>
      </c>
      <c r="F23" s="8" t="s">
        <v>103</v>
      </c>
      <c r="G23" s="6" t="s">
        <v>94</v>
      </c>
      <c r="H23" s="6" t="s">
        <v>104</v>
      </c>
      <c r="I23" s="6" t="s">
        <v>105</v>
      </c>
      <c r="J23" s="6" t="s">
        <v>106</v>
      </c>
      <c r="K23" s="6" t="s">
        <v>29</v>
      </c>
      <c r="L23" s="8" t="s">
        <v>97</v>
      </c>
    </row>
    <row r="24" customFormat="false" ht="32.8" hidden="false" customHeight="false" outlineLevel="0" collapsed="false">
      <c r="A24" s="6" t="s">
        <v>107</v>
      </c>
      <c r="B24" s="6" t="s">
        <v>108</v>
      </c>
      <c r="C24" s="6" t="s">
        <v>109</v>
      </c>
      <c r="D24" s="6" t="s">
        <v>109</v>
      </c>
      <c r="E24" s="6" t="s">
        <v>110</v>
      </c>
      <c r="F24" s="8" t="s">
        <v>103</v>
      </c>
      <c r="G24" s="6" t="s">
        <v>94</v>
      </c>
      <c r="H24" s="6" t="s">
        <v>111</v>
      </c>
      <c r="I24" s="6" t="s">
        <v>112</v>
      </c>
      <c r="J24" s="6" t="s">
        <v>108</v>
      </c>
      <c r="K24" s="6" t="s">
        <v>29</v>
      </c>
      <c r="L24" s="8" t="s">
        <v>97</v>
      </c>
    </row>
    <row r="25" customFormat="false" ht="32.8" hidden="false" customHeight="false" outlineLevel="0" collapsed="false">
      <c r="A25" s="6" t="s">
        <v>113</v>
      </c>
      <c r="B25" s="6" t="s">
        <v>108</v>
      </c>
      <c r="C25" s="6" t="s">
        <v>114</v>
      </c>
      <c r="D25" s="6" t="s">
        <v>115</v>
      </c>
      <c r="E25" s="6" t="s">
        <v>116</v>
      </c>
      <c r="F25" s="6"/>
      <c r="G25" s="6" t="s">
        <v>94</v>
      </c>
      <c r="H25" s="6" t="s">
        <v>117</v>
      </c>
      <c r="I25" s="6" t="s">
        <v>118</v>
      </c>
      <c r="J25" s="6" t="s">
        <v>108</v>
      </c>
      <c r="K25" s="6" t="s">
        <v>29</v>
      </c>
      <c r="L25" s="8" t="s">
        <v>97</v>
      </c>
    </row>
    <row r="26" customFormat="false" ht="48.5" hidden="false" customHeight="false" outlineLevel="0" collapsed="false">
      <c r="A26" s="6" t="s">
        <v>119</v>
      </c>
      <c r="B26" s="6" t="s">
        <v>120</v>
      </c>
      <c r="C26" s="6" t="s">
        <v>121</v>
      </c>
      <c r="D26" s="6" t="s">
        <v>122</v>
      </c>
      <c r="E26" s="8" t="s">
        <v>123</v>
      </c>
      <c r="F26" s="6"/>
      <c r="G26" s="6" t="s">
        <v>94</v>
      </c>
      <c r="H26" s="6" t="s">
        <v>111</v>
      </c>
      <c r="I26" s="6" t="s">
        <v>112</v>
      </c>
      <c r="J26" s="6" t="s">
        <v>120</v>
      </c>
      <c r="K26" s="6" t="s">
        <v>29</v>
      </c>
      <c r="L26" s="8" t="s">
        <v>97</v>
      </c>
    </row>
    <row r="27" customFormat="false" ht="48.5" hidden="false" customHeight="false" outlineLevel="0" collapsed="false">
      <c r="A27" s="6" t="s">
        <v>124</v>
      </c>
      <c r="B27" s="6" t="s">
        <v>125</v>
      </c>
      <c r="C27" s="6" t="s">
        <v>126</v>
      </c>
      <c r="D27" s="6" t="s">
        <v>127</v>
      </c>
      <c r="E27" s="6" t="s">
        <v>128</v>
      </c>
      <c r="F27" s="8" t="s">
        <v>129</v>
      </c>
      <c r="G27" s="6" t="s">
        <v>25</v>
      </c>
      <c r="H27" s="6" t="s">
        <v>130</v>
      </c>
      <c r="I27" s="6" t="s">
        <v>131</v>
      </c>
      <c r="J27" s="6" t="s">
        <v>132</v>
      </c>
      <c r="K27" s="6" t="s">
        <v>29</v>
      </c>
      <c r="L27" s="8" t="s">
        <v>133</v>
      </c>
    </row>
    <row r="28" customFormat="false" ht="32.8" hidden="false" customHeight="false" outlineLevel="0" collapsed="false">
      <c r="A28" s="6" t="s">
        <v>134</v>
      </c>
      <c r="B28" s="6" t="s">
        <v>135</v>
      </c>
      <c r="C28" s="8" t="s">
        <v>136</v>
      </c>
      <c r="D28" s="6" t="s">
        <v>137</v>
      </c>
      <c r="E28" s="8" t="s">
        <v>138</v>
      </c>
      <c r="F28" s="6"/>
      <c r="G28" s="6" t="s">
        <v>94</v>
      </c>
      <c r="H28" s="6" t="s">
        <v>139</v>
      </c>
      <c r="I28" s="6" t="s">
        <v>140</v>
      </c>
      <c r="J28" s="6" t="s">
        <v>135</v>
      </c>
      <c r="K28" s="6" t="s">
        <v>29</v>
      </c>
      <c r="L28" s="8" t="s">
        <v>97</v>
      </c>
    </row>
    <row r="30" customFormat="false" ht="17.15" hidden="false" customHeight="false" outlineLevel="0" collapsed="false">
      <c r="A30" s="2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8" min="7" style="0" width="12"/>
    <col collapsed="false" customWidth="true" hidden="false" outlineLevel="0" max="9" min="9" style="0" width="13"/>
    <col collapsed="false" customWidth="true" hidden="false" outlineLevel="0" max="10" min="10" style="0" width="46"/>
    <col collapsed="false" customWidth="true" hidden="false" outlineLevel="0" max="11" min="11" style="0" width="50"/>
    <col collapsed="false" customWidth="true" hidden="false" outlineLevel="0" max="12" min="12" style="0" width="12"/>
    <col collapsed="false" customWidth="true" hidden="false" outlineLevel="0" max="13" min="13" style="0" width="36"/>
    <col collapsed="false" customWidth="true" hidden="false" outlineLevel="0" max="14" min="14" style="0" width="44"/>
  </cols>
  <sheetData>
    <row r="1" customFormat="false" ht="20.1" hidden="false" customHeight="false" outlineLevel="0" collapsed="false">
      <c r="A1" s="3" t="s">
        <v>142</v>
      </c>
    </row>
    <row r="3" customFormat="false" ht="30.55" hidden="false" customHeight="false" outlineLevel="0" collapsed="false">
      <c r="A3" s="4" t="s">
        <v>143</v>
      </c>
      <c r="B3" s="4" t="s">
        <v>144</v>
      </c>
      <c r="C3" s="4" t="s">
        <v>83</v>
      </c>
      <c r="D3" s="4" t="s">
        <v>145</v>
      </c>
      <c r="E3" s="4" t="s">
        <v>146</v>
      </c>
      <c r="F3" s="4" t="s">
        <v>147</v>
      </c>
      <c r="G3" s="5" t="s">
        <v>148</v>
      </c>
      <c r="H3" s="5" t="s">
        <v>149</v>
      </c>
      <c r="I3" s="4" t="s">
        <v>14</v>
      </c>
      <c r="J3" s="4" t="s">
        <v>15</v>
      </c>
      <c r="K3" s="5" t="s">
        <v>16</v>
      </c>
      <c r="L3" s="4" t="s">
        <v>18</v>
      </c>
      <c r="M3" s="4" t="s">
        <v>19</v>
      </c>
      <c r="N3" s="4" t="s">
        <v>150</v>
      </c>
    </row>
    <row r="4" customFormat="false" ht="32.8" hidden="false" customHeight="false" outlineLevel="0" collapsed="false">
      <c r="A4" s="6" t="s">
        <v>151</v>
      </c>
      <c r="B4" s="8" t="s">
        <v>152</v>
      </c>
      <c r="C4" s="6" t="s">
        <v>153</v>
      </c>
      <c r="D4" s="6" t="s">
        <v>22</v>
      </c>
      <c r="E4" s="7" t="n">
        <v>30</v>
      </c>
      <c r="F4" s="7" t="n">
        <v>60</v>
      </c>
      <c r="G4" s="6" t="n">
        <f aca="false">(3*E4+F4)/4</f>
        <v>37.5</v>
      </c>
      <c r="H4" s="6" t="n">
        <f aca="false">(8*E4+F4)/9</f>
        <v>33.3333333333333</v>
      </c>
      <c r="I4" s="6" t="s">
        <v>94</v>
      </c>
      <c r="J4" s="6" t="s">
        <v>154</v>
      </c>
      <c r="K4" s="6" t="s">
        <v>155</v>
      </c>
      <c r="L4" s="6" t="s">
        <v>29</v>
      </c>
      <c r="M4" s="8" t="s">
        <v>97</v>
      </c>
      <c r="N4" s="8" t="s">
        <v>156</v>
      </c>
    </row>
    <row r="5" customFormat="false" ht="32.8" hidden="false" customHeight="false" outlineLevel="0" collapsed="false">
      <c r="A5" s="6" t="s">
        <v>151</v>
      </c>
      <c r="B5" s="8" t="s">
        <v>152</v>
      </c>
      <c r="C5" s="6" t="s">
        <v>31</v>
      </c>
      <c r="D5" s="6" t="s">
        <v>32</v>
      </c>
      <c r="E5" s="7" t="n">
        <v>10</v>
      </c>
      <c r="F5" s="7" t="n">
        <v>30</v>
      </c>
      <c r="G5" s="6" t="n">
        <f aca="false">(3*E5+F5)/4</f>
        <v>15</v>
      </c>
      <c r="H5" s="6" t="n">
        <f aca="false">(8*E5+F5)/9</f>
        <v>12.2222222222222</v>
      </c>
      <c r="I5" s="6" t="s">
        <v>94</v>
      </c>
      <c r="J5" s="6" t="s">
        <v>157</v>
      </c>
      <c r="K5" s="6" t="s">
        <v>158</v>
      </c>
      <c r="L5" s="6" t="s">
        <v>29</v>
      </c>
      <c r="M5" s="8" t="s">
        <v>97</v>
      </c>
      <c r="N5" s="8" t="s">
        <v>156</v>
      </c>
    </row>
    <row r="6" customFormat="false" ht="32.8" hidden="false" customHeight="false" outlineLevel="0" collapsed="false">
      <c r="A6" s="6" t="s">
        <v>151</v>
      </c>
      <c r="B6" s="8" t="s">
        <v>152</v>
      </c>
      <c r="C6" s="6" t="s">
        <v>159</v>
      </c>
      <c r="D6" s="6" t="s">
        <v>35</v>
      </c>
      <c r="E6" s="7" t="n">
        <v>5</v>
      </c>
      <c r="F6" s="7" t="n">
        <v>15</v>
      </c>
      <c r="G6" s="6" t="n">
        <f aca="false">(3*E6+F6)/4</f>
        <v>7.5</v>
      </c>
      <c r="H6" s="6" t="n">
        <f aca="false">(8*E6+F6)/9</f>
        <v>6.11111111111111</v>
      </c>
      <c r="I6" s="6" t="s">
        <v>94</v>
      </c>
      <c r="J6" s="6" t="s">
        <v>160</v>
      </c>
      <c r="K6" s="6" t="s">
        <v>161</v>
      </c>
      <c r="L6" s="6" t="s">
        <v>29</v>
      </c>
      <c r="M6" s="8" t="s">
        <v>97</v>
      </c>
      <c r="N6" s="8" t="s">
        <v>162</v>
      </c>
    </row>
    <row r="7" customFormat="false" ht="32.8" hidden="false" customHeight="false" outlineLevel="0" collapsed="false">
      <c r="A7" s="6" t="s">
        <v>151</v>
      </c>
      <c r="B7" s="8" t="s">
        <v>152</v>
      </c>
      <c r="C7" s="6" t="s">
        <v>163</v>
      </c>
      <c r="D7" s="6" t="s">
        <v>164</v>
      </c>
      <c r="E7" s="7" t="n">
        <v>2.5</v>
      </c>
      <c r="F7" s="7" t="n">
        <v>10</v>
      </c>
      <c r="G7" s="6" t="n">
        <f aca="false">(3*E7+F7)/4</f>
        <v>4.375</v>
      </c>
      <c r="H7" s="6" t="n">
        <f aca="false">(8*E7+F7)/9</f>
        <v>3.33333333333333</v>
      </c>
      <c r="I7" s="6" t="s">
        <v>94</v>
      </c>
      <c r="J7" s="6" t="s">
        <v>165</v>
      </c>
      <c r="K7" s="6" t="s">
        <v>166</v>
      </c>
      <c r="L7" s="6" t="s">
        <v>29</v>
      </c>
      <c r="M7" s="8" t="s">
        <v>97</v>
      </c>
      <c r="N7" s="8" t="s">
        <v>167</v>
      </c>
    </row>
    <row r="8" customFormat="false" ht="32.8" hidden="false" customHeight="false" outlineLevel="0" collapsed="false">
      <c r="A8" s="6" t="s">
        <v>151</v>
      </c>
      <c r="B8" s="8" t="s">
        <v>152</v>
      </c>
      <c r="C8" s="6" t="s">
        <v>168</v>
      </c>
      <c r="D8" s="6" t="s">
        <v>169</v>
      </c>
      <c r="E8" s="7" t="n">
        <v>2</v>
      </c>
      <c r="F8" s="7" t="n">
        <v>8</v>
      </c>
      <c r="G8" s="6" t="n">
        <f aca="false">(3*E8+F8)/4</f>
        <v>3.5</v>
      </c>
      <c r="H8" s="6" t="n">
        <f aca="false">(8*E8+F8)/9</f>
        <v>2.66666666666667</v>
      </c>
      <c r="I8" s="6" t="s">
        <v>94</v>
      </c>
      <c r="J8" s="6" t="s">
        <v>170</v>
      </c>
      <c r="K8" s="6" t="s">
        <v>171</v>
      </c>
      <c r="L8" s="6" t="s">
        <v>29</v>
      </c>
      <c r="M8" s="8" t="s">
        <v>97</v>
      </c>
      <c r="N8" s="6"/>
    </row>
    <row r="9" customFormat="false" ht="32.8" hidden="false" customHeight="false" outlineLevel="0" collapsed="false">
      <c r="A9" s="6" t="s">
        <v>151</v>
      </c>
      <c r="B9" s="8" t="s">
        <v>152</v>
      </c>
      <c r="C9" s="6" t="s">
        <v>172</v>
      </c>
      <c r="D9" s="6" t="s">
        <v>173</v>
      </c>
      <c r="E9" s="7" t="n">
        <v>1.25</v>
      </c>
      <c r="F9" s="7" t="n">
        <v>10</v>
      </c>
      <c r="G9" s="6" t="n">
        <f aca="false">(3*E9+F9)/4</f>
        <v>3.4375</v>
      </c>
      <c r="H9" s="6" t="n">
        <f aca="false">(8*E9+F9)/9</f>
        <v>2.22222222222222</v>
      </c>
      <c r="I9" s="6" t="s">
        <v>94</v>
      </c>
      <c r="J9" s="6" t="s">
        <v>174</v>
      </c>
      <c r="K9" s="6" t="s">
        <v>175</v>
      </c>
      <c r="L9" s="6" t="s">
        <v>29</v>
      </c>
      <c r="M9" s="8" t="s">
        <v>97</v>
      </c>
      <c r="N9" s="6"/>
    </row>
    <row r="10" customFormat="false" ht="32.8" hidden="false" customHeight="false" outlineLevel="0" collapsed="false">
      <c r="A10" s="6" t="s">
        <v>151</v>
      </c>
      <c r="B10" s="8" t="s">
        <v>152</v>
      </c>
      <c r="C10" s="6" t="s">
        <v>176</v>
      </c>
      <c r="D10" s="6" t="s">
        <v>177</v>
      </c>
      <c r="E10" s="7" t="n">
        <v>1.75</v>
      </c>
      <c r="F10" s="7" t="n">
        <v>14</v>
      </c>
      <c r="G10" s="6" t="n">
        <f aca="false">(3*E10+F10)/4</f>
        <v>4.8125</v>
      </c>
      <c r="H10" s="6" t="n">
        <f aca="false">(8*E10+F10)/9</f>
        <v>3.11111111111111</v>
      </c>
      <c r="I10" s="6" t="s">
        <v>94</v>
      </c>
      <c r="J10" s="6" t="s">
        <v>178</v>
      </c>
      <c r="K10" s="6" t="s">
        <v>179</v>
      </c>
      <c r="L10" s="6" t="s">
        <v>29</v>
      </c>
      <c r="M10" s="8" t="s">
        <v>97</v>
      </c>
      <c r="N10" s="6"/>
    </row>
    <row r="11" customFormat="false" ht="32.8" hidden="false" customHeight="false" outlineLevel="0" collapsed="false">
      <c r="A11" s="6" t="s">
        <v>151</v>
      </c>
      <c r="B11" s="8" t="s">
        <v>152</v>
      </c>
      <c r="C11" s="6" t="s">
        <v>180</v>
      </c>
      <c r="D11" s="6" t="s">
        <v>181</v>
      </c>
      <c r="E11" s="7" t="n">
        <v>2.5</v>
      </c>
      <c r="F11" s="7" t="n">
        <v>15</v>
      </c>
      <c r="G11" s="6" t="n">
        <f aca="false">(3*E11+F11)/4</f>
        <v>5.625</v>
      </c>
      <c r="H11" s="6" t="n">
        <f aca="false">(8*E11+F11)/9</f>
        <v>3.88888888888889</v>
      </c>
      <c r="I11" s="6" t="s">
        <v>94</v>
      </c>
      <c r="J11" s="6" t="s">
        <v>182</v>
      </c>
      <c r="K11" s="6" t="s">
        <v>183</v>
      </c>
      <c r="L11" s="6" t="s">
        <v>29</v>
      </c>
      <c r="M11" s="8" t="s">
        <v>97</v>
      </c>
      <c r="N11" s="6"/>
    </row>
    <row r="12" customFormat="false" ht="32.8" hidden="false" customHeight="false" outlineLevel="0" collapsed="false">
      <c r="A12" s="6" t="s">
        <v>151</v>
      </c>
      <c r="B12" s="8" t="s">
        <v>152</v>
      </c>
      <c r="C12" s="6" t="s">
        <v>184</v>
      </c>
      <c r="D12" s="6" t="s">
        <v>185</v>
      </c>
      <c r="E12" s="7" t="n">
        <v>2.5</v>
      </c>
      <c r="F12" s="7" t="n">
        <v>15</v>
      </c>
      <c r="G12" s="6" t="n">
        <f aca="false">(3*E12+F12)/4</f>
        <v>5.625</v>
      </c>
      <c r="H12" s="6" t="n">
        <f aca="false">(8*E12+F12)/9</f>
        <v>3.88888888888889</v>
      </c>
      <c r="I12" s="6" t="s">
        <v>94</v>
      </c>
      <c r="J12" s="6" t="s">
        <v>117</v>
      </c>
      <c r="K12" s="6" t="s">
        <v>118</v>
      </c>
      <c r="L12" s="6" t="s">
        <v>29</v>
      </c>
      <c r="M12" s="8" t="s">
        <v>97</v>
      </c>
      <c r="N12" s="6" t="s">
        <v>186</v>
      </c>
    </row>
    <row r="13" customFormat="false" ht="32.8" hidden="false" customHeight="false" outlineLevel="0" collapsed="false">
      <c r="A13" s="6" t="s">
        <v>151</v>
      </c>
      <c r="B13" s="8" t="s">
        <v>152</v>
      </c>
      <c r="C13" s="6" t="s">
        <v>187</v>
      </c>
      <c r="D13" s="6" t="s">
        <v>108</v>
      </c>
      <c r="E13" s="7" t="n">
        <v>2</v>
      </c>
      <c r="F13" s="7" t="n">
        <v>12</v>
      </c>
      <c r="G13" s="6" t="n">
        <f aca="false">(3*E13+F13)/4</f>
        <v>4.5</v>
      </c>
      <c r="H13" s="6" t="n">
        <f aca="false">(8*E13+F13)/9</f>
        <v>3.11111111111111</v>
      </c>
      <c r="I13" s="6" t="s">
        <v>25</v>
      </c>
      <c r="J13" s="6" t="s">
        <v>188</v>
      </c>
      <c r="K13" s="6" t="s">
        <v>112</v>
      </c>
      <c r="L13" s="6" t="s">
        <v>29</v>
      </c>
      <c r="M13" s="8" t="s">
        <v>97</v>
      </c>
      <c r="N13" s="8" t="s">
        <v>189</v>
      </c>
    </row>
    <row r="14" customFormat="false" ht="32.8" hidden="false" customHeight="false" outlineLevel="0" collapsed="false">
      <c r="A14" s="6" t="s">
        <v>151</v>
      </c>
      <c r="B14" s="8" t="s">
        <v>152</v>
      </c>
      <c r="C14" s="6" t="s">
        <v>190</v>
      </c>
      <c r="D14" s="6" t="s">
        <v>72</v>
      </c>
      <c r="E14" s="7" t="n">
        <v>2</v>
      </c>
      <c r="F14" s="7" t="n">
        <v>10</v>
      </c>
      <c r="G14" s="6" t="n">
        <f aca="false">(3*E14+F14)/4</f>
        <v>4</v>
      </c>
      <c r="H14" s="6" t="n">
        <f aca="false">(8*E14+F14)/9</f>
        <v>2.88888888888889</v>
      </c>
      <c r="I14" s="6" t="s">
        <v>94</v>
      </c>
      <c r="J14" s="6" t="s">
        <v>191</v>
      </c>
      <c r="K14" s="6" t="s">
        <v>192</v>
      </c>
      <c r="L14" s="6" t="s">
        <v>29</v>
      </c>
      <c r="M14" s="8" t="s">
        <v>97</v>
      </c>
      <c r="N14" s="8" t="s">
        <v>193</v>
      </c>
    </row>
    <row r="15" customFormat="false" ht="32.8" hidden="false" customHeight="false" outlineLevel="0" collapsed="false">
      <c r="A15" s="6" t="s">
        <v>151</v>
      </c>
      <c r="B15" s="8" t="s">
        <v>152</v>
      </c>
      <c r="C15" s="6" t="s">
        <v>194</v>
      </c>
      <c r="D15" s="6" t="s">
        <v>195</v>
      </c>
      <c r="E15" s="7" t="n">
        <v>2</v>
      </c>
      <c r="F15" s="7" t="n">
        <v>10</v>
      </c>
      <c r="G15" s="6" t="n">
        <f aca="false">(3*E15+F15)/4</f>
        <v>4</v>
      </c>
      <c r="H15" s="6" t="n">
        <f aca="false">(8*E15+F15)/9</f>
        <v>2.88888888888889</v>
      </c>
      <c r="I15" s="6" t="s">
        <v>94</v>
      </c>
      <c r="J15" s="6" t="s">
        <v>111</v>
      </c>
      <c r="K15" s="6" t="s">
        <v>112</v>
      </c>
      <c r="L15" s="6" t="s">
        <v>29</v>
      </c>
      <c r="M15" s="8" t="s">
        <v>97</v>
      </c>
      <c r="N15" s="8" t="s">
        <v>196</v>
      </c>
    </row>
    <row r="16" customFormat="false" ht="32.8" hidden="false" customHeight="false" outlineLevel="0" collapsed="false">
      <c r="A16" s="6" t="s">
        <v>151</v>
      </c>
      <c r="B16" s="8" t="s">
        <v>197</v>
      </c>
      <c r="C16" s="6" t="s">
        <v>153</v>
      </c>
      <c r="D16" s="6" t="s">
        <v>22</v>
      </c>
      <c r="E16" s="7" t="n">
        <v>30</v>
      </c>
      <c r="F16" s="7" t="n">
        <v>60</v>
      </c>
      <c r="G16" s="6" t="n">
        <f aca="false">(3*E16+F16)/4</f>
        <v>37.5</v>
      </c>
      <c r="H16" s="6" t="n">
        <f aca="false">(8*E16+F16)/9</f>
        <v>33.3333333333333</v>
      </c>
      <c r="I16" s="6" t="s">
        <v>94</v>
      </c>
      <c r="J16" s="6" t="s">
        <v>154</v>
      </c>
      <c r="K16" s="6" t="s">
        <v>155</v>
      </c>
      <c r="L16" s="6" t="s">
        <v>29</v>
      </c>
      <c r="M16" s="8" t="s">
        <v>97</v>
      </c>
      <c r="N16" s="6"/>
    </row>
    <row r="17" customFormat="false" ht="32.8" hidden="false" customHeight="false" outlineLevel="0" collapsed="false">
      <c r="A17" s="6" t="s">
        <v>151</v>
      </c>
      <c r="B17" s="8" t="s">
        <v>197</v>
      </c>
      <c r="C17" s="6" t="s">
        <v>31</v>
      </c>
      <c r="D17" s="6" t="s">
        <v>32</v>
      </c>
      <c r="E17" s="7" t="n">
        <v>10</v>
      </c>
      <c r="F17" s="7" t="n">
        <v>30</v>
      </c>
      <c r="G17" s="6" t="n">
        <f aca="false">(3*E17+F17)/4</f>
        <v>15</v>
      </c>
      <c r="H17" s="6" t="n">
        <f aca="false">(8*E17+F17)/9</f>
        <v>12.2222222222222</v>
      </c>
      <c r="I17" s="6" t="s">
        <v>94</v>
      </c>
      <c r="J17" s="6" t="s">
        <v>198</v>
      </c>
      <c r="K17" s="6" t="s">
        <v>158</v>
      </c>
      <c r="L17" s="6" t="s">
        <v>29</v>
      </c>
      <c r="M17" s="8" t="s">
        <v>97</v>
      </c>
      <c r="N17" s="6"/>
    </row>
    <row r="18" customFormat="false" ht="32.8" hidden="false" customHeight="false" outlineLevel="0" collapsed="false">
      <c r="A18" s="6" t="s">
        <v>151</v>
      </c>
      <c r="B18" s="8" t="s">
        <v>197</v>
      </c>
      <c r="C18" s="6" t="s">
        <v>159</v>
      </c>
      <c r="D18" s="6" t="s">
        <v>35</v>
      </c>
      <c r="E18" s="7" t="n">
        <v>5</v>
      </c>
      <c r="F18" s="7" t="n">
        <v>15</v>
      </c>
      <c r="G18" s="6" t="n">
        <f aca="false">(3*E18+F18)/4</f>
        <v>7.5</v>
      </c>
      <c r="H18" s="6" t="n">
        <f aca="false">(8*E18+F18)/9</f>
        <v>6.11111111111111</v>
      </c>
      <c r="I18" s="6" t="s">
        <v>94</v>
      </c>
      <c r="J18" s="6" t="s">
        <v>199</v>
      </c>
      <c r="K18" s="6" t="s">
        <v>161</v>
      </c>
      <c r="L18" s="6" t="s">
        <v>29</v>
      </c>
      <c r="M18" s="8" t="s">
        <v>97</v>
      </c>
      <c r="N18" s="6"/>
    </row>
    <row r="19" customFormat="false" ht="32.8" hidden="false" customHeight="false" outlineLevel="0" collapsed="false">
      <c r="A19" s="6" t="s">
        <v>151</v>
      </c>
      <c r="B19" s="8" t="s">
        <v>197</v>
      </c>
      <c r="C19" s="6" t="s">
        <v>172</v>
      </c>
      <c r="D19" s="6" t="s">
        <v>173</v>
      </c>
      <c r="E19" s="7" t="n">
        <v>1.25</v>
      </c>
      <c r="F19" s="7" t="n">
        <v>10</v>
      </c>
      <c r="G19" s="6" t="n">
        <f aca="false">(3*E19+F19)/4</f>
        <v>3.4375</v>
      </c>
      <c r="H19" s="6" t="n">
        <f aca="false">(8*E19+F19)/9</f>
        <v>2.22222222222222</v>
      </c>
      <c r="I19" s="6" t="s">
        <v>94</v>
      </c>
      <c r="J19" s="6" t="s">
        <v>174</v>
      </c>
      <c r="K19" s="6" t="s">
        <v>175</v>
      </c>
      <c r="L19" s="6" t="s">
        <v>29</v>
      </c>
      <c r="M19" s="8" t="s">
        <v>97</v>
      </c>
      <c r="N19" s="6"/>
    </row>
    <row r="20" customFormat="false" ht="32.8" hidden="false" customHeight="false" outlineLevel="0" collapsed="false">
      <c r="A20" s="6" t="s">
        <v>151</v>
      </c>
      <c r="B20" s="8" t="s">
        <v>197</v>
      </c>
      <c r="C20" s="6" t="s">
        <v>176</v>
      </c>
      <c r="D20" s="6" t="s">
        <v>177</v>
      </c>
      <c r="E20" s="7" t="n">
        <v>1.75</v>
      </c>
      <c r="F20" s="7" t="n">
        <v>14</v>
      </c>
      <c r="G20" s="6" t="n">
        <f aca="false">(3*E20+F20)/4</f>
        <v>4.8125</v>
      </c>
      <c r="H20" s="6" t="n">
        <f aca="false">(8*E20+F20)/9</f>
        <v>3.11111111111111</v>
      </c>
      <c r="I20" s="6" t="s">
        <v>94</v>
      </c>
      <c r="J20" s="6" t="s">
        <v>200</v>
      </c>
      <c r="K20" s="6" t="s">
        <v>179</v>
      </c>
      <c r="L20" s="6" t="s">
        <v>29</v>
      </c>
      <c r="M20" s="8" t="s">
        <v>97</v>
      </c>
      <c r="N20" s="6"/>
    </row>
    <row r="21" customFormat="false" ht="32.8" hidden="false" customHeight="false" outlineLevel="0" collapsed="false">
      <c r="A21" s="6" t="s">
        <v>151</v>
      </c>
      <c r="B21" s="8" t="s">
        <v>197</v>
      </c>
      <c r="C21" s="6" t="s">
        <v>180</v>
      </c>
      <c r="D21" s="6" t="s">
        <v>181</v>
      </c>
      <c r="E21" s="7" t="n">
        <v>2.5</v>
      </c>
      <c r="F21" s="7" t="n">
        <v>15</v>
      </c>
      <c r="G21" s="6" t="n">
        <f aca="false">(3*E21+F21)/4</f>
        <v>5.625</v>
      </c>
      <c r="H21" s="6" t="n">
        <f aca="false">(8*E21+F21)/9</f>
        <v>3.88888888888889</v>
      </c>
      <c r="I21" s="6" t="s">
        <v>94</v>
      </c>
      <c r="J21" s="6" t="s">
        <v>201</v>
      </c>
      <c r="K21" s="6" t="s">
        <v>183</v>
      </c>
      <c r="L21" s="6" t="s">
        <v>29</v>
      </c>
      <c r="M21" s="8" t="s">
        <v>97</v>
      </c>
      <c r="N21" s="6"/>
    </row>
    <row r="22" customFormat="false" ht="32.8" hidden="false" customHeight="false" outlineLevel="0" collapsed="false">
      <c r="A22" s="6" t="s">
        <v>151</v>
      </c>
      <c r="B22" s="8" t="s">
        <v>197</v>
      </c>
      <c r="C22" s="6" t="s">
        <v>202</v>
      </c>
      <c r="D22" s="6" t="s">
        <v>185</v>
      </c>
      <c r="E22" s="7" t="n">
        <v>5</v>
      </c>
      <c r="F22" s="7" t="n">
        <v>30</v>
      </c>
      <c r="G22" s="6" t="n">
        <f aca="false">(3*E22+F22)/4</f>
        <v>11.25</v>
      </c>
      <c r="H22" s="6" t="n">
        <f aca="false">(8*E22+F22)/9</f>
        <v>7.77777777777778</v>
      </c>
      <c r="I22" s="6" t="s">
        <v>94</v>
      </c>
      <c r="J22" s="6" t="s">
        <v>117</v>
      </c>
      <c r="K22" s="6" t="s">
        <v>118</v>
      </c>
      <c r="L22" s="6" t="s">
        <v>29</v>
      </c>
      <c r="M22" s="8" t="s">
        <v>97</v>
      </c>
      <c r="N22" s="6" t="s">
        <v>203</v>
      </c>
    </row>
    <row r="23" customFormat="false" ht="32.8" hidden="false" customHeight="false" outlineLevel="0" collapsed="false">
      <c r="A23" s="6" t="s">
        <v>151</v>
      </c>
      <c r="B23" s="8" t="s">
        <v>197</v>
      </c>
      <c r="C23" s="6" t="s">
        <v>204</v>
      </c>
      <c r="D23" s="6" t="s">
        <v>205</v>
      </c>
      <c r="E23" s="7" t="n">
        <v>10</v>
      </c>
      <c r="F23" s="7" t="n">
        <v>50</v>
      </c>
      <c r="G23" s="6" t="n">
        <f aca="false">(3*E23+F23)/4</f>
        <v>20</v>
      </c>
      <c r="H23" s="6" t="n">
        <f aca="false">(8*E23+F23)/9</f>
        <v>14.4444444444444</v>
      </c>
      <c r="I23" s="6" t="s">
        <v>94</v>
      </c>
      <c r="J23" s="6" t="s">
        <v>206</v>
      </c>
      <c r="K23" s="6" t="s">
        <v>207</v>
      </c>
      <c r="L23" s="6" t="s">
        <v>29</v>
      </c>
      <c r="M23" s="8" t="s">
        <v>97</v>
      </c>
      <c r="N23" s="6"/>
    </row>
    <row r="24" customFormat="false" ht="32.8" hidden="false" customHeight="false" outlineLevel="0" collapsed="false">
      <c r="A24" s="6" t="s">
        <v>208</v>
      </c>
      <c r="B24" s="8" t="s">
        <v>209</v>
      </c>
      <c r="C24" s="6" t="s">
        <v>210</v>
      </c>
      <c r="D24" s="6" t="s">
        <v>46</v>
      </c>
      <c r="E24" s="7" t="n">
        <v>3</v>
      </c>
      <c r="F24" s="7" t="n">
        <v>15</v>
      </c>
      <c r="G24" s="6" t="n">
        <f aca="false">(3*E24+F24)/4</f>
        <v>6</v>
      </c>
      <c r="H24" s="6" t="n">
        <f aca="false">(8*E24+F24)/9</f>
        <v>4.33333333333333</v>
      </c>
      <c r="I24" s="6" t="s">
        <v>94</v>
      </c>
      <c r="J24" s="6" t="s">
        <v>211</v>
      </c>
      <c r="K24" s="6" t="s">
        <v>212</v>
      </c>
      <c r="L24" s="6" t="s">
        <v>29</v>
      </c>
      <c r="M24" s="8" t="s">
        <v>97</v>
      </c>
      <c r="N24" s="6"/>
    </row>
    <row r="25" customFormat="false" ht="32.8" hidden="false" customHeight="false" outlineLevel="0" collapsed="false">
      <c r="A25" s="6" t="s">
        <v>208</v>
      </c>
      <c r="B25" s="8" t="s">
        <v>209</v>
      </c>
      <c r="C25" s="6" t="s">
        <v>213</v>
      </c>
      <c r="D25" s="6" t="s">
        <v>214</v>
      </c>
      <c r="E25" s="7" t="n">
        <v>3</v>
      </c>
      <c r="F25" s="7" t="n">
        <v>15</v>
      </c>
      <c r="G25" s="6" t="n">
        <f aca="false">(3*E25+F25)/4</f>
        <v>6</v>
      </c>
      <c r="H25" s="6" t="n">
        <f aca="false">(8*E25+F25)/9</f>
        <v>4.33333333333333</v>
      </c>
      <c r="I25" s="6" t="s">
        <v>94</v>
      </c>
      <c r="J25" s="6" t="s">
        <v>215</v>
      </c>
      <c r="K25" s="6" t="s">
        <v>216</v>
      </c>
      <c r="L25" s="6" t="s">
        <v>29</v>
      </c>
      <c r="M25" s="8" t="s">
        <v>97</v>
      </c>
      <c r="N25" s="6"/>
    </row>
    <row r="26" customFormat="false" ht="32.8" hidden="false" customHeight="false" outlineLevel="0" collapsed="false">
      <c r="A26" s="6" t="s">
        <v>208</v>
      </c>
      <c r="B26" s="8" t="s">
        <v>209</v>
      </c>
      <c r="C26" s="6" t="s">
        <v>217</v>
      </c>
      <c r="D26" s="6" t="s">
        <v>218</v>
      </c>
      <c r="E26" s="7" t="n">
        <v>3</v>
      </c>
      <c r="F26" s="7" t="n">
        <v>15</v>
      </c>
      <c r="G26" s="6" t="n">
        <f aca="false">(3*E26+F26)/4</f>
        <v>6</v>
      </c>
      <c r="H26" s="6" t="n">
        <f aca="false">(8*E26+F26)/9</f>
        <v>4.33333333333333</v>
      </c>
      <c r="I26" s="6" t="s">
        <v>94</v>
      </c>
      <c r="J26" s="6" t="s">
        <v>219</v>
      </c>
      <c r="K26" s="6" t="s">
        <v>220</v>
      </c>
      <c r="L26" s="6" t="s">
        <v>29</v>
      </c>
      <c r="M26" s="8" t="s">
        <v>97</v>
      </c>
      <c r="N26" s="6"/>
    </row>
    <row r="27" customFormat="false" ht="32.8" hidden="false" customHeight="false" outlineLevel="0" collapsed="false">
      <c r="A27" s="6" t="s">
        <v>208</v>
      </c>
      <c r="B27" s="8" t="s">
        <v>209</v>
      </c>
      <c r="C27" s="6" t="s">
        <v>221</v>
      </c>
      <c r="D27" s="6" t="s">
        <v>222</v>
      </c>
      <c r="E27" s="7" t="n">
        <v>3</v>
      </c>
      <c r="F27" s="7" t="n">
        <v>15</v>
      </c>
      <c r="G27" s="6" t="n">
        <f aca="false">(3*E27+F27)/4</f>
        <v>6</v>
      </c>
      <c r="H27" s="6" t="n">
        <f aca="false">(8*E27+F27)/9</f>
        <v>4.33333333333333</v>
      </c>
      <c r="I27" s="6" t="s">
        <v>94</v>
      </c>
      <c r="J27" s="6" t="s">
        <v>223</v>
      </c>
      <c r="K27" s="6" t="s">
        <v>224</v>
      </c>
      <c r="L27" s="6" t="s">
        <v>29</v>
      </c>
      <c r="M27" s="8" t="s">
        <v>97</v>
      </c>
      <c r="N27" s="6"/>
    </row>
    <row r="28" customFormat="false" ht="32.8" hidden="false" customHeight="false" outlineLevel="0" collapsed="false">
      <c r="A28" s="6" t="s">
        <v>208</v>
      </c>
      <c r="B28" s="8" t="s">
        <v>209</v>
      </c>
      <c r="C28" s="6" t="s">
        <v>225</v>
      </c>
      <c r="D28" s="6" t="s">
        <v>226</v>
      </c>
      <c r="E28" s="7" t="n">
        <v>3</v>
      </c>
      <c r="F28" s="7" t="n">
        <v>15</v>
      </c>
      <c r="G28" s="6" t="n">
        <f aca="false">(3*E28+F28)/4</f>
        <v>6</v>
      </c>
      <c r="H28" s="6" t="n">
        <f aca="false">(8*E28+F28)/9</f>
        <v>4.33333333333333</v>
      </c>
      <c r="I28" s="6" t="s">
        <v>94</v>
      </c>
      <c r="J28" s="6" t="s">
        <v>227</v>
      </c>
      <c r="K28" s="6" t="s">
        <v>228</v>
      </c>
      <c r="L28" s="6" t="s">
        <v>29</v>
      </c>
      <c r="M28" s="8" t="s">
        <v>97</v>
      </c>
      <c r="N28" s="6"/>
    </row>
    <row r="29" customFormat="false" ht="32.8" hidden="false" customHeight="false" outlineLevel="0" collapsed="false">
      <c r="A29" s="6" t="s">
        <v>208</v>
      </c>
      <c r="B29" s="8" t="s">
        <v>209</v>
      </c>
      <c r="C29" s="6" t="s">
        <v>229</v>
      </c>
      <c r="D29" s="6" t="s">
        <v>230</v>
      </c>
      <c r="E29" s="7" t="n">
        <v>3</v>
      </c>
      <c r="F29" s="7" t="n">
        <v>15</v>
      </c>
      <c r="G29" s="6" t="n">
        <f aca="false">(3*E29+F29)/4</f>
        <v>6</v>
      </c>
      <c r="H29" s="6" t="n">
        <f aca="false">(8*E29+F29)/9</f>
        <v>4.33333333333333</v>
      </c>
      <c r="I29" s="6" t="s">
        <v>94</v>
      </c>
      <c r="J29" s="6" t="s">
        <v>231</v>
      </c>
      <c r="K29" s="6" t="s">
        <v>232</v>
      </c>
      <c r="L29" s="6" t="s">
        <v>29</v>
      </c>
      <c r="M29" s="8" t="s">
        <v>97</v>
      </c>
      <c r="N29" s="6"/>
    </row>
    <row r="30" customFormat="false" ht="32.8" hidden="false" customHeight="false" outlineLevel="0" collapsed="false">
      <c r="A30" s="6" t="s">
        <v>208</v>
      </c>
      <c r="B30" s="8" t="s">
        <v>209</v>
      </c>
      <c r="C30" s="6" t="s">
        <v>134</v>
      </c>
      <c r="D30" s="6" t="s">
        <v>233</v>
      </c>
      <c r="E30" s="7" t="n">
        <v>2</v>
      </c>
      <c r="F30" s="7" t="n">
        <v>10</v>
      </c>
      <c r="G30" s="6" t="n">
        <f aca="false">(3*E30+F30)/4</f>
        <v>4</v>
      </c>
      <c r="H30" s="6" t="n">
        <f aca="false">(8*E30+F30)/9</f>
        <v>2.88888888888889</v>
      </c>
      <c r="I30" s="6" t="s">
        <v>94</v>
      </c>
      <c r="J30" s="6" t="s">
        <v>139</v>
      </c>
      <c r="K30" s="6" t="s">
        <v>140</v>
      </c>
      <c r="L30" s="6" t="s">
        <v>29</v>
      </c>
      <c r="M30" s="8" t="s">
        <v>97</v>
      </c>
      <c r="N30" s="6" t="s">
        <v>234</v>
      </c>
    </row>
    <row r="31" customFormat="false" ht="32.8" hidden="false" customHeight="false" outlineLevel="0" collapsed="false">
      <c r="A31" s="6" t="s">
        <v>208</v>
      </c>
      <c r="B31" s="8" t="s">
        <v>209</v>
      </c>
      <c r="C31" s="6" t="s">
        <v>235</v>
      </c>
      <c r="D31" s="6" t="s">
        <v>236</v>
      </c>
      <c r="E31" s="7" t="n">
        <v>2</v>
      </c>
      <c r="F31" s="7" t="n">
        <v>10</v>
      </c>
      <c r="G31" s="6" t="n">
        <f aca="false">(3*E31+F31)/4</f>
        <v>4</v>
      </c>
      <c r="H31" s="6" t="n">
        <f aca="false">(8*E31+F31)/9</f>
        <v>2.88888888888889</v>
      </c>
      <c r="I31" s="6" t="s">
        <v>94</v>
      </c>
      <c r="J31" s="6" t="s">
        <v>237</v>
      </c>
      <c r="K31" s="6" t="s">
        <v>238</v>
      </c>
      <c r="L31" s="6" t="s">
        <v>29</v>
      </c>
      <c r="M31" s="8" t="s">
        <v>97</v>
      </c>
      <c r="N31" s="6"/>
    </row>
    <row r="32" customFormat="false" ht="32.8" hidden="false" customHeight="false" outlineLevel="0" collapsed="false">
      <c r="A32" s="6" t="s">
        <v>208</v>
      </c>
      <c r="B32" s="8" t="s">
        <v>239</v>
      </c>
      <c r="C32" s="6" t="s">
        <v>240</v>
      </c>
      <c r="D32" s="6" t="s">
        <v>46</v>
      </c>
      <c r="E32" s="7" t="n">
        <v>15</v>
      </c>
      <c r="F32" s="7" t="n">
        <v>75</v>
      </c>
      <c r="G32" s="6" t="n">
        <f aca="false">(3*E32+F32)/4</f>
        <v>30</v>
      </c>
      <c r="H32" s="6" t="n">
        <f aca="false">(8*E32+F32)/9</f>
        <v>21.6666666666667</v>
      </c>
      <c r="I32" s="6" t="s">
        <v>94</v>
      </c>
      <c r="J32" s="6" t="s">
        <v>211</v>
      </c>
      <c r="K32" s="6" t="s">
        <v>212</v>
      </c>
      <c r="L32" s="6" t="s">
        <v>29</v>
      </c>
      <c r="M32" s="8" t="s">
        <v>97</v>
      </c>
      <c r="N32" s="6"/>
    </row>
    <row r="33" customFormat="false" ht="32.8" hidden="false" customHeight="false" outlineLevel="0" collapsed="false">
      <c r="A33" s="6" t="s">
        <v>208</v>
      </c>
      <c r="B33" s="8" t="s">
        <v>239</v>
      </c>
      <c r="C33" s="6" t="s">
        <v>241</v>
      </c>
      <c r="D33" s="6" t="s">
        <v>222</v>
      </c>
      <c r="E33" s="7" t="n">
        <v>15</v>
      </c>
      <c r="F33" s="7" t="n">
        <v>75</v>
      </c>
      <c r="G33" s="6" t="n">
        <f aca="false">(3*E33+F33)/4</f>
        <v>30</v>
      </c>
      <c r="H33" s="6" t="n">
        <f aca="false">(8*E33+F33)/9</f>
        <v>21.6666666666667</v>
      </c>
      <c r="I33" s="6" t="s">
        <v>94</v>
      </c>
      <c r="J33" s="6" t="s">
        <v>223</v>
      </c>
      <c r="K33" s="6" t="s">
        <v>224</v>
      </c>
      <c r="L33" s="6" t="s">
        <v>29</v>
      </c>
      <c r="M33" s="8" t="s">
        <v>97</v>
      </c>
      <c r="N33" s="6"/>
    </row>
    <row r="34" customFormat="false" ht="32.8" hidden="false" customHeight="false" outlineLevel="0" collapsed="false">
      <c r="A34" s="6" t="s">
        <v>208</v>
      </c>
      <c r="B34" s="8" t="s">
        <v>239</v>
      </c>
      <c r="C34" s="6" t="s">
        <v>242</v>
      </c>
      <c r="D34" s="6" t="s">
        <v>243</v>
      </c>
      <c r="E34" s="7" t="n">
        <v>5</v>
      </c>
      <c r="F34" s="7" t="n">
        <v>25</v>
      </c>
      <c r="G34" s="6" t="n">
        <f aca="false">(3*E34+F34)/4</f>
        <v>10</v>
      </c>
      <c r="H34" s="6" t="n">
        <f aca="false">(8*E34+F34)/9</f>
        <v>7.22222222222222</v>
      </c>
      <c r="I34" s="6" t="s">
        <v>94</v>
      </c>
      <c r="J34" s="6" t="s">
        <v>244</v>
      </c>
      <c r="K34" s="6" t="s">
        <v>245</v>
      </c>
      <c r="L34" s="6" t="s">
        <v>29</v>
      </c>
      <c r="M34" s="8" t="s">
        <v>97</v>
      </c>
      <c r="N34" s="8" t="s">
        <v>246</v>
      </c>
    </row>
    <row r="35" customFormat="false" ht="32.8" hidden="false" customHeight="false" outlineLevel="0" collapsed="false">
      <c r="A35" s="6" t="s">
        <v>208</v>
      </c>
      <c r="B35" s="8" t="s">
        <v>239</v>
      </c>
      <c r="C35" s="6" t="s">
        <v>247</v>
      </c>
      <c r="D35" s="6" t="s">
        <v>248</v>
      </c>
      <c r="E35" s="7" t="n">
        <v>5</v>
      </c>
      <c r="F35" s="7" t="n">
        <v>25</v>
      </c>
      <c r="G35" s="6" t="n">
        <f aca="false">(3*E35+F35)/4</f>
        <v>10</v>
      </c>
      <c r="H35" s="6" t="n">
        <f aca="false">(8*E35+F35)/9</f>
        <v>7.22222222222222</v>
      </c>
      <c r="I35" s="6" t="s">
        <v>94</v>
      </c>
      <c r="J35" s="6" t="s">
        <v>249</v>
      </c>
      <c r="K35" s="6" t="s">
        <v>250</v>
      </c>
      <c r="L35" s="6" t="s">
        <v>29</v>
      </c>
      <c r="M35" s="8" t="s">
        <v>97</v>
      </c>
      <c r="N35" s="8" t="s">
        <v>251</v>
      </c>
    </row>
    <row r="36" customFormat="false" ht="32.8" hidden="false" customHeight="false" outlineLevel="0" collapsed="false">
      <c r="A36" s="6" t="s">
        <v>208</v>
      </c>
      <c r="B36" s="8" t="s">
        <v>239</v>
      </c>
      <c r="C36" s="6" t="s">
        <v>252</v>
      </c>
      <c r="D36" s="6" t="s">
        <v>72</v>
      </c>
      <c r="E36" s="7" t="n">
        <v>4</v>
      </c>
      <c r="F36" s="7" t="n">
        <v>20</v>
      </c>
      <c r="G36" s="6" t="n">
        <f aca="false">(3*E36+F36)/4</f>
        <v>8</v>
      </c>
      <c r="H36" s="6" t="n">
        <f aca="false">(8*E36+F36)/9</f>
        <v>5.77777777777778</v>
      </c>
      <c r="I36" s="6" t="s">
        <v>94</v>
      </c>
      <c r="J36" s="6" t="s">
        <v>253</v>
      </c>
      <c r="K36" s="6" t="s">
        <v>254</v>
      </c>
      <c r="L36" s="6" t="s">
        <v>29</v>
      </c>
      <c r="M36" s="8" t="s">
        <v>97</v>
      </c>
      <c r="N36" s="6"/>
    </row>
    <row r="37" customFormat="false" ht="32.8" hidden="false" customHeight="false" outlineLevel="0" collapsed="false">
      <c r="A37" s="6" t="s">
        <v>208</v>
      </c>
      <c r="B37" s="8" t="s">
        <v>255</v>
      </c>
      <c r="C37" s="6" t="s">
        <v>256</v>
      </c>
      <c r="D37" s="6" t="s">
        <v>257</v>
      </c>
      <c r="E37" s="7" t="n">
        <v>10</v>
      </c>
      <c r="F37" s="7" t="n">
        <v>50</v>
      </c>
      <c r="G37" s="6" t="n">
        <f aca="false">(3*E37+F37)/4</f>
        <v>20</v>
      </c>
      <c r="H37" s="6" t="n">
        <f aca="false">(8*E37+F37)/9</f>
        <v>14.4444444444444</v>
      </c>
      <c r="I37" s="6" t="s">
        <v>94</v>
      </c>
      <c r="J37" s="6" t="s">
        <v>258</v>
      </c>
      <c r="K37" s="6" t="s">
        <v>259</v>
      </c>
      <c r="L37" s="6" t="s">
        <v>29</v>
      </c>
      <c r="M37" s="8" t="s">
        <v>97</v>
      </c>
      <c r="N37" s="6" t="s">
        <v>260</v>
      </c>
    </row>
    <row r="38" customFormat="false" ht="48.5" hidden="false" customHeight="false" outlineLevel="0" collapsed="false">
      <c r="A38" s="6" t="s">
        <v>261</v>
      </c>
      <c r="B38" s="8" t="s">
        <v>262</v>
      </c>
      <c r="C38" s="6" t="s">
        <v>263</v>
      </c>
      <c r="D38" s="6" t="s">
        <v>38</v>
      </c>
      <c r="E38" s="7" t="n">
        <v>3.5</v>
      </c>
      <c r="F38" s="7" t="n">
        <v>10.5</v>
      </c>
      <c r="G38" s="6" t="n">
        <f aca="false">(3*E38+F38)/4</f>
        <v>5.25</v>
      </c>
      <c r="H38" s="6" t="n">
        <f aca="false">(8*E38+F38)/9</f>
        <v>4.27777777777778</v>
      </c>
      <c r="I38" s="6" t="s">
        <v>25</v>
      </c>
      <c r="J38" s="6" t="s">
        <v>264</v>
      </c>
      <c r="K38" s="6" t="s">
        <v>265</v>
      </c>
      <c r="L38" s="6" t="s">
        <v>29</v>
      </c>
      <c r="M38" s="8" t="s">
        <v>266</v>
      </c>
      <c r="N38" s="8" t="s">
        <v>267</v>
      </c>
    </row>
    <row r="39" customFormat="false" ht="41.75" hidden="false" customHeight="false" outlineLevel="0" collapsed="false">
      <c r="A39" s="6" t="s">
        <v>261</v>
      </c>
      <c r="B39" s="8" t="s">
        <v>262</v>
      </c>
      <c r="C39" s="6" t="s">
        <v>268</v>
      </c>
      <c r="D39" s="6" t="s">
        <v>99</v>
      </c>
      <c r="E39" s="7" t="n">
        <v>1.25</v>
      </c>
      <c r="F39" s="7" t="n">
        <v>5</v>
      </c>
      <c r="G39" s="6" t="n">
        <f aca="false">(3*E39+F39)/4</f>
        <v>2.1875</v>
      </c>
      <c r="H39" s="6" t="n">
        <f aca="false">(8*E39+F39)/9</f>
        <v>1.66666666666667</v>
      </c>
      <c r="I39" s="6" t="s">
        <v>25</v>
      </c>
      <c r="J39" s="6" t="s">
        <v>269</v>
      </c>
      <c r="K39" s="6" t="s">
        <v>105</v>
      </c>
      <c r="L39" s="6" t="s">
        <v>29</v>
      </c>
      <c r="M39" s="8" t="s">
        <v>97</v>
      </c>
      <c r="N39" s="8" t="s">
        <v>270</v>
      </c>
    </row>
    <row r="40" customFormat="false" ht="32.8" hidden="false" customHeight="false" outlineLevel="0" collapsed="false">
      <c r="A40" s="6" t="s">
        <v>261</v>
      </c>
      <c r="B40" s="8" t="s">
        <v>262</v>
      </c>
      <c r="C40" s="6" t="s">
        <v>271</v>
      </c>
      <c r="D40" s="6" t="s">
        <v>272</v>
      </c>
      <c r="E40" s="7" t="n">
        <v>1.25</v>
      </c>
      <c r="F40" s="7" t="n">
        <v>10</v>
      </c>
      <c r="G40" s="6" t="n">
        <f aca="false">(3*E40+F40)/4</f>
        <v>3.4375</v>
      </c>
      <c r="H40" s="6" t="n">
        <f aca="false">(8*E40+F40)/9</f>
        <v>2.22222222222222</v>
      </c>
      <c r="I40" s="6" t="s">
        <v>94</v>
      </c>
      <c r="J40" s="6" t="s">
        <v>273</v>
      </c>
      <c r="K40" s="6" t="s">
        <v>274</v>
      </c>
      <c r="L40" s="6" t="s">
        <v>29</v>
      </c>
      <c r="M40" s="8" t="s">
        <v>97</v>
      </c>
      <c r="N40" s="8" t="s">
        <v>275</v>
      </c>
    </row>
    <row r="41" customFormat="false" ht="32.8" hidden="false" customHeight="false" outlineLevel="0" collapsed="false">
      <c r="A41" s="6" t="s">
        <v>261</v>
      </c>
      <c r="B41" s="8" t="s">
        <v>262</v>
      </c>
      <c r="C41" s="6" t="s">
        <v>276</v>
      </c>
      <c r="D41" s="6" t="s">
        <v>277</v>
      </c>
      <c r="E41" s="7" t="n">
        <v>2</v>
      </c>
      <c r="F41" s="7" t="n">
        <v>12</v>
      </c>
      <c r="G41" s="6" t="n">
        <f aca="false">(3*E41+F41)/4</f>
        <v>4.5</v>
      </c>
      <c r="H41" s="6" t="n">
        <f aca="false">(8*E41+F41)/9</f>
        <v>3.11111111111111</v>
      </c>
      <c r="I41" s="6" t="s">
        <v>94</v>
      </c>
      <c r="J41" s="6" t="s">
        <v>278</v>
      </c>
      <c r="K41" s="6" t="s">
        <v>279</v>
      </c>
      <c r="L41" s="6" t="s">
        <v>29</v>
      </c>
      <c r="M41" s="8" t="s">
        <v>97</v>
      </c>
      <c r="N41" s="6"/>
    </row>
    <row r="42" customFormat="false" ht="32.8" hidden="false" customHeight="false" outlineLevel="0" collapsed="false">
      <c r="A42" s="6" t="s">
        <v>261</v>
      </c>
      <c r="B42" s="8" t="s">
        <v>262</v>
      </c>
      <c r="C42" s="6" t="s">
        <v>280</v>
      </c>
      <c r="D42" s="6" t="s">
        <v>281</v>
      </c>
      <c r="E42" s="7" t="n">
        <v>2</v>
      </c>
      <c r="F42" s="7" t="n">
        <v>12</v>
      </c>
      <c r="G42" s="6" t="n">
        <f aca="false">(3*E42+F42)/4</f>
        <v>4.5</v>
      </c>
      <c r="H42" s="6" t="n">
        <f aca="false">(8*E42+F42)/9</f>
        <v>3.11111111111111</v>
      </c>
      <c r="I42" s="6" t="s">
        <v>94</v>
      </c>
      <c r="J42" s="6" t="s">
        <v>282</v>
      </c>
      <c r="K42" s="6" t="s">
        <v>274</v>
      </c>
      <c r="L42" s="6" t="s">
        <v>29</v>
      </c>
      <c r="M42" s="8" t="s">
        <v>97</v>
      </c>
      <c r="N42" s="6"/>
    </row>
    <row r="43" customFormat="false" ht="32.8" hidden="false" customHeight="false" outlineLevel="0" collapsed="false">
      <c r="A43" s="6" t="s">
        <v>261</v>
      </c>
      <c r="B43" s="8" t="s">
        <v>262</v>
      </c>
      <c r="C43" s="6" t="s">
        <v>283</v>
      </c>
      <c r="D43" s="6" t="s">
        <v>284</v>
      </c>
      <c r="E43" s="7" t="n">
        <v>2</v>
      </c>
      <c r="F43" s="7" t="n">
        <v>10</v>
      </c>
      <c r="G43" s="6" t="n">
        <f aca="false">(3*E43+F43)/4</f>
        <v>4</v>
      </c>
      <c r="H43" s="6" t="n">
        <f aca="false">(8*E43+F43)/9</f>
        <v>2.88888888888889</v>
      </c>
      <c r="I43" s="6" t="s">
        <v>94</v>
      </c>
      <c r="J43" s="6" t="s">
        <v>285</v>
      </c>
      <c r="K43" s="6" t="s">
        <v>274</v>
      </c>
      <c r="L43" s="6" t="s">
        <v>29</v>
      </c>
      <c r="M43" s="8" t="s">
        <v>97</v>
      </c>
      <c r="N43" s="8" t="s">
        <v>286</v>
      </c>
    </row>
    <row r="44" customFormat="false" ht="32.8" hidden="false" customHeight="false" outlineLevel="0" collapsed="false">
      <c r="A44" s="6" t="s">
        <v>261</v>
      </c>
      <c r="B44" s="8" t="s">
        <v>287</v>
      </c>
      <c r="C44" s="6" t="s">
        <v>288</v>
      </c>
      <c r="D44" s="6" t="s">
        <v>289</v>
      </c>
      <c r="E44" s="7" t="n">
        <v>0.3</v>
      </c>
      <c r="F44" s="7" t="n">
        <v>2.5</v>
      </c>
      <c r="G44" s="6" t="n">
        <f aca="false">(3*E44+F44)/4</f>
        <v>0.85</v>
      </c>
      <c r="H44" s="6" t="n">
        <f aca="false">(8*E44+F44)/9</f>
        <v>0.544444444444445</v>
      </c>
      <c r="I44" s="6" t="s">
        <v>94</v>
      </c>
      <c r="J44" s="6" t="s">
        <v>290</v>
      </c>
      <c r="K44" s="6" t="s">
        <v>291</v>
      </c>
      <c r="L44" s="6" t="s">
        <v>29</v>
      </c>
      <c r="M44" s="8" t="s">
        <v>97</v>
      </c>
      <c r="N44" s="6"/>
    </row>
    <row r="45" customFormat="false" ht="32.8" hidden="false" customHeight="false" outlineLevel="0" collapsed="false">
      <c r="A45" s="6" t="s">
        <v>261</v>
      </c>
      <c r="B45" s="8" t="s">
        <v>287</v>
      </c>
      <c r="C45" s="6" t="s">
        <v>292</v>
      </c>
      <c r="D45" s="6" t="s">
        <v>293</v>
      </c>
      <c r="E45" s="7" t="n">
        <v>0.5</v>
      </c>
      <c r="F45" s="7" t="n">
        <v>3</v>
      </c>
      <c r="G45" s="6" t="n">
        <f aca="false">(3*E45+F45)/4</f>
        <v>1.125</v>
      </c>
      <c r="H45" s="6" t="n">
        <f aca="false">(8*E45+F45)/9</f>
        <v>0.777777777777778</v>
      </c>
      <c r="I45" s="6" t="s">
        <v>94</v>
      </c>
      <c r="J45" s="6" t="s">
        <v>294</v>
      </c>
      <c r="K45" s="6" t="s">
        <v>295</v>
      </c>
      <c r="L45" s="6" t="s">
        <v>29</v>
      </c>
      <c r="M45" s="8" t="s">
        <v>97</v>
      </c>
      <c r="N45" s="6"/>
    </row>
    <row r="46" customFormat="false" ht="32.8" hidden="false" customHeight="false" outlineLevel="0" collapsed="false">
      <c r="A46" s="6" t="s">
        <v>261</v>
      </c>
      <c r="B46" s="8" t="s">
        <v>287</v>
      </c>
      <c r="C46" s="6" t="s">
        <v>296</v>
      </c>
      <c r="D46" s="6" t="s">
        <v>297</v>
      </c>
      <c r="E46" s="7" t="n">
        <v>1.5</v>
      </c>
      <c r="F46" s="7" t="n">
        <v>7.5</v>
      </c>
      <c r="G46" s="6" t="n">
        <f aca="false">(3*E46+F46)/4</f>
        <v>3</v>
      </c>
      <c r="H46" s="6" t="n">
        <f aca="false">(8*E46+F46)/9</f>
        <v>2.16666666666667</v>
      </c>
      <c r="I46" s="6" t="s">
        <v>25</v>
      </c>
      <c r="J46" s="6" t="s">
        <v>298</v>
      </c>
      <c r="K46" s="6" t="s">
        <v>299</v>
      </c>
      <c r="L46" s="6" t="s">
        <v>29</v>
      </c>
      <c r="M46" s="8" t="s">
        <v>97</v>
      </c>
      <c r="N46" s="6" t="s">
        <v>300</v>
      </c>
    </row>
    <row r="47" customFormat="false" ht="32.8" hidden="false" customHeight="false" outlineLevel="0" collapsed="false">
      <c r="A47" s="6" t="s">
        <v>261</v>
      </c>
      <c r="B47" s="8" t="s">
        <v>287</v>
      </c>
      <c r="C47" s="6" t="s">
        <v>301</v>
      </c>
      <c r="D47" s="6" t="s">
        <v>302</v>
      </c>
      <c r="E47" s="7" t="n">
        <v>0.75</v>
      </c>
      <c r="F47" s="7" t="n">
        <v>3.75</v>
      </c>
      <c r="G47" s="6" t="n">
        <f aca="false">(3*E47+F47)/4</f>
        <v>1.5</v>
      </c>
      <c r="H47" s="6" t="n">
        <f aca="false">(8*E47+F47)/9</f>
        <v>1.08333333333333</v>
      </c>
      <c r="I47" s="6" t="s">
        <v>94</v>
      </c>
      <c r="J47" s="6" t="s">
        <v>303</v>
      </c>
      <c r="K47" s="6" t="s">
        <v>299</v>
      </c>
      <c r="L47" s="6" t="s">
        <v>29</v>
      </c>
      <c r="M47" s="8" t="s">
        <v>97</v>
      </c>
      <c r="N47" s="6" t="s">
        <v>304</v>
      </c>
    </row>
    <row r="49" customFormat="false" ht="17.15" hidden="false" customHeight="false" outlineLevel="0" collapsed="false">
      <c r="A49" s="2" t="s">
        <v>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18"/>
    <col collapsed="false" customWidth="true" hidden="false" outlineLevel="0" max="8" min="8" style="0" width="46"/>
    <col collapsed="false" customWidth="true" hidden="false" outlineLevel="0" max="9" min="9" style="0" width="50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36"/>
    <col collapsed="false" customWidth="true" hidden="false" outlineLevel="0" max="14" min="14" style="0" width="44"/>
  </cols>
  <sheetData>
    <row r="1" customFormat="false" ht="20.1" hidden="false" customHeight="false" outlineLevel="0" collapsed="false">
      <c r="A1" s="3" t="s">
        <v>306</v>
      </c>
    </row>
    <row r="3" customFormat="false" ht="17.15" hidden="false" customHeight="false" outlineLevel="0" collapsed="false">
      <c r="A3" s="5" t="s">
        <v>307</v>
      </c>
      <c r="B3" s="4" t="s">
        <v>308</v>
      </c>
      <c r="C3" s="4" t="s">
        <v>309</v>
      </c>
      <c r="D3" s="4" t="s">
        <v>10</v>
      </c>
      <c r="E3" s="4" t="s">
        <v>11</v>
      </c>
      <c r="F3" s="4" t="s">
        <v>12</v>
      </c>
      <c r="G3" s="4" t="s">
        <v>143</v>
      </c>
      <c r="H3" s="4" t="s">
        <v>15</v>
      </c>
      <c r="I3" s="5" t="s">
        <v>16</v>
      </c>
      <c r="J3" s="4" t="s">
        <v>17</v>
      </c>
      <c r="K3" s="4" t="s">
        <v>18</v>
      </c>
      <c r="L3" s="4" t="s">
        <v>14</v>
      </c>
      <c r="M3" s="4" t="s">
        <v>19</v>
      </c>
      <c r="N3" s="4" t="s">
        <v>150</v>
      </c>
    </row>
    <row r="4" customFormat="false" ht="32.8" hidden="false" customHeight="false" outlineLevel="0" collapsed="false">
      <c r="A4" s="6" t="s">
        <v>310</v>
      </c>
      <c r="B4" s="8" t="s">
        <v>311</v>
      </c>
      <c r="C4" s="6" t="s">
        <v>312</v>
      </c>
      <c r="D4" s="8" t="s">
        <v>313</v>
      </c>
      <c r="E4" s="7" t="n">
        <v>2.79</v>
      </c>
      <c r="F4" s="6" t="s">
        <v>314</v>
      </c>
      <c r="G4" s="6" t="s">
        <v>315</v>
      </c>
      <c r="H4" s="6" t="s">
        <v>316</v>
      </c>
      <c r="I4" s="6" t="s">
        <v>317</v>
      </c>
      <c r="J4" s="8" t="s">
        <v>318</v>
      </c>
      <c r="K4" s="6" t="s">
        <v>29</v>
      </c>
      <c r="L4" s="6" t="s">
        <v>94</v>
      </c>
      <c r="M4" s="8" t="s">
        <v>133</v>
      </c>
      <c r="N4" s="6"/>
    </row>
    <row r="5" customFormat="false" ht="32.8" hidden="false" customHeight="false" outlineLevel="0" collapsed="false">
      <c r="A5" s="6" t="s">
        <v>310</v>
      </c>
      <c r="B5" s="8" t="s">
        <v>311</v>
      </c>
      <c r="C5" s="6" t="s">
        <v>312</v>
      </c>
      <c r="D5" s="8" t="s">
        <v>313</v>
      </c>
      <c r="E5" s="7" t="n">
        <v>2.7</v>
      </c>
      <c r="F5" s="6" t="s">
        <v>314</v>
      </c>
      <c r="G5" s="6" t="s">
        <v>319</v>
      </c>
      <c r="H5" s="6" t="s">
        <v>320</v>
      </c>
      <c r="I5" s="6" t="s">
        <v>321</v>
      </c>
      <c r="J5" s="8" t="s">
        <v>318</v>
      </c>
      <c r="K5" s="6" t="s">
        <v>29</v>
      </c>
      <c r="L5" s="6" t="s">
        <v>94</v>
      </c>
      <c r="M5" s="8" t="s">
        <v>133</v>
      </c>
      <c r="N5" s="6"/>
    </row>
    <row r="6" customFormat="false" ht="32.8" hidden="false" customHeight="false" outlineLevel="0" collapsed="false">
      <c r="A6" s="6" t="s">
        <v>322</v>
      </c>
      <c r="B6" s="8" t="s">
        <v>311</v>
      </c>
      <c r="C6" s="6" t="s">
        <v>312</v>
      </c>
      <c r="D6" s="6" t="s">
        <v>323</v>
      </c>
      <c r="E6" s="7" t="n">
        <v>2.745</v>
      </c>
      <c r="F6" s="6" t="s">
        <v>314</v>
      </c>
      <c r="G6" s="6" t="s">
        <v>324</v>
      </c>
      <c r="H6" s="6" t="s">
        <v>325</v>
      </c>
      <c r="I6" s="6" t="s">
        <v>326</v>
      </c>
      <c r="J6" s="6" t="s">
        <v>29</v>
      </c>
      <c r="K6" s="6" t="s">
        <v>29</v>
      </c>
      <c r="L6" s="6" t="s">
        <v>25</v>
      </c>
      <c r="M6" s="8" t="s">
        <v>133</v>
      </c>
      <c r="N6" s="8" t="s">
        <v>327</v>
      </c>
    </row>
    <row r="7" customFormat="false" ht="32.8" hidden="false" customHeight="false" outlineLevel="0" collapsed="false">
      <c r="A7" s="6" t="s">
        <v>322</v>
      </c>
      <c r="B7" s="8" t="s">
        <v>328</v>
      </c>
      <c r="C7" s="6" t="s">
        <v>312</v>
      </c>
      <c r="D7" s="6" t="s">
        <v>323</v>
      </c>
      <c r="E7" s="7" t="n">
        <v>1.74</v>
      </c>
      <c r="F7" s="6" t="s">
        <v>314</v>
      </c>
      <c r="G7" s="6" t="s">
        <v>324</v>
      </c>
      <c r="H7" s="6" t="s">
        <v>329</v>
      </c>
      <c r="I7" s="6" t="s">
        <v>326</v>
      </c>
      <c r="J7" s="6" t="s">
        <v>29</v>
      </c>
      <c r="K7" s="6" t="s">
        <v>29</v>
      </c>
      <c r="L7" s="6" t="s">
        <v>25</v>
      </c>
      <c r="M7" s="8" t="s">
        <v>133</v>
      </c>
      <c r="N7" s="8" t="s">
        <v>327</v>
      </c>
    </row>
    <row r="8" customFormat="false" ht="32.8" hidden="false" customHeight="false" outlineLevel="0" collapsed="false">
      <c r="A8" s="6" t="s">
        <v>322</v>
      </c>
      <c r="B8" s="8" t="s">
        <v>330</v>
      </c>
      <c r="C8" s="6" t="s">
        <v>312</v>
      </c>
      <c r="D8" s="6" t="s">
        <v>323</v>
      </c>
      <c r="E8" s="7" t="n">
        <v>1.172</v>
      </c>
      <c r="F8" s="6" t="s">
        <v>314</v>
      </c>
      <c r="G8" s="6" t="s">
        <v>324</v>
      </c>
      <c r="H8" s="6" t="s">
        <v>331</v>
      </c>
      <c r="I8" s="6" t="s">
        <v>326</v>
      </c>
      <c r="J8" s="6" t="s">
        <v>29</v>
      </c>
      <c r="K8" s="6" t="s">
        <v>29</v>
      </c>
      <c r="L8" s="6" t="s">
        <v>25</v>
      </c>
      <c r="M8" s="8" t="s">
        <v>133</v>
      </c>
      <c r="N8" s="8" t="s">
        <v>327</v>
      </c>
    </row>
    <row r="9" customFormat="false" ht="32.8" hidden="false" customHeight="false" outlineLevel="0" collapsed="false">
      <c r="A9" s="6" t="s">
        <v>332</v>
      </c>
      <c r="B9" s="8" t="s">
        <v>311</v>
      </c>
      <c r="C9" s="6" t="s">
        <v>333</v>
      </c>
      <c r="D9" s="6" t="s">
        <v>334</v>
      </c>
      <c r="E9" s="7" t="n">
        <v>2.4</v>
      </c>
      <c r="F9" s="6" t="s">
        <v>314</v>
      </c>
      <c r="G9" s="6" t="s">
        <v>315</v>
      </c>
      <c r="H9" s="6" t="s">
        <v>335</v>
      </c>
      <c r="I9" s="6" t="s">
        <v>336</v>
      </c>
      <c r="J9" s="6" t="s">
        <v>334</v>
      </c>
      <c r="K9" s="6" t="s">
        <v>29</v>
      </c>
      <c r="L9" s="6" t="s">
        <v>94</v>
      </c>
      <c r="M9" s="8" t="s">
        <v>133</v>
      </c>
      <c r="N9" s="6" t="s">
        <v>337</v>
      </c>
    </row>
    <row r="10" customFormat="false" ht="32.8" hidden="false" customHeight="false" outlineLevel="0" collapsed="false">
      <c r="A10" s="6" t="s">
        <v>338</v>
      </c>
      <c r="B10" s="8" t="s">
        <v>311</v>
      </c>
      <c r="C10" s="6" t="s">
        <v>333</v>
      </c>
      <c r="D10" s="6" t="s">
        <v>339</v>
      </c>
      <c r="E10" s="7" t="n">
        <v>2.59</v>
      </c>
      <c r="F10" s="6" t="s">
        <v>314</v>
      </c>
      <c r="G10" s="6" t="s">
        <v>315</v>
      </c>
      <c r="H10" s="6" t="s">
        <v>340</v>
      </c>
      <c r="I10" s="6" t="s">
        <v>341</v>
      </c>
      <c r="J10" s="6" t="s">
        <v>339</v>
      </c>
      <c r="K10" s="6" t="s">
        <v>29</v>
      </c>
      <c r="L10" s="6" t="s">
        <v>94</v>
      </c>
      <c r="M10" s="8" t="s">
        <v>133</v>
      </c>
      <c r="N10" s="6"/>
    </row>
    <row r="11" customFormat="false" ht="32.8" hidden="false" customHeight="false" outlineLevel="0" collapsed="false">
      <c r="A11" s="6" t="s">
        <v>338</v>
      </c>
      <c r="B11" s="8" t="s">
        <v>311</v>
      </c>
      <c r="C11" s="6" t="s">
        <v>333</v>
      </c>
      <c r="D11" s="6" t="s">
        <v>342</v>
      </c>
      <c r="E11" s="7" t="n">
        <v>2.99</v>
      </c>
      <c r="F11" s="6" t="s">
        <v>314</v>
      </c>
      <c r="G11" s="6" t="s">
        <v>315</v>
      </c>
      <c r="H11" s="6" t="s">
        <v>343</v>
      </c>
      <c r="I11" s="6" t="s">
        <v>344</v>
      </c>
      <c r="J11" s="6" t="s">
        <v>342</v>
      </c>
      <c r="K11" s="6" t="s">
        <v>29</v>
      </c>
      <c r="L11" s="6" t="s">
        <v>94</v>
      </c>
      <c r="M11" s="8" t="s">
        <v>133</v>
      </c>
      <c r="N11" s="6"/>
    </row>
    <row r="12" customFormat="false" ht="32.8" hidden="false" customHeight="false" outlineLevel="0" collapsed="false">
      <c r="A12" s="6" t="s">
        <v>345</v>
      </c>
      <c r="B12" s="8" t="s">
        <v>311</v>
      </c>
      <c r="C12" s="6" t="s">
        <v>333</v>
      </c>
      <c r="D12" s="8" t="s">
        <v>313</v>
      </c>
      <c r="E12" s="7" t="n">
        <v>3.99</v>
      </c>
      <c r="F12" s="6" t="s">
        <v>314</v>
      </c>
      <c r="G12" s="6" t="s">
        <v>315</v>
      </c>
      <c r="H12" s="6" t="s">
        <v>316</v>
      </c>
      <c r="I12" s="6" t="s">
        <v>317</v>
      </c>
      <c r="J12" s="8" t="s">
        <v>318</v>
      </c>
      <c r="K12" s="6" t="s">
        <v>29</v>
      </c>
      <c r="L12" s="6" t="s">
        <v>94</v>
      </c>
      <c r="M12" s="8" t="s">
        <v>133</v>
      </c>
      <c r="N12" s="8" t="s">
        <v>346</v>
      </c>
    </row>
    <row r="13" customFormat="false" ht="46.25" hidden="false" customHeight="false" outlineLevel="0" collapsed="false">
      <c r="A13" s="6" t="s">
        <v>347</v>
      </c>
      <c r="B13" s="8" t="s">
        <v>348</v>
      </c>
      <c r="C13" s="6" t="s">
        <v>333</v>
      </c>
      <c r="D13" s="6" t="s">
        <v>349</v>
      </c>
      <c r="E13" s="7" t="n">
        <v>4.49</v>
      </c>
      <c r="F13" s="6" t="s">
        <v>314</v>
      </c>
      <c r="G13" s="6" t="s">
        <v>315</v>
      </c>
      <c r="H13" s="6" t="s">
        <v>350</v>
      </c>
      <c r="I13" s="6" t="s">
        <v>351</v>
      </c>
      <c r="J13" s="6" t="s">
        <v>352</v>
      </c>
      <c r="K13" s="6" t="s">
        <v>29</v>
      </c>
      <c r="L13" s="6" t="s">
        <v>94</v>
      </c>
      <c r="M13" s="8" t="s">
        <v>133</v>
      </c>
      <c r="N13" s="6"/>
    </row>
    <row r="14" customFormat="false" ht="32.8" hidden="false" customHeight="false" outlineLevel="0" collapsed="false">
      <c r="A14" s="6" t="s">
        <v>353</v>
      </c>
      <c r="B14" s="8" t="s">
        <v>311</v>
      </c>
      <c r="C14" s="6" t="s">
        <v>333</v>
      </c>
      <c r="D14" s="8" t="s">
        <v>313</v>
      </c>
      <c r="E14" s="7" t="n">
        <v>6.16</v>
      </c>
      <c r="F14" s="6" t="s">
        <v>314</v>
      </c>
      <c r="G14" s="6" t="s">
        <v>319</v>
      </c>
      <c r="H14" s="6" t="s">
        <v>354</v>
      </c>
      <c r="I14" s="6" t="s">
        <v>321</v>
      </c>
      <c r="J14" s="8" t="s">
        <v>318</v>
      </c>
      <c r="K14" s="6" t="s">
        <v>29</v>
      </c>
      <c r="L14" s="6" t="s">
        <v>94</v>
      </c>
      <c r="M14" s="8" t="s">
        <v>133</v>
      </c>
      <c r="N14" s="6"/>
    </row>
    <row r="15" customFormat="false" ht="32.8" hidden="false" customHeight="false" outlineLevel="0" collapsed="false">
      <c r="A15" s="6" t="s">
        <v>355</v>
      </c>
      <c r="B15" s="8" t="s">
        <v>311</v>
      </c>
      <c r="C15" s="6" t="s">
        <v>333</v>
      </c>
      <c r="D15" s="8" t="s">
        <v>356</v>
      </c>
      <c r="E15" s="7" t="n">
        <v>4.5</v>
      </c>
      <c r="F15" s="6" t="s">
        <v>314</v>
      </c>
      <c r="G15" s="6" t="s">
        <v>357</v>
      </c>
      <c r="H15" s="6" t="s">
        <v>358</v>
      </c>
      <c r="I15" s="6" t="s">
        <v>359</v>
      </c>
      <c r="J15" s="8" t="s">
        <v>318</v>
      </c>
      <c r="K15" s="6" t="s">
        <v>29</v>
      </c>
      <c r="L15" s="6" t="s">
        <v>94</v>
      </c>
      <c r="M15" s="8" t="s">
        <v>133</v>
      </c>
      <c r="N15" s="8" t="s">
        <v>360</v>
      </c>
    </row>
    <row r="16" customFormat="false" ht="32.8" hidden="false" customHeight="false" outlineLevel="0" collapsed="false">
      <c r="A16" s="6" t="s">
        <v>361</v>
      </c>
      <c r="B16" s="8" t="s">
        <v>311</v>
      </c>
      <c r="C16" s="6" t="s">
        <v>333</v>
      </c>
      <c r="D16" s="6" t="s">
        <v>323</v>
      </c>
      <c r="E16" s="7" t="n">
        <v>6.88</v>
      </c>
      <c r="F16" s="6" t="s">
        <v>314</v>
      </c>
      <c r="G16" s="6" t="s">
        <v>324</v>
      </c>
      <c r="H16" s="6" t="s">
        <v>362</v>
      </c>
      <c r="I16" s="6" t="s">
        <v>363</v>
      </c>
      <c r="J16" s="6" t="s">
        <v>29</v>
      </c>
      <c r="K16" s="6" t="s">
        <v>29</v>
      </c>
      <c r="L16" s="6" t="s">
        <v>25</v>
      </c>
      <c r="M16" s="8" t="s">
        <v>133</v>
      </c>
      <c r="N16" s="8" t="s">
        <v>327</v>
      </c>
    </row>
    <row r="17" customFormat="false" ht="41.75" hidden="false" customHeight="false" outlineLevel="0" collapsed="false">
      <c r="A17" s="6" t="s">
        <v>361</v>
      </c>
      <c r="B17" s="8" t="s">
        <v>364</v>
      </c>
      <c r="C17" s="6" t="s">
        <v>333</v>
      </c>
      <c r="D17" s="6" t="s">
        <v>365</v>
      </c>
      <c r="E17" s="7" t="n">
        <v>12.29</v>
      </c>
      <c r="F17" s="6" t="s">
        <v>314</v>
      </c>
      <c r="G17" s="6" t="s">
        <v>324</v>
      </c>
      <c r="H17" s="8" t="s">
        <v>366</v>
      </c>
      <c r="I17" s="6" t="s">
        <v>367</v>
      </c>
      <c r="J17" s="6" t="s">
        <v>368</v>
      </c>
      <c r="K17" s="6" t="s">
        <v>29</v>
      </c>
      <c r="L17" s="6" t="s">
        <v>25</v>
      </c>
      <c r="M17" s="8" t="s">
        <v>133</v>
      </c>
      <c r="N17" s="8" t="s">
        <v>369</v>
      </c>
    </row>
    <row r="18" customFormat="false" ht="32.8" hidden="false" customHeight="false" outlineLevel="0" collapsed="false">
      <c r="A18" s="6" t="s">
        <v>361</v>
      </c>
      <c r="B18" s="8" t="s">
        <v>330</v>
      </c>
      <c r="C18" s="6" t="s">
        <v>333</v>
      </c>
      <c r="D18" s="6" t="s">
        <v>323</v>
      </c>
      <c r="E18" s="7" t="n">
        <v>2.972</v>
      </c>
      <c r="F18" s="6" t="s">
        <v>314</v>
      </c>
      <c r="G18" s="6" t="s">
        <v>324</v>
      </c>
      <c r="H18" s="6" t="s">
        <v>370</v>
      </c>
      <c r="I18" s="6" t="s">
        <v>363</v>
      </c>
      <c r="J18" s="6" t="s">
        <v>29</v>
      </c>
      <c r="K18" s="6" t="s">
        <v>29</v>
      </c>
      <c r="L18" s="6" t="s">
        <v>25</v>
      </c>
      <c r="M18" s="8" t="s">
        <v>133</v>
      </c>
      <c r="N18" s="8" t="s">
        <v>327</v>
      </c>
    </row>
    <row r="19" customFormat="false" ht="32.8" hidden="false" customHeight="false" outlineLevel="0" collapsed="false">
      <c r="A19" s="6" t="s">
        <v>371</v>
      </c>
      <c r="B19" s="8" t="s">
        <v>372</v>
      </c>
      <c r="C19" s="6" t="s">
        <v>333</v>
      </c>
      <c r="D19" s="6" t="s">
        <v>373</v>
      </c>
      <c r="E19" s="7" t="n">
        <v>7.76</v>
      </c>
      <c r="F19" s="6" t="s">
        <v>374</v>
      </c>
      <c r="G19" s="6" t="s">
        <v>375</v>
      </c>
      <c r="H19" s="6" t="s">
        <v>376</v>
      </c>
      <c r="I19" s="6" t="s">
        <v>377</v>
      </c>
      <c r="J19" s="6" t="s">
        <v>378</v>
      </c>
      <c r="K19" s="6" t="s">
        <v>29</v>
      </c>
      <c r="L19" s="6" t="s">
        <v>94</v>
      </c>
      <c r="M19" s="8" t="s">
        <v>379</v>
      </c>
      <c r="N19" s="8" t="s">
        <v>380</v>
      </c>
    </row>
    <row r="20" customFormat="false" ht="28.35" hidden="false" customHeight="false" outlineLevel="0" collapsed="false">
      <c r="A20" s="6" t="s">
        <v>371</v>
      </c>
      <c r="B20" s="8" t="s">
        <v>372</v>
      </c>
      <c r="C20" s="6" t="s">
        <v>333</v>
      </c>
      <c r="D20" s="6" t="s">
        <v>381</v>
      </c>
      <c r="E20" s="7" t="n">
        <v>6.26</v>
      </c>
      <c r="F20" s="6" t="s">
        <v>374</v>
      </c>
      <c r="G20" s="6" t="s">
        <v>375</v>
      </c>
      <c r="H20" s="8" t="s">
        <v>382</v>
      </c>
      <c r="I20" s="6" t="s">
        <v>377</v>
      </c>
      <c r="J20" s="6" t="s">
        <v>378</v>
      </c>
      <c r="K20" s="6" t="s">
        <v>29</v>
      </c>
      <c r="L20" s="6" t="s">
        <v>94</v>
      </c>
      <c r="M20" s="8" t="s">
        <v>382</v>
      </c>
      <c r="N20" s="6"/>
    </row>
    <row r="21" customFormat="false" ht="28.35" hidden="false" customHeight="false" outlineLevel="0" collapsed="false">
      <c r="A21" s="6" t="s">
        <v>371</v>
      </c>
      <c r="B21" s="8" t="s">
        <v>383</v>
      </c>
      <c r="C21" s="6" t="s">
        <v>333</v>
      </c>
      <c r="D21" s="6" t="s">
        <v>384</v>
      </c>
      <c r="E21" s="7" t="n">
        <v>2.99</v>
      </c>
      <c r="F21" s="6" t="s">
        <v>374</v>
      </c>
      <c r="G21" s="6" t="s">
        <v>375</v>
      </c>
      <c r="H21" s="8" t="s">
        <v>382</v>
      </c>
      <c r="I21" s="6" t="s">
        <v>377</v>
      </c>
      <c r="J21" s="6" t="s">
        <v>378</v>
      </c>
      <c r="K21" s="6" t="s">
        <v>29</v>
      </c>
      <c r="L21" s="6" t="s">
        <v>94</v>
      </c>
      <c r="M21" s="8" t="s">
        <v>382</v>
      </c>
      <c r="N21" s="6"/>
    </row>
    <row r="22" customFormat="false" ht="28.35" hidden="false" customHeight="false" outlineLevel="0" collapsed="false">
      <c r="A22" s="6" t="s">
        <v>371</v>
      </c>
      <c r="B22" s="8" t="s">
        <v>383</v>
      </c>
      <c r="C22" s="6" t="s">
        <v>333</v>
      </c>
      <c r="D22" s="6" t="s">
        <v>381</v>
      </c>
      <c r="E22" s="7" t="n">
        <v>3.33</v>
      </c>
      <c r="F22" s="6" t="s">
        <v>374</v>
      </c>
      <c r="G22" s="6" t="s">
        <v>375</v>
      </c>
      <c r="H22" s="8" t="s">
        <v>382</v>
      </c>
      <c r="I22" s="6" t="s">
        <v>377</v>
      </c>
      <c r="J22" s="6" t="s">
        <v>378</v>
      </c>
      <c r="K22" s="6" t="s">
        <v>29</v>
      </c>
      <c r="L22" s="6" t="s">
        <v>94</v>
      </c>
      <c r="M22" s="8" t="s">
        <v>382</v>
      </c>
      <c r="N22" s="6"/>
    </row>
    <row r="23" customFormat="false" ht="28.35" hidden="false" customHeight="false" outlineLevel="0" collapsed="false">
      <c r="A23" s="6" t="s">
        <v>371</v>
      </c>
      <c r="B23" s="8" t="s">
        <v>385</v>
      </c>
      <c r="C23" s="6" t="s">
        <v>333</v>
      </c>
      <c r="D23" s="6" t="s">
        <v>384</v>
      </c>
      <c r="E23" s="7" t="n">
        <v>2.58</v>
      </c>
      <c r="F23" s="6" t="s">
        <v>374</v>
      </c>
      <c r="G23" s="6" t="s">
        <v>375</v>
      </c>
      <c r="H23" s="8" t="s">
        <v>382</v>
      </c>
      <c r="I23" s="6" t="s">
        <v>377</v>
      </c>
      <c r="J23" s="6" t="s">
        <v>378</v>
      </c>
      <c r="K23" s="6" t="s">
        <v>29</v>
      </c>
      <c r="L23" s="6" t="s">
        <v>94</v>
      </c>
      <c r="M23" s="8" t="s">
        <v>382</v>
      </c>
      <c r="N23" s="6"/>
    </row>
    <row r="24" customFormat="false" ht="28.35" hidden="false" customHeight="false" outlineLevel="0" collapsed="false">
      <c r="A24" s="6" t="s">
        <v>371</v>
      </c>
      <c r="B24" s="8" t="s">
        <v>385</v>
      </c>
      <c r="C24" s="6" t="s">
        <v>333</v>
      </c>
      <c r="D24" s="6" t="s">
        <v>381</v>
      </c>
      <c r="E24" s="7" t="n">
        <v>1.95</v>
      </c>
      <c r="F24" s="6" t="s">
        <v>374</v>
      </c>
      <c r="G24" s="6" t="s">
        <v>375</v>
      </c>
      <c r="H24" s="8" t="s">
        <v>382</v>
      </c>
      <c r="I24" s="6" t="s">
        <v>377</v>
      </c>
      <c r="J24" s="6" t="s">
        <v>378</v>
      </c>
      <c r="K24" s="6" t="s">
        <v>29</v>
      </c>
      <c r="L24" s="6" t="s">
        <v>94</v>
      </c>
      <c r="M24" s="8" t="s">
        <v>382</v>
      </c>
      <c r="N24" s="6"/>
    </row>
    <row r="25" customFormat="false" ht="28.35" hidden="false" customHeight="false" outlineLevel="0" collapsed="false">
      <c r="A25" s="6" t="s">
        <v>386</v>
      </c>
      <c r="B25" s="8" t="s">
        <v>383</v>
      </c>
      <c r="C25" s="6" t="s">
        <v>333</v>
      </c>
      <c r="D25" s="6" t="s">
        <v>387</v>
      </c>
      <c r="E25" s="7" t="n">
        <v>2.85</v>
      </c>
      <c r="F25" s="6" t="s">
        <v>314</v>
      </c>
      <c r="G25" s="6" t="s">
        <v>375</v>
      </c>
      <c r="H25" s="6" t="s">
        <v>388</v>
      </c>
      <c r="I25" s="6" t="s">
        <v>389</v>
      </c>
      <c r="J25" s="6" t="s">
        <v>387</v>
      </c>
      <c r="K25" s="6" t="s">
        <v>29</v>
      </c>
      <c r="L25" s="6" t="s">
        <v>94</v>
      </c>
      <c r="M25" s="8" t="s">
        <v>390</v>
      </c>
      <c r="N25" s="8" t="s">
        <v>391</v>
      </c>
    </row>
    <row r="26" customFormat="false" ht="32.8" hidden="false" customHeight="false" outlineLevel="0" collapsed="false">
      <c r="A26" s="6" t="s">
        <v>392</v>
      </c>
      <c r="B26" s="8" t="s">
        <v>311</v>
      </c>
      <c r="C26" s="6" t="s">
        <v>393</v>
      </c>
      <c r="D26" s="6" t="s">
        <v>394</v>
      </c>
      <c r="E26" s="7" t="n">
        <v>4.99</v>
      </c>
      <c r="F26" s="6" t="s">
        <v>314</v>
      </c>
      <c r="G26" s="6" t="s">
        <v>315</v>
      </c>
      <c r="H26" s="6" t="s">
        <v>395</v>
      </c>
      <c r="I26" s="6" t="s">
        <v>396</v>
      </c>
      <c r="J26" s="6" t="s">
        <v>394</v>
      </c>
      <c r="K26" s="6" t="s">
        <v>29</v>
      </c>
      <c r="L26" s="6" t="s">
        <v>94</v>
      </c>
      <c r="M26" s="8" t="s">
        <v>133</v>
      </c>
      <c r="N26" s="6" t="s">
        <v>397</v>
      </c>
    </row>
    <row r="27" customFormat="false" ht="32.8" hidden="false" customHeight="false" outlineLevel="0" collapsed="false">
      <c r="A27" s="6" t="s">
        <v>398</v>
      </c>
      <c r="B27" s="8" t="s">
        <v>311</v>
      </c>
      <c r="C27" s="6" t="s">
        <v>393</v>
      </c>
      <c r="D27" s="8" t="s">
        <v>313</v>
      </c>
      <c r="E27" s="7" t="n">
        <v>6.69</v>
      </c>
      <c r="F27" s="6" t="s">
        <v>314</v>
      </c>
      <c r="G27" s="6" t="s">
        <v>315</v>
      </c>
      <c r="H27" s="6" t="s">
        <v>316</v>
      </c>
      <c r="I27" s="6" t="s">
        <v>317</v>
      </c>
      <c r="J27" s="8" t="s">
        <v>318</v>
      </c>
      <c r="K27" s="6" t="s">
        <v>29</v>
      </c>
      <c r="L27" s="6" t="s">
        <v>94</v>
      </c>
      <c r="M27" s="8" t="s">
        <v>133</v>
      </c>
      <c r="N27" s="8" t="s">
        <v>399</v>
      </c>
    </row>
    <row r="28" customFormat="false" ht="32.8" hidden="false" customHeight="false" outlineLevel="0" collapsed="false">
      <c r="A28" s="6" t="s">
        <v>400</v>
      </c>
      <c r="B28" s="8" t="s">
        <v>401</v>
      </c>
      <c r="C28" s="6" t="s">
        <v>393</v>
      </c>
      <c r="D28" s="8" t="s">
        <v>313</v>
      </c>
      <c r="E28" s="7" t="s">
        <v>402</v>
      </c>
      <c r="F28" s="6" t="s">
        <v>314</v>
      </c>
      <c r="G28" s="6" t="s">
        <v>315</v>
      </c>
      <c r="H28" s="6" t="s">
        <v>403</v>
      </c>
      <c r="I28" s="6" t="s">
        <v>404</v>
      </c>
      <c r="J28" s="8" t="s">
        <v>318</v>
      </c>
      <c r="K28" s="6" t="s">
        <v>29</v>
      </c>
      <c r="L28" s="6" t="s">
        <v>94</v>
      </c>
      <c r="M28" s="8" t="s">
        <v>133</v>
      </c>
      <c r="N28" s="6"/>
    </row>
    <row r="29" customFormat="false" ht="32.8" hidden="false" customHeight="false" outlineLevel="0" collapsed="false">
      <c r="A29" s="6" t="s">
        <v>405</v>
      </c>
      <c r="B29" s="8" t="s">
        <v>311</v>
      </c>
      <c r="C29" s="6" t="s">
        <v>393</v>
      </c>
      <c r="D29" s="8" t="s">
        <v>313</v>
      </c>
      <c r="E29" s="7" t="n">
        <v>8.6</v>
      </c>
      <c r="F29" s="6" t="s">
        <v>314</v>
      </c>
      <c r="G29" s="6" t="s">
        <v>319</v>
      </c>
      <c r="H29" s="6" t="s">
        <v>406</v>
      </c>
      <c r="I29" s="6" t="s">
        <v>321</v>
      </c>
      <c r="J29" s="8" t="s">
        <v>318</v>
      </c>
      <c r="K29" s="6" t="s">
        <v>29</v>
      </c>
      <c r="L29" s="6" t="s">
        <v>94</v>
      </c>
      <c r="M29" s="8" t="s">
        <v>133</v>
      </c>
      <c r="N29" s="6"/>
    </row>
    <row r="30" customFormat="false" ht="32.8" hidden="false" customHeight="false" outlineLevel="0" collapsed="false">
      <c r="A30" s="6" t="s">
        <v>407</v>
      </c>
      <c r="B30" s="8" t="s">
        <v>311</v>
      </c>
      <c r="C30" s="6" t="s">
        <v>393</v>
      </c>
      <c r="D30" s="8" t="s">
        <v>408</v>
      </c>
      <c r="E30" s="7" t="n">
        <v>8.5</v>
      </c>
      <c r="F30" s="6" t="s">
        <v>314</v>
      </c>
      <c r="G30" s="6" t="s">
        <v>357</v>
      </c>
      <c r="H30" s="6" t="s">
        <v>409</v>
      </c>
      <c r="I30" s="6" t="s">
        <v>359</v>
      </c>
      <c r="J30" s="8" t="s">
        <v>318</v>
      </c>
      <c r="K30" s="6" t="s">
        <v>29</v>
      </c>
      <c r="L30" s="6" t="s">
        <v>94</v>
      </c>
      <c r="M30" s="8" t="s">
        <v>133</v>
      </c>
      <c r="N30" s="6"/>
    </row>
    <row r="31" customFormat="false" ht="32.8" hidden="false" customHeight="false" outlineLevel="0" collapsed="false">
      <c r="A31" s="6" t="s">
        <v>410</v>
      </c>
      <c r="B31" s="8" t="s">
        <v>311</v>
      </c>
      <c r="C31" s="6" t="s">
        <v>393</v>
      </c>
      <c r="D31" s="8" t="s">
        <v>411</v>
      </c>
      <c r="E31" s="7" t="n">
        <v>14.24</v>
      </c>
      <c r="F31" s="6" t="s">
        <v>314</v>
      </c>
      <c r="G31" s="6" t="s">
        <v>324</v>
      </c>
      <c r="H31" s="6" t="s">
        <v>412</v>
      </c>
      <c r="I31" s="6" t="s">
        <v>413</v>
      </c>
      <c r="J31" s="6" t="s">
        <v>29</v>
      </c>
      <c r="K31" s="6" t="s">
        <v>29</v>
      </c>
      <c r="L31" s="6" t="s">
        <v>25</v>
      </c>
      <c r="M31" s="8" t="s">
        <v>133</v>
      </c>
      <c r="N31" s="8" t="s">
        <v>327</v>
      </c>
    </row>
    <row r="32" customFormat="false" ht="32.8" hidden="false" customHeight="false" outlineLevel="0" collapsed="false">
      <c r="A32" s="6" t="s">
        <v>414</v>
      </c>
      <c r="B32" s="8" t="s">
        <v>311</v>
      </c>
      <c r="C32" s="6" t="s">
        <v>393</v>
      </c>
      <c r="D32" s="6" t="s">
        <v>29</v>
      </c>
      <c r="E32" s="7" t="n">
        <v>7.94</v>
      </c>
      <c r="F32" s="6" t="s">
        <v>415</v>
      </c>
      <c r="G32" s="6" t="s">
        <v>416</v>
      </c>
      <c r="H32" s="6" t="s">
        <v>417</v>
      </c>
      <c r="I32" s="6" t="s">
        <v>418</v>
      </c>
      <c r="J32" s="6" t="s">
        <v>29</v>
      </c>
      <c r="K32" s="6" t="s">
        <v>29</v>
      </c>
      <c r="L32" s="6" t="s">
        <v>419</v>
      </c>
      <c r="M32" s="8" t="s">
        <v>420</v>
      </c>
      <c r="N32" s="8" t="s">
        <v>421</v>
      </c>
    </row>
    <row r="33" customFormat="false" ht="32.8" hidden="false" customHeight="false" outlineLevel="0" collapsed="false">
      <c r="A33" s="6" t="s">
        <v>422</v>
      </c>
      <c r="B33" s="8" t="s">
        <v>311</v>
      </c>
      <c r="C33" s="6" t="s">
        <v>423</v>
      </c>
      <c r="D33" s="8" t="s">
        <v>313</v>
      </c>
      <c r="E33" s="7" t="n">
        <v>10.5</v>
      </c>
      <c r="F33" s="6" t="s">
        <v>314</v>
      </c>
      <c r="G33" s="6" t="s">
        <v>319</v>
      </c>
      <c r="H33" s="6" t="s">
        <v>424</v>
      </c>
      <c r="I33" s="6" t="s">
        <v>321</v>
      </c>
      <c r="J33" s="8" t="s">
        <v>318</v>
      </c>
      <c r="K33" s="6" t="s">
        <v>29</v>
      </c>
      <c r="L33" s="6" t="s">
        <v>94</v>
      </c>
      <c r="M33" s="8" t="s">
        <v>133</v>
      </c>
      <c r="N33" s="6" t="s">
        <v>425</v>
      </c>
    </row>
    <row r="34" customFormat="false" ht="32.8" hidden="false" customHeight="false" outlineLevel="0" collapsed="false">
      <c r="A34" s="6" t="s">
        <v>426</v>
      </c>
      <c r="B34" s="8" t="s">
        <v>311</v>
      </c>
      <c r="C34" s="6" t="s">
        <v>427</v>
      </c>
      <c r="D34" s="6" t="s">
        <v>387</v>
      </c>
      <c r="E34" s="7" t="n">
        <v>18</v>
      </c>
      <c r="F34" s="6" t="s">
        <v>314</v>
      </c>
      <c r="G34" s="6" t="s">
        <v>428</v>
      </c>
      <c r="H34" s="6" t="s">
        <v>429</v>
      </c>
      <c r="I34" s="6" t="s">
        <v>430</v>
      </c>
      <c r="J34" s="6" t="s">
        <v>387</v>
      </c>
      <c r="K34" s="6" t="s">
        <v>29</v>
      </c>
      <c r="L34" s="6" t="s">
        <v>419</v>
      </c>
      <c r="M34" s="8" t="s">
        <v>133</v>
      </c>
      <c r="N34" s="6" t="s">
        <v>431</v>
      </c>
    </row>
    <row r="35" customFormat="false" ht="32.8" hidden="false" customHeight="false" outlineLevel="0" collapsed="false">
      <c r="A35" s="6" t="s">
        <v>432</v>
      </c>
      <c r="B35" s="8" t="s">
        <v>311</v>
      </c>
      <c r="C35" s="6" t="s">
        <v>427</v>
      </c>
      <c r="D35" s="6" t="s">
        <v>387</v>
      </c>
      <c r="E35" s="7" t="n">
        <v>11.28</v>
      </c>
      <c r="F35" s="6" t="s">
        <v>314</v>
      </c>
      <c r="G35" s="6" t="s">
        <v>433</v>
      </c>
      <c r="H35" s="6" t="s">
        <v>416</v>
      </c>
      <c r="I35" s="6" t="s">
        <v>430</v>
      </c>
      <c r="J35" s="6" t="s">
        <v>387</v>
      </c>
      <c r="K35" s="6" t="s">
        <v>29</v>
      </c>
      <c r="L35" s="6" t="s">
        <v>419</v>
      </c>
      <c r="M35" s="8" t="s">
        <v>133</v>
      </c>
      <c r="N35" s="8" t="s">
        <v>434</v>
      </c>
    </row>
    <row r="36" customFormat="false" ht="32.8" hidden="false" customHeight="false" outlineLevel="0" collapsed="false">
      <c r="A36" s="6" t="s">
        <v>432</v>
      </c>
      <c r="B36" s="8" t="s">
        <v>435</v>
      </c>
      <c r="C36" s="6" t="s">
        <v>427</v>
      </c>
      <c r="D36" s="6" t="s">
        <v>387</v>
      </c>
      <c r="E36" s="7" t="n">
        <v>8.46</v>
      </c>
      <c r="F36" s="6" t="s">
        <v>314</v>
      </c>
      <c r="G36" s="6" t="s">
        <v>433</v>
      </c>
      <c r="H36" s="6" t="s">
        <v>416</v>
      </c>
      <c r="I36" s="6" t="s">
        <v>430</v>
      </c>
      <c r="J36" s="6" t="s">
        <v>387</v>
      </c>
      <c r="K36" s="6" t="s">
        <v>29</v>
      </c>
      <c r="L36" s="6" t="s">
        <v>419</v>
      </c>
      <c r="M36" s="8" t="s">
        <v>133</v>
      </c>
      <c r="N36" s="8" t="s">
        <v>434</v>
      </c>
    </row>
    <row r="37" customFormat="false" ht="32.8" hidden="false" customHeight="false" outlineLevel="0" collapsed="false">
      <c r="A37" s="6" t="s">
        <v>436</v>
      </c>
      <c r="B37" s="8" t="s">
        <v>311</v>
      </c>
      <c r="C37" s="6" t="s">
        <v>437</v>
      </c>
      <c r="D37" s="8" t="s">
        <v>408</v>
      </c>
      <c r="E37" s="7" t="n">
        <v>9.5</v>
      </c>
      <c r="F37" s="6" t="s">
        <v>314</v>
      </c>
      <c r="G37" s="6" t="s">
        <v>357</v>
      </c>
      <c r="H37" s="6" t="s">
        <v>409</v>
      </c>
      <c r="I37" s="6" t="s">
        <v>359</v>
      </c>
      <c r="J37" s="8" t="s">
        <v>318</v>
      </c>
      <c r="K37" s="6" t="s">
        <v>29</v>
      </c>
      <c r="L37" s="6" t="s">
        <v>94</v>
      </c>
      <c r="M37" s="8" t="s">
        <v>133</v>
      </c>
      <c r="N37" s="6" t="s">
        <v>438</v>
      </c>
    </row>
    <row r="38" customFormat="false" ht="48.5" hidden="false" customHeight="false" outlineLevel="0" collapsed="false">
      <c r="A38" s="6" t="s">
        <v>439</v>
      </c>
      <c r="B38" s="8" t="s">
        <v>440</v>
      </c>
      <c r="C38" s="6" t="s">
        <v>427</v>
      </c>
      <c r="D38" s="6" t="s">
        <v>387</v>
      </c>
      <c r="E38" s="10" t="s">
        <v>441</v>
      </c>
      <c r="F38" s="6"/>
      <c r="G38" s="6" t="s">
        <v>442</v>
      </c>
      <c r="H38" s="6" t="s">
        <v>443</v>
      </c>
      <c r="I38" s="6" t="s">
        <v>430</v>
      </c>
      <c r="J38" s="6" t="s">
        <v>387</v>
      </c>
      <c r="K38" s="6" t="s">
        <v>29</v>
      </c>
      <c r="L38" s="6" t="s">
        <v>94</v>
      </c>
      <c r="M38" s="8" t="s">
        <v>133</v>
      </c>
      <c r="N38" s="8" t="s">
        <v>444</v>
      </c>
    </row>
    <row r="39" customFormat="false" ht="46.25" hidden="false" customHeight="false" outlineLevel="0" collapsed="false">
      <c r="A39" s="6" t="s">
        <v>445</v>
      </c>
      <c r="B39" s="8" t="s">
        <v>440</v>
      </c>
      <c r="C39" s="6" t="s">
        <v>446</v>
      </c>
      <c r="D39" s="6" t="s">
        <v>109</v>
      </c>
      <c r="E39" s="10" t="s">
        <v>318</v>
      </c>
      <c r="F39" s="6"/>
      <c r="G39" s="6" t="s">
        <v>447</v>
      </c>
      <c r="H39" s="6" t="s">
        <v>448</v>
      </c>
      <c r="I39" s="6" t="s">
        <v>449</v>
      </c>
      <c r="J39" s="6" t="s">
        <v>450</v>
      </c>
      <c r="K39" s="6" t="s">
        <v>29</v>
      </c>
      <c r="L39" s="6" t="s">
        <v>94</v>
      </c>
      <c r="M39" s="8" t="s">
        <v>133</v>
      </c>
      <c r="N39" s="8" t="s">
        <v>451</v>
      </c>
    </row>
    <row r="40" customFormat="false" ht="48.5" hidden="false" customHeight="false" outlineLevel="0" collapsed="false">
      <c r="A40" s="6" t="s">
        <v>452</v>
      </c>
      <c r="B40" s="8" t="s">
        <v>453</v>
      </c>
      <c r="C40" s="6" t="s">
        <v>427</v>
      </c>
      <c r="D40" s="6" t="s">
        <v>454</v>
      </c>
      <c r="E40" s="7" t="n">
        <v>9.7</v>
      </c>
      <c r="F40" s="6" t="s">
        <v>455</v>
      </c>
      <c r="G40" s="6" t="s">
        <v>456</v>
      </c>
      <c r="H40" s="6" t="s">
        <v>457</v>
      </c>
      <c r="I40" s="6" t="s">
        <v>458</v>
      </c>
      <c r="J40" s="6" t="s">
        <v>454</v>
      </c>
      <c r="K40" s="6" t="s">
        <v>29</v>
      </c>
      <c r="L40" s="6" t="s">
        <v>94</v>
      </c>
      <c r="M40" s="8" t="s">
        <v>459</v>
      </c>
      <c r="N40" s="8" t="s">
        <v>460</v>
      </c>
    </row>
    <row r="41" customFormat="false" ht="41.75" hidden="false" customHeight="false" outlineLevel="0" collapsed="false">
      <c r="A41" s="6" t="s">
        <v>461</v>
      </c>
      <c r="B41" s="8" t="s">
        <v>462</v>
      </c>
      <c r="C41" s="6" t="s">
        <v>427</v>
      </c>
      <c r="D41" s="6" t="s">
        <v>463</v>
      </c>
      <c r="E41" s="10" t="s">
        <v>464</v>
      </c>
      <c r="F41" s="6"/>
      <c r="G41" s="6" t="s">
        <v>465</v>
      </c>
      <c r="H41" s="6" t="s">
        <v>466</v>
      </c>
      <c r="I41" s="6" t="s">
        <v>467</v>
      </c>
      <c r="J41" s="6" t="s">
        <v>463</v>
      </c>
      <c r="K41" s="6" t="s">
        <v>29</v>
      </c>
      <c r="L41" s="6" t="s">
        <v>94</v>
      </c>
      <c r="M41" s="8" t="s">
        <v>468</v>
      </c>
      <c r="N41" s="8" t="s">
        <v>469</v>
      </c>
    </row>
    <row r="43" customFormat="false" ht="17.15" hidden="false" customHeight="false" outlineLevel="0" collapsed="false">
      <c r="A43" s="2" t="s">
        <v>470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60"/>
  </cols>
  <sheetData>
    <row r="1" customFormat="false" ht="20.1" hidden="false" customHeight="false" outlineLevel="0" collapsed="false">
      <c r="A1" s="3" t="s">
        <v>471</v>
      </c>
    </row>
    <row r="3" customFormat="false" ht="17.15" hidden="false" customHeight="false" outlineLevel="0" collapsed="false">
      <c r="A3" s="4" t="s">
        <v>472</v>
      </c>
      <c r="B3" s="4" t="s">
        <v>473</v>
      </c>
      <c r="C3" s="5" t="s">
        <v>474</v>
      </c>
      <c r="D3" s="4" t="s">
        <v>475</v>
      </c>
      <c r="E3" s="4" t="s">
        <v>17</v>
      </c>
      <c r="F3" s="4" t="s">
        <v>476</v>
      </c>
      <c r="G3" s="5" t="s">
        <v>16</v>
      </c>
    </row>
    <row r="4" customFormat="false" ht="17.15" hidden="false" customHeight="false" outlineLevel="0" collapsed="false">
      <c r="A4" s="6" t="s">
        <v>477</v>
      </c>
      <c r="B4" s="6" t="s">
        <v>478</v>
      </c>
      <c r="C4" s="6" t="s">
        <v>479</v>
      </c>
      <c r="D4" s="6" t="s">
        <v>480</v>
      </c>
      <c r="E4" s="6" t="s">
        <v>22</v>
      </c>
      <c r="F4" s="8" t="s">
        <v>481</v>
      </c>
      <c r="G4" s="6" t="s">
        <v>155</v>
      </c>
    </row>
    <row r="5" customFormat="false" ht="28.35" hidden="false" customHeight="false" outlineLevel="0" collapsed="false">
      <c r="A5" s="6" t="s">
        <v>477</v>
      </c>
      <c r="B5" s="6" t="s">
        <v>31</v>
      </c>
      <c r="C5" s="6" t="s">
        <v>482</v>
      </c>
      <c r="D5" s="6" t="s">
        <v>483</v>
      </c>
      <c r="E5" s="6" t="s">
        <v>32</v>
      </c>
      <c r="F5" s="8" t="s">
        <v>481</v>
      </c>
      <c r="G5" s="6" t="s">
        <v>158</v>
      </c>
    </row>
    <row r="6" customFormat="false" ht="28.35" hidden="false" customHeight="false" outlineLevel="0" collapsed="false">
      <c r="A6" s="6" t="s">
        <v>477</v>
      </c>
      <c r="B6" s="6" t="s">
        <v>159</v>
      </c>
      <c r="C6" s="6" t="s">
        <v>484</v>
      </c>
      <c r="D6" s="6" t="s">
        <v>485</v>
      </c>
      <c r="E6" s="6" t="s">
        <v>35</v>
      </c>
      <c r="F6" s="8" t="s">
        <v>486</v>
      </c>
      <c r="G6" s="6" t="s">
        <v>161</v>
      </c>
    </row>
    <row r="7" customFormat="false" ht="17.15" hidden="false" customHeight="false" outlineLevel="0" collapsed="false">
      <c r="A7" s="6" t="s">
        <v>477</v>
      </c>
      <c r="B7" s="6" t="s">
        <v>487</v>
      </c>
      <c r="C7" s="6" t="s">
        <v>488</v>
      </c>
      <c r="D7" s="6" t="s">
        <v>489</v>
      </c>
      <c r="E7" s="6" t="s">
        <v>164</v>
      </c>
      <c r="F7" s="8" t="s">
        <v>481</v>
      </c>
      <c r="G7" s="6" t="s">
        <v>166</v>
      </c>
    </row>
    <row r="8" customFormat="false" ht="17.15" hidden="false" customHeight="false" outlineLevel="0" collapsed="false">
      <c r="A8" s="6" t="s">
        <v>477</v>
      </c>
      <c r="B8" s="6" t="s">
        <v>168</v>
      </c>
      <c r="C8" s="6" t="s">
        <v>490</v>
      </c>
      <c r="D8" s="6" t="s">
        <v>491</v>
      </c>
      <c r="E8" s="6" t="s">
        <v>169</v>
      </c>
      <c r="F8" s="8" t="s">
        <v>481</v>
      </c>
      <c r="G8" s="6" t="s">
        <v>171</v>
      </c>
    </row>
    <row r="9" customFormat="false" ht="17.15" hidden="false" customHeight="false" outlineLevel="0" collapsed="false">
      <c r="A9" s="6" t="s">
        <v>477</v>
      </c>
      <c r="B9" s="6" t="s">
        <v>172</v>
      </c>
      <c r="C9" s="6" t="s">
        <v>492</v>
      </c>
      <c r="D9" s="6" t="s">
        <v>493</v>
      </c>
      <c r="E9" s="6" t="s">
        <v>173</v>
      </c>
      <c r="F9" s="8" t="s">
        <v>481</v>
      </c>
      <c r="G9" s="6" t="s">
        <v>175</v>
      </c>
    </row>
    <row r="10" customFormat="false" ht="17.15" hidden="false" customHeight="false" outlineLevel="0" collapsed="false">
      <c r="A10" s="6" t="s">
        <v>477</v>
      </c>
      <c r="B10" s="6" t="s">
        <v>176</v>
      </c>
      <c r="C10" s="6" t="s">
        <v>494</v>
      </c>
      <c r="D10" s="6" t="s">
        <v>495</v>
      </c>
      <c r="E10" s="6" t="s">
        <v>177</v>
      </c>
      <c r="F10" s="8" t="s">
        <v>481</v>
      </c>
      <c r="G10" s="6" t="s">
        <v>179</v>
      </c>
    </row>
    <row r="11" customFormat="false" ht="17.15" hidden="false" customHeight="false" outlineLevel="0" collapsed="false">
      <c r="A11" s="6" t="s">
        <v>477</v>
      </c>
      <c r="B11" s="6" t="s">
        <v>180</v>
      </c>
      <c r="C11" s="6" t="s">
        <v>496</v>
      </c>
      <c r="D11" s="6" t="s">
        <v>497</v>
      </c>
      <c r="E11" s="6" t="s">
        <v>181</v>
      </c>
      <c r="F11" s="8" t="s">
        <v>481</v>
      </c>
      <c r="G11" s="6" t="s">
        <v>183</v>
      </c>
    </row>
    <row r="12" customFormat="false" ht="32.8" hidden="false" customHeight="false" outlineLevel="0" collapsed="false">
      <c r="A12" s="6" t="s">
        <v>477</v>
      </c>
      <c r="B12" s="6" t="s">
        <v>113</v>
      </c>
      <c r="C12" s="6" t="s">
        <v>498</v>
      </c>
      <c r="D12" s="8" t="s">
        <v>499</v>
      </c>
      <c r="E12" s="6" t="s">
        <v>500</v>
      </c>
      <c r="F12" s="8" t="s">
        <v>501</v>
      </c>
      <c r="G12" s="6" t="s">
        <v>118</v>
      </c>
    </row>
    <row r="13" customFormat="false" ht="32.8" hidden="false" customHeight="false" outlineLevel="0" collapsed="false">
      <c r="A13" s="6" t="s">
        <v>477</v>
      </c>
      <c r="B13" s="6" t="s">
        <v>190</v>
      </c>
      <c r="C13" s="6" t="s">
        <v>502</v>
      </c>
      <c r="D13" s="6" t="s">
        <v>503</v>
      </c>
      <c r="E13" s="6" t="s">
        <v>72</v>
      </c>
      <c r="F13" s="8" t="s">
        <v>504</v>
      </c>
      <c r="G13" s="6" t="s">
        <v>192</v>
      </c>
    </row>
    <row r="14" customFormat="false" ht="32.8" hidden="false" customHeight="false" outlineLevel="0" collapsed="false">
      <c r="A14" s="6" t="s">
        <v>477</v>
      </c>
      <c r="B14" s="6" t="s">
        <v>194</v>
      </c>
      <c r="C14" s="6" t="s">
        <v>505</v>
      </c>
      <c r="D14" s="6" t="s">
        <v>506</v>
      </c>
      <c r="E14" s="6" t="s">
        <v>195</v>
      </c>
      <c r="F14" s="8" t="s">
        <v>481</v>
      </c>
      <c r="G14" s="6" t="s">
        <v>112</v>
      </c>
    </row>
    <row r="15" customFormat="false" ht="30.55" hidden="false" customHeight="false" outlineLevel="0" collapsed="false">
      <c r="A15" s="6" t="s">
        <v>507</v>
      </c>
      <c r="B15" s="6" t="s">
        <v>508</v>
      </c>
      <c r="C15" s="6" t="s">
        <v>509</v>
      </c>
      <c r="D15" s="6" t="s">
        <v>510</v>
      </c>
      <c r="E15" s="6" t="s">
        <v>511</v>
      </c>
      <c r="F15" s="8" t="s">
        <v>481</v>
      </c>
      <c r="G15" s="6" t="s">
        <v>212</v>
      </c>
    </row>
    <row r="16" customFormat="false" ht="32.8" hidden="false" customHeight="false" outlineLevel="0" collapsed="false">
      <c r="A16" s="6" t="s">
        <v>507</v>
      </c>
      <c r="B16" s="6" t="s">
        <v>134</v>
      </c>
      <c r="C16" s="6" t="s">
        <v>512</v>
      </c>
      <c r="D16" s="8" t="s">
        <v>513</v>
      </c>
      <c r="E16" s="6" t="s">
        <v>514</v>
      </c>
      <c r="F16" s="8" t="s">
        <v>515</v>
      </c>
      <c r="G16" s="6" t="s">
        <v>140</v>
      </c>
    </row>
    <row r="17" customFormat="false" ht="17.15" hidden="false" customHeight="false" outlineLevel="0" collapsed="false">
      <c r="A17" s="6" t="s">
        <v>507</v>
      </c>
      <c r="B17" s="6" t="s">
        <v>516</v>
      </c>
      <c r="C17" s="8" t="s">
        <v>517</v>
      </c>
      <c r="D17" s="6" t="s">
        <v>518</v>
      </c>
      <c r="E17" s="6" t="s">
        <v>233</v>
      </c>
      <c r="F17" s="8" t="s">
        <v>481</v>
      </c>
      <c r="G17" s="6" t="s">
        <v>140</v>
      </c>
    </row>
    <row r="18" customFormat="false" ht="32.8" hidden="false" customHeight="false" outlineLevel="0" collapsed="false">
      <c r="A18" s="6" t="s">
        <v>519</v>
      </c>
      <c r="B18" s="6" t="s">
        <v>98</v>
      </c>
      <c r="C18" s="6" t="s">
        <v>520</v>
      </c>
      <c r="D18" s="8" t="s">
        <v>521</v>
      </c>
      <c r="E18" s="6" t="s">
        <v>38</v>
      </c>
      <c r="F18" s="8" t="s">
        <v>522</v>
      </c>
      <c r="G18" s="6" t="s">
        <v>265</v>
      </c>
    </row>
    <row r="19" customFormat="false" ht="41.75" hidden="false" customHeight="false" outlineLevel="0" collapsed="false">
      <c r="A19" s="6" t="s">
        <v>519</v>
      </c>
      <c r="B19" s="6" t="s">
        <v>523</v>
      </c>
      <c r="C19" s="6" t="s">
        <v>524</v>
      </c>
      <c r="D19" s="8" t="s">
        <v>525</v>
      </c>
      <c r="E19" s="6" t="s">
        <v>106</v>
      </c>
      <c r="F19" s="8" t="s">
        <v>526</v>
      </c>
      <c r="G19" s="6" t="s">
        <v>105</v>
      </c>
    </row>
    <row r="20" customFormat="false" ht="46.25" hidden="false" customHeight="false" outlineLevel="0" collapsed="false">
      <c r="A20" s="6" t="s">
        <v>519</v>
      </c>
      <c r="B20" s="6" t="s">
        <v>527</v>
      </c>
      <c r="C20" s="6" t="s">
        <v>528</v>
      </c>
      <c r="D20" s="6" t="s">
        <v>529</v>
      </c>
      <c r="E20" s="8" t="s">
        <v>530</v>
      </c>
      <c r="F20" s="8" t="s">
        <v>481</v>
      </c>
      <c r="G20" s="6" t="s">
        <v>274</v>
      </c>
    </row>
    <row r="21" customFormat="false" ht="17.15" hidden="false" customHeight="false" outlineLevel="0" collapsed="false">
      <c r="A21" s="6" t="s">
        <v>519</v>
      </c>
      <c r="B21" s="6" t="s">
        <v>531</v>
      </c>
      <c r="C21" s="6" t="s">
        <v>532</v>
      </c>
      <c r="D21" s="6" t="s">
        <v>533</v>
      </c>
      <c r="E21" s="6" t="s">
        <v>277</v>
      </c>
      <c r="F21" s="8" t="s">
        <v>481</v>
      </c>
      <c r="G21" s="6" t="s">
        <v>279</v>
      </c>
    </row>
    <row r="22" customFormat="false" ht="17.15" hidden="false" customHeight="false" outlineLevel="0" collapsed="false">
      <c r="A22" s="6" t="s">
        <v>519</v>
      </c>
      <c r="B22" s="6" t="s">
        <v>534</v>
      </c>
      <c r="C22" s="6" t="s">
        <v>532</v>
      </c>
      <c r="D22" s="8" t="s">
        <v>535</v>
      </c>
      <c r="E22" s="6" t="s">
        <v>281</v>
      </c>
      <c r="F22" s="8" t="s">
        <v>481</v>
      </c>
      <c r="G22" s="6" t="s">
        <v>274</v>
      </c>
    </row>
    <row r="23" customFormat="false" ht="17.15" hidden="false" customHeight="false" outlineLevel="0" collapsed="false">
      <c r="A23" s="6" t="s">
        <v>536</v>
      </c>
      <c r="B23" s="8" t="s">
        <v>537</v>
      </c>
      <c r="C23" s="8" t="s">
        <v>538</v>
      </c>
      <c r="D23" s="8" t="s">
        <v>539</v>
      </c>
      <c r="E23" s="6" t="s">
        <v>109</v>
      </c>
      <c r="F23" s="8" t="s">
        <v>540</v>
      </c>
      <c r="G23" s="6" t="s">
        <v>109</v>
      </c>
    </row>
    <row r="26" customFormat="false" ht="17.15" hidden="false" customHeight="false" outlineLevel="0" collapsed="false">
      <c r="A26" s="9" t="s">
        <v>541</v>
      </c>
    </row>
    <row r="27" customFormat="false" ht="17.15" hidden="false" customHeight="false" outlineLevel="0" collapsed="false">
      <c r="A27" s="0" t="s">
        <v>542</v>
      </c>
      <c r="E27" s="0" t="n">
        <f aca="false">8/9</f>
        <v>0.888888888888889</v>
      </c>
    </row>
    <row r="28" customFormat="false" ht="17.15" hidden="false" customHeight="false" outlineLevel="0" collapsed="false">
      <c r="A28" s="0" t="s">
        <v>543</v>
      </c>
      <c r="E28" s="0" t="n">
        <f aca="false">3/4</f>
        <v>0.75</v>
      </c>
    </row>
    <row r="30" customFormat="false" ht="17.15" hidden="false" customHeight="false" outlineLevel="0" collapsed="false">
      <c r="A30" s="9" t="s">
        <v>544</v>
      </c>
    </row>
    <row r="31" customFormat="false" ht="17.15" hidden="false" customHeight="false" outlineLevel="0" collapsed="false">
      <c r="A31" s="11" t="s">
        <v>545</v>
      </c>
      <c r="B31" s="11" t="s">
        <v>546</v>
      </c>
      <c r="C31" s="11" t="s">
        <v>547</v>
      </c>
      <c r="D31" s="11" t="s">
        <v>548</v>
      </c>
      <c r="E31" s="9" t="s">
        <v>549</v>
      </c>
      <c r="F31" s="9" t="s">
        <v>550</v>
      </c>
    </row>
    <row r="32" customFormat="false" ht="15" hidden="false" customHeight="false" outlineLevel="0" collapsed="false">
      <c r="A32" s="0" t="s">
        <v>22</v>
      </c>
      <c r="B32" s="12" t="n">
        <v>30</v>
      </c>
      <c r="C32" s="12" t="n">
        <v>60</v>
      </c>
      <c r="D32" s="13" t="n">
        <f aca="false">DATE(2023,3,14)/365.25</f>
        <v>123.200547570157</v>
      </c>
      <c r="E32" s="13" t="n">
        <f aca="false">LN($E$27*B32+(1-$E$27)*C32)</f>
        <v>3.50655789731998</v>
      </c>
      <c r="F32" s="13" t="n">
        <f aca="false">LN($E$28*B32+(1-$E$28)*C32)</f>
        <v>3.62434093297637</v>
      </c>
    </row>
    <row r="33" customFormat="false" ht="15" hidden="false" customHeight="false" outlineLevel="0" collapsed="false">
      <c r="A33" s="0" t="s">
        <v>32</v>
      </c>
      <c r="B33" s="12" t="n">
        <v>10</v>
      </c>
      <c r="C33" s="12" t="n">
        <v>30</v>
      </c>
      <c r="D33" s="13" t="n">
        <f aca="false">DATE(2023,11,6)/365.25</f>
        <v>123.849418206708</v>
      </c>
      <c r="E33" s="13" t="n">
        <f aca="false">LN($E$27*B33+(1-$E$27)*C33)</f>
        <v>2.5032557884562</v>
      </c>
      <c r="F33" s="13" t="n">
        <f aca="false">LN($E$28*B33+(1-$E$28)*C33)</f>
        <v>2.70805020110221</v>
      </c>
    </row>
    <row r="34" customFormat="false" ht="15" hidden="false" customHeight="false" outlineLevel="0" collapsed="false">
      <c r="A34" s="0" t="s">
        <v>35</v>
      </c>
      <c r="B34" s="12" t="n">
        <v>5</v>
      </c>
      <c r="C34" s="12" t="n">
        <v>15</v>
      </c>
      <c r="D34" s="13" t="n">
        <f aca="false">DATE(2024,5,13)/365.25</f>
        <v>124.366872005476</v>
      </c>
      <c r="E34" s="13" t="n">
        <f aca="false">LN($E$27*B34+(1-$E$27)*C34)</f>
        <v>1.81010860789625</v>
      </c>
      <c r="F34" s="13" t="n">
        <f aca="false">LN($E$28*B34+(1-$E$28)*C34)</f>
        <v>2.01490302054226</v>
      </c>
    </row>
    <row r="35" customFormat="false" ht="15" hidden="false" customHeight="false" outlineLevel="0" collapsed="false">
      <c r="A35" s="0" t="s">
        <v>164</v>
      </c>
      <c r="B35" s="12" t="n">
        <v>2.5</v>
      </c>
      <c r="C35" s="12" t="n">
        <v>10</v>
      </c>
      <c r="D35" s="13" t="n">
        <f aca="false">DATE(2024,8,6)/365.25</f>
        <v>124.599589322382</v>
      </c>
      <c r="E35" s="13" t="n">
        <f aca="false">LN($E$27*B35+(1-$E$27)*C35)</f>
        <v>1.20397280432594</v>
      </c>
      <c r="F35" s="13" t="n">
        <f aca="false">LN($E$28*B35+(1-$E$28)*C35)</f>
        <v>1.47590651980958</v>
      </c>
    </row>
    <row r="36" customFormat="false" ht="15" hidden="false" customHeight="false" outlineLevel="0" collapsed="false">
      <c r="A36" s="0" t="s">
        <v>169</v>
      </c>
      <c r="B36" s="12" t="n">
        <v>2</v>
      </c>
      <c r="C36" s="12" t="n">
        <v>8</v>
      </c>
      <c r="D36" s="13" t="n">
        <f aca="false">DATE(2025,4,14)/365.25</f>
        <v>125.286789869952</v>
      </c>
      <c r="E36" s="13" t="n">
        <f aca="false">LN($E$27*B36+(1-$E$27)*C36)</f>
        <v>0.980829253011726</v>
      </c>
      <c r="F36" s="13" t="n">
        <f aca="false">LN($E$28*B36+(1-$E$28)*C36)</f>
        <v>1.25276296849537</v>
      </c>
    </row>
    <row r="37" customFormat="false" ht="15" hidden="false" customHeight="false" outlineLevel="0" collapsed="false">
      <c r="A37" s="0" t="s">
        <v>173</v>
      </c>
      <c r="B37" s="12" t="n">
        <v>1.25</v>
      </c>
      <c r="C37" s="12" t="n">
        <v>10</v>
      </c>
      <c r="D37" s="13" t="n">
        <f aca="false">DATE(2025,8,7)/365.25</f>
        <v>125.601642710472</v>
      </c>
      <c r="E37" s="13" t="n">
        <f aca="false">LN($E$27*B37+(1-$E$27)*C37)</f>
        <v>0.798507696217772</v>
      </c>
      <c r="F37" s="13" t="n">
        <f aca="false">LN($E$28*B37+(1-$E$28)*C37)</f>
        <v>1.23474446299269</v>
      </c>
    </row>
    <row r="38" customFormat="false" ht="15" hidden="false" customHeight="false" outlineLevel="0" collapsed="false">
      <c r="A38" s="0" t="s">
        <v>177</v>
      </c>
      <c r="B38" s="12" t="n">
        <v>1.75</v>
      </c>
      <c r="C38" s="12" t="n">
        <v>14</v>
      </c>
      <c r="D38" s="13" t="n">
        <f aca="false">DATE(2025,12,11)/365.25</f>
        <v>125.946611909651</v>
      </c>
      <c r="E38" s="13" t="n">
        <f aca="false">LN($E$27*B38+(1-$E$27)*C38)</f>
        <v>1.13497993283898</v>
      </c>
      <c r="F38" s="13" t="n">
        <f aca="false">LN($E$28*B38+(1-$E$28)*C38)</f>
        <v>1.5712166996139</v>
      </c>
    </row>
    <row r="39" customFormat="false" ht="15" hidden="false" customHeight="false" outlineLevel="0" collapsed="false">
      <c r="A39" s="0" t="s">
        <v>181</v>
      </c>
      <c r="B39" s="12" t="n">
        <v>2.5</v>
      </c>
      <c r="C39" s="12" t="n">
        <v>15</v>
      </c>
      <c r="D39" s="13" t="n">
        <f aca="false">DATE(2026,3,5)/365.25</f>
        <v>126.17659137577</v>
      </c>
      <c r="E39" s="13" t="n">
        <f aca="false">LN($E$27*B39+(1-$E$27)*C39)</f>
        <v>1.35812348415319</v>
      </c>
      <c r="F39" s="13" t="n">
        <f aca="false">LN($E$28*B39+(1-$E$28)*C39)</f>
        <v>1.72722094809048</v>
      </c>
    </row>
    <row r="40" customFormat="false" ht="15" hidden="false" customHeight="false" outlineLevel="0" collapsed="false">
      <c r="A40" s="0" t="s">
        <v>185</v>
      </c>
      <c r="B40" s="12" t="n">
        <v>2</v>
      </c>
      <c r="C40" s="12" t="n">
        <v>12</v>
      </c>
      <c r="D40" s="13" t="n">
        <f aca="false">DATE(2026,7,9)/365.25</f>
        <v>126.521560574949</v>
      </c>
      <c r="E40" s="13" t="n">
        <f aca="false">LN($E$27*B40+(1-$E$27)*C40)</f>
        <v>1.13497993283898</v>
      </c>
      <c r="F40" s="13" t="n">
        <f aca="false">LN($E$28*B40+(1-$E$28)*C40)</f>
        <v>1.50407739677627</v>
      </c>
    </row>
    <row r="41" customFormat="false" ht="15" hidden="false" customHeight="false" outlineLevel="0" collapsed="false">
      <c r="A41" s="0" t="s">
        <v>72</v>
      </c>
      <c r="B41" s="12" t="n">
        <v>2</v>
      </c>
      <c r="C41" s="12" t="n">
        <v>10</v>
      </c>
      <c r="D41" s="13" t="n">
        <f aca="false">DATE(2026,9,22)/365.25</f>
        <v>126.726899383984</v>
      </c>
      <c r="E41" s="13" t="n">
        <f aca="false">LN($E$27*B41+(1-$E$27)*C41)</f>
        <v>1.06087196068526</v>
      </c>
      <c r="F41" s="13" t="n">
        <f aca="false">LN($E$28*B41+(1-$E$28)*C41)</f>
        <v>1.38629436111989</v>
      </c>
    </row>
    <row r="42" customFormat="false" ht="15" hidden="false" customHeight="false" outlineLevel="0" collapsed="false">
      <c r="A42" s="0" t="s">
        <v>195</v>
      </c>
      <c r="B42" s="12" t="n">
        <v>2</v>
      </c>
      <c r="C42" s="12" t="n">
        <v>10</v>
      </c>
      <c r="D42" s="13" t="n">
        <f aca="false">DATE(2026,9,29)/365.25</f>
        <v>126.746064339494</v>
      </c>
      <c r="E42" s="13" t="n">
        <f aca="false">LN($E$27*B42+(1-$E$27)*C42)</f>
        <v>1.06087196068526</v>
      </c>
      <c r="F42" s="13" t="n">
        <f aca="false">LN($E$28*B42+(1-$E$28)*C42)</f>
        <v>1.38629436111989</v>
      </c>
    </row>
    <row r="43" customFormat="false" ht="17.15" hidden="false" customHeight="false" outlineLevel="0" collapsed="false">
      <c r="A43" s="11" t="s">
        <v>551</v>
      </c>
      <c r="B43" s="11" t="s">
        <v>552</v>
      </c>
      <c r="E43" s="11" t="s">
        <v>553</v>
      </c>
      <c r="F43" s="11" t="s">
        <v>554</v>
      </c>
    </row>
    <row r="44" customFormat="false" ht="15" hidden="false" customHeight="false" outlineLevel="0" collapsed="false">
      <c r="A44" s="0" t="s">
        <v>555</v>
      </c>
      <c r="B44" s="0" t="n">
        <v>9</v>
      </c>
      <c r="E44" s="14" t="n">
        <f aca="false">EXP(SLOPE(E32:E40,D32:D40))-1</f>
        <v>-0.475602808450101</v>
      </c>
      <c r="F44" s="14" t="n">
        <f aca="false">EXP(SLOPE(F32:F40,D32:D40))-1</f>
        <v>-0.426912587074557</v>
      </c>
    </row>
    <row r="45" customFormat="false" ht="15" hidden="false" customHeight="false" outlineLevel="0" collapsed="false">
      <c r="A45" s="0" t="s">
        <v>556</v>
      </c>
      <c r="B45" s="0" t="n">
        <v>7</v>
      </c>
      <c r="E45" s="14" t="n">
        <f aca="false">EXP(SLOPE(E34:E40,D34:D40))-1</f>
        <v>-0.161300964873343</v>
      </c>
      <c r="F45" s="14" t="n">
        <f aca="false">EXP(SLOPE(F34:F40,D34:D40))-1</f>
        <v>-0.0859890646999624</v>
      </c>
    </row>
    <row r="46" customFormat="false" ht="15" hidden="false" customHeight="false" outlineLevel="0" collapsed="false">
      <c r="A46" s="0" t="s">
        <v>557</v>
      </c>
      <c r="B46" s="0" t="n">
        <v>5</v>
      </c>
      <c r="E46" s="14" t="n">
        <f aca="false">EXP(SLOPE(E36:E40,D36:D40))-1</f>
        <v>0.320367840725746</v>
      </c>
      <c r="F46" s="14" t="n">
        <f aca="false">EXP(SLOPE(F36:F40,D36:D40))-1</f>
        <v>0.382019277877919</v>
      </c>
    </row>
    <row r="47" customFormat="false" ht="15" hidden="false" customHeight="false" outlineLevel="0" collapsed="false">
      <c r="A47" s="0" t="s">
        <v>558</v>
      </c>
      <c r="B47" s="0" t="n">
        <v>9</v>
      </c>
      <c r="E47" s="14" t="n">
        <f aca="false">EXP(SLOPE(E34:E42,D34:D42))-1</f>
        <v>-0.141566697131432</v>
      </c>
      <c r="F47" s="14" t="n">
        <f aca="false">EXP(SLOPE(F34:F42,D34:D42))-1</f>
        <v>-0.097942071978776</v>
      </c>
    </row>
    <row r="49" customFormat="false" ht="17.15" hidden="false" customHeight="false" outlineLevel="0" collapsed="false">
      <c r="A49" s="9" t="s">
        <v>559</v>
      </c>
    </row>
    <row r="50" customFormat="false" ht="17.15" hidden="false" customHeight="false" outlineLevel="0" collapsed="false">
      <c r="A50" s="11" t="s">
        <v>545</v>
      </c>
      <c r="B50" s="11" t="s">
        <v>546</v>
      </c>
      <c r="C50" s="11" t="s">
        <v>547</v>
      </c>
      <c r="D50" s="11" t="s">
        <v>548</v>
      </c>
      <c r="E50" s="9" t="s">
        <v>549</v>
      </c>
      <c r="F50" s="9" t="s">
        <v>550</v>
      </c>
    </row>
    <row r="51" customFormat="false" ht="15" hidden="false" customHeight="false" outlineLevel="0" collapsed="false">
      <c r="A51" s="0" t="s">
        <v>22</v>
      </c>
      <c r="B51" s="12" t="n">
        <v>30</v>
      </c>
      <c r="C51" s="12" t="n">
        <v>60</v>
      </c>
      <c r="D51" s="13" t="n">
        <f aca="false">DATE(2023,3,14)/365.25</f>
        <v>123.200547570157</v>
      </c>
      <c r="E51" s="13" t="n">
        <f aca="false">LN($E$27*B51+(1-$E$27)*C51)</f>
        <v>3.50655789731998</v>
      </c>
      <c r="F51" s="13" t="n">
        <f aca="false">LN($E$28*B51+(1-$E$28)*C51)</f>
        <v>3.62434093297637</v>
      </c>
    </row>
    <row r="52" customFormat="false" ht="15" hidden="false" customHeight="false" outlineLevel="0" collapsed="false">
      <c r="A52" s="0" t="s">
        <v>32</v>
      </c>
      <c r="B52" s="12" t="n">
        <v>10</v>
      </c>
      <c r="C52" s="12" t="n">
        <v>30</v>
      </c>
      <c r="D52" s="13" t="n">
        <f aca="false">DATE(2023,11,6)/365.25</f>
        <v>123.849418206708</v>
      </c>
      <c r="E52" s="13" t="n">
        <f aca="false">LN($E$27*B52+(1-$E$27)*C52)</f>
        <v>2.5032557884562</v>
      </c>
      <c r="F52" s="13" t="n">
        <f aca="false">LN($E$28*B52+(1-$E$28)*C52)</f>
        <v>2.70805020110221</v>
      </c>
    </row>
    <row r="53" customFormat="false" ht="15" hidden="false" customHeight="false" outlineLevel="0" collapsed="false">
      <c r="A53" s="0" t="s">
        <v>35</v>
      </c>
      <c r="B53" s="12" t="n">
        <v>5</v>
      </c>
      <c r="C53" s="12" t="n">
        <v>15</v>
      </c>
      <c r="D53" s="13" t="n">
        <f aca="false">DATE(2024,5,13)/365.25</f>
        <v>124.366872005476</v>
      </c>
      <c r="E53" s="13" t="n">
        <f aca="false">LN($E$27*B53+(1-$E$27)*C53)</f>
        <v>1.81010860789625</v>
      </c>
      <c r="F53" s="13" t="n">
        <f aca="false">LN($E$28*B53+(1-$E$28)*C53)</f>
        <v>2.01490302054226</v>
      </c>
    </row>
    <row r="54" customFormat="false" ht="15" hidden="false" customHeight="false" outlineLevel="0" collapsed="false">
      <c r="A54" s="0" t="s">
        <v>164</v>
      </c>
      <c r="B54" s="12" t="n">
        <v>2.5</v>
      </c>
      <c r="C54" s="12" t="n">
        <v>10</v>
      </c>
      <c r="D54" s="13" t="n">
        <f aca="false">DATE(2024,8,6)/365.25</f>
        <v>124.599589322382</v>
      </c>
      <c r="E54" s="13" t="n">
        <f aca="false">LN($E$27*B54+(1-$E$27)*C54)</f>
        <v>1.20397280432594</v>
      </c>
      <c r="F54" s="13" t="n">
        <f aca="false">LN($E$28*B54+(1-$E$28)*C54)</f>
        <v>1.47590651980958</v>
      </c>
    </row>
    <row r="55" customFormat="false" ht="15" hidden="false" customHeight="false" outlineLevel="0" collapsed="false">
      <c r="A55" s="0" t="s">
        <v>169</v>
      </c>
      <c r="B55" s="12" t="n">
        <v>2</v>
      </c>
      <c r="C55" s="12" t="n">
        <v>8</v>
      </c>
      <c r="D55" s="13" t="n">
        <f aca="false">DATE(2025,4,14)/365.25</f>
        <v>125.286789869952</v>
      </c>
      <c r="E55" s="13" t="n">
        <f aca="false">LN($E$27*B55+(1-$E$27)*C55)</f>
        <v>0.980829253011726</v>
      </c>
      <c r="F55" s="13" t="n">
        <f aca="false">LN($E$28*B55+(1-$E$28)*C55)</f>
        <v>1.25276296849537</v>
      </c>
    </row>
    <row r="56" customFormat="false" ht="15" hidden="false" customHeight="false" outlineLevel="0" collapsed="false">
      <c r="A56" s="0" t="s">
        <v>173</v>
      </c>
      <c r="B56" s="12" t="n">
        <v>1.25</v>
      </c>
      <c r="C56" s="12" t="n">
        <v>10</v>
      </c>
      <c r="D56" s="13" t="n">
        <f aca="false">DATE(2025,8,7)/365.25</f>
        <v>125.601642710472</v>
      </c>
      <c r="E56" s="13" t="n">
        <f aca="false">LN($E$27*B56+(1-$E$27)*C56)</f>
        <v>0.798507696217772</v>
      </c>
      <c r="F56" s="13" t="n">
        <f aca="false">LN($E$28*B56+(1-$E$28)*C56)</f>
        <v>1.23474446299269</v>
      </c>
    </row>
    <row r="57" customFormat="false" ht="15" hidden="false" customHeight="false" outlineLevel="0" collapsed="false">
      <c r="A57" s="0" t="s">
        <v>177</v>
      </c>
      <c r="B57" s="12" t="n">
        <v>1.75</v>
      </c>
      <c r="C57" s="12" t="n">
        <v>14</v>
      </c>
      <c r="D57" s="13" t="n">
        <f aca="false">DATE(2025,12,11)/365.25</f>
        <v>125.946611909651</v>
      </c>
      <c r="E57" s="13" t="n">
        <f aca="false">LN($E$27*B57+(1-$E$27)*C57)</f>
        <v>1.13497993283898</v>
      </c>
      <c r="F57" s="13" t="n">
        <f aca="false">LN($E$28*B57+(1-$E$28)*C57)</f>
        <v>1.5712166996139</v>
      </c>
    </row>
    <row r="58" customFormat="false" ht="15" hidden="false" customHeight="false" outlineLevel="0" collapsed="false">
      <c r="A58" s="0" t="s">
        <v>181</v>
      </c>
      <c r="B58" s="12" t="n">
        <v>2.5</v>
      </c>
      <c r="C58" s="12" t="n">
        <v>15</v>
      </c>
      <c r="D58" s="13" t="n">
        <f aca="false">DATE(2026,3,5)/365.25</f>
        <v>126.17659137577</v>
      </c>
      <c r="E58" s="13" t="n">
        <f aca="false">LN($E$27*B58+(1-$E$27)*C58)</f>
        <v>1.35812348415319</v>
      </c>
      <c r="F58" s="13" t="n">
        <f aca="false">LN($E$28*B58+(1-$E$28)*C58)</f>
        <v>1.72722094809048</v>
      </c>
    </row>
    <row r="59" customFormat="false" ht="15" hidden="false" customHeight="false" outlineLevel="0" collapsed="false">
      <c r="A59" s="0" t="s">
        <v>185</v>
      </c>
      <c r="B59" s="12" t="n">
        <v>2.5</v>
      </c>
      <c r="C59" s="12" t="n">
        <v>15</v>
      </c>
      <c r="D59" s="13" t="n">
        <f aca="false">DATE(2026,7,9)/365.25</f>
        <v>126.521560574949</v>
      </c>
      <c r="E59" s="13" t="n">
        <f aca="false">LN($E$27*B59+(1-$E$27)*C59)</f>
        <v>1.35812348415319</v>
      </c>
      <c r="F59" s="13" t="n">
        <f aca="false">LN($E$28*B59+(1-$E$28)*C59)</f>
        <v>1.72722094809048</v>
      </c>
    </row>
    <row r="60" customFormat="false" ht="15" hidden="false" customHeight="false" outlineLevel="0" collapsed="false">
      <c r="A60" s="0" t="s">
        <v>72</v>
      </c>
      <c r="B60" s="12" t="n">
        <v>2</v>
      </c>
      <c r="C60" s="12" t="n">
        <v>10</v>
      </c>
      <c r="D60" s="13" t="n">
        <f aca="false">DATE(2026,9,22)/365.25</f>
        <v>126.726899383984</v>
      </c>
      <c r="E60" s="13" t="n">
        <f aca="false">LN($E$27*B60+(1-$E$27)*C60)</f>
        <v>1.06087196068526</v>
      </c>
      <c r="F60" s="13" t="n">
        <f aca="false">LN($E$28*B60+(1-$E$28)*C60)</f>
        <v>1.38629436111989</v>
      </c>
    </row>
    <row r="61" customFormat="false" ht="15" hidden="false" customHeight="false" outlineLevel="0" collapsed="false">
      <c r="A61" s="0" t="s">
        <v>195</v>
      </c>
      <c r="B61" s="12" t="n">
        <v>2</v>
      </c>
      <c r="C61" s="12" t="n">
        <v>10</v>
      </c>
      <c r="D61" s="13" t="n">
        <f aca="false">DATE(2026,9,29)/365.25</f>
        <v>126.746064339494</v>
      </c>
      <c r="E61" s="13" t="n">
        <f aca="false">LN($E$27*B61+(1-$E$27)*C61)</f>
        <v>1.06087196068526</v>
      </c>
      <c r="F61" s="13" t="n">
        <f aca="false">LN($E$28*B61+(1-$E$28)*C61)</f>
        <v>1.38629436111989</v>
      </c>
    </row>
    <row r="62" customFormat="false" ht="17.15" hidden="false" customHeight="false" outlineLevel="0" collapsed="false">
      <c r="A62" s="11" t="s">
        <v>551</v>
      </c>
      <c r="B62" s="11" t="s">
        <v>552</v>
      </c>
      <c r="E62" s="11" t="s">
        <v>553</v>
      </c>
      <c r="F62" s="11" t="s">
        <v>554</v>
      </c>
    </row>
    <row r="63" customFormat="false" ht="15" hidden="false" customHeight="false" outlineLevel="0" collapsed="false">
      <c r="A63" s="0" t="s">
        <v>555</v>
      </c>
      <c r="B63" s="0" t="n">
        <v>9</v>
      </c>
      <c r="E63" s="14" t="n">
        <f aca="false">EXP(SLOPE(E51:E59,D51:D59))-1</f>
        <v>-0.458456534012875</v>
      </c>
      <c r="F63" s="14" t="n">
        <f aca="false">EXP(SLOPE(F51:F59,D51:D59))-1</f>
        <v>-0.408174282947685</v>
      </c>
    </row>
    <row r="64" customFormat="false" ht="15" hidden="false" customHeight="false" outlineLevel="0" collapsed="false">
      <c r="A64" s="0" t="s">
        <v>556</v>
      </c>
      <c r="B64" s="0" t="n">
        <v>7</v>
      </c>
      <c r="E64" s="14" t="n">
        <f aca="false">EXP(SLOPE(E53:E59,D53:D59))-1</f>
        <v>-0.110158573126769</v>
      </c>
      <c r="F64" s="14" t="n">
        <f aca="false">EXP(SLOPE(F53:F59,D53:D59))-1</f>
        <v>-0.0302542857673649</v>
      </c>
    </row>
    <row r="65" customFormat="false" ht="15" hidden="false" customHeight="false" outlineLevel="0" collapsed="false">
      <c r="A65" s="0" t="s">
        <v>557</v>
      </c>
      <c r="B65" s="0" t="n">
        <v>5</v>
      </c>
      <c r="E65" s="14" t="n">
        <f aca="false">EXP(SLOPE(E55:E59,D55:D59))-1</f>
        <v>0.53032498035562</v>
      </c>
      <c r="F65" s="14" t="n">
        <f aca="false">EXP(SLOPE(F55:F59,D55:D59))-1</f>
        <v>0.601779866970351</v>
      </c>
    </row>
    <row r="66" customFormat="false" ht="15" hidden="false" customHeight="false" outlineLevel="0" collapsed="false">
      <c r="A66" s="0" t="s">
        <v>558</v>
      </c>
      <c r="B66" s="0" t="n">
        <v>9</v>
      </c>
      <c r="E66" s="14" t="n">
        <f aca="false">EXP(SLOPE(E53:E61,D53:D61))-1</f>
        <v>-0.118294091054728</v>
      </c>
      <c r="F66" s="14" t="n">
        <f aca="false">EXP(SLOPE(F53:F61,D53:D61))-1</f>
        <v>-0.0734867779599465</v>
      </c>
    </row>
    <row r="68" customFormat="false" ht="17.15" hidden="false" customHeight="false" outlineLevel="0" collapsed="false">
      <c r="A68" s="9" t="s">
        <v>560</v>
      </c>
    </row>
    <row r="69" customFormat="false" ht="17.15" hidden="false" customHeight="false" outlineLevel="0" collapsed="false">
      <c r="A69" s="11" t="s">
        <v>545</v>
      </c>
      <c r="B69" s="11" t="s">
        <v>546</v>
      </c>
      <c r="C69" s="11" t="s">
        <v>547</v>
      </c>
      <c r="D69" s="11" t="s">
        <v>548</v>
      </c>
      <c r="E69" s="9" t="s">
        <v>549</v>
      </c>
      <c r="F69" s="9" t="s">
        <v>550</v>
      </c>
    </row>
    <row r="70" customFormat="false" ht="15" hidden="false" customHeight="false" outlineLevel="0" collapsed="false">
      <c r="A70" s="0" t="s">
        <v>46</v>
      </c>
      <c r="B70" s="12" t="n">
        <v>3</v>
      </c>
      <c r="C70" s="12" t="n">
        <v>15</v>
      </c>
      <c r="D70" s="13" t="n">
        <f aca="false">DATE(2024,3,4)/365.25</f>
        <v>124.175222450376</v>
      </c>
      <c r="E70" s="13" t="n">
        <f aca="false">LN($E$27*B70+(1-$E$27)*C70)</f>
        <v>1.46633706879343</v>
      </c>
      <c r="F70" s="13" t="n">
        <f aca="false">LN($E$28*B70+(1-$E$28)*C70)</f>
        <v>1.79175946922806</v>
      </c>
    </row>
    <row r="71" customFormat="false" ht="15" hidden="false" customHeight="false" outlineLevel="0" collapsed="false">
      <c r="A71" s="0" t="s">
        <v>214</v>
      </c>
      <c r="B71" s="12" t="n">
        <v>3</v>
      </c>
      <c r="C71" s="12" t="n">
        <v>15</v>
      </c>
      <c r="D71" s="13" t="n">
        <f aca="false">DATE(2024,6,21)/365.25</f>
        <v>124.473648186174</v>
      </c>
      <c r="E71" s="13" t="n">
        <f aca="false">LN($E$27*B71+(1-$E$27)*C71)</f>
        <v>1.46633706879343</v>
      </c>
      <c r="F71" s="13" t="n">
        <f aca="false">LN($E$28*B71+(1-$E$28)*C71)</f>
        <v>1.79175946922806</v>
      </c>
    </row>
    <row r="72" customFormat="false" ht="15" hidden="false" customHeight="false" outlineLevel="0" collapsed="false">
      <c r="A72" s="0" t="s">
        <v>218</v>
      </c>
      <c r="B72" s="12" t="n">
        <v>3</v>
      </c>
      <c r="C72" s="12" t="n">
        <v>15</v>
      </c>
      <c r="D72" s="13" t="n">
        <f aca="false">DATE(2025,2,24)/365.25</f>
        <v>125.152635181383</v>
      </c>
      <c r="E72" s="13" t="n">
        <f aca="false">LN($E$27*B72+(1-$E$27)*C72)</f>
        <v>1.46633706879343</v>
      </c>
      <c r="F72" s="13" t="n">
        <f aca="false">LN($E$28*B72+(1-$E$28)*C72)</f>
        <v>1.79175946922806</v>
      </c>
    </row>
    <row r="73" customFormat="false" ht="15" hidden="false" customHeight="false" outlineLevel="0" collapsed="false">
      <c r="A73" s="0" t="s">
        <v>222</v>
      </c>
      <c r="B73" s="12" t="n">
        <v>3</v>
      </c>
      <c r="C73" s="12" t="n">
        <v>15</v>
      </c>
      <c r="D73" s="13" t="n">
        <f aca="false">DATE(2025,5,22)/365.25</f>
        <v>125.390828199863</v>
      </c>
      <c r="E73" s="13" t="n">
        <f aca="false">LN($E$27*B73+(1-$E$27)*C73)</f>
        <v>1.46633706879343</v>
      </c>
      <c r="F73" s="13" t="n">
        <f aca="false">LN($E$28*B73+(1-$E$28)*C73)</f>
        <v>1.79175946922806</v>
      </c>
    </row>
    <row r="74" customFormat="false" ht="15" hidden="false" customHeight="false" outlineLevel="0" collapsed="false">
      <c r="A74" s="0" t="s">
        <v>226</v>
      </c>
      <c r="B74" s="12" t="n">
        <v>3</v>
      </c>
      <c r="C74" s="12" t="n">
        <v>15</v>
      </c>
      <c r="D74" s="13" t="n">
        <f aca="false">DATE(2025,9,29)/365.25</f>
        <v>125.74674880219</v>
      </c>
      <c r="E74" s="13" t="n">
        <f aca="false">LN($E$27*B74+(1-$E$27)*C74)</f>
        <v>1.46633706879343</v>
      </c>
      <c r="F74" s="13" t="n">
        <f aca="false">LN($E$28*B74+(1-$E$28)*C74)</f>
        <v>1.79175946922806</v>
      </c>
    </row>
    <row r="75" customFormat="false" ht="15" hidden="false" customHeight="false" outlineLevel="0" collapsed="false">
      <c r="A75" s="0" t="s">
        <v>230</v>
      </c>
      <c r="B75" s="12" t="n">
        <v>3</v>
      </c>
      <c r="C75" s="12" t="n">
        <v>15</v>
      </c>
      <c r="D75" s="13" t="n">
        <f aca="false">DATE(2026,2,17)/365.25</f>
        <v>126.132785763176</v>
      </c>
      <c r="E75" s="13" t="n">
        <f aca="false">LN($E$27*B75+(1-$E$27)*C75)</f>
        <v>1.46633706879343</v>
      </c>
      <c r="F75" s="13" t="n">
        <f aca="false">LN($E$28*B75+(1-$E$28)*C75)</f>
        <v>1.79175946922806</v>
      </c>
    </row>
    <row r="76" customFormat="false" ht="15" hidden="false" customHeight="false" outlineLevel="0" collapsed="false">
      <c r="A76" s="0" t="s">
        <v>233</v>
      </c>
      <c r="B76" s="12" t="n">
        <v>2</v>
      </c>
      <c r="C76" s="12" t="n">
        <v>10</v>
      </c>
      <c r="D76" s="13" t="n">
        <f aca="false">DATE(2026,6,30)/365.25</f>
        <v>126.496919917864</v>
      </c>
      <c r="E76" s="13" t="n">
        <f aca="false">LN($E$27*B76+(1-$E$27)*C76)</f>
        <v>1.06087196068526</v>
      </c>
      <c r="F76" s="13" t="n">
        <f aca="false">LN($E$28*B76+(1-$E$28)*C76)</f>
        <v>1.38629436111989</v>
      </c>
    </row>
    <row r="77" customFormat="false" ht="15" hidden="false" customHeight="false" outlineLevel="0" collapsed="false">
      <c r="A77" s="0" t="s">
        <v>236</v>
      </c>
      <c r="B77" s="12" t="n">
        <v>2</v>
      </c>
      <c r="C77" s="12" t="n">
        <v>10</v>
      </c>
      <c r="D77" s="13" t="n">
        <f aca="false">DATE(2026,9,28)/365.25</f>
        <v>126.743326488706</v>
      </c>
      <c r="E77" s="13" t="n">
        <f aca="false">LN($E$27*B77+(1-$E$27)*C77)</f>
        <v>1.06087196068526</v>
      </c>
      <c r="F77" s="13" t="n">
        <f aca="false">LN($E$28*B77+(1-$E$28)*C77)</f>
        <v>1.38629436111989</v>
      </c>
    </row>
    <row r="78" customFormat="false" ht="17.15" hidden="false" customHeight="false" outlineLevel="0" collapsed="false">
      <c r="A78" s="11" t="s">
        <v>551</v>
      </c>
      <c r="B78" s="11" t="s">
        <v>552</v>
      </c>
      <c r="E78" s="11" t="s">
        <v>553</v>
      </c>
      <c r="F78" s="11" t="s">
        <v>554</v>
      </c>
    </row>
    <row r="79" customFormat="false" ht="15" hidden="false" customHeight="false" outlineLevel="0" collapsed="false">
      <c r="A79" s="0" t="s">
        <v>555</v>
      </c>
      <c r="B79" s="0" t="n">
        <v>7</v>
      </c>
      <c r="E79" s="14" t="n">
        <f aca="false">EXP(SLOPE(E70:E76,D70:D76))-1</f>
        <v>-0.101688952227051</v>
      </c>
      <c r="F79" s="14" t="n">
        <f aca="false">EXP(SLOPE(F70:F76,D70:D76))-1</f>
        <v>-0.101688952227051</v>
      </c>
    </row>
    <row r="80" customFormat="false" ht="15" hidden="false" customHeight="false" outlineLevel="0" collapsed="false">
      <c r="A80" s="0" t="s">
        <v>556</v>
      </c>
      <c r="B80" s="0" t="n">
        <v>7</v>
      </c>
      <c r="E80" s="14" t="n">
        <f aca="false">EXP(SLOPE(E70:E76,D70:D76))-1</f>
        <v>-0.101688952227051</v>
      </c>
      <c r="F80" s="14" t="n">
        <f aca="false">EXP(SLOPE(F70:F76,D70:D76))-1</f>
        <v>-0.101688952227051</v>
      </c>
    </row>
    <row r="81" customFormat="false" ht="15" hidden="false" customHeight="false" outlineLevel="0" collapsed="false">
      <c r="A81" s="0" t="s">
        <v>557</v>
      </c>
      <c r="B81" s="0" t="n">
        <v>5</v>
      </c>
      <c r="E81" s="14" t="n">
        <f aca="false">EXP(SLOPE(E72:E76,D72:D76))-1</f>
        <v>-0.216547367496764</v>
      </c>
      <c r="F81" s="14" t="n">
        <f aca="false">EXP(SLOPE(F72:F76,D72:D76))-1</f>
        <v>-0.216547367496764</v>
      </c>
    </row>
    <row r="82" customFormat="false" ht="15" hidden="false" customHeight="false" outlineLevel="0" collapsed="false">
      <c r="A82" s="0" t="s">
        <v>558</v>
      </c>
      <c r="B82" s="0" t="n">
        <v>8</v>
      </c>
      <c r="E82" s="14" t="n">
        <f aca="false">EXP(SLOPE(E70:E77,D70:D77))-1</f>
        <v>-0.137435939549293</v>
      </c>
      <c r="F82" s="14" t="n">
        <f aca="false">EXP(SLOPE(F70:F77,D70:D77))-1</f>
        <v>-0.137435939549293</v>
      </c>
    </row>
    <row r="84" customFormat="false" ht="17.15" hidden="false" customHeight="false" outlineLevel="0" collapsed="false">
      <c r="A84" s="9" t="s">
        <v>561</v>
      </c>
    </row>
    <row r="85" customFormat="false" ht="17.15" hidden="false" customHeight="false" outlineLevel="0" collapsed="false">
      <c r="A85" s="11" t="s">
        <v>545</v>
      </c>
      <c r="B85" s="11" t="s">
        <v>546</v>
      </c>
      <c r="C85" s="11" t="s">
        <v>547</v>
      </c>
      <c r="D85" s="11" t="s">
        <v>548</v>
      </c>
      <c r="E85" s="9" t="s">
        <v>549</v>
      </c>
      <c r="F85" s="9" t="s">
        <v>550</v>
      </c>
    </row>
    <row r="86" customFormat="false" ht="15" hidden="false" customHeight="false" outlineLevel="0" collapsed="false">
      <c r="A86" s="0" t="s">
        <v>46</v>
      </c>
      <c r="B86" s="12" t="n">
        <v>3</v>
      </c>
      <c r="C86" s="12" t="n">
        <v>15</v>
      </c>
      <c r="D86" s="13" t="n">
        <f aca="false">DATE(2024,3,4)/365.25</f>
        <v>124.175222450376</v>
      </c>
      <c r="E86" s="13" t="n">
        <f aca="false">LN($E$27*B86+(1-$E$27)*C86)</f>
        <v>1.46633706879343</v>
      </c>
      <c r="F86" s="13" t="n">
        <f aca="false">LN($E$28*B86+(1-$E$28)*C86)</f>
        <v>1.79175946922806</v>
      </c>
    </row>
    <row r="87" customFormat="false" ht="15" hidden="false" customHeight="false" outlineLevel="0" collapsed="false">
      <c r="A87" s="0" t="s">
        <v>214</v>
      </c>
      <c r="B87" s="12" t="n">
        <v>3</v>
      </c>
      <c r="C87" s="12" t="n">
        <v>15</v>
      </c>
      <c r="D87" s="13" t="n">
        <f aca="false">DATE(2024,6,21)/365.25</f>
        <v>124.473648186174</v>
      </c>
      <c r="E87" s="13" t="n">
        <f aca="false">LN($E$27*B87+(1-$E$27)*C87)</f>
        <v>1.46633706879343</v>
      </c>
      <c r="F87" s="13" t="n">
        <f aca="false">LN($E$28*B87+(1-$E$28)*C87)</f>
        <v>1.79175946922806</v>
      </c>
    </row>
    <row r="88" customFormat="false" ht="15" hidden="false" customHeight="false" outlineLevel="0" collapsed="false">
      <c r="A88" s="0" t="s">
        <v>218</v>
      </c>
      <c r="B88" s="12" t="n">
        <v>3</v>
      </c>
      <c r="C88" s="12" t="n">
        <v>15</v>
      </c>
      <c r="D88" s="13" t="n">
        <f aca="false">DATE(2025,2,24)/365.25</f>
        <v>125.152635181383</v>
      </c>
      <c r="E88" s="13" t="n">
        <f aca="false">LN($E$27*B88+(1-$E$27)*C88)</f>
        <v>1.46633706879343</v>
      </c>
      <c r="F88" s="13" t="n">
        <f aca="false">LN($E$28*B88+(1-$E$28)*C88)</f>
        <v>1.79175946922806</v>
      </c>
    </row>
    <row r="89" customFormat="false" ht="15" hidden="false" customHeight="false" outlineLevel="0" collapsed="false">
      <c r="A89" s="0" t="s">
        <v>222</v>
      </c>
      <c r="B89" s="12" t="n">
        <v>3</v>
      </c>
      <c r="C89" s="12" t="n">
        <v>15</v>
      </c>
      <c r="D89" s="13" t="n">
        <f aca="false">DATE(2025,5,22)/365.25</f>
        <v>125.390828199863</v>
      </c>
      <c r="E89" s="13" t="n">
        <f aca="false">LN($E$27*B89+(1-$E$27)*C89)</f>
        <v>1.46633706879343</v>
      </c>
      <c r="F89" s="13" t="n">
        <f aca="false">LN($E$28*B89+(1-$E$28)*C89)</f>
        <v>1.79175946922806</v>
      </c>
    </row>
    <row r="90" customFormat="false" ht="15" hidden="false" customHeight="false" outlineLevel="0" collapsed="false">
      <c r="A90" s="0" t="s">
        <v>226</v>
      </c>
      <c r="B90" s="12" t="n">
        <v>3</v>
      </c>
      <c r="C90" s="12" t="n">
        <v>15</v>
      </c>
      <c r="D90" s="13" t="n">
        <f aca="false">DATE(2025,9,29)/365.25</f>
        <v>125.74674880219</v>
      </c>
      <c r="E90" s="13" t="n">
        <f aca="false">LN($E$27*B90+(1-$E$27)*C90)</f>
        <v>1.46633706879343</v>
      </c>
      <c r="F90" s="13" t="n">
        <f aca="false">LN($E$28*B90+(1-$E$28)*C90)</f>
        <v>1.79175946922806</v>
      </c>
    </row>
    <row r="91" customFormat="false" ht="15" hidden="false" customHeight="false" outlineLevel="0" collapsed="false">
      <c r="A91" s="0" t="s">
        <v>230</v>
      </c>
      <c r="B91" s="12" t="n">
        <v>3</v>
      </c>
      <c r="C91" s="12" t="n">
        <v>15</v>
      </c>
      <c r="D91" s="13" t="n">
        <f aca="false">DATE(2026,2,17)/365.25</f>
        <v>126.132785763176</v>
      </c>
      <c r="E91" s="13" t="n">
        <f aca="false">LN($E$27*B91+(1-$E$27)*C91)</f>
        <v>1.46633706879343</v>
      </c>
      <c r="F91" s="13" t="n">
        <f aca="false">LN($E$28*B91+(1-$E$28)*C91)</f>
        <v>1.79175946922806</v>
      </c>
    </row>
    <row r="92" customFormat="false" ht="15" hidden="false" customHeight="false" outlineLevel="0" collapsed="false">
      <c r="A92" s="0" t="s">
        <v>233</v>
      </c>
      <c r="B92" s="12" t="n">
        <v>3</v>
      </c>
      <c r="C92" s="12" t="n">
        <v>15</v>
      </c>
      <c r="D92" s="13" t="n">
        <f aca="false">DATE(2026,6,30)/365.25</f>
        <v>126.496919917864</v>
      </c>
      <c r="E92" s="13" t="n">
        <f aca="false">LN($E$27*B92+(1-$E$27)*C92)</f>
        <v>1.46633706879343</v>
      </c>
      <c r="F92" s="13" t="n">
        <f aca="false">LN($E$28*B92+(1-$E$28)*C92)</f>
        <v>1.79175946922806</v>
      </c>
    </row>
    <row r="93" customFormat="false" ht="15" hidden="false" customHeight="false" outlineLevel="0" collapsed="false">
      <c r="A93" s="0" t="s">
        <v>236</v>
      </c>
      <c r="B93" s="12" t="n">
        <v>3</v>
      </c>
      <c r="C93" s="12" t="n">
        <v>15</v>
      </c>
      <c r="D93" s="13" t="n">
        <f aca="false">DATE(2026,9,28)/365.25</f>
        <v>126.743326488706</v>
      </c>
      <c r="E93" s="13" t="n">
        <f aca="false">LN($E$27*B93+(1-$E$27)*C93)</f>
        <v>1.46633706879343</v>
      </c>
      <c r="F93" s="13" t="n">
        <f aca="false">LN($E$28*B93+(1-$E$28)*C93)</f>
        <v>1.79175946922806</v>
      </c>
    </row>
    <row r="94" customFormat="false" ht="17.15" hidden="false" customHeight="false" outlineLevel="0" collapsed="false">
      <c r="A94" s="11" t="s">
        <v>551</v>
      </c>
      <c r="B94" s="11" t="s">
        <v>552</v>
      </c>
      <c r="E94" s="11" t="s">
        <v>553</v>
      </c>
      <c r="F94" s="11" t="s">
        <v>554</v>
      </c>
    </row>
    <row r="95" customFormat="false" ht="15" hidden="false" customHeight="false" outlineLevel="0" collapsed="false">
      <c r="A95" s="0" t="s">
        <v>555</v>
      </c>
      <c r="B95" s="0" t="n">
        <v>7</v>
      </c>
      <c r="E95" s="14" t="n">
        <f aca="false">EXP(SLOPE(E86:E92,D86:D92))-1</f>
        <v>0</v>
      </c>
      <c r="F95" s="14" t="n">
        <f aca="false">EXP(SLOPE(F86:F92,D86:D92))-1</f>
        <v>0</v>
      </c>
    </row>
    <row r="96" customFormat="false" ht="15" hidden="false" customHeight="false" outlineLevel="0" collapsed="false">
      <c r="A96" s="0" t="s">
        <v>556</v>
      </c>
      <c r="B96" s="0" t="n">
        <v>7</v>
      </c>
      <c r="E96" s="14" t="n">
        <f aca="false">EXP(SLOPE(E86:E92,D86:D92))-1</f>
        <v>0</v>
      </c>
      <c r="F96" s="14" t="n">
        <f aca="false">EXP(SLOPE(F86:F92,D86:D92))-1</f>
        <v>0</v>
      </c>
    </row>
    <row r="97" customFormat="false" ht="15" hidden="false" customHeight="false" outlineLevel="0" collapsed="false">
      <c r="A97" s="0" t="s">
        <v>557</v>
      </c>
      <c r="B97" s="0" t="n">
        <v>5</v>
      </c>
      <c r="E97" s="14" t="n">
        <f aca="false">EXP(SLOPE(E88:E92,D88:D92))-1</f>
        <v>0</v>
      </c>
      <c r="F97" s="14" t="n">
        <f aca="false">EXP(SLOPE(F88:F92,D88:D92))-1</f>
        <v>0</v>
      </c>
    </row>
    <row r="98" customFormat="false" ht="15" hidden="false" customHeight="false" outlineLevel="0" collapsed="false">
      <c r="A98" s="0" t="s">
        <v>558</v>
      </c>
      <c r="B98" s="0" t="n">
        <v>8</v>
      </c>
      <c r="E98" s="14" t="n">
        <f aca="false">EXP(SLOPE(E86:E93,D86:D93))-1</f>
        <v>0</v>
      </c>
      <c r="F98" s="14" t="n">
        <f aca="false">EXP(SLOPE(F86:F93,D86:D93))-1</f>
        <v>0</v>
      </c>
    </row>
    <row r="100" customFormat="false" ht="17.15" hidden="false" customHeight="false" outlineLevel="0" collapsed="false">
      <c r="A100" s="9" t="s">
        <v>562</v>
      </c>
    </row>
    <row r="101" customFormat="false" ht="17.15" hidden="false" customHeight="false" outlineLevel="0" collapsed="false">
      <c r="A101" s="11" t="s">
        <v>545</v>
      </c>
      <c r="B101" s="11" t="s">
        <v>546</v>
      </c>
      <c r="C101" s="11" t="s">
        <v>547</v>
      </c>
      <c r="D101" s="11" t="s">
        <v>548</v>
      </c>
      <c r="E101" s="9" t="s">
        <v>549</v>
      </c>
      <c r="F101" s="9" t="s">
        <v>550</v>
      </c>
    </row>
    <row r="102" customFormat="false" ht="15" hidden="false" customHeight="false" outlineLevel="0" collapsed="false">
      <c r="A102" s="0" t="s">
        <v>38</v>
      </c>
      <c r="B102" s="12" t="n">
        <v>3.5</v>
      </c>
      <c r="C102" s="12" t="n">
        <v>10.5</v>
      </c>
      <c r="D102" s="13" t="n">
        <f aca="false">DATE(2024,5,23)/365.25</f>
        <v>124.394250513347</v>
      </c>
      <c r="E102" s="13" t="n">
        <f aca="false">LN($E$27*B102+(1-$E$27)*C102)</f>
        <v>1.45343366395752</v>
      </c>
      <c r="F102" s="13" t="n">
        <f aca="false">LN($E$28*B102+(1-$E$28)*C102)</f>
        <v>1.65822807660353</v>
      </c>
    </row>
    <row r="103" customFormat="false" ht="15" hidden="false" customHeight="false" outlineLevel="0" collapsed="false">
      <c r="A103" s="0" t="s">
        <v>99</v>
      </c>
      <c r="B103" s="12" t="n">
        <v>1.25</v>
      </c>
      <c r="C103" s="12" t="n">
        <v>5</v>
      </c>
      <c r="D103" s="13" t="n">
        <f aca="false">DATE(2024,10,1)/365.25</f>
        <v>124.752908966461</v>
      </c>
      <c r="E103" s="13" t="n">
        <f aca="false">LN($E$27*B103+(1-$E$27)*C103)</f>
        <v>0.510825623765991</v>
      </c>
      <c r="F103" s="13" t="n">
        <f aca="false">LN($E$28*B103+(1-$E$28)*C103)</f>
        <v>0.782759339249633</v>
      </c>
    </row>
    <row r="104" customFormat="false" ht="15" hidden="false" customHeight="false" outlineLevel="0" collapsed="false">
      <c r="A104" s="0" t="s">
        <v>272</v>
      </c>
      <c r="B104" s="12" t="n">
        <v>1.25</v>
      </c>
      <c r="C104" s="12" t="n">
        <v>10</v>
      </c>
      <c r="D104" s="13" t="n">
        <f aca="false">DATE(2025,4,4)/365.25</f>
        <v>125.259411362081</v>
      </c>
      <c r="E104" s="13" t="n">
        <f aca="false">LN($E$27*B104+(1-$E$27)*C104)</f>
        <v>0.798507696217772</v>
      </c>
      <c r="F104" s="13" t="n">
        <f aca="false">LN($E$28*B104+(1-$E$28)*C104)</f>
        <v>1.23474446299269</v>
      </c>
    </row>
    <row r="105" customFormat="false" ht="15" hidden="false" customHeight="false" outlineLevel="0" collapsed="false">
      <c r="A105" s="0" t="s">
        <v>277</v>
      </c>
      <c r="B105" s="12" t="n">
        <v>2</v>
      </c>
      <c r="C105" s="12" t="n">
        <v>12</v>
      </c>
      <c r="D105" s="13" t="n">
        <f aca="false">DATE(2025,11,18)/365.25</f>
        <v>125.883641341547</v>
      </c>
      <c r="E105" s="13" t="n">
        <f aca="false">LN($E$27*B105+(1-$E$27)*C105)</f>
        <v>1.13497993283898</v>
      </c>
      <c r="F105" s="13" t="n">
        <f aca="false">LN($E$28*B105+(1-$E$28)*C105)</f>
        <v>1.50407739677627</v>
      </c>
    </row>
    <row r="106" customFormat="false" ht="15" hidden="false" customHeight="false" outlineLevel="0" collapsed="false">
      <c r="A106" s="0" t="s">
        <v>281</v>
      </c>
      <c r="B106" s="12" t="n">
        <v>2</v>
      </c>
      <c r="C106" s="12" t="n">
        <v>12</v>
      </c>
      <c r="D106" s="13" t="n">
        <f aca="false">DATE(2026,2,19)/365.25</f>
        <v>126.13826146475</v>
      </c>
      <c r="E106" s="13" t="n">
        <f aca="false">LN($E$27*B106+(1-$E$27)*C106)</f>
        <v>1.13497993283898</v>
      </c>
      <c r="F106" s="13" t="n">
        <f aca="false">LN($E$28*B106+(1-$E$28)*C106)</f>
        <v>1.50407739677627</v>
      </c>
    </row>
    <row r="107" customFormat="false" ht="17.15" hidden="false" customHeight="false" outlineLevel="0" collapsed="false">
      <c r="A107" s="11" t="s">
        <v>551</v>
      </c>
      <c r="B107" s="11" t="s">
        <v>552</v>
      </c>
      <c r="E107" s="11" t="s">
        <v>553</v>
      </c>
      <c r="F107" s="11" t="s">
        <v>554</v>
      </c>
    </row>
    <row r="108" customFormat="false" ht="15" hidden="false" customHeight="false" outlineLevel="0" collapsed="false">
      <c r="A108" s="0" t="s">
        <v>555</v>
      </c>
      <c r="B108" s="0" t="n">
        <v>5</v>
      </c>
      <c r="E108" s="14" t="n">
        <f aca="false">EXP(SLOPE(E102:E106,D102:D106))-1</f>
        <v>0.0269321331383317</v>
      </c>
      <c r="F108" s="14" t="n">
        <f aca="false">EXP(SLOPE(F102:F106,D102:D106))-1</f>
        <v>0.124548143444304</v>
      </c>
    </row>
    <row r="109" customFormat="false" ht="15" hidden="false" customHeight="false" outlineLevel="0" collapsed="false">
      <c r="A109" s="0" t="s">
        <v>556</v>
      </c>
      <c r="B109" s="0" t="n">
        <v>5</v>
      </c>
      <c r="E109" s="14" t="n">
        <f aca="false">EXP(SLOPE(E102:E106,D102:D106))-1</f>
        <v>0.0269321331383317</v>
      </c>
      <c r="F109" s="14" t="n">
        <f aca="false">EXP(SLOPE(F102:F106,D102:D106))-1</f>
        <v>0.124548143444304</v>
      </c>
    </row>
    <row r="110" customFormat="false" ht="15" hidden="false" customHeight="false" outlineLevel="0" collapsed="false">
      <c r="A110" s="0" t="s">
        <v>557</v>
      </c>
      <c r="B110" s="0" t="n">
        <v>3</v>
      </c>
      <c r="E110" s="14" t="n">
        <f aca="false">EXP(SLOPE(E104:E106,D104:D106))-1</f>
        <v>0.510171006848718</v>
      </c>
      <c r="F110" s="14" t="n">
        <f aca="false">EXP(SLOPE(F104:F106,D104:D106))-1</f>
        <v>0.390924157397335</v>
      </c>
    </row>
    <row r="111" customFormat="false" ht="15" hidden="false" customHeight="false" outlineLevel="0" collapsed="false">
      <c r="A111" s="0" t="s">
        <v>558</v>
      </c>
      <c r="B111" s="0" t="n">
        <v>5</v>
      </c>
      <c r="E111" s="14" t="n">
        <f aca="false">EXP(SLOPE(E102:E106,D102:D106))-1</f>
        <v>0.0269321331383317</v>
      </c>
      <c r="F111" s="14" t="n">
        <f aca="false">EXP(SLOPE(F102:F106,D102:D106))-1</f>
        <v>0.124548143444304</v>
      </c>
    </row>
    <row r="113" customFormat="false" ht="17.15" hidden="false" customHeight="false" outlineLevel="0" collapsed="false">
      <c r="A113" s="0" t="s">
        <v>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44"/>
    <col collapsed="false" customWidth="true" hidden="false" outlineLevel="0" max="6" min="6" style="0" width="56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20.1" hidden="false" customHeight="false" outlineLevel="0" collapsed="false">
      <c r="A1" s="1" t="s">
        <v>564</v>
      </c>
    </row>
    <row r="3" customFormat="false" ht="17.15" hidden="false" customHeight="false" outlineLevel="0" collapsed="false">
      <c r="A3" s="4" t="s">
        <v>309</v>
      </c>
      <c r="B3" s="4" t="s">
        <v>565</v>
      </c>
      <c r="C3" s="4" t="s">
        <v>545</v>
      </c>
      <c r="D3" s="4" t="s">
        <v>566</v>
      </c>
      <c r="E3" s="4" t="s">
        <v>15</v>
      </c>
      <c r="F3" s="5" t="s">
        <v>16</v>
      </c>
      <c r="G3" s="4" t="s">
        <v>14</v>
      </c>
      <c r="H3" s="4" t="s">
        <v>150</v>
      </c>
    </row>
    <row r="4" customFormat="false" ht="17.15" hidden="false" customHeight="false" outlineLevel="0" collapsed="false">
      <c r="A4" s="6" t="s">
        <v>567</v>
      </c>
      <c r="B4" s="6" t="s">
        <v>568</v>
      </c>
      <c r="C4" s="15" t="n">
        <v>44642</v>
      </c>
      <c r="D4" s="8" t="s">
        <v>569</v>
      </c>
      <c r="E4" s="8" t="s">
        <v>570</v>
      </c>
      <c r="F4" s="6" t="s">
        <v>109</v>
      </c>
      <c r="G4" s="8" t="s">
        <v>571</v>
      </c>
      <c r="H4" s="8" t="s">
        <v>572</v>
      </c>
    </row>
    <row r="5" customFormat="false" ht="28.35" hidden="false" customHeight="false" outlineLevel="0" collapsed="false">
      <c r="A5" s="6" t="s">
        <v>567</v>
      </c>
      <c r="B5" s="6" t="s">
        <v>573</v>
      </c>
      <c r="C5" s="15" t="n">
        <v>44824</v>
      </c>
      <c r="D5" s="8" t="s">
        <v>574</v>
      </c>
      <c r="E5" s="6" t="s">
        <v>575</v>
      </c>
      <c r="F5" s="6" t="s">
        <v>576</v>
      </c>
      <c r="G5" s="6" t="s">
        <v>94</v>
      </c>
      <c r="H5" s="8" t="s">
        <v>577</v>
      </c>
    </row>
    <row r="6" customFormat="false" ht="32.8" hidden="false" customHeight="false" outlineLevel="0" collapsed="false">
      <c r="A6" s="6" t="s">
        <v>567</v>
      </c>
      <c r="B6" s="6" t="s">
        <v>578</v>
      </c>
      <c r="C6" s="15" t="n">
        <v>45006</v>
      </c>
      <c r="D6" s="8" t="s">
        <v>579</v>
      </c>
      <c r="E6" s="6" t="s">
        <v>580</v>
      </c>
      <c r="F6" s="6" t="s">
        <v>581</v>
      </c>
      <c r="G6" s="6" t="s">
        <v>94</v>
      </c>
      <c r="H6" s="8" t="s">
        <v>582</v>
      </c>
    </row>
    <row r="7" customFormat="false" ht="28.35" hidden="false" customHeight="false" outlineLevel="0" collapsed="false">
      <c r="A7" s="6" t="s">
        <v>567</v>
      </c>
      <c r="B7" s="6" t="s">
        <v>583</v>
      </c>
      <c r="C7" s="15" t="n">
        <v>45056</v>
      </c>
      <c r="D7" s="8" t="s">
        <v>584</v>
      </c>
      <c r="E7" s="6" t="s">
        <v>585</v>
      </c>
      <c r="F7" s="6" t="s">
        <v>336</v>
      </c>
      <c r="G7" s="6" t="s">
        <v>94</v>
      </c>
      <c r="H7" s="6"/>
    </row>
    <row r="8" customFormat="false" ht="32.8" hidden="false" customHeight="false" outlineLevel="0" collapsed="false">
      <c r="A8" s="6" t="s">
        <v>567</v>
      </c>
      <c r="B8" s="6" t="s">
        <v>586</v>
      </c>
      <c r="C8" s="15" t="n">
        <v>45133</v>
      </c>
      <c r="D8" s="8" t="s">
        <v>587</v>
      </c>
      <c r="E8" s="6" t="s">
        <v>588</v>
      </c>
      <c r="F8" s="6" t="s">
        <v>367</v>
      </c>
      <c r="G8" s="6" t="s">
        <v>94</v>
      </c>
      <c r="H8" s="6"/>
    </row>
    <row r="9" customFormat="false" ht="17.15" hidden="false" customHeight="false" outlineLevel="0" collapsed="false">
      <c r="A9" s="6" t="s">
        <v>589</v>
      </c>
      <c r="B9" s="6" t="s">
        <v>568</v>
      </c>
      <c r="C9" s="15" t="n">
        <v>45369</v>
      </c>
      <c r="D9" s="8" t="s">
        <v>569</v>
      </c>
      <c r="E9" s="8" t="s">
        <v>570</v>
      </c>
      <c r="F9" s="6" t="s">
        <v>109</v>
      </c>
      <c r="G9" s="8" t="s">
        <v>571</v>
      </c>
      <c r="H9" s="6"/>
    </row>
    <row r="10" customFormat="false" ht="28.35" hidden="false" customHeight="false" outlineLevel="0" collapsed="false">
      <c r="A10" s="6" t="s">
        <v>589</v>
      </c>
      <c r="B10" s="6" t="s">
        <v>590</v>
      </c>
      <c r="C10" s="15" t="n">
        <v>45616</v>
      </c>
      <c r="D10" s="8" t="s">
        <v>574</v>
      </c>
      <c r="E10" s="6" t="s">
        <v>591</v>
      </c>
      <c r="F10" s="6" t="s">
        <v>592</v>
      </c>
      <c r="G10" s="6" t="s">
        <v>94</v>
      </c>
      <c r="H10" s="8" t="s">
        <v>593</v>
      </c>
    </row>
    <row r="11" customFormat="false" ht="32.8" hidden="false" customHeight="false" outlineLevel="0" collapsed="false">
      <c r="A11" s="6" t="s">
        <v>589</v>
      </c>
      <c r="B11" s="6" t="s">
        <v>594</v>
      </c>
      <c r="C11" s="15" t="n">
        <v>45692</v>
      </c>
      <c r="D11" s="8" t="s">
        <v>579</v>
      </c>
      <c r="E11" s="6" t="s">
        <v>595</v>
      </c>
      <c r="F11" s="6" t="s">
        <v>596</v>
      </c>
      <c r="G11" s="6" t="s">
        <v>94</v>
      </c>
      <c r="H11" s="6" t="s">
        <v>597</v>
      </c>
    </row>
    <row r="12" customFormat="false" ht="17.15" hidden="false" customHeight="false" outlineLevel="0" collapsed="false">
      <c r="A12" s="6" t="s">
        <v>439</v>
      </c>
      <c r="B12" s="6" t="s">
        <v>568</v>
      </c>
      <c r="C12" s="15" t="n">
        <v>45734</v>
      </c>
      <c r="D12" s="8" t="s">
        <v>569</v>
      </c>
      <c r="E12" s="8" t="s">
        <v>570</v>
      </c>
      <c r="F12" s="6" t="s">
        <v>109</v>
      </c>
      <c r="G12" s="8" t="s">
        <v>571</v>
      </c>
      <c r="H12" s="6"/>
    </row>
    <row r="13" customFormat="false" ht="32.8" hidden="false" customHeight="false" outlineLevel="0" collapsed="false">
      <c r="A13" s="6" t="s">
        <v>439</v>
      </c>
      <c r="B13" s="6" t="s">
        <v>598</v>
      </c>
      <c r="C13" s="15" t="n">
        <v>45841</v>
      </c>
      <c r="D13" s="8" t="s">
        <v>599</v>
      </c>
      <c r="E13" s="6" t="s">
        <v>600</v>
      </c>
      <c r="F13" s="6" t="s">
        <v>601</v>
      </c>
      <c r="G13" s="6" t="s">
        <v>94</v>
      </c>
      <c r="H13" s="6"/>
    </row>
    <row r="14" customFormat="false" ht="32.8" hidden="false" customHeight="false" outlineLevel="0" collapsed="false">
      <c r="A14" s="6" t="s">
        <v>439</v>
      </c>
      <c r="B14" s="6" t="s">
        <v>602</v>
      </c>
      <c r="C14" s="15" t="n">
        <v>45888</v>
      </c>
      <c r="D14" s="8" t="s">
        <v>603</v>
      </c>
      <c r="E14" s="6" t="s">
        <v>604</v>
      </c>
      <c r="F14" s="6" t="s">
        <v>605</v>
      </c>
      <c r="G14" s="6" t="s">
        <v>94</v>
      </c>
      <c r="H14" s="8" t="s">
        <v>606</v>
      </c>
    </row>
    <row r="15" customFormat="false" ht="28.35" hidden="false" customHeight="false" outlineLevel="0" collapsed="false">
      <c r="A15" s="6" t="s">
        <v>445</v>
      </c>
      <c r="B15" s="6" t="s">
        <v>607</v>
      </c>
      <c r="C15" s="15" t="n">
        <v>46027</v>
      </c>
      <c r="D15" s="8" t="s">
        <v>574</v>
      </c>
      <c r="E15" s="6" t="s">
        <v>608</v>
      </c>
      <c r="F15" s="6" t="s">
        <v>609</v>
      </c>
      <c r="G15" s="6" t="s">
        <v>94</v>
      </c>
      <c r="H15" s="8" t="s">
        <v>610</v>
      </c>
    </row>
    <row r="16" customFormat="false" ht="41.75" hidden="false" customHeight="false" outlineLevel="0" collapsed="false">
      <c r="A16" s="6" t="s">
        <v>445</v>
      </c>
      <c r="B16" s="6" t="s">
        <v>611</v>
      </c>
      <c r="C16" s="15" t="n">
        <v>46295</v>
      </c>
      <c r="D16" s="8" t="s">
        <v>579</v>
      </c>
      <c r="E16" s="6" t="s">
        <v>600</v>
      </c>
      <c r="F16" s="6" t="s">
        <v>449</v>
      </c>
      <c r="G16" s="6" t="s">
        <v>94</v>
      </c>
      <c r="H16" s="8" t="s">
        <v>612</v>
      </c>
    </row>
    <row r="19" customFormat="false" ht="15" hidden="false" customHeight="false" outlineLevel="0" collapsed="false">
      <c r="A19" s="11" t="s">
        <v>613</v>
      </c>
    </row>
    <row r="20" customFormat="false" ht="17.15" hidden="false" customHeight="false" outlineLevel="0" collapsed="false">
      <c r="A20" s="4" t="s">
        <v>614</v>
      </c>
      <c r="B20" s="4" t="s">
        <v>615</v>
      </c>
      <c r="C20" s="4" t="s">
        <v>616</v>
      </c>
      <c r="D20" s="4" t="s">
        <v>617</v>
      </c>
      <c r="E20" s="4" t="s">
        <v>618</v>
      </c>
      <c r="F20" s="4" t="s">
        <v>619</v>
      </c>
      <c r="G20" s="4" t="s">
        <v>620</v>
      </c>
      <c r="H20" s="4" t="s">
        <v>13</v>
      </c>
    </row>
    <row r="21" customFormat="false" ht="32.8" hidden="false" customHeight="false" outlineLevel="0" collapsed="false">
      <c r="A21" s="0" t="s">
        <v>621</v>
      </c>
      <c r="B21" s="16" t="n">
        <f aca="false">E21/365.25</f>
        <v>1.87816563997262</v>
      </c>
      <c r="C21" s="16" t="n">
        <f aca="false">MIN(F21,G21)/365.25</f>
        <v>1.87816563997262</v>
      </c>
      <c r="D21" s="16" t="n">
        <f aca="false">MAX(F21,G21)/365.25</f>
        <v>2.16837782340862</v>
      </c>
      <c r="E21" s="13" t="n">
        <f aca="false">C11-C6</f>
        <v>686</v>
      </c>
      <c r="F21" s="13" t="n">
        <f aca="false">C11-C6</f>
        <v>686</v>
      </c>
      <c r="G21" s="13" t="n">
        <f aca="false">C10-C5</f>
        <v>792</v>
      </c>
      <c r="H21" s="8" t="s">
        <v>622</v>
      </c>
    </row>
    <row r="22" customFormat="false" ht="32.8" hidden="false" customHeight="false" outlineLevel="0" collapsed="false">
      <c r="A22" s="0" t="s">
        <v>623</v>
      </c>
      <c r="B22" s="16" t="n">
        <f aca="false">E22/365.25</f>
        <v>0.407939767282683</v>
      </c>
      <c r="C22" s="16" t="n">
        <f aca="false">MIN(F22,G22)/365.25</f>
        <v>0.407939767282683</v>
      </c>
      <c r="D22" s="16" t="n">
        <f aca="false">MAX(F22,G22)/365.25</f>
        <v>0.536618754277892</v>
      </c>
      <c r="E22" s="13" t="n">
        <f aca="false">C13-C11</f>
        <v>149</v>
      </c>
      <c r="F22" s="13" t="n">
        <f aca="false">C13-C11</f>
        <v>149</v>
      </c>
      <c r="G22" s="13" t="n">
        <f aca="false">C14-C11</f>
        <v>196</v>
      </c>
      <c r="H22" s="8" t="s">
        <v>624</v>
      </c>
    </row>
    <row r="23" customFormat="false" ht="48.5" hidden="false" customHeight="false" outlineLevel="0" collapsed="false">
      <c r="A23" s="0" t="s">
        <v>625</v>
      </c>
      <c r="B23" s="16" t="n">
        <f aca="false">E23/365.25</f>
        <v>1.17864476386037</v>
      </c>
      <c r="C23" s="16" t="n">
        <f aca="false">MIN(F23,G23)/365.25</f>
        <v>1.11430527036277</v>
      </c>
      <c r="D23" s="16" t="n">
        <f aca="false">MAX(F23,G23)/365.25</f>
        <v>1.24298425735797</v>
      </c>
      <c r="E23" s="13" t="n">
        <f aca="false">AVERAGE(F23,G23)</f>
        <v>430.5</v>
      </c>
      <c r="F23" s="13" t="n">
        <f aca="false">C16-C14</f>
        <v>407</v>
      </c>
      <c r="G23" s="13" t="n">
        <f aca="false">C16-C13</f>
        <v>454</v>
      </c>
      <c r="H23" s="8" t="s">
        <v>626</v>
      </c>
    </row>
    <row r="25" customFormat="false" ht="17.15" hidden="false" customHeight="false" outlineLevel="0" collapsed="false">
      <c r="A25" s="2" t="s">
        <v>627</v>
      </c>
    </row>
    <row r="26" customFormat="false" ht="17.15" hidden="false" customHeight="false" outlineLevel="0" collapsed="false">
      <c r="A26" s="2" t="s">
        <v>628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17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1" t="s">
        <v>629</v>
      </c>
    </row>
    <row r="2" customFormat="false" ht="17.15" hidden="false" customHeight="false" outlineLevel="0" collapsed="false">
      <c r="A2" s="17" t="s">
        <v>630</v>
      </c>
    </row>
    <row r="4" customFormat="false" ht="17.15" hidden="false" customHeight="false" outlineLevel="0" collapsed="false">
      <c r="A4" s="5" t="s">
        <v>631</v>
      </c>
      <c r="B4" s="5" t="s">
        <v>621</v>
      </c>
      <c r="C4" s="5" t="s">
        <v>623</v>
      </c>
      <c r="D4" s="5" t="s">
        <v>625</v>
      </c>
      <c r="E4" s="4"/>
      <c r="F4" s="4"/>
      <c r="G4" s="4" t="s">
        <v>632</v>
      </c>
    </row>
    <row r="5" customFormat="false" ht="17.15" hidden="false" customHeight="false" outlineLevel="0" collapsed="false">
      <c r="A5" s="0" t="s">
        <v>633</v>
      </c>
      <c r="B5" s="18" t="n">
        <v>4.84519865841925</v>
      </c>
      <c r="C5" s="18" t="n">
        <v>1.45587602238485</v>
      </c>
      <c r="D5" s="18" t="n">
        <v>1.56528522129431</v>
      </c>
      <c r="G5" s="13" t="s">
        <v>634</v>
      </c>
    </row>
    <row r="6" customFormat="false" ht="17.15" hidden="false" customHeight="false" outlineLevel="0" collapsed="false">
      <c r="A6" s="0" t="s">
        <v>635</v>
      </c>
      <c r="B6" s="18" t="n">
        <v>4.84519865841925</v>
      </c>
      <c r="C6" s="18" t="n">
        <v>1.45587602238485</v>
      </c>
      <c r="D6" s="18" t="n">
        <v>0.915334889924169</v>
      </c>
      <c r="G6" s="13" t="s">
        <v>636</v>
      </c>
    </row>
    <row r="7" customFormat="false" ht="17.15" hidden="false" customHeight="false" outlineLevel="0" collapsed="false">
      <c r="A7" s="0" t="s">
        <v>637</v>
      </c>
      <c r="B7" s="18" t="n">
        <v>4.84519865841925</v>
      </c>
      <c r="C7" s="18" t="n">
        <v>1.45587602238485</v>
      </c>
      <c r="D7" s="18" t="n">
        <v>2.0506531956019</v>
      </c>
      <c r="G7" s="13" t="s">
        <v>638</v>
      </c>
    </row>
    <row r="8" customFormat="false" ht="17.15" hidden="false" customHeight="false" outlineLevel="0" collapsed="false">
      <c r="A8" s="2" t="s">
        <v>639</v>
      </c>
      <c r="B8" s="18" t="n">
        <v>9.70308728611469</v>
      </c>
      <c r="C8" s="18" t="n">
        <v>8.82816556596761</v>
      </c>
      <c r="D8" s="18" t="n">
        <v>10.8864110021101</v>
      </c>
      <c r="G8" s="13" t="s">
        <v>640</v>
      </c>
    </row>
    <row r="9" customFormat="false" ht="17.15" hidden="false" customHeight="false" outlineLevel="0" collapsed="false">
      <c r="A9" s="2" t="s">
        <v>641</v>
      </c>
      <c r="B9" s="18" t="n">
        <v>8.82816556596761</v>
      </c>
      <c r="C9" s="18" t="n">
        <v>10.8864110021101</v>
      </c>
      <c r="D9" s="18" t="n">
        <v>12.2254710045841</v>
      </c>
      <c r="G9" s="13" t="s">
        <v>642</v>
      </c>
    </row>
    <row r="10" customFormat="false" ht="17.15" hidden="false" customHeight="false" outlineLevel="0" collapsed="false">
      <c r="A10" s="2" t="s">
        <v>643</v>
      </c>
      <c r="B10" s="19" t="n">
        <f aca="false">B9/B8</f>
        <v>0.909830583365038</v>
      </c>
      <c r="C10" s="19" t="n">
        <f aca="false">C9/C8</f>
        <v>1.23314531436485</v>
      </c>
      <c r="D10" s="19" t="n">
        <f aca="false">D9/D8</f>
        <v>1.12300288885055</v>
      </c>
      <c r="G10" s="2" t="s">
        <v>644</v>
      </c>
    </row>
    <row r="11" customFormat="false" ht="17.15" hidden="false" customHeight="false" outlineLevel="0" collapsed="false">
      <c r="A11" s="2" t="s">
        <v>645</v>
      </c>
      <c r="B11" s="18" t="n">
        <v>718.048</v>
      </c>
      <c r="C11" s="18" t="n">
        <v>501.768</v>
      </c>
      <c r="D11" s="18" t="n">
        <v>487.008</v>
      </c>
      <c r="G11" s="13" t="s">
        <v>646</v>
      </c>
    </row>
    <row r="12" customFormat="false" ht="17.15" hidden="false" customHeight="false" outlineLevel="0" collapsed="false">
      <c r="A12" s="2" t="s">
        <v>647</v>
      </c>
      <c r="B12" s="18" t="n">
        <v>501.768</v>
      </c>
      <c r="C12" s="18" t="n">
        <v>487.008</v>
      </c>
      <c r="D12" s="18" t="n">
        <v>291.744</v>
      </c>
      <c r="G12" s="13" t="s">
        <v>648</v>
      </c>
    </row>
    <row r="13" customFormat="false" ht="17.15" hidden="false" customHeight="false" outlineLevel="0" collapsed="false">
      <c r="A13" s="0" t="s">
        <v>649</v>
      </c>
      <c r="B13" s="16" t="n">
        <f aca="false">上市間隔!B21</f>
        <v>1.87816563997262</v>
      </c>
      <c r="C13" s="16" t="n">
        <f aca="false">上市間隔!B22</f>
        <v>0.407939767282683</v>
      </c>
      <c r="D13" s="16" t="n">
        <f aca="false">上市間隔!B23</f>
        <v>1.17864476386037</v>
      </c>
    </row>
    <row r="14" customFormat="false" ht="17.15" hidden="false" customHeight="false" outlineLevel="0" collapsed="false">
      <c r="A14" s="0" t="s">
        <v>650</v>
      </c>
      <c r="B14" s="16" t="n">
        <f aca="false">上市間隔!C21</f>
        <v>1.87816563997262</v>
      </c>
      <c r="C14" s="16" t="n">
        <f aca="false">上市間隔!C22</f>
        <v>0.407939767282683</v>
      </c>
      <c r="D14" s="16" t="n">
        <f aca="false">上市間隔!C23</f>
        <v>1.11430527036277</v>
      </c>
    </row>
    <row r="15" customFormat="false" ht="17.15" hidden="false" customHeight="false" outlineLevel="0" collapsed="false">
      <c r="A15" s="0" t="s">
        <v>651</v>
      </c>
      <c r="B15" s="16" t="n">
        <f aca="false">上市間隔!D21</f>
        <v>2.16837782340862</v>
      </c>
      <c r="C15" s="16" t="n">
        <f aca="false">上市間隔!D22</f>
        <v>0.536618754277892</v>
      </c>
      <c r="D15" s="16" t="n">
        <f aca="false">上市間隔!D23</f>
        <v>1.24298425735797</v>
      </c>
    </row>
    <row r="17" customFormat="false" ht="17.15" hidden="false" customHeight="false" outlineLevel="0" collapsed="false">
      <c r="A17" s="5" t="s">
        <v>652</v>
      </c>
      <c r="B17" s="5" t="s">
        <v>621</v>
      </c>
      <c r="C17" s="5" t="s">
        <v>623</v>
      </c>
      <c r="D17" s="5" t="s">
        <v>625</v>
      </c>
      <c r="E17" s="4"/>
      <c r="F17" s="4"/>
      <c r="G17" s="4" t="s">
        <v>644</v>
      </c>
    </row>
    <row r="18" customFormat="false" ht="17.15" hidden="false" customHeight="false" outlineLevel="0" collapsed="false">
      <c r="A18" s="0" t="s">
        <v>653</v>
      </c>
      <c r="B18" s="14" t="n">
        <f aca="false">B5^(-1/B13)-1</f>
        <v>-0.568365118286449</v>
      </c>
      <c r="C18" s="14" t="n">
        <f aca="false">C5^(-1/C13)-1</f>
        <v>-0.601777057473381</v>
      </c>
      <c r="D18" s="14" t="n">
        <f aca="false">D5^(-1/D13)-1</f>
        <v>-0.316244788316002</v>
      </c>
      <c r="G18" s="13" t="s">
        <v>654</v>
      </c>
    </row>
    <row r="19" customFormat="false" ht="17.15" hidden="false" customHeight="false" outlineLevel="0" collapsed="false">
      <c r="A19" s="0" t="s">
        <v>655</v>
      </c>
      <c r="B19" s="14" t="n">
        <f aca="false">B5^(-1/B14)-1</f>
        <v>-0.568365118286449</v>
      </c>
      <c r="C19" s="14" t="n">
        <f aca="false">C5^(-1/C14)-1</f>
        <v>-0.601777057473381</v>
      </c>
      <c r="D19" s="14" t="n">
        <f aca="false">D5^(-1/D14)-1</f>
        <v>-0.331089695704611</v>
      </c>
    </row>
    <row r="20" customFormat="false" ht="17.15" hidden="false" customHeight="false" outlineLevel="0" collapsed="false">
      <c r="A20" s="0" t="s">
        <v>656</v>
      </c>
      <c r="B20" s="14" t="n">
        <f aca="false">B5^(-1/B15)-1</f>
        <v>-0.516994643094762</v>
      </c>
      <c r="C20" s="14" t="n">
        <f aca="false">C5^(-1/C15)-1</f>
        <v>-0.503391254144195</v>
      </c>
      <c r="D20" s="14" t="n">
        <f aca="false">D5^(-1/D15)-1</f>
        <v>-0.30265684693306</v>
      </c>
    </row>
    <row r="21" customFormat="false" ht="17.15" hidden="false" customHeight="false" outlineLevel="0" collapsed="false">
      <c r="A21" s="0" t="s">
        <v>657</v>
      </c>
      <c r="B21" s="14" t="n">
        <f aca="false">(B10/B5)^(1/B13)-1</f>
        <v>-0.589544850078923</v>
      </c>
      <c r="C21" s="14" t="n">
        <f aca="false">(C10/C5)^(1/C13)-1</f>
        <v>-0.334369254714323</v>
      </c>
      <c r="D21" s="14" t="n">
        <f aca="false">(D10/D5)^(1/D13)-1</f>
        <v>-0.245524055083016</v>
      </c>
      <c r="G21" s="13" t="s">
        <v>658</v>
      </c>
    </row>
    <row r="22" customFormat="false" ht="17.15" hidden="false" customHeight="false" outlineLevel="0" collapsed="false">
      <c r="A22" s="0" t="s">
        <v>659</v>
      </c>
      <c r="B22" s="14" t="n">
        <f aca="false">(B10/B5)^(1/B14)-1</f>
        <v>-0.589544850078923</v>
      </c>
      <c r="C22" s="14" t="n">
        <f aca="false">(C10/C5)^(1/C14)-1</f>
        <v>-0.334369254714323</v>
      </c>
      <c r="D22" s="14" t="n">
        <f aca="false">(D10/D5)^(1/D14)-1</f>
        <v>-0.257697886613625</v>
      </c>
    </row>
    <row r="23" customFormat="false" ht="17.15" hidden="false" customHeight="false" outlineLevel="0" collapsed="false">
      <c r="A23" s="0" t="s">
        <v>660</v>
      </c>
      <c r="B23" s="14" t="n">
        <f aca="false">(B10/B5)^(1/B15)-1</f>
        <v>-0.537591720564231</v>
      </c>
      <c r="C23" s="14" t="n">
        <f aca="false">(C10/C5)^(1/C15)-1</f>
        <v>-0.266126358963387</v>
      </c>
      <c r="D23" s="14" t="n">
        <f aca="false">(D10/D5)^(1/D15)-1</f>
        <v>-0.234440886978979</v>
      </c>
    </row>
    <row r="24" customFormat="false" ht="17.15" hidden="false" customHeight="false" outlineLevel="0" collapsed="false">
      <c r="A24" s="0" t="s">
        <v>661</v>
      </c>
      <c r="B24" s="14" t="n">
        <f aca="false">B6^(-1/B13)-1</f>
        <v>-0.568365118286449</v>
      </c>
      <c r="C24" s="14" t="n">
        <f aca="false">C6^(-1/C13)-1</f>
        <v>-0.601777057473381</v>
      </c>
      <c r="D24" s="14" t="n">
        <f aca="false">D6^(-1/D13)-1</f>
        <v>0.0779453548951699</v>
      </c>
    </row>
    <row r="25" customFormat="false" ht="17.15" hidden="false" customHeight="false" outlineLevel="0" collapsed="false">
      <c r="A25" s="0" t="s">
        <v>662</v>
      </c>
      <c r="B25" s="14" t="n">
        <f aca="false">B7^(-1/B13)-1</f>
        <v>-0.568365118286449</v>
      </c>
      <c r="C25" s="14" t="n">
        <f aca="false">C7^(-1/C13)-1</f>
        <v>-0.601777057473381</v>
      </c>
      <c r="D25" s="14" t="n">
        <f aca="false">D7^(-1/D13)-1</f>
        <v>-0.456273320592343</v>
      </c>
    </row>
    <row r="27" customFormat="false" ht="17.15" hidden="false" customHeight="false" outlineLevel="0" collapsed="false">
      <c r="A27" s="5" t="s">
        <v>663</v>
      </c>
      <c r="B27" s="5" t="s">
        <v>621</v>
      </c>
      <c r="C27" s="5" t="s">
        <v>623</v>
      </c>
      <c r="D27" s="5" t="s">
        <v>625</v>
      </c>
      <c r="E27" s="4"/>
      <c r="F27" s="4"/>
      <c r="G27" s="4" t="s">
        <v>13</v>
      </c>
    </row>
    <row r="28" customFormat="false" ht="17.15" hidden="false" customHeight="false" outlineLevel="0" collapsed="false">
      <c r="A28" s="2" t="s">
        <v>664</v>
      </c>
      <c r="B28" s="20" t="n">
        <f aca="false">B$5*(1+(-0.25))^B$13</f>
        <v>2.82264295340894</v>
      </c>
      <c r="C28" s="20" t="n">
        <f aca="false">C$5*(1+(-0.25))^C$13</f>
        <v>1.29466353000356</v>
      </c>
      <c r="D28" s="20" t="n">
        <f aca="false">D$5*(1+(-0.25))^D$13</f>
        <v>1.11515464355146</v>
      </c>
      <c r="G28" s="2" t="s">
        <v>665</v>
      </c>
    </row>
    <row r="29" customFormat="false" ht="17.15" hidden="false" customHeight="false" outlineLevel="0" collapsed="false">
      <c r="A29" s="2" t="s">
        <v>666</v>
      </c>
      <c r="B29" s="20" t="n">
        <f aca="false">B$5*(1+(-0.1))^B$13</f>
        <v>3.97531403282168</v>
      </c>
      <c r="C29" s="20" t="n">
        <f aca="false">C$5*(1+(-0.1))^C$13</f>
        <v>1.39462707871616</v>
      </c>
      <c r="D29" s="20" t="n">
        <f aca="false">D$5*(1+(-0.1))^D$13</f>
        <v>1.3824889164076</v>
      </c>
    </row>
    <row r="30" customFormat="false" ht="17.15" hidden="false" customHeight="false" outlineLevel="0" collapsed="false">
      <c r="A30" s="2" t="s">
        <v>667</v>
      </c>
      <c r="B30" s="20" t="n">
        <f aca="false">B$5*(1+(0.05))^B$13</f>
        <v>5.31017216323738</v>
      </c>
      <c r="C30" s="20" t="n">
        <f aca="false">C$5*(1+(0.05))^C$13</f>
        <v>1.48514326879652</v>
      </c>
      <c r="D30" s="20" t="n">
        <f aca="false">D$5*(1+(0.05))^D$13</f>
        <v>1.65793744853399</v>
      </c>
    </row>
    <row r="31" customFormat="false" ht="17.15" hidden="false" customHeight="false" outlineLevel="0" collapsed="false">
      <c r="A31" s="2" t="s">
        <v>668</v>
      </c>
      <c r="B31" s="20" t="n">
        <f aca="false">B28/B$10</f>
        <v>3.10238302055016</v>
      </c>
      <c r="C31" s="20" t="n">
        <f aca="false">C28/C$10</f>
        <v>1.04988723950217</v>
      </c>
      <c r="D31" s="20" t="n">
        <f aca="false">D28/D$10</f>
        <v>0.993011375681212</v>
      </c>
    </row>
    <row r="32" customFormat="false" ht="17.15" hidden="false" customHeight="false" outlineLevel="0" collapsed="false">
      <c r="A32" s="2" t="s">
        <v>669</v>
      </c>
      <c r="B32" s="20" t="n">
        <f aca="false">B29/B$10</f>
        <v>4.36929039922889</v>
      </c>
      <c r="C32" s="20" t="n">
        <f aca="false">C29/C$10</f>
        <v>1.13095112349713</v>
      </c>
      <c r="D32" s="20" t="n">
        <f aca="false">D29/D$10</f>
        <v>1.23106443459165</v>
      </c>
    </row>
    <row r="33" customFormat="false" ht="17.15" hidden="false" customHeight="false" outlineLevel="0" collapsed="false">
      <c r="A33" s="2" t="s">
        <v>670</v>
      </c>
      <c r="B33" s="20" t="n">
        <f aca="false">B30/B$10</f>
        <v>5.8364406080938</v>
      </c>
      <c r="C33" s="20" t="n">
        <f aca="false">C30/C$10</f>
        <v>1.20435381904805</v>
      </c>
      <c r="D33" s="20" t="n">
        <f aca="false">D30/D$10</f>
        <v>1.47634299519119</v>
      </c>
    </row>
    <row r="35" customFormat="false" ht="17.15" hidden="false" customHeight="false" outlineLevel="0" collapsed="false">
      <c r="A35" s="5" t="s">
        <v>671</v>
      </c>
      <c r="B35" s="5" t="s">
        <v>621</v>
      </c>
      <c r="C35" s="5" t="s">
        <v>623</v>
      </c>
      <c r="D35" s="5" t="s">
        <v>625</v>
      </c>
      <c r="E35" s="4"/>
      <c r="F35" s="4"/>
      <c r="G35" s="4" t="s">
        <v>672</v>
      </c>
    </row>
    <row r="36" customFormat="false" ht="17.15" hidden="false" customHeight="false" outlineLevel="0" collapsed="false">
      <c r="A36" s="2" t="s">
        <v>673</v>
      </c>
      <c r="B36" s="21" t="n">
        <v>0.75</v>
      </c>
    </row>
    <row r="37" customFormat="false" ht="48.5" hidden="false" customHeight="false" outlineLevel="0" collapsed="false">
      <c r="A37" s="9" t="s">
        <v>674</v>
      </c>
      <c r="G37" s="8" t="s">
        <v>675</v>
      </c>
    </row>
    <row r="38" customFormat="false" ht="17.15" hidden="false" customHeight="false" outlineLevel="0" collapsed="false">
      <c r="A38" s="2" t="s">
        <v>676</v>
      </c>
      <c r="B38" s="20" t="n">
        <f aca="false">$B$36*30+(1-$B$36)*60</f>
        <v>37.5</v>
      </c>
      <c r="C38" s="20" t="n">
        <f aca="false">$B$36*2.5+(1-$B$36)*10</f>
        <v>4.375</v>
      </c>
      <c r="D38" s="20" t="n">
        <f aca="false">$B$36*2+(1-$B$36)*8</f>
        <v>3.5</v>
      </c>
    </row>
    <row r="39" customFormat="false" ht="17.15" hidden="false" customHeight="false" outlineLevel="0" collapsed="false">
      <c r="A39" s="2" t="s">
        <v>677</v>
      </c>
      <c r="B39" s="20" t="n">
        <f aca="false">$B$36*2.5+(1-$B$36)*10</f>
        <v>4.375</v>
      </c>
      <c r="C39" s="20" t="n">
        <f aca="false">$B$36*2+(1-$B$36)*8</f>
        <v>3.5</v>
      </c>
      <c r="D39" s="20" t="n">
        <f aca="false">$B$36*2+(1-$B$36)*10</f>
        <v>4</v>
      </c>
    </row>
    <row r="40" customFormat="false" ht="17.15" hidden="false" customHeight="false" outlineLevel="0" collapsed="false">
      <c r="A40" s="2" t="s">
        <v>678</v>
      </c>
      <c r="B40" s="19" t="n">
        <f aca="false">B39/B38</f>
        <v>0.116666666666667</v>
      </c>
      <c r="C40" s="19" t="n">
        <f aca="false">C39/C38</f>
        <v>0.8</v>
      </c>
      <c r="D40" s="19" t="n">
        <f aca="false">D39/D38</f>
        <v>1.14285714285714</v>
      </c>
    </row>
    <row r="41" customFormat="false" ht="17.15" hidden="false" customHeight="false" outlineLevel="0" collapsed="false">
      <c r="A41" s="2" t="s">
        <v>679</v>
      </c>
      <c r="B41" s="20" t="n">
        <f aca="false">B$5*B40</f>
        <v>0.565273176815579</v>
      </c>
      <c r="C41" s="20" t="n">
        <f aca="false">C$5*C40</f>
        <v>1.16470081790788</v>
      </c>
      <c r="D41" s="20" t="n">
        <f aca="false">D$5*D40</f>
        <v>1.78889739576493</v>
      </c>
    </row>
    <row r="42" customFormat="false" ht="15" hidden="false" customHeight="false" outlineLevel="0" collapsed="false">
      <c r="A42" s="2" t="s">
        <v>680</v>
      </c>
      <c r="B42" s="14" t="n">
        <f aca="false">B40^(1/B$13)-1</f>
        <v>-0.681425968415856</v>
      </c>
      <c r="C42" s="14" t="n">
        <f aca="false">C40^(1/C$13)-1</f>
        <v>-0.42131744861998</v>
      </c>
      <c r="D42" s="14" t="n">
        <f aca="false">D40^(1/D$13)-1</f>
        <v>0.119959264822602</v>
      </c>
    </row>
    <row r="43" customFormat="false" ht="17.15" hidden="false" customHeight="false" outlineLevel="0" collapsed="false">
      <c r="A43" s="2" t="s">
        <v>681</v>
      </c>
      <c r="B43" s="20" t="n">
        <f aca="false">B41/B$10</f>
        <v>0.621294982990018</v>
      </c>
      <c r="C43" s="20" t="n">
        <f aca="false">C41/C$10</f>
        <v>0.944496000868944</v>
      </c>
      <c r="D43" s="20" t="n">
        <f aca="false">D41/D$10</f>
        <v>1.59295885480397</v>
      </c>
    </row>
    <row r="44" customFormat="false" ht="17.15" hidden="false" customHeight="false" outlineLevel="0" collapsed="false">
      <c r="A44" s="2" t="s">
        <v>682</v>
      </c>
      <c r="B44" s="0" t="str">
        <f aca="false">IF(B42&gt;=B$18,"高於門檻（指數≥1）","低於門檻（指數&lt;1）")</f>
        <v>低於門檻（指數&lt;1）</v>
      </c>
      <c r="C44" s="0" t="str">
        <f aca="false">IF(C42&gt;=C$18,"高於門檻（指數≥1）","低於門檻（指數&lt;1）")</f>
        <v>高於門檻（指數≥1）</v>
      </c>
      <c r="D44" s="0" t="str">
        <f aca="false">IF(D42&gt;=D$18,"高於門檻（指數≥1）","低於門檻（指數&lt;1）")</f>
        <v>高於門檻（指數≥1）</v>
      </c>
    </row>
    <row r="45" customFormat="false" ht="17.15" hidden="false" customHeight="false" outlineLevel="0" collapsed="false">
      <c r="A45" s="2" t="s">
        <v>683</v>
      </c>
      <c r="B45" s="0" t="str">
        <f aca="false">IF(B42&gt;=B$21,"高於門檻（餘裕≥1）","低於門檻（餘裕&lt;1）")</f>
        <v>低於門檻（餘裕&lt;1）</v>
      </c>
      <c r="C45" s="0" t="str">
        <f aca="false">IF(C42&gt;=C$21,"高於門檻（餘裕≥1）","低於門檻（餘裕&lt;1）")</f>
        <v>低於門檻（餘裕&lt;1）</v>
      </c>
      <c r="D45" s="0" t="str">
        <f aca="false">IF(D42&gt;=D$21,"高於門檻（餘裕≥1）","低於門檻（餘裕&lt;1）")</f>
        <v>高於門檻（餘裕≥1）</v>
      </c>
    </row>
    <row r="47" customFormat="false" ht="48.5" hidden="false" customHeight="false" outlineLevel="0" collapsed="false">
      <c r="A47" s="9" t="s">
        <v>684</v>
      </c>
      <c r="G47" s="6" t="s">
        <v>685</v>
      </c>
    </row>
    <row r="48" customFormat="false" ht="17.15" hidden="false" customHeight="false" outlineLevel="0" collapsed="false">
      <c r="A48" s="2" t="s">
        <v>676</v>
      </c>
      <c r="B48" s="2" t="s">
        <v>686</v>
      </c>
      <c r="C48" s="20" t="n">
        <f aca="false">$B$36*3+(1-$B$36)*15</f>
        <v>6</v>
      </c>
      <c r="D48" s="20" t="n">
        <f aca="false">$B$36*3+(1-$B$36)*15</f>
        <v>6</v>
      </c>
    </row>
    <row r="49" customFormat="false" ht="17.15" hidden="false" customHeight="false" outlineLevel="0" collapsed="false">
      <c r="A49" s="2" t="s">
        <v>677</v>
      </c>
      <c r="B49" s="2" t="s">
        <v>687</v>
      </c>
      <c r="C49" s="20" t="n">
        <f aca="false">$B$36*3+(1-$B$36)*15</f>
        <v>6</v>
      </c>
      <c r="D49" s="20" t="n">
        <f aca="false">$B$36*2+(1-$B$36)*10</f>
        <v>4</v>
      </c>
    </row>
    <row r="50" customFormat="false" ht="17.15" hidden="false" customHeight="false" outlineLevel="0" collapsed="false">
      <c r="A50" s="2" t="s">
        <v>678</v>
      </c>
      <c r="C50" s="19" t="n">
        <f aca="false">C49/C48</f>
        <v>1</v>
      </c>
      <c r="D50" s="19" t="n">
        <f aca="false">D49/D48</f>
        <v>0.666666666666667</v>
      </c>
    </row>
    <row r="51" customFormat="false" ht="17.15" hidden="false" customHeight="false" outlineLevel="0" collapsed="false">
      <c r="A51" s="2" t="s">
        <v>679</v>
      </c>
      <c r="C51" s="20" t="n">
        <f aca="false">C$5*C50</f>
        <v>1.45587602238485</v>
      </c>
      <c r="D51" s="20" t="n">
        <f aca="false">D$5*D50</f>
        <v>1.04352348086287</v>
      </c>
    </row>
    <row r="52" customFormat="false" ht="15" hidden="false" customHeight="false" outlineLevel="0" collapsed="false">
      <c r="A52" s="2" t="s">
        <v>680</v>
      </c>
      <c r="C52" s="14" t="n">
        <f aca="false">C50^(1/C$13)-1</f>
        <v>0</v>
      </c>
      <c r="D52" s="14" t="n">
        <f aca="false">D50^(1/D$13)-1</f>
        <v>-0.291077874237492</v>
      </c>
    </row>
    <row r="53" customFormat="false" ht="17.15" hidden="false" customHeight="false" outlineLevel="0" collapsed="false">
      <c r="A53" s="2" t="s">
        <v>681</v>
      </c>
      <c r="C53" s="20" t="n">
        <f aca="false">C51/C$10</f>
        <v>1.18062000108618</v>
      </c>
      <c r="D53" s="20" t="n">
        <f aca="false">D51/D$10</f>
        <v>0.929225998635647</v>
      </c>
    </row>
    <row r="54" customFormat="false" ht="17.15" hidden="false" customHeight="false" outlineLevel="0" collapsed="false">
      <c r="A54" s="2" t="s">
        <v>682</v>
      </c>
      <c r="C54" s="0" t="str">
        <f aca="false">IF(C52&gt;=C$18,"高於門檻（指數≥1）","低於門檻（指數&lt;1）")</f>
        <v>高於門檻（指數≥1）</v>
      </c>
      <c r="D54" s="0" t="str">
        <f aca="false">IF(D52&gt;=D$18,"高於門檻（指數≥1）","低於門檻（指數&lt;1）")</f>
        <v>高於門檻（指數≥1）</v>
      </c>
    </row>
    <row r="55" customFormat="false" ht="17.15" hidden="false" customHeight="false" outlineLevel="0" collapsed="false">
      <c r="A55" s="2" t="s">
        <v>683</v>
      </c>
      <c r="C55" s="0" t="str">
        <f aca="false">IF(C52&gt;=C$21,"高於門檻（餘裕≥1）","低於門檻（餘裕&lt;1）")</f>
        <v>高於門檻（餘裕≥1）</v>
      </c>
      <c r="D55" s="0" t="str">
        <f aca="false">IF(D52&gt;=D$21,"高於門檻（餘裕≥1）","低於門檻（餘裕&lt;1）")</f>
        <v>低於門檻（餘裕&lt;1）</v>
      </c>
    </row>
    <row r="57" customFormat="false" ht="48.5" hidden="false" customHeight="false" outlineLevel="0" collapsed="false">
      <c r="A57" s="9" t="s">
        <v>688</v>
      </c>
      <c r="G57" s="6" t="s">
        <v>689</v>
      </c>
    </row>
    <row r="58" customFormat="false" ht="17.15" hidden="false" customHeight="false" outlineLevel="0" collapsed="false">
      <c r="A58" s="2" t="s">
        <v>676</v>
      </c>
      <c r="B58" s="2" t="s">
        <v>686</v>
      </c>
      <c r="C58" s="20" t="n">
        <f aca="false">$B$36*1.25+(1-$B$36)*5</f>
        <v>2.1875</v>
      </c>
      <c r="D58" s="20" t="n">
        <f aca="false">$B$36*1.25+(1-$B$36)*10</f>
        <v>3.4375</v>
      </c>
    </row>
    <row r="59" customFormat="false" ht="17.15" hidden="false" customHeight="false" outlineLevel="0" collapsed="false">
      <c r="A59" s="2" t="s">
        <v>677</v>
      </c>
      <c r="B59" s="2" t="s">
        <v>687</v>
      </c>
      <c r="C59" s="20" t="n">
        <f aca="false">$B$36*1.25+(1-$B$36)*10</f>
        <v>3.4375</v>
      </c>
      <c r="D59" s="20" t="n">
        <f aca="false">$B$36*2+(1-$B$36)*12</f>
        <v>4.5</v>
      </c>
    </row>
    <row r="60" customFormat="false" ht="17.15" hidden="false" customHeight="false" outlineLevel="0" collapsed="false">
      <c r="A60" s="2" t="s">
        <v>678</v>
      </c>
      <c r="C60" s="19" t="n">
        <f aca="false">C59/C58</f>
        <v>1.57142857142857</v>
      </c>
      <c r="D60" s="19" t="n">
        <f aca="false">D59/D58</f>
        <v>1.30909090909091</v>
      </c>
    </row>
    <row r="61" customFormat="false" ht="17.15" hidden="false" customHeight="false" outlineLevel="0" collapsed="false">
      <c r="A61" s="2" t="s">
        <v>679</v>
      </c>
      <c r="C61" s="20" t="n">
        <f aca="false">C$5*C60</f>
        <v>2.28780517803334</v>
      </c>
      <c r="D61" s="20" t="n">
        <f aca="false">D$5*D60</f>
        <v>2.04910065333073</v>
      </c>
    </row>
    <row r="62" customFormat="false" ht="15" hidden="false" customHeight="false" outlineLevel="0" collapsed="false">
      <c r="A62" s="2" t="s">
        <v>680</v>
      </c>
      <c r="C62" s="14" t="n">
        <f aca="false">C60^(1/C$13)-1</f>
        <v>2.02820563554486</v>
      </c>
      <c r="D62" s="14" t="n">
        <f aca="false">D60^(1/D$13)-1</f>
        <v>0.256726965366532</v>
      </c>
    </row>
    <row r="63" customFormat="false" ht="17.15" hidden="false" customHeight="false" outlineLevel="0" collapsed="false">
      <c r="A63" s="2" t="s">
        <v>681</v>
      </c>
      <c r="C63" s="20" t="n">
        <f aca="false">C61/C$10</f>
        <v>1.85526000170685</v>
      </c>
      <c r="D63" s="20" t="n">
        <f aca="false">D61/D$10</f>
        <v>1.82466196095727</v>
      </c>
    </row>
    <row r="64" customFormat="false" ht="17.15" hidden="false" customHeight="false" outlineLevel="0" collapsed="false">
      <c r="A64" s="2" t="s">
        <v>682</v>
      </c>
      <c r="C64" s="0" t="str">
        <f aca="false">IF(C62&gt;=C$18,"高於門檻（指數≥1）","低於門檻（指數&lt;1）")</f>
        <v>高於門檻（指數≥1）</v>
      </c>
      <c r="D64" s="0" t="str">
        <f aca="false">IF(D62&gt;=D$18,"高於門檻（指數≥1）","低於門檻（指數&lt;1）")</f>
        <v>高於門檻（指數≥1）</v>
      </c>
    </row>
    <row r="65" customFormat="false" ht="17.15" hidden="false" customHeight="false" outlineLevel="0" collapsed="false">
      <c r="A65" s="2" t="s">
        <v>683</v>
      </c>
      <c r="C65" s="0" t="str">
        <f aca="false">IF(C62&gt;=C$21,"高於門檻（餘裕≥1）","低於門檻（餘裕&lt;1）")</f>
        <v>高於門檻（餘裕≥1）</v>
      </c>
      <c r="D65" s="0" t="str">
        <f aca="false">IF(D62&gt;=D$21,"高於門檻（餘裕≥1）","低於門檻（餘裕&lt;1）")</f>
        <v>高於門檻（餘裕≥1）</v>
      </c>
    </row>
    <row r="67" customFormat="false" ht="32.8" hidden="false" customHeight="false" outlineLevel="0" collapsed="false">
      <c r="A67" s="9" t="s">
        <v>690</v>
      </c>
      <c r="G67" s="6" t="s">
        <v>691</v>
      </c>
    </row>
    <row r="68" customFormat="false" ht="17.15" hidden="false" customHeight="false" outlineLevel="0" collapsed="false">
      <c r="A68" s="2" t="s">
        <v>692</v>
      </c>
      <c r="B68" s="22" t="n">
        <v>37.5</v>
      </c>
    </row>
    <row r="69" customFormat="false" ht="17.15" hidden="false" customHeight="false" outlineLevel="0" collapsed="false">
      <c r="A69" s="2" t="s">
        <v>693</v>
      </c>
      <c r="B69" s="22" t="n">
        <v>0.18</v>
      </c>
    </row>
    <row r="70" customFormat="false" ht="15" hidden="false" customHeight="false" outlineLevel="0" collapsed="false">
      <c r="A70" s="2" t="s">
        <v>694</v>
      </c>
      <c r="B70" s="19" t="n">
        <f aca="false">B69/B68</f>
        <v>0.0048</v>
      </c>
    </row>
    <row r="71" customFormat="false" ht="17.15" hidden="false" customHeight="false" outlineLevel="0" collapsed="false">
      <c r="A71" s="2" t="s">
        <v>679</v>
      </c>
      <c r="B71" s="20" t="n">
        <f aca="false">B5*B70</f>
        <v>0.0232569535604124</v>
      </c>
    </row>
    <row r="72" customFormat="false" ht="15" hidden="false" customHeight="false" outlineLevel="0" collapsed="false">
      <c r="A72" s="2" t="s">
        <v>680</v>
      </c>
      <c r="B72" s="14" t="n">
        <f aca="false">B70^(1/B13)-1</f>
        <v>-0.941734287165471</v>
      </c>
    </row>
    <row r="73" customFormat="false" ht="15" hidden="false" customHeight="false" outlineLevel="0" collapsed="false">
      <c r="A73" s="2" t="s">
        <v>695</v>
      </c>
      <c r="B73" s="20" t="n">
        <f aca="false">B71/B10</f>
        <v>0.0255618507287322</v>
      </c>
    </row>
    <row r="74" customFormat="false" ht="17.15" hidden="false" customHeight="false" outlineLevel="0" collapsed="false">
      <c r="A74" s="2" t="s">
        <v>696</v>
      </c>
      <c r="B74" s="0" t="str">
        <f aca="false">IF(B72&gt;=B18,"高於門檻","低於門檻（指數&lt;1）")</f>
        <v>低於門檻（指數&lt;1）</v>
      </c>
    </row>
    <row r="75" customFormat="false" ht="17.15" hidden="false" customHeight="false" outlineLevel="0" collapsed="false">
      <c r="A75" s="2" t="s">
        <v>697</v>
      </c>
      <c r="B75" s="0" t="str">
        <f aca="false">IF(B72&gt;=B21,"高於門檻","低於門檻（餘裕&lt;1）")</f>
        <v>低於門檻（餘裕&lt;1）</v>
      </c>
    </row>
    <row r="77" customFormat="false" ht="17.15" hidden="false" customHeight="false" outlineLevel="0" collapsed="false">
      <c r="A77" s="9" t="s">
        <v>698</v>
      </c>
    </row>
    <row r="78" customFormat="false" ht="17.15" hidden="false" customHeight="false" outlineLevel="0" collapsed="false">
      <c r="A78" s="2" t="s">
        <v>699</v>
      </c>
      <c r="B78" s="19" t="n">
        <v>0.0032</v>
      </c>
    </row>
    <row r="79" customFormat="false" ht="17.15" hidden="false" customHeight="false" outlineLevel="0" collapsed="false">
      <c r="A79" s="2" t="s">
        <v>679</v>
      </c>
      <c r="B79" s="20" t="n">
        <f aca="false">B5*B78</f>
        <v>0.0155046357069416</v>
      </c>
    </row>
    <row r="80" customFormat="false" ht="15" hidden="false" customHeight="false" outlineLevel="0" collapsed="false">
      <c r="A80" s="2" t="s">
        <v>680</v>
      </c>
      <c r="B80" s="14" t="n">
        <f aca="false">B78^(1/B13)-1</f>
        <v>-0.953047792070527</v>
      </c>
    </row>
    <row r="82" customFormat="false" ht="48.5" hidden="false" customHeight="false" outlineLevel="0" collapsed="false">
      <c r="A82" s="9" t="s">
        <v>700</v>
      </c>
      <c r="G82" s="8" t="s">
        <v>701</v>
      </c>
    </row>
    <row r="83" customFormat="false" ht="17.15" hidden="false" customHeight="false" outlineLevel="0" collapsed="false">
      <c r="A83" s="0" t="s">
        <v>702</v>
      </c>
      <c r="E83" s="23" t="n">
        <v>4.7</v>
      </c>
    </row>
    <row r="84" customFormat="false" ht="17.15" hidden="false" customHeight="false" outlineLevel="0" collapsed="false">
      <c r="A84" s="2" t="s">
        <v>703</v>
      </c>
      <c r="B84" s="19" t="n">
        <f aca="false">$E83^(-B$13)</f>
        <v>0.0546624252579843</v>
      </c>
      <c r="C84" s="19" t="n">
        <f aca="false">$E83^(-C$13)</f>
        <v>0.531893344681636</v>
      </c>
      <c r="D84" s="19" t="n">
        <f aca="false">$E83^(-D$13)</f>
        <v>0.161374674373107</v>
      </c>
    </row>
    <row r="85" customFormat="false" ht="17.15" hidden="false" customHeight="false" outlineLevel="0" collapsed="false">
      <c r="A85" s="2" t="s">
        <v>704</v>
      </c>
      <c r="B85" s="20" t="n">
        <f aca="false">B$5*B84</f>
        <v>0.264850309525928</v>
      </c>
      <c r="C85" s="20" t="n">
        <f aca="false">C$5*C84</f>
        <v>0.774370766988074</v>
      </c>
      <c r="D85" s="20" t="n">
        <f aca="false">D$5*D84</f>
        <v>0.252597392887405</v>
      </c>
    </row>
    <row r="86" customFormat="false" ht="15" hidden="false" customHeight="false" outlineLevel="0" collapsed="false">
      <c r="A86" s="2" t="s">
        <v>705</v>
      </c>
      <c r="B86" s="20" t="n">
        <f aca="false">B85/B$10</f>
        <v>0.291098490607307</v>
      </c>
      <c r="C86" s="20" t="n">
        <f aca="false">C85/C$10</f>
        <v>0.627963921175765</v>
      </c>
      <c r="D86" s="20" t="n">
        <f aca="false">D85/D$10</f>
        <v>0.224930314423279</v>
      </c>
    </row>
    <row r="87" customFormat="false" ht="15" hidden="false" customHeight="false" outlineLevel="0" collapsed="false">
      <c r="A87" s="2" t="s">
        <v>706</v>
      </c>
      <c r="B87" s="14" t="n">
        <f aca="false">1/$E83-1</f>
        <v>-0.787234042553192</v>
      </c>
      <c r="C87" s="14" t="n">
        <f aca="false">1/$E83-1</f>
        <v>-0.787234042553192</v>
      </c>
      <c r="D87" s="14" t="n">
        <f aca="false">1/$E83-1</f>
        <v>-0.787234042553192</v>
      </c>
    </row>
    <row r="89" customFormat="false" ht="17.15" hidden="false" customHeight="false" outlineLevel="0" collapsed="false">
      <c r="A89" s="0" t="s">
        <v>707</v>
      </c>
      <c r="E89" s="23" t="n">
        <v>7.5</v>
      </c>
    </row>
    <row r="90" customFormat="false" ht="17.15" hidden="false" customHeight="false" outlineLevel="0" collapsed="false">
      <c r="A90" s="2" t="s">
        <v>703</v>
      </c>
      <c r="B90" s="19" t="n">
        <f aca="false">$E89^(-B$13)</f>
        <v>0.0227242732174693</v>
      </c>
      <c r="C90" s="19" t="n">
        <f aca="false">$E89^(-C$13)</f>
        <v>0.439569663000384</v>
      </c>
      <c r="D90" s="19" t="n">
        <f aca="false">$E89^(-D$13)</f>
        <v>0.0930279870714852</v>
      </c>
    </row>
    <row r="91" customFormat="false" ht="17.15" hidden="false" customHeight="false" outlineLevel="0" collapsed="false">
      <c r="A91" s="2" t="s">
        <v>704</v>
      </c>
      <c r="B91" s="20" t="n">
        <f aca="false">B$5*B90</f>
        <v>0.110103618106835</v>
      </c>
      <c r="C91" s="20" t="n">
        <f aca="false">C$5*C90</f>
        <v>0.639958932530048</v>
      </c>
      <c r="D91" s="20" t="n">
        <f aca="false">D$5*D90</f>
        <v>0.145615333329754</v>
      </c>
    </row>
    <row r="92" customFormat="false" ht="15" hidden="false" customHeight="false" outlineLevel="0" collapsed="false">
      <c r="A92" s="2" t="s">
        <v>705</v>
      </c>
      <c r="B92" s="20" t="n">
        <f aca="false">B91/B$10</f>
        <v>0.121015516646641</v>
      </c>
      <c r="C92" s="20" t="n">
        <f aca="false">C91/C$10</f>
        <v>0.518964736008965</v>
      </c>
      <c r="D92" s="20" t="n">
        <f aca="false">D91/D$10</f>
        <v>0.129666036281347</v>
      </c>
    </row>
    <row r="93" customFormat="false" ht="15" hidden="false" customHeight="false" outlineLevel="0" collapsed="false">
      <c r="A93" s="2" t="s">
        <v>706</v>
      </c>
      <c r="B93" s="14" t="n">
        <f aca="false">1/$E89-1</f>
        <v>-0.866666666666667</v>
      </c>
      <c r="C93" s="14" t="n">
        <f aca="false">1/$E89-1</f>
        <v>-0.866666666666667</v>
      </c>
      <c r="D93" s="14" t="n">
        <f aca="false">1/$E89-1</f>
        <v>-0.866666666666667</v>
      </c>
    </row>
    <row r="95" customFormat="false" ht="17.15" hidden="false" customHeight="false" outlineLevel="0" collapsed="false">
      <c r="A95" s="0" t="s">
        <v>708</v>
      </c>
      <c r="E95" s="23" t="n">
        <v>13</v>
      </c>
    </row>
    <row r="96" customFormat="false" ht="17.15" hidden="false" customHeight="false" outlineLevel="0" collapsed="false">
      <c r="A96" s="2" t="s">
        <v>703</v>
      </c>
      <c r="B96" s="19" t="n">
        <f aca="false">$E95^(-B$13)</f>
        <v>0.00808779008523421</v>
      </c>
      <c r="C96" s="19" t="n">
        <f aca="false">$E95^(-C$13)</f>
        <v>0.351219166647141</v>
      </c>
      <c r="D96" s="19" t="n">
        <f aca="false">$E95^(-D$13)</f>
        <v>0.0486470490102317</v>
      </c>
    </row>
    <row r="97" customFormat="false" ht="17.15" hidden="false" customHeight="false" outlineLevel="0" collapsed="false">
      <c r="A97" s="2" t="s">
        <v>704</v>
      </c>
      <c r="B97" s="20" t="n">
        <f aca="false">B$5*B96</f>
        <v>0.0391869496705533</v>
      </c>
      <c r="C97" s="20" t="n">
        <f aca="false">C$5*C96</f>
        <v>0.511331563323562</v>
      </c>
      <c r="D97" s="20" t="n">
        <f aca="false">D$5*D96</f>
        <v>0.0761465068752957</v>
      </c>
    </row>
    <row r="98" customFormat="false" ht="15" hidden="false" customHeight="false" outlineLevel="0" collapsed="false">
      <c r="A98" s="2" t="s">
        <v>705</v>
      </c>
      <c r="B98" s="20" t="n">
        <f aca="false">B97/B$10</f>
        <v>0.0430706006008493</v>
      </c>
      <c r="C98" s="20" t="n">
        <f aca="false">C97/C$10</f>
        <v>0.414656372908435</v>
      </c>
      <c r="D98" s="20" t="n">
        <f aca="false">D97/D$10</f>
        <v>0.0678061540458148</v>
      </c>
    </row>
    <row r="99" customFormat="false" ht="15" hidden="false" customHeight="false" outlineLevel="0" collapsed="false">
      <c r="A99" s="2" t="s">
        <v>706</v>
      </c>
      <c r="B99" s="14" t="n">
        <f aca="false">1/$E95-1</f>
        <v>-0.923076923076923</v>
      </c>
      <c r="C99" s="14" t="n">
        <f aca="false">1/$E95-1</f>
        <v>-0.923076923076923</v>
      </c>
      <c r="D99" s="14" t="n">
        <f aca="false">1/$E95-1</f>
        <v>-0.923076923076923</v>
      </c>
    </row>
    <row r="101" customFormat="false" ht="17.15" hidden="false" customHeight="false" outlineLevel="0" collapsed="false">
      <c r="A101" s="0" t="s">
        <v>709</v>
      </c>
      <c r="E101" s="23" t="n">
        <v>40</v>
      </c>
    </row>
    <row r="102" customFormat="false" ht="17.15" hidden="false" customHeight="false" outlineLevel="0" collapsed="false">
      <c r="A102" s="2" t="s">
        <v>703</v>
      </c>
      <c r="B102" s="19" t="n">
        <f aca="false">$E101^(-B$13)</f>
        <v>0.00097963878525606</v>
      </c>
      <c r="C102" s="19" t="n">
        <f aca="false">$E101^(-C$13)</f>
        <v>0.222052680425897</v>
      </c>
      <c r="D102" s="19" t="n">
        <f aca="false">$E101^(-D$13)</f>
        <v>0.0129342240557375</v>
      </c>
    </row>
    <row r="103" customFormat="false" ht="17.15" hidden="false" customHeight="false" outlineLevel="0" collapsed="false">
      <c r="A103" s="2" t="s">
        <v>704</v>
      </c>
      <c r="B103" s="20" t="n">
        <f aca="false">B$5*B102</f>
        <v>0.00474654452805812</v>
      </c>
      <c r="C103" s="20" t="n">
        <f aca="false">C$5*C102</f>
        <v>0.323281173138349</v>
      </c>
      <c r="D103" s="20" t="n">
        <f aca="false">D$5*D102</f>
        <v>0.0202457497633552</v>
      </c>
    </row>
    <row r="104" customFormat="false" ht="15" hidden="false" customHeight="false" outlineLevel="0" collapsed="false">
      <c r="A104" s="2" t="s">
        <v>705</v>
      </c>
      <c r="B104" s="20" t="n">
        <f aca="false">B103/B$10</f>
        <v>0.00521695424933164</v>
      </c>
      <c r="C104" s="20" t="n">
        <f aca="false">C103/C$10</f>
        <v>0.262159835805612</v>
      </c>
      <c r="D104" s="20" t="n">
        <f aca="false">D103/D$10</f>
        <v>0.0180282258971548</v>
      </c>
    </row>
    <row r="105" customFormat="false" ht="15" hidden="false" customHeight="false" outlineLevel="0" collapsed="false">
      <c r="A105" s="2" t="s">
        <v>706</v>
      </c>
      <c r="B105" s="14" t="n">
        <f aca="false">1/$E101-1</f>
        <v>-0.975</v>
      </c>
      <c r="C105" s="14" t="n">
        <f aca="false">1/$E101-1</f>
        <v>-0.975</v>
      </c>
      <c r="D105" s="14" t="n">
        <f aca="false">1/$E101-1</f>
        <v>-0.975</v>
      </c>
    </row>
    <row r="107" customFormat="false" ht="32.8" hidden="false" customHeight="false" outlineLevel="0" collapsed="false">
      <c r="A107" s="9" t="s">
        <v>710</v>
      </c>
      <c r="G107" s="8" t="s">
        <v>711</v>
      </c>
    </row>
    <row r="108" customFormat="false" ht="15" hidden="false" customHeight="false" outlineLevel="0" collapsed="false">
      <c r="A108" s="2" t="s">
        <v>712</v>
      </c>
      <c r="B108" s="24" t="n">
        <v>8760</v>
      </c>
    </row>
    <row r="109" customFormat="false" ht="17.15" hidden="false" customHeight="false" outlineLevel="0" collapsed="false">
      <c r="A109" s="0" t="s">
        <v>713</v>
      </c>
      <c r="B109" s="22" t="n">
        <v>6.16</v>
      </c>
    </row>
    <row r="110" customFormat="false" ht="17.15" hidden="false" customHeight="false" outlineLevel="0" collapsed="false">
      <c r="A110" s="0" t="s">
        <v>714</v>
      </c>
      <c r="B110" s="22" t="n">
        <v>10.5</v>
      </c>
    </row>
    <row r="111" customFormat="false" ht="17.15" hidden="false" customHeight="false" outlineLevel="0" collapsed="false">
      <c r="A111" s="2" t="s">
        <v>715</v>
      </c>
      <c r="B111" s="20" t="n">
        <f aca="false">B110/B109</f>
        <v>1.70454545454545</v>
      </c>
    </row>
    <row r="112" customFormat="false" ht="17.15" hidden="false" customHeight="false" outlineLevel="0" collapsed="false">
      <c r="A112" s="2" t="s">
        <v>716</v>
      </c>
      <c r="B112" s="20" t="n">
        <f aca="false">B111*B12/B11</f>
        <v>1.19112700493054</v>
      </c>
    </row>
    <row r="113" customFormat="false" ht="17.15" hidden="false" customHeight="false" outlineLevel="0" collapsed="false">
      <c r="A113" s="2" t="s">
        <v>717</v>
      </c>
      <c r="B113" s="20" t="n">
        <f aca="false">B112/B10</f>
        <v>1.30917450645055</v>
      </c>
    </row>
    <row r="114" customFormat="false" ht="32.8" hidden="false" customHeight="false" outlineLevel="0" collapsed="false">
      <c r="A114" s="0" t="s">
        <v>718</v>
      </c>
      <c r="C114" s="2" t="s">
        <v>686</v>
      </c>
      <c r="D114" s="2" t="s">
        <v>686</v>
      </c>
      <c r="G114" s="8" t="s">
        <v>719</v>
      </c>
    </row>
    <row r="116" customFormat="false" ht="17.15" hidden="false" customHeight="false" outlineLevel="0" collapsed="false">
      <c r="A116" s="11" t="s">
        <v>720</v>
      </c>
    </row>
    <row r="117" customFormat="false" ht="32.8" hidden="false" customHeight="false" outlineLevel="0" collapsed="false">
      <c r="A117" s="4" t="s">
        <v>721</v>
      </c>
      <c r="B117" s="5" t="s">
        <v>314</v>
      </c>
      <c r="C117" s="4" t="s">
        <v>722</v>
      </c>
      <c r="D117" s="5" t="s">
        <v>723</v>
      </c>
      <c r="E117" s="4" t="s">
        <v>724</v>
      </c>
      <c r="F117" s="4" t="s">
        <v>725</v>
      </c>
      <c r="G117" s="4"/>
    </row>
    <row r="118" customFormat="false" ht="17.15" hidden="false" customHeight="false" outlineLevel="0" collapsed="false">
      <c r="A118" s="0" t="s">
        <v>726</v>
      </c>
      <c r="B118" s="22" t="n">
        <v>6.16</v>
      </c>
      <c r="C118" s="25" t="n">
        <f aca="false">B11</f>
        <v>718.048</v>
      </c>
      <c r="D118" s="16" t="n">
        <f aca="false">B118*C118*$B$108/1000000</f>
        <v>38.7470189568</v>
      </c>
      <c r="E118" s="20" t="n">
        <f aca="false">B8</f>
        <v>9.70308728611469</v>
      </c>
      <c r="F118" s="16" t="n">
        <f aca="false">D118/E118</f>
        <v>3.99326707204291</v>
      </c>
    </row>
    <row r="119" customFormat="false" ht="17.15" hidden="false" customHeight="false" outlineLevel="0" collapsed="false">
      <c r="A119" s="0" t="s">
        <v>727</v>
      </c>
      <c r="B119" s="22" t="n">
        <v>3.33</v>
      </c>
      <c r="C119" s="25" t="n">
        <f aca="false">B11</f>
        <v>718.048</v>
      </c>
      <c r="D119" s="16" t="n">
        <f aca="false">B119*C119*$B$108/1000000</f>
        <v>20.9460345984</v>
      </c>
      <c r="E119" s="20" t="n">
        <f aca="false">B8</f>
        <v>9.70308728611469</v>
      </c>
      <c r="F119" s="16" t="n">
        <f aca="false">D119/E119</f>
        <v>2.15869794641281</v>
      </c>
    </row>
    <row r="120" customFormat="false" ht="17.15" hidden="false" customHeight="false" outlineLevel="0" collapsed="false">
      <c r="A120" s="0" t="s">
        <v>728</v>
      </c>
      <c r="B120" s="22" t="n">
        <v>1.95</v>
      </c>
      <c r="C120" s="25" t="n">
        <f aca="false">B11</f>
        <v>718.048</v>
      </c>
      <c r="D120" s="16" t="n">
        <f aca="false">B120*C120*$B$108/1000000</f>
        <v>12.265695936</v>
      </c>
      <c r="E120" s="20" t="n">
        <f aca="false">B8</f>
        <v>9.70308728611469</v>
      </c>
      <c r="F120" s="16" t="n">
        <f aca="false">D120/E120</f>
        <v>1.26410240105254</v>
      </c>
    </row>
    <row r="121" customFormat="false" ht="17.15" hidden="false" customHeight="false" outlineLevel="0" collapsed="false">
      <c r="A121" s="0" t="s">
        <v>729</v>
      </c>
      <c r="B121" s="22" t="n">
        <v>2.99</v>
      </c>
      <c r="C121" s="25" t="n">
        <f aca="false">B11</f>
        <v>718.048</v>
      </c>
      <c r="D121" s="16" t="n">
        <f aca="false">B121*C121*$B$108/1000000</f>
        <v>18.8074004352</v>
      </c>
      <c r="E121" s="20" t="n">
        <f aca="false">B8</f>
        <v>9.70308728611469</v>
      </c>
      <c r="F121" s="16" t="n">
        <f aca="false">D121/E121</f>
        <v>1.93829034828057</v>
      </c>
    </row>
    <row r="122" customFormat="false" ht="17.15" hidden="false" customHeight="false" outlineLevel="0" collapsed="false">
      <c r="A122" s="0" t="s">
        <v>730</v>
      </c>
      <c r="B122" s="22" t="n">
        <v>10.5</v>
      </c>
      <c r="C122" s="25" t="n">
        <f aca="false">C11</f>
        <v>501.768</v>
      </c>
      <c r="D122" s="16" t="n">
        <f aca="false">B122*C122*$B$108/1000000</f>
        <v>46.15262064</v>
      </c>
      <c r="E122" s="20" t="n">
        <f aca="false">C8</f>
        <v>8.82816556596761</v>
      </c>
      <c r="F122" s="16" t="n">
        <f aca="false">D122/E122</f>
        <v>5.22788344816701</v>
      </c>
    </row>
    <row r="123" customFormat="false" ht="17.15" hidden="false" customHeight="false" outlineLevel="0" collapsed="false">
      <c r="A123" s="0" t="s">
        <v>731</v>
      </c>
      <c r="B123" s="22" t="n">
        <v>18</v>
      </c>
      <c r="C123" s="25" t="n">
        <f aca="false">D11</f>
        <v>487.008</v>
      </c>
      <c r="D123" s="16" t="n">
        <f aca="false">B123*C123*$B$108/1000000</f>
        <v>76.79142144</v>
      </c>
      <c r="E123" s="20" t="n">
        <f aca="false">D8</f>
        <v>10.8864110021101</v>
      </c>
      <c r="F123" s="16" t="n">
        <f aca="false">D123/E123</f>
        <v>7.05387858543239</v>
      </c>
    </row>
    <row r="124" customFormat="false" ht="32.8" hidden="false" customHeight="false" outlineLevel="0" collapsed="false">
      <c r="A124" s="0" t="s">
        <v>732</v>
      </c>
      <c r="D124" s="22" t="n">
        <f aca="false">9.7/5/200*1000</f>
        <v>9.7</v>
      </c>
      <c r="E124" s="20" t="n">
        <f aca="false">C9</f>
        <v>10.8864110021101</v>
      </c>
      <c r="F124" s="16" t="n">
        <f aca="false">D124/E124</f>
        <v>0.891019087752599</v>
      </c>
      <c r="G124" s="6" t="s">
        <v>733</v>
      </c>
    </row>
    <row r="126" customFormat="false" ht="48.5" hidden="false" customHeight="false" outlineLevel="0" collapsed="false">
      <c r="A126" s="8" t="s">
        <v>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2026-10-15T06:56:32Z</dcterms:created>
  <dc:creator>openpyxl</dc:creator>
  <dc:description/>
  <dc:language>en-US</dc:language>
  <cp:lastModifiedBy/>
  <dcterms:modified xsi:type="dcterms:W3CDTF">2026-10-15T06:56:32Z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