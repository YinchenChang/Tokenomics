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結論" sheetId="1" state="visible" r:id="rId3"/>
    <sheet name="1_合約換算" sheetId="2" state="visible" r:id="rId4"/>
    <sheet name="2_所需L敏感度" sheetId="3" state="visible" r:id="rId5"/>
    <sheet name="3_推論支出口徑" sheetId="4" state="visible" r:id="rId6"/>
    <sheet name="4_牌價" sheetId="5" state="visible" r:id="rId7"/>
    <sheet name="5_世代上線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<sst xmlns="http://schemas.openxmlformats.org/spreadsheetml/2006/main" count="168" uniqueCount="147">
  <si>
    <r>
      <rPr>
        <b val="true"/>
        <sz val="13"/>
        <rFont val="Noto Sans CJK SC"/>
        <family val="2"/>
      </rPr>
      <t xml:space="preserve">回本側證據 </t>
    </r>
    <r>
      <rPr>
        <b val="true"/>
        <sz val="13"/>
        <rFont val="Cambria"/>
        <family val="0"/>
        <charset val="1"/>
      </rPr>
      <t xml:space="preserve">A </t>
    </r>
    <r>
      <rPr>
        <b val="true"/>
        <sz val="13"/>
        <rFont val="Noto Sans CJK SC"/>
        <family val="2"/>
      </rPr>
      <t xml:space="preserve">段（</t>
    </r>
    <r>
      <rPr>
        <b val="true"/>
        <sz val="13"/>
        <rFont val="Cambria"/>
        <family val="0"/>
        <charset val="1"/>
      </rPr>
      <t xml:space="preserve">2026-10-20</t>
    </r>
    <r>
      <rPr>
        <b val="true"/>
        <sz val="13"/>
        <rFont val="Noto Sans CJK SC"/>
        <family val="2"/>
      </rPr>
      <t xml:space="preserve">；查證，不改模型）</t>
    </r>
  </si>
  <si>
    <r>
      <rPr>
        <sz val="11"/>
        <color theme="1"/>
        <rFont val="Noto Sans CJK SC"/>
        <family val="2"/>
      </rPr>
      <t xml:space="preserve">對象：</t>
    </r>
    <r>
      <rPr>
        <sz val="11"/>
        <color theme="1"/>
        <rFont val="Calibri"/>
        <family val="2"/>
        <charset val="1"/>
      </rPr>
      <t xml:space="preserve">Tokenomics v17.0 </t>
    </r>
    <r>
      <rPr>
        <sz val="11"/>
        <color theme="1"/>
        <rFont val="Noto Sans CJK SC"/>
        <family val="2"/>
      </rPr>
      <t xml:space="preserve">回本判讀 </t>
    </r>
    <r>
      <rPr>
        <sz val="11"/>
        <color theme="1"/>
        <rFont val="Calibri"/>
        <family val="2"/>
        <charset val="1"/>
      </rPr>
      <t xml:space="preserve">L ≥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，所需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＝推論支出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（計價倍數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營收）。基準 </t>
    </r>
    <r>
      <rPr>
        <sz val="11"/>
        <color theme="1"/>
        <rFont val="Calibri"/>
        <family val="2"/>
        <charset val="1"/>
      </rPr>
      <t xml:space="preserve">L 0.759 </t>
    </r>
    <r>
      <rPr>
        <sz val="11"/>
        <color theme="1"/>
        <rFont val="Noto Sans CJK SC"/>
        <family val="2"/>
      </rPr>
      <t xml:space="preserve">對所需 </t>
    </r>
    <r>
      <rPr>
        <sz val="11"/>
        <color theme="1"/>
        <rFont val="Calibri"/>
        <family val="2"/>
        <charset val="1"/>
      </rPr>
      <t xml:space="preserve">L 0.756</t>
    </r>
    <r>
      <rPr>
        <sz val="11"/>
        <color theme="1"/>
        <rFont val="Noto Sans CJK SC"/>
        <family val="2"/>
      </rPr>
      <t xml:space="preserve">，比值 </t>
    </r>
    <r>
      <rPr>
        <sz val="11"/>
        <color theme="1"/>
        <rFont val="Calibri"/>
        <family val="2"/>
        <charset val="1"/>
      </rPr>
      <t xml:space="preserve">1.003</t>
    </r>
    <r>
      <rPr>
        <sz val="11"/>
        <color theme="1"/>
        <rFont val="Noto Sans CJK SC"/>
        <family val="2"/>
      </rPr>
      <t xml:space="preserve">。</t>
    </r>
  </si>
  <si>
    <t xml:space="preserve">結論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</si>
  <si>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計價倍數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：容量與金額都揭露的合約只有一筆（</t>
    </r>
    <r>
      <rPr>
        <sz val="11"/>
        <color theme="1"/>
        <rFont val="Calibri"/>
        <family val="2"/>
        <charset val="1"/>
      </rPr>
      <t xml:space="preserve">Microsoft–IREN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0.89</t>
    </r>
    <r>
      <rPr>
        <sz val="11"/>
        <color theme="1"/>
        <rFont val="Noto Sans CJK SC"/>
        <family val="2"/>
      </rPr>
      <t xml:space="preserve">；賣方公告、單一原始來源、是否含電力未明載）；</t>
    </r>
    <r>
      <rPr>
        <sz val="11"/>
        <color theme="1"/>
        <rFont val="Calibri"/>
        <family val="2"/>
        <charset val="1"/>
      </rPr>
      <t xml:space="preserve">CoreWeave 2025Q4 </t>
    </r>
    <r>
      <rPr>
        <sz val="11"/>
        <color theme="1"/>
        <rFont val="Noto Sans CJK SC"/>
        <family val="2"/>
      </rPr>
      <t xml:space="preserve">全公司彙總約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，本 </t>
    </r>
    <r>
      <rPr>
        <sz val="11"/>
        <color theme="1"/>
        <rFont val="Calibri"/>
        <family val="2"/>
        <charset val="1"/>
      </rPr>
      <t xml:space="preserve">Project CRWV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既有約 </t>
    </r>
    <r>
      <rPr>
        <sz val="11"/>
        <color theme="1"/>
        <rFont val="Calibri"/>
        <family val="2"/>
        <charset val="1"/>
      </rPr>
      <t xml:space="preserve">0.91</t>
    </r>
    <r>
      <rPr>
        <sz val="11"/>
        <color theme="1"/>
        <rFont val="Noto Sans CJK SC"/>
        <family val="2"/>
      </rPr>
      <t xml:space="preserve">（同為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，不算獨立證據）。觀測中位數 </t>
    </r>
    <r>
      <rPr>
        <sz val="11"/>
        <color theme="1"/>
        <rFont val="Calibri"/>
        <family val="2"/>
        <charset val="1"/>
      </rPr>
      <t xml:space="preserve">0.905</t>
    </r>
    <r>
      <rPr>
        <sz val="11"/>
        <color theme="1"/>
        <rFont val="Noto Sans CJK SC"/>
        <family val="2"/>
      </rPr>
      <t xml:space="preserve">，比 </t>
    </r>
    <r>
      <rPr>
        <sz val="11"/>
        <color theme="1"/>
        <rFont val="Calibri"/>
        <family val="2"/>
        <charset val="1"/>
      </rPr>
      <t xml:space="preserve">0.85 </t>
    </r>
    <r>
      <rPr>
        <sz val="11"/>
        <color theme="1"/>
        <rFont val="Noto Sans CJK SC"/>
        <family val="2"/>
      </rPr>
      <t xml:space="preserve">高約 </t>
    </r>
    <r>
      <rPr>
        <sz val="11"/>
        <color theme="1"/>
        <rFont val="Calibri"/>
        <family val="2"/>
        <charset val="1"/>
      </rPr>
      <t xml:space="preserve">5–6%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0.85 </t>
    </r>
    <r>
      <rPr>
        <sz val="11"/>
        <color theme="1"/>
        <rFont val="Noto Sans CJK SC"/>
        <family val="2"/>
      </rPr>
      <t xml:space="preserve">沒被推翻，區間低端 </t>
    </r>
    <r>
      <rPr>
        <sz val="11"/>
        <color theme="1"/>
        <rFont val="Calibri"/>
        <family val="2"/>
        <charset val="1"/>
      </rPr>
      <t xml:space="preserve">0.73 </t>
    </r>
    <r>
      <rPr>
        <sz val="11"/>
        <color theme="1"/>
        <rFont val="Noto Sans CJK SC"/>
        <family val="2"/>
      </rPr>
      <t xml:space="preserve">沒有證據支持。限制：觀測值全是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或混合世代，找不到 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單一合約，而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機隊以 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為主。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一筆因年額矛盾（年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億對「五年 </t>
    </r>
    <r>
      <rPr>
        <sz val="11"/>
        <color theme="1"/>
        <rFont val="Calibri"/>
        <family val="2"/>
        <charset val="1"/>
      </rPr>
      <t xml:space="preserve">3,000 </t>
    </r>
    <r>
      <rPr>
        <sz val="11"/>
        <color theme="1"/>
        <rFont val="Noto Sans CJK SC"/>
        <family val="2"/>
      </rPr>
      <t xml:space="preserve">億」即年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億）不採用。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</si>
  <si>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但這些都是供應商賣給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／市場的價格，不是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實付的價格。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的關聯方（持股約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），又大量以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額度支付，實付價可能高於或低於市場——找不到公開資料。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</si>
  <si>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推論支出的口徑比計價倍數更關鍵：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億（查核營業成本）對 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億（投資人資料）差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億，所需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0.08</t>
    </r>
    <r>
      <rPr>
        <sz val="11"/>
        <color theme="1"/>
        <rFont val="Noto Sans CJK SC"/>
        <family val="2"/>
      </rPr>
      <t xml:space="preserve">；計價倍數 </t>
    </r>
    <r>
      <rPr>
        <sz val="11"/>
        <color theme="1"/>
        <rFont val="Calibri"/>
        <family val="2"/>
        <charset val="1"/>
      </rPr>
      <t xml:space="preserve">0.85→0.89 </t>
    </r>
    <r>
      <rPr>
        <sz val="11"/>
        <color theme="1"/>
        <rFont val="Noto Sans CJK SC"/>
        <family val="2"/>
      </rPr>
      <t xml:space="preserve">只差 </t>
    </r>
    <r>
      <rPr>
        <sz val="11"/>
        <color theme="1"/>
        <rFont val="Calibri"/>
        <family val="2"/>
        <charset val="1"/>
      </rPr>
      <t xml:space="preserve">0.03</t>
    </r>
    <r>
      <rPr>
        <sz val="11"/>
        <color theme="1"/>
        <rFont val="Noto Sans CJK SC"/>
        <family val="2"/>
      </rPr>
      <t xml:space="preserve">。推論上兩者不可能同為「服務推論的完整直接成本」（無來源證實差額記在哪裡），至今沒有一手資料把 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億對齊。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億是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端帳單推估，可能含非現金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額度，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發言人稱該數字「不太對」。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</si>
  <si>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回本判讀在合理組合下不變：推論支出取 </t>
    </r>
    <r>
      <rPr>
        <sz val="11"/>
        <color theme="1"/>
        <rFont val="Calibri"/>
        <family val="2"/>
        <charset val="1"/>
      </rPr>
      <t xml:space="preserve">75–88 </t>
    </r>
    <r>
      <rPr>
        <sz val="11"/>
        <color theme="1"/>
        <rFont val="Noto Sans CJK SC"/>
        <family val="2"/>
      </rPr>
      <t xml:space="preserve">億時，不論計價倍數取 </t>
    </r>
    <r>
      <rPr>
        <sz val="11"/>
        <color theme="1"/>
        <rFont val="Calibri"/>
        <family val="2"/>
        <charset val="1"/>
      </rPr>
      <t xml:space="preserve">0.73–1.17</t>
    </r>
    <r>
      <rPr>
        <sz val="11"/>
        <color theme="1"/>
        <rFont val="Noto Sans CJK SC"/>
        <family val="2"/>
      </rPr>
      <t xml:space="preserve">，都仍是「未定」（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0.473–1.138 </t>
    </r>
    <r>
      <rPr>
        <sz val="11"/>
        <color theme="1"/>
        <rFont val="Noto Sans CJK SC"/>
        <family val="2"/>
      </rPr>
      <t xml:space="preserve">涵蓋所需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）。只有推論支出只算付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60.47 </t>
    </r>
    <r>
      <rPr>
        <sz val="11"/>
        <color theme="1"/>
        <rFont val="Noto Sans CJK SC"/>
        <family val="2"/>
      </rPr>
      <t xml:space="preserve">億、且計價倍數 ≥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時才變「回本」——那是最寬鬆、也最不可能的組合。基準若改為計價倍數 </t>
    </r>
    <r>
      <rPr>
        <sz val="11"/>
        <color theme="1"/>
        <rFont val="Calibri"/>
        <family val="2"/>
        <charset val="1"/>
      </rPr>
      <t xml:space="preserve">0.89</t>
    </r>
    <r>
      <rPr>
        <sz val="11"/>
        <color theme="1"/>
        <rFont val="Noto Sans CJK SC"/>
        <family val="2"/>
      </rPr>
      <t xml:space="preserve">，比值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；若推論支出改為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億，比值 </t>
    </r>
    <r>
      <rPr>
        <sz val="11"/>
        <color theme="1"/>
        <rFont val="Calibri"/>
        <family val="2"/>
        <charset val="1"/>
      </rPr>
      <t xml:space="preserve">1.12</t>
    </r>
    <r>
      <rPr>
        <sz val="11"/>
        <color theme="1"/>
        <rFont val="Noto Sans CJK SC"/>
        <family val="2"/>
      </rPr>
      <t xml:space="preserve">；兩者都改，比值 </t>
    </r>
    <r>
      <rPr>
        <sz val="11"/>
        <color theme="1"/>
        <rFont val="Calibri"/>
        <family val="2"/>
        <charset val="1"/>
      </rPr>
      <t xml:space="preserve">1.18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Noto Sans CJK SC"/>
        <family val="2"/>
      </rPr>
      <t xml:space="preserve">所需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敏感度）。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</si>
  <si>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牌價（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2026-12-01 </t>
    </r>
    <r>
      <rPr>
        <sz val="11"/>
        <color theme="1"/>
        <rFont val="Noto Sans CJK SC"/>
        <family val="2"/>
      </rPr>
      <t xml:space="preserve">加倍的是 </t>
    </r>
    <r>
      <rPr>
        <sz val="11"/>
        <color theme="1"/>
        <rFont val="Calibri"/>
        <family val="2"/>
        <charset val="1"/>
      </rPr>
      <t xml:space="preserve">Gemini 4 Argon</t>
    </r>
    <r>
      <rPr>
        <sz val="11"/>
        <color theme="1"/>
        <rFont val="Noto Sans CJK SC"/>
        <family val="2"/>
      </rPr>
      <t xml:space="preserve">（官方頁標為旗艦，但介紹價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與中階同價，歸類待定）；中階 </t>
    </r>
    <r>
      <rPr>
        <sz val="11"/>
        <color theme="1"/>
        <rFont val="Calibri"/>
        <family val="2"/>
        <charset val="1"/>
      </rPr>
      <t xml:space="preserve">Flash </t>
    </r>
    <r>
      <rPr>
        <sz val="11"/>
        <color theme="1"/>
        <rFont val="Noto Sans CJK SC"/>
        <family val="2"/>
      </rPr>
      <t xml:space="preserve">系列是 </t>
    </r>
    <r>
      <rPr>
        <sz val="11"/>
        <color theme="1"/>
        <rFont val="Calibri"/>
        <family val="2"/>
        <charset val="1"/>
      </rPr>
      <t xml:space="preserve">2027-01-01 </t>
    </r>
    <r>
      <rPr>
        <sz val="11"/>
        <color theme="1"/>
        <rFont val="Noto Sans CJK SC"/>
        <family val="2"/>
      </rPr>
      <t xml:space="preserve">加倍。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中階目前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$/M </t>
    </r>
    <r>
      <rPr>
        <sz val="11"/>
        <color theme="1"/>
        <rFont val="Noto Sans CJK SC"/>
        <family val="2"/>
      </rPr>
      <t xml:space="preserve">輸入／輸出），未見排定漲價。這些頁面是代理經網頁摘要讀到的，建議人工複核官方頁。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</si>
  <si>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世代上線：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大規模量的證據集中在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Abilene 2025-06 </t>
    </r>
    <r>
      <rPr>
        <sz val="11"/>
        <color theme="1"/>
        <rFont val="Noto Sans CJK SC"/>
        <family val="2"/>
      </rPr>
      <t xml:space="preserve">起交付、</t>
    </r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第一棟全面運作）；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已有少量（</t>
    </r>
    <r>
      <rPr>
        <sz val="11"/>
        <color theme="1"/>
        <rFont val="Calibri"/>
        <family val="2"/>
        <charset val="1"/>
      </rPr>
      <t xml:space="preserve">Azure 8 </t>
    </r>
    <r>
      <rPr>
        <sz val="11"/>
        <color theme="1"/>
        <rFont val="Noto Sans CJK SC"/>
        <family val="2"/>
      </rPr>
      <t xml:space="preserve">座機櫃、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上市），</t>
    </r>
    <r>
      <rPr>
        <sz val="11"/>
        <color theme="1"/>
        <rFont val="Calibri"/>
        <family val="2"/>
        <charset val="1"/>
      </rPr>
      <t xml:space="preserve">2025-03 Azure ND GB200 v6 GA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占比與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數量找不到揭露。</t>
    </r>
  </si>
  <si>
    <r>
      <rPr>
        <b val="true"/>
        <sz val="11"/>
        <rFont val="Noto Sans CJK SC"/>
        <family val="2"/>
      </rPr>
      <t xml:space="preserve">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判斷（附預設）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</si>
  <si>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計價倍數：預設＝暫不改（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0.73–1.17</t>
    </r>
    <r>
      <rPr>
        <sz val="11"/>
        <color theme="1"/>
        <rFont val="Noto Sans CJK SC"/>
        <family val="2"/>
      </rPr>
      <t xml:space="preserve">），等推論支出口徑查清後一併處理。理由：計價倍數是相對推論支出 </t>
    </r>
    <r>
      <rPr>
        <sz val="11"/>
        <color theme="1"/>
        <rFont val="Calibri"/>
        <family val="2"/>
        <charset val="1"/>
      </rPr>
      <t xml:space="preserve">SRC_DEM_004 </t>
    </r>
    <r>
      <rPr>
        <sz val="11"/>
        <color theme="1"/>
        <rFont val="Noto Sans CJK SC"/>
        <family val="2"/>
      </rPr>
      <t xml:space="preserve">的口徑定義的，兩者要一起改，單獨改會混口徑。替代：現在把基準改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0.85–1.00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</si>
  <si>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推論支出口徑：預設＝維持 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億主口徑（</t>
    </r>
    <r>
      <rPr>
        <sz val="11"/>
        <color theme="1"/>
        <rFont val="Calibri"/>
        <family val="2"/>
        <charset val="1"/>
      </rPr>
      <t xml:space="preserve">Andy 2026-10-17</t>
    </r>
    <r>
      <rPr>
        <sz val="11"/>
        <color theme="1"/>
        <rFont val="Noto Sans CJK SC"/>
        <family val="2"/>
      </rPr>
      <t xml:space="preserve">「照建議」），並把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億（查核財報）列為下一步要釐清的第一項：查 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億比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億多出的部分是否記在研發。</t>
    </r>
  </si>
  <si>
    <r>
      <rPr>
        <sz val="11"/>
        <color theme="1"/>
        <rFont val="Noto Sans CJK SC"/>
        <family val="2"/>
      </rPr>
      <t xml:space="preserve">分頁：</t>
    </r>
    <r>
      <rPr>
        <sz val="11"/>
        <color theme="1"/>
        <rFont val="Calibri"/>
        <family val="2"/>
        <charset val="1"/>
      </rPr>
      <t xml:space="preserve">1_</t>
    </r>
    <r>
      <rPr>
        <sz val="11"/>
        <color theme="1"/>
        <rFont val="Noto Sans CJK SC"/>
        <family val="2"/>
      </rPr>
      <t xml:space="preserve">合約換算（每筆合約的換算與可用性）、</t>
    </r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Noto Sans CJK SC"/>
        <family val="2"/>
      </rPr>
      <t xml:space="preserve">所需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敏感度（推論支出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計價倍數）、</t>
    </r>
    <r>
      <rPr>
        <sz val="11"/>
        <color theme="1"/>
        <rFont val="Calibri"/>
        <family val="2"/>
        <charset val="1"/>
      </rPr>
      <t xml:space="preserve">3_</t>
    </r>
    <r>
      <rPr>
        <sz val="11"/>
        <color theme="1"/>
        <rFont val="Noto Sans CJK SC"/>
        <family val="2"/>
      </rPr>
      <t xml:space="preserve">推論支出口徑、</t>
    </r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Noto Sans CJK SC"/>
        <family val="2"/>
      </rPr>
      <t xml:space="preserve">牌價、</t>
    </r>
    <r>
      <rPr>
        <sz val="11"/>
        <color theme="1"/>
        <rFont val="Calibri"/>
        <family val="2"/>
        <charset val="1"/>
      </rPr>
      <t xml:space="preserve">5_</t>
    </r>
    <r>
      <rPr>
        <sz val="11"/>
        <color theme="1"/>
        <rFont val="Noto Sans CJK SC"/>
        <family val="2"/>
      </rPr>
      <t xml:space="preserve">世代上線。藍字＝輸入；黑字＝公式；黃底＝本簿判斷。</t>
    </r>
  </si>
  <si>
    <r>
      <rPr>
        <sz val="11"/>
        <color theme="1"/>
        <rFont val="Noto Sans CJK SC"/>
        <family val="2"/>
      </rPr>
      <t xml:space="preserve">來源與方法：研究代理 </t>
    </r>
    <r>
      <rPr>
        <sz val="11"/>
        <color theme="1"/>
        <rFont val="Calibri"/>
        <family val="2"/>
        <charset val="1"/>
      </rPr>
      <t xml:space="preserve">2026-10-20 </t>
    </r>
    <r>
      <rPr>
        <sz val="11"/>
        <color theme="1"/>
        <rFont val="Noto Sans CJK SC"/>
        <family val="2"/>
      </rPr>
      <t xml:space="preserve">查證（</t>
    </r>
    <r>
      <rPr>
        <sz val="11"/>
        <color theme="1"/>
        <rFont val="Calibri"/>
        <family val="2"/>
        <charset val="1"/>
      </rPr>
      <t xml:space="preserve">WebSearch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WebFetch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端審查並抽查 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200 MW IT </t>
    </r>
    <r>
      <rPr>
        <sz val="11"/>
        <color theme="1"/>
        <rFont val="Noto Sans CJK SC"/>
        <family val="2"/>
      </rPr>
      <t xml:space="preserve">負載，五年 </t>
    </r>
    <r>
      <rPr>
        <sz val="11"/>
        <color theme="1"/>
        <rFont val="Calibri"/>
        <family val="2"/>
        <charset val="1"/>
      </rPr>
      <t xml:space="preserve">97 </t>
    </r>
    <r>
      <rPr>
        <sz val="11"/>
        <color theme="1"/>
        <rFont val="Noto Sans CJK SC"/>
        <family val="2"/>
      </rPr>
      <t xml:space="preserve">億，確認）與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3,000 </t>
    </r>
    <r>
      <rPr>
        <sz val="11"/>
        <color theme="1"/>
        <rFont val="Noto Sans CJK SC"/>
        <family val="2"/>
      </rPr>
      <t xml:space="preserve">億、五年、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</t>
    </r>
    <r>
      <rPr>
        <sz val="11"/>
        <color theme="1"/>
        <rFont val="Calibri"/>
        <family val="2"/>
        <charset val="1"/>
      </rPr>
      <t xml:space="preserve">4.5 GW </t>
    </r>
    <r>
      <rPr>
        <sz val="11"/>
        <color theme="1"/>
        <rFont val="Noto Sans CJK SC"/>
        <family val="2"/>
      </rPr>
      <t xml:space="preserve">是另一則公告，報導未連結兩者——因此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一筆降為不採用）。</t>
    </r>
  </si>
  <si>
    <t xml:space="preserve">買方</t>
  </si>
  <si>
    <t xml:space="preserve">賣方</t>
  </si>
  <si>
    <t xml:space="preserve">簽約日</t>
  </si>
  <si>
    <r>
      <rPr>
        <b val="true"/>
        <sz val="11"/>
        <rFont val="Noto Sans CJK SC"/>
        <family val="2"/>
      </rPr>
      <t xml:space="preserve">總額 </t>
    </r>
    <r>
      <rPr>
        <b val="true"/>
        <sz val="11"/>
        <rFont val="Cambria"/>
        <family val="0"/>
        <charset val="1"/>
      </rPr>
      <t xml:space="preserve">$B</t>
    </r>
  </si>
  <si>
    <t xml:space="preserve">年期</t>
  </si>
  <si>
    <r>
      <rPr>
        <b val="true"/>
        <sz val="11"/>
        <rFont val="Noto Sans CJK SC"/>
        <family val="2"/>
      </rPr>
      <t xml:space="preserve">容量 </t>
    </r>
    <r>
      <rPr>
        <b val="true"/>
        <sz val="11"/>
        <rFont val="Cambria"/>
        <family val="0"/>
        <charset val="1"/>
      </rPr>
      <t xml:space="preserve">MW</t>
    </r>
  </si>
  <si>
    <t xml:space="preserve">電力口徑</t>
  </si>
  <si>
    <t xml:space="preserve">PUE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</si>
  <si>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世代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</si>
  <si>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GW-IT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</si>
  <si>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Noto Sans CJK SC"/>
        <family val="2"/>
      </rPr>
      <t xml:space="preserve">對照持有成本 </t>
    </r>
    <r>
      <rPr>
        <b val="true"/>
        <sz val="11"/>
        <rFont val="Cambria"/>
        <family val="0"/>
        <charset val="1"/>
      </rPr>
      <t xml:space="preserve">$B</t>
    </r>
  </si>
  <si>
    <t xml:space="preserve">隱含計價倍數</t>
  </si>
  <si>
    <t xml:space="preserve">可用性</t>
  </si>
  <si>
    <t xml:space="preserve">說明與來源</t>
  </si>
  <si>
    <t xml:space="preserve">Microsoft</t>
  </si>
  <si>
    <t xml:space="preserve">IREN</t>
  </si>
  <si>
    <t xml:space="preserve">2025-11-03</t>
  </si>
  <si>
    <t xml:space="preserve">IT</t>
  </si>
  <si>
    <t xml:space="preserve">GB300</t>
  </si>
  <si>
    <t xml:space="preserve">採用（直接證據）</t>
  </si>
  <si>
    <r>
      <rPr>
        <sz val="11"/>
        <color theme="1"/>
        <rFont val="Calibri"/>
        <family val="2"/>
        <charset val="1"/>
      </rPr>
      <t xml:space="preserve">SEC 8-K 2025-11-03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負載；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預付款抵第 </t>
    </r>
    <r>
      <rPr>
        <sz val="11"/>
        <color theme="1"/>
        <rFont val="Calibri"/>
        <family val="2"/>
        <charset val="1"/>
      </rPr>
      <t xml:space="preserve">3–5 </t>
    </r>
    <r>
      <rPr>
        <sz val="11"/>
        <color theme="1"/>
        <rFont val="Noto Sans CJK SC"/>
        <family val="2"/>
      </rPr>
      <t xml:space="preserve">年；是否含電力未明載；賣方自述、單一原始來源（各媒體轉述同一份公告）；五年短於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經濟壽命，殘值歸供應商。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端與獨立查核皆核對 </t>
    </r>
    <r>
      <rPr>
        <sz val="11"/>
        <color theme="1"/>
        <rFont val="Calibri"/>
        <family val="2"/>
        <charset val="1"/>
      </rPr>
      <t xml:space="preserve">8-K</t>
    </r>
  </si>
  <si>
    <t xml:space="preserve">多客戶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</si>
  <si>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全公司</t>
    </r>
  </si>
  <si>
    <t xml:space="preserve">2025Q4</t>
  </si>
  <si>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（未明）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</si>
  <si>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為主＋</t>
    </r>
    <r>
      <rPr>
        <sz val="11"/>
        <color theme="1"/>
        <rFont val="Calibri"/>
        <family val="2"/>
        <charset val="1"/>
      </rPr>
      <t xml:space="preserve">GB200</t>
    </r>
  </si>
  <si>
    <t xml:space="preserve">旁證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</si>
  <si>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15.72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720 MW</t>
    </r>
    <r>
      <rPr>
        <sz val="11"/>
        <color theme="1"/>
        <rFont val="Noto Sans CJK SC"/>
        <family val="2"/>
      </rPr>
      <t xml:space="preserve">（由「</t>
    </r>
    <r>
      <rPr>
        <sz val="11"/>
        <color theme="1"/>
        <rFont val="Calibri"/>
        <family val="2"/>
        <charset val="1"/>
      </rPr>
      <t xml:space="preserve">+260 MW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」推得期初 </t>
    </r>
    <r>
      <rPr>
        <sz val="11"/>
        <color theme="1"/>
        <rFont val="Calibri"/>
        <family val="2"/>
        <charset val="1"/>
      </rPr>
      <t xml:space="preserve">590</t>
    </r>
    <r>
      <rPr>
        <sz val="11"/>
        <color theme="1"/>
        <rFont val="Noto Sans CJK SC"/>
        <family val="2"/>
      </rPr>
      <t xml:space="preserve">）；含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67% </t>
    </r>
    <r>
      <rPr>
        <sz val="11"/>
        <color theme="1"/>
        <rFont val="Noto Sans CJK SC"/>
        <family val="2"/>
      </rPr>
      <t xml:space="preserve">營收；新容量爬坡使營收落後，倍數偏低；若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為設施口徑則約 </t>
    </r>
    <r>
      <rPr>
        <sz val="11"/>
        <color theme="1"/>
        <rFont val="Calibri"/>
        <family val="2"/>
        <charset val="1"/>
      </rPr>
      <t xml:space="preserve">1.13</t>
    </r>
  </si>
  <si>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Project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</si>
  <si>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既有</t>
    </r>
  </si>
  <si>
    <t xml:space="preserve">v4.11</t>
  </si>
  <si>
    <t xml:space="preserve">—</t>
  </si>
  <si>
    <t xml:space="preserve">混合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</si>
  <si>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Project CoreWeave </t>
    </r>
    <r>
      <rPr>
        <sz val="11"/>
        <color theme="1"/>
        <rFont val="Noto Sans CJK SC"/>
        <family val="2"/>
      </rPr>
      <t xml:space="preserve">收支模型：既有容量每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 ＝ </t>
    </r>
    <r>
      <rPr>
        <sz val="11"/>
        <color theme="1"/>
        <rFont val="Calibri"/>
        <family val="2"/>
        <charset val="1"/>
      </rPr>
      <t xml:space="preserve">IF_HoldEcon × 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既有約 </t>
    </r>
    <r>
      <rPr>
        <sz val="11"/>
        <color theme="1"/>
        <rFont val="Calibri"/>
        <family val="2"/>
        <charset val="1"/>
      </rPr>
      <t xml:space="preserve">0.91</t>
    </r>
    <r>
      <rPr>
        <sz val="11"/>
        <color theme="1"/>
        <rFont val="Noto Sans CJK SC"/>
        <family val="2"/>
      </rPr>
      <t xml:space="preserve">（同一持有成本口徑）</t>
    </r>
  </si>
  <si>
    <t xml:space="preserve">分析師彙總</t>
  </si>
  <si>
    <t xml:space="preserve">新雲公告交易</t>
  </si>
  <si>
    <t xml:space="preserve">2025</t>
  </si>
  <si>
    <t xml:space="preserve">未明</t>
  </si>
  <si>
    <t xml:space="preserve">旁證（單一二手）</t>
  </si>
  <si>
    <r>
      <rPr>
        <sz val="11"/>
        <color theme="1"/>
        <rFont val="Calibri"/>
        <family val="2"/>
        <charset val="1"/>
      </rPr>
      <t xml:space="preserve">Rittenhouse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）：新雲公告交易約 </t>
    </r>
    <r>
      <rPr>
        <sz val="11"/>
        <color theme="1"/>
        <rFont val="Calibri"/>
        <family val="2"/>
        <charset val="1"/>
      </rPr>
      <t xml:space="preserve">$10M/MW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口徑未明</t>
    </r>
  </si>
  <si>
    <t xml:space="preserve">OpenAI</t>
  </si>
  <si>
    <t xml:space="preserve">Oracle</t>
  </si>
  <si>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09</t>
    </r>
  </si>
  <si>
    <r>
      <rPr>
        <sz val="11"/>
        <color theme="1"/>
        <rFont val="Calibri"/>
        <family val="2"/>
        <charset val="1"/>
      </rPr>
      <t xml:space="preserve">GB200→</t>
    </r>
    <r>
      <rPr>
        <sz val="11"/>
        <color theme="1"/>
        <rFont val="Noto Sans CJK SC"/>
        <family val="2"/>
      </rPr>
      <t xml:space="preserve">後續</t>
    </r>
  </si>
  <si>
    <t xml:space="preserve">不採用</t>
  </si>
  <si>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報 </t>
    </r>
    <r>
      <rPr>
        <sz val="11"/>
        <color theme="1"/>
        <rFont val="Calibri"/>
        <family val="2"/>
        <charset val="1"/>
      </rPr>
      <t xml:space="preserve">3,000 </t>
    </r>
    <r>
      <rPr>
        <sz val="11"/>
        <color theme="1"/>
        <rFont val="Noto Sans CJK SC"/>
        <family val="2"/>
      </rPr>
      <t xml:space="preserve">億、五年、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起（每年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4.5 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月另一則公告，報導未說明是否同一筆。若以年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億對 </t>
    </r>
    <r>
      <rPr>
        <sz val="11"/>
        <color theme="1"/>
        <rFont val="Calibri"/>
        <family val="2"/>
        <charset val="1"/>
      </rPr>
      <t xml:space="preserve">4.5 GW </t>
    </r>
    <r>
      <rPr>
        <sz val="11"/>
        <color theme="1"/>
        <rFont val="Noto Sans CJK SC"/>
        <family val="2"/>
      </rPr>
      <t xml:space="preserve">得約 </t>
    </r>
    <r>
      <rPr>
        <sz val="11"/>
        <color theme="1"/>
        <rFont val="Calibri"/>
        <family val="2"/>
        <charset val="1"/>
      </rPr>
      <t xml:space="preserve">0.94</t>
    </r>
    <r>
      <rPr>
        <sz val="11"/>
        <color theme="1"/>
        <rFont val="Noto Sans CJK SC"/>
        <family val="2"/>
      </rPr>
      <t xml:space="preserve">，以年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億得約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；且是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起容量，不是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機隊</t>
    </r>
  </si>
  <si>
    <t xml:space="preserve">Nebius</t>
  </si>
  <si>
    <t xml:space="preserve">2025-09-08</t>
  </si>
  <si>
    <t xml:space="preserve">未明（設施初期容量，非合約容量）</t>
  </si>
  <si>
    <t xml:space="preserve">下界，不入分布</t>
  </si>
  <si>
    <r>
      <rPr>
        <sz val="11"/>
        <color theme="1"/>
        <rFont val="Noto Sans CJK SC"/>
        <family val="2"/>
      </rPr>
      <t xml:space="preserve">合約容量 ≤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，故每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 ≥ </t>
    </r>
    <r>
      <rPr>
        <sz val="11"/>
        <color theme="1"/>
        <rFont val="Calibri"/>
        <family val="2"/>
        <charset val="1"/>
      </rPr>
      <t xml:space="preserve">11.6</t>
    </r>
    <r>
      <rPr>
        <sz val="11"/>
        <color theme="1"/>
        <rFont val="Noto Sans CJK SC"/>
        <family val="2"/>
      </rPr>
      <t xml:space="preserve">，對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倍數 ≥ </t>
    </r>
    <r>
      <rPr>
        <sz val="11"/>
        <color theme="1"/>
        <rFont val="Calibri"/>
        <family val="2"/>
        <charset val="1"/>
      </rPr>
      <t xml:space="preserve">1.07</t>
    </r>
  </si>
  <si>
    <t xml:space="preserve">採用＋旁證的隱含計價倍數</t>
  </si>
  <si>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</si>
  <si>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現值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</si>
  <si>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0.73–1.17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Alloc_In C23:E23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</si>
  <si>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持有成本：</t>
    </r>
    <r>
      <rPr>
        <sz val="11"/>
        <color theme="1"/>
        <rFont val="Calibri"/>
        <family val="2"/>
        <charset val="1"/>
      </rPr>
      <t xml:space="preserve">Tokenomics v17.0 Alloc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GW-IT·</t>
    </r>
    <r>
      <rPr>
        <sz val="11"/>
        <color theme="1"/>
        <rFont val="Noto Sans CJK SC"/>
        <family val="2"/>
      </rPr>
      <t xml:space="preserve">年，經濟口徑）：</t>
    </r>
    <r>
      <rPr>
        <sz val="11"/>
        <color theme="1"/>
        <rFont val="Calibri"/>
        <family val="2"/>
        <charset val="1"/>
      </rPr>
      <t xml:space="preserve">Hopper 9.703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 8.828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10.886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12.225</t>
    </r>
    <r>
      <rPr>
        <sz val="11"/>
        <color theme="1"/>
        <rFont val="Noto Sans CJK SC"/>
        <family val="2"/>
      </rPr>
      <t xml:space="preserve">。容量未揭露的合約（</t>
    </r>
    <r>
      <rPr>
        <sz val="11"/>
        <color theme="1"/>
        <rFont val="Calibri"/>
        <family val="2"/>
        <charset val="1"/>
      </rPr>
      <t xml:space="preserve">OpenAI–CoreWeave 224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OpenAI–AWS 380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OpenAI–Azure 2,500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Microsoft–Nscale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Microsoft–Lambda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Meta–CoreWeave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Meta–Nebius</t>
    </r>
    <r>
      <rPr>
        <sz val="11"/>
        <color theme="1"/>
        <rFont val="Noto Sans CJK SC"/>
        <family val="2"/>
      </rPr>
      <t xml:space="preserve">）無法換算，不列入。</t>
    </r>
  </si>
  <si>
    <r>
      <rPr>
        <b val="true"/>
        <sz val="11"/>
        <rFont val="Noto Sans CJK SC"/>
        <family val="2"/>
      </rPr>
      <t xml:space="preserve">所需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＝ 推論支出 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（計價倍數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營收）；比值 ＝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所需 </t>
    </r>
    <r>
      <rPr>
        <b val="true"/>
        <sz val="11"/>
        <rFont val="Cambria"/>
        <family val="0"/>
        <charset val="1"/>
      </rPr>
      <t xml:space="preserve">L</t>
    </r>
  </si>
  <si>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</si>
  <si>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L1_LTotalFleetVDisc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</si>
  <si>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區間 低／高</t>
    </r>
  </si>
  <si>
    <r>
      <rPr>
        <b val="true"/>
        <sz val="11"/>
        <rFont val="Noto Sans CJK SC"/>
        <family val="2"/>
      </rPr>
      <t xml:space="preserve">表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：所需 </t>
    </r>
    <r>
      <rPr>
        <b val="true"/>
        <sz val="11"/>
        <rFont val="Cambria"/>
        <family val="0"/>
        <charset val="1"/>
      </rPr>
      <t xml:space="preserve">L</t>
    </r>
  </si>
  <si>
    <t xml:space="preserve">推論支出 ＼ 計價倍數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</si>
  <si>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付款（營業成本內）　</t>
    </r>
    <r>
      <rPr>
        <sz val="11"/>
        <color theme="1"/>
        <rFont val="Calibri"/>
        <family val="2"/>
        <charset val="1"/>
      </rPr>
      <t xml:space="preserve">6.047</t>
    </r>
  </si>
  <si>
    <r>
      <rPr>
        <sz val="11"/>
        <color theme="1"/>
        <rFont val="Noto Sans CJK SC"/>
        <family val="2"/>
      </rPr>
      <t xml:space="preserve">查核營業成本 </t>
    </r>
    <r>
      <rPr>
        <sz val="11"/>
        <color theme="1"/>
        <rFont val="Calibri"/>
        <family val="2"/>
        <charset val="1"/>
      </rPr>
      <t xml:space="preserve">SRC_DEM_073</t>
    </r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7.5</t>
    </r>
  </si>
  <si>
    <r>
      <rPr>
        <sz val="11"/>
        <color theme="1"/>
        <rFont val="Noto Sans CJK SC"/>
        <family val="2"/>
      </rPr>
      <t xml:space="preserve">投資人資料 </t>
    </r>
    <r>
      <rPr>
        <sz val="11"/>
        <color theme="1"/>
        <rFont val="Calibri"/>
        <family val="2"/>
        <charset val="1"/>
      </rPr>
      <t xml:space="preserve">SRC_DEM_004</t>
    </r>
    <r>
      <rPr>
        <sz val="11"/>
        <color theme="1"/>
        <rFont val="Noto Sans CJK SC"/>
        <family val="2"/>
      </rPr>
      <t xml:space="preserve">（主口徑）　</t>
    </r>
    <r>
      <rPr>
        <sz val="11"/>
        <color theme="1"/>
        <rFont val="Calibri"/>
        <family val="2"/>
        <charset val="1"/>
      </rPr>
      <t xml:space="preserve">8.4</t>
    </r>
  </si>
  <si>
    <r>
      <rPr>
        <sz val="11"/>
        <color theme="1"/>
        <rFont val="Calibri"/>
        <family val="2"/>
        <charset val="1"/>
      </rPr>
      <t xml:space="preserve">SRC_DEM_004 </t>
    </r>
    <r>
      <rPr>
        <sz val="11"/>
        <color theme="1"/>
        <rFont val="Noto Sans CJK SC"/>
        <family val="2"/>
      </rPr>
      <t xml:space="preserve">高端　</t>
    </r>
    <r>
      <rPr>
        <sz val="11"/>
        <color theme="1"/>
        <rFont val="Calibri"/>
        <family val="2"/>
        <charset val="1"/>
      </rPr>
      <t xml:space="preserve">8.8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</si>
  <si>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帳單（含研究推論）</t>
    </r>
    <r>
      <rPr>
        <sz val="11"/>
        <color theme="1"/>
        <rFont val="Calibri"/>
        <family val="2"/>
        <charset val="1"/>
      </rPr>
      <t xml:space="preserve">SRC_DEM_018</t>
    </r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12.6</t>
    </r>
  </si>
  <si>
    <r>
      <rPr>
        <b val="true"/>
        <sz val="11"/>
        <rFont val="Noto Sans CJK SC"/>
        <family val="2"/>
      </rPr>
      <t xml:space="preserve">表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：比值 </t>
    </r>
    <r>
      <rPr>
        <b val="true"/>
        <sz val="11"/>
        <rFont val="Cambria"/>
        <family val="0"/>
        <charset val="1"/>
      </rPr>
      <t xml:space="preserve">L ÷ </t>
    </r>
    <r>
      <rPr>
        <b val="true"/>
        <sz val="11"/>
        <rFont val="Noto Sans CJK SC"/>
        <family val="2"/>
      </rPr>
      <t xml:space="preserve">所需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（≥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＝基準下回本）</t>
    </r>
  </si>
  <si>
    <r>
      <rPr>
        <b val="true"/>
        <sz val="11"/>
        <rFont val="Noto Sans CJK SC"/>
        <family val="2"/>
      </rPr>
      <t xml:space="preserve">表 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：三態判讀（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區間 對 所需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點值；所需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本身也有區間時更寬，此表偏嚴）</t>
    </r>
  </si>
  <si>
    <r>
      <rPr>
        <sz val="11"/>
        <color theme="1"/>
        <rFont val="Noto Sans CJK SC"/>
        <family val="2"/>
      </rPr>
      <t xml:space="preserve">淺綠底＝</t>
    </r>
    <r>
      <rPr>
        <sz val="11"/>
        <color theme="1"/>
        <rFont val="Calibri"/>
        <family val="2"/>
        <charset val="1"/>
      </rPr>
      <t xml:space="preserve">Tokenomics v17.0 </t>
    </r>
    <r>
      <rPr>
        <sz val="11"/>
        <color theme="1"/>
        <rFont val="Noto Sans CJK SC"/>
        <family val="2"/>
      </rPr>
      <t xml:space="preserve">現行組合（所需 </t>
    </r>
    <r>
      <rPr>
        <sz val="11"/>
        <color theme="1"/>
        <rFont val="Calibri"/>
        <family val="2"/>
        <charset val="1"/>
      </rPr>
      <t xml:space="preserve">L 0.756</t>
    </r>
    <r>
      <rPr>
        <sz val="11"/>
        <color theme="1"/>
        <rFont val="Noto Sans CJK SC"/>
        <family val="2"/>
      </rPr>
      <t xml:space="preserve">、比值 </t>
    </r>
    <r>
      <rPr>
        <sz val="11"/>
        <color theme="1"/>
        <rFont val="Calibri"/>
        <family val="2"/>
        <charset val="1"/>
      </rPr>
      <t xml:space="preserve">1.003</t>
    </r>
    <r>
      <rPr>
        <sz val="11"/>
        <color theme="1"/>
        <rFont val="Noto Sans CJK SC"/>
        <family val="2"/>
      </rPr>
      <t xml:space="preserve">）。表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：推論支出 </t>
    </r>
    <r>
      <rPr>
        <sz val="11"/>
        <color theme="1"/>
        <rFont val="Calibri"/>
        <family val="2"/>
        <charset val="1"/>
      </rPr>
      <t xml:space="preserve">75–88 </t>
    </r>
    <r>
      <rPr>
        <sz val="11"/>
        <color theme="1"/>
        <rFont val="Noto Sans CJK SC"/>
        <family val="2"/>
      </rPr>
      <t xml:space="preserve">億的各列全部「未定」；只有 </t>
    </r>
    <r>
      <rPr>
        <sz val="11"/>
        <color theme="1"/>
        <rFont val="Calibri"/>
        <family val="2"/>
        <charset val="1"/>
      </rPr>
      <t xml:space="preserve">60.47 </t>
    </r>
    <r>
      <rPr>
        <sz val="11"/>
        <color theme="1"/>
        <rFont val="Noto Sans CJK SC"/>
        <family val="2"/>
      </rPr>
      <t xml:space="preserve">億（只算付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）且計價倍數 ≥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時為「回本」；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億（含研究推論）且計價倍數 </t>
    </r>
    <r>
      <rPr>
        <sz val="11"/>
        <color theme="1"/>
        <rFont val="Calibri"/>
        <family val="2"/>
        <charset val="1"/>
      </rPr>
      <t xml:space="preserve">0.73 </t>
    </r>
    <r>
      <rPr>
        <sz val="11"/>
        <color theme="1"/>
        <rFont val="Noto Sans CJK SC"/>
        <family val="2"/>
      </rPr>
      <t xml:space="preserve">時為「未回本」，其餘「未定」。</t>
    </r>
  </si>
  <si>
    <t xml:space="preserve">數字</t>
  </si>
  <si>
    <t xml:space="preserve">$B</t>
  </si>
  <si>
    <t xml:space="preserve">口徑與來源</t>
  </si>
  <si>
    <r>
      <rPr>
        <sz val="11"/>
        <color theme="1"/>
        <rFont val="Noto Sans CJK SC"/>
        <family val="2"/>
      </rPr>
      <t xml:space="preserve">付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（營業成本內）</t>
    </r>
  </si>
  <si>
    <r>
      <rPr>
        <sz val="11"/>
        <color theme="1"/>
        <rFont val="Noto Sans CJK SC"/>
        <family val="2"/>
      </rPr>
      <t xml:space="preserve">查核財報；營業成本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億中付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的部分；另研發中付 </t>
    </r>
    <r>
      <rPr>
        <sz val="11"/>
        <color theme="1"/>
        <rFont val="Calibri"/>
        <family val="2"/>
        <charset val="1"/>
      </rPr>
      <t xml:space="preserve">Microsoft 105.9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Zitron </t>
    </r>
    <r>
      <rPr>
        <sz val="11"/>
        <color theme="1"/>
        <rFont val="Noto Sans CJK SC"/>
        <family val="2"/>
      </rPr>
      <t xml:space="preserve">推測多為訓練）；報導合計 </t>
    </r>
    <r>
      <rPr>
        <sz val="11"/>
        <color theme="1"/>
        <rFont val="Calibri"/>
        <family val="2"/>
        <charset val="1"/>
      </rPr>
      <t xml:space="preserve">172 </t>
    </r>
    <r>
      <rPr>
        <sz val="11"/>
        <color theme="1"/>
        <rFont val="Noto Sans CJK SC"/>
        <family val="2"/>
      </rPr>
      <t xml:space="preserve">億，但分項（含銷售 </t>
    </r>
    <r>
      <rPr>
        <sz val="11"/>
        <color theme="1"/>
        <rFont val="Calibri"/>
        <family val="2"/>
        <charset val="1"/>
      </rPr>
      <t xml:space="preserve">0.53</t>
    </r>
    <r>
      <rPr>
        <sz val="11"/>
        <color theme="1"/>
        <rFont val="Noto Sans CJK SC"/>
        <family val="2"/>
      </rPr>
      <t xml:space="preserve">、管理 </t>
    </r>
    <r>
      <rPr>
        <sz val="11"/>
        <color theme="1"/>
        <rFont val="Calibri"/>
        <family val="2"/>
        <charset val="1"/>
      </rPr>
      <t xml:space="preserve">0.04</t>
    </r>
    <r>
      <rPr>
        <sz val="11"/>
        <color theme="1"/>
        <rFont val="Noto Sans CJK SC"/>
        <family val="2"/>
      </rPr>
      <t xml:space="preserve">）加總 </t>
    </r>
    <r>
      <rPr>
        <sz val="11"/>
        <color theme="1"/>
        <rFont val="Calibri"/>
        <family val="2"/>
        <charset val="1"/>
      </rPr>
      <t xml:space="preserve">166.9 </t>
    </r>
    <r>
      <rPr>
        <sz val="11"/>
        <color theme="1"/>
        <rFont val="Noto Sans CJK SC"/>
        <family val="2"/>
      </rPr>
      <t xml:space="preserve">億，差約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億，原因未明</t>
    </r>
  </si>
  <si>
    <r>
      <rPr>
        <sz val="11"/>
        <color theme="1"/>
        <rFont val="Noto Sans CJK SC"/>
        <family val="2"/>
      </rPr>
      <t xml:space="preserve">查核營業成本 </t>
    </r>
    <r>
      <rPr>
        <sz val="11"/>
        <color theme="1"/>
        <rFont val="Calibri"/>
        <family val="2"/>
        <charset val="1"/>
      </rPr>
      <t xml:space="preserve">SRC_DEM_073</t>
    </r>
  </si>
  <si>
    <r>
      <rPr>
        <sz val="11"/>
        <color theme="1"/>
        <rFont val="Noto Sans CJK SC"/>
        <family val="2"/>
      </rPr>
      <t xml:space="preserve">經會計師查核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財報；定義「服務模型，主要是推論」；</t>
    </r>
    <r>
      <rPr>
        <sz val="11"/>
        <color theme="1"/>
        <rFont val="Calibri"/>
        <family val="2"/>
        <charset val="1"/>
      </rPr>
      <t xml:space="preserve">Zitron </t>
    </r>
    <r>
      <rPr>
        <sz val="11"/>
        <color theme="1"/>
        <rFont val="Noto Sans CJK SC"/>
        <family val="2"/>
      </rPr>
      <t xml:space="preserve">取得、</t>
    </r>
    <r>
      <rPr>
        <sz val="11"/>
        <color theme="1"/>
        <rFont val="Calibri"/>
        <family val="2"/>
        <charset val="1"/>
      </rPr>
      <t xml:space="preserve">FT 2026-06-16 </t>
    </r>
    <r>
      <rPr>
        <sz val="11"/>
        <color theme="1"/>
        <rFont val="Noto Sans CJK SC"/>
        <family val="2"/>
      </rPr>
      <t xml:space="preserve">核實（二手稿主要說核實淨虧損 </t>
    </r>
    <r>
      <rPr>
        <sz val="11"/>
        <color theme="1"/>
        <rFont val="Calibri"/>
        <family val="2"/>
        <charset val="1"/>
      </rPr>
      <t xml:space="preserve">385 </t>
    </r>
    <r>
      <rPr>
        <sz val="11"/>
        <color theme="1"/>
        <rFont val="Noto Sans CJK SC"/>
        <family val="2"/>
      </rPr>
      <t xml:space="preserve">億，其餘是否逐項核對未說明）</t>
    </r>
  </si>
  <si>
    <r>
      <rPr>
        <sz val="11"/>
        <color theme="1"/>
        <rFont val="Calibri"/>
        <family val="2"/>
        <charset val="1"/>
      </rPr>
      <t xml:space="preserve">SRC_DEM_004 </t>
    </r>
    <r>
      <rPr>
        <sz val="11"/>
        <color theme="1"/>
        <rFont val="Noto Sans CJK SC"/>
        <family val="2"/>
      </rPr>
      <t xml:space="preserve">區間</t>
    </r>
  </si>
  <si>
    <t xml:space="preserve">7.5–8.8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</si>
  <si>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區間：低＝查核營業成本、高＝調整後毛利率 </t>
    </r>
    <r>
      <rPr>
        <sz val="11"/>
        <color theme="1"/>
        <rFont val="Calibri"/>
        <family val="2"/>
        <charset val="1"/>
      </rPr>
      <t xml:space="preserve">33% </t>
    </r>
    <r>
      <rPr>
        <sz val="11"/>
        <color theme="1"/>
        <rFont val="Noto Sans CJK SC"/>
        <family val="2"/>
      </rPr>
      <t xml:space="preserve">換算</t>
    </r>
  </si>
  <si>
    <r>
      <rPr>
        <sz val="11"/>
        <color theme="1"/>
        <rFont val="Noto Sans CJK SC"/>
        <family val="2"/>
      </rPr>
      <t xml:space="preserve">投資人資料 </t>
    </r>
    <r>
      <rPr>
        <sz val="11"/>
        <color theme="1"/>
        <rFont val="Calibri"/>
        <family val="2"/>
        <charset val="1"/>
      </rPr>
      <t xml:space="preserve">SRC_DEM_004</t>
    </r>
  </si>
  <si>
    <r>
      <rPr>
        <sz val="11"/>
        <color theme="1"/>
        <rFont val="Calibri"/>
        <family val="2"/>
        <charset val="1"/>
      </rPr>
      <t xml:space="preserve">The Information 2026-02-25</t>
    </r>
    <r>
      <rPr>
        <sz val="11"/>
        <color theme="1"/>
        <rFont val="Noto Sans CJK SC"/>
        <family val="2"/>
      </rPr>
      <t xml:space="preserve">（經轉述）；免費用戶約 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億、付費約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預期 </t>
    </r>
    <r>
      <rPr>
        <sz val="11"/>
        <color theme="1"/>
        <rFont val="Calibri"/>
        <family val="2"/>
        <charset val="1"/>
      </rPr>
      <t xml:space="preserve">141 </t>
    </r>
    <r>
      <rPr>
        <sz val="11"/>
        <color theme="1"/>
        <rFont val="Noto Sans CJK SC"/>
        <family val="2"/>
      </rPr>
      <t xml:space="preserve">億。</t>
    </r>
    <r>
      <rPr>
        <sz val="11"/>
        <color theme="1"/>
        <rFont val="Calibri"/>
        <family val="2"/>
        <charset val="1"/>
      </rPr>
      <t xml:space="preserve">Sacra </t>
    </r>
    <r>
      <rPr>
        <sz val="11"/>
        <color theme="1"/>
        <rFont val="Noto Sans CJK SC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億，可能同源。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</si>
  <si>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帳單 </t>
    </r>
    <r>
      <rPr>
        <sz val="11"/>
        <color theme="1"/>
        <rFont val="Calibri"/>
        <family val="2"/>
        <charset val="1"/>
      </rPr>
      <t xml:space="preserve">SRC_DEM_018</t>
    </r>
  </si>
  <si>
    <r>
      <rPr>
        <sz val="11"/>
        <color theme="1"/>
        <rFont val="Calibri"/>
        <family val="2"/>
        <charset val="1"/>
      </rPr>
      <t xml:space="preserve">Where's Your Ed At 2025-11-12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推論類，含研究推論；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86.7 </t>
    </r>
    <r>
      <rPr>
        <sz val="11"/>
        <color theme="1"/>
        <rFont val="Noto Sans CJK SC"/>
        <family val="2"/>
      </rPr>
      <t xml:space="preserve">億＋第四季推估；可能含非現金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額度；不含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算力；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發言人稱數字「不太對」</t>
    </r>
  </si>
  <si>
    <t xml:space="preserve">矛盾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</si>
  <si>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&lt; 84 </t>
    </r>
    <r>
      <rPr>
        <sz val="11"/>
        <color theme="1"/>
        <rFont val="Noto Sans CJK SC"/>
        <family val="2"/>
      </rPr>
      <t xml:space="preserve">億：兩者不可能同為服務推論的完整直接成本。可能解釋（無來源證實）：差額記在研發；或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額度的處理不同；或 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億含非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供應商而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億的營業成本未含。下一步：找查核財報營業成本與研發的科目拆分、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額度的會計處理。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</si>
  <si>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上半年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</si>
  <si>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億、毛利率約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（未審計股東文件，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稱無法獨立核實）；「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營業成本約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億」為 </t>
    </r>
    <r>
      <rPr>
        <sz val="11"/>
        <color theme="1"/>
        <rFont val="Calibri"/>
        <family val="2"/>
        <charset val="1"/>
      </rPr>
      <t xml:space="preserve">TradingKey </t>
    </r>
    <r>
      <rPr>
        <sz val="11"/>
        <color theme="1"/>
        <rFont val="Noto Sans CJK SC"/>
        <family val="2"/>
      </rPr>
      <t xml:space="preserve">由毛利率反推，不是原始揭露。上半年推論金額找不到。</t>
    </r>
  </si>
  <si>
    <t xml:space="preserve">廠商</t>
  </si>
  <si>
    <t xml:space="preserve">模型</t>
  </si>
  <si>
    <r>
      <rPr>
        <b val="true"/>
        <sz val="11"/>
        <rFont val="Noto Sans CJK SC"/>
        <family val="2"/>
      </rPr>
      <t xml:space="preserve">輸入／輸出 </t>
    </r>
    <r>
      <rPr>
        <b val="true"/>
        <sz val="11"/>
        <rFont val="Cambria"/>
        <family val="0"/>
        <charset val="1"/>
      </rPr>
      <t xml:space="preserve">$/M</t>
    </r>
  </si>
  <si>
    <t xml:space="preserve">排定變動</t>
  </si>
  <si>
    <t xml:space="preserve">官方頁</t>
  </si>
  <si>
    <t xml:space="preserve">Anthropic</t>
  </si>
  <si>
    <r>
      <rPr>
        <sz val="11"/>
        <color theme="1"/>
        <rFont val="Calibri"/>
        <family val="2"/>
        <charset val="1"/>
      </rPr>
      <t xml:space="preserve">Sonnet 5.5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2026-09-28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Sonnet 5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</si>
  <si>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</si>
  <si>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CJK SC"/>
        <family val="2"/>
      </rPr>
      <t xml:space="preserve">無；</t>
    </r>
    <r>
      <rPr>
        <sz val="11"/>
        <color theme="1"/>
        <rFont val="Calibri"/>
        <family val="2"/>
        <charset val="1"/>
      </rPr>
      <t xml:space="preserve">Sonnet 5 </t>
    </r>
    <r>
      <rPr>
        <sz val="11"/>
        <color theme="1"/>
        <rFont val="Noto Sans CJK SC"/>
        <family val="2"/>
      </rPr>
      <t xml:space="preserve">原定 </t>
    </r>
    <r>
      <rPr>
        <sz val="11"/>
        <color theme="1"/>
        <rFont val="Calibri"/>
        <family val="2"/>
        <charset val="1"/>
      </rPr>
      <t xml:space="preserve">2026-09-01 </t>
    </r>
    <r>
      <rPr>
        <sz val="11"/>
        <color theme="1"/>
        <rFont val="Noto Sans CJK SC"/>
        <family val="2"/>
      </rPr>
      <t xml:space="preserve">回調至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月取消（單一來源）</t>
    </r>
  </si>
  <si>
    <t xml:space="preserve">platform.claude.com/docs/en/about-claude/pricing</t>
  </si>
  <si>
    <r>
      <rPr>
        <sz val="11"/>
        <color theme="1"/>
        <rFont val="Calibri"/>
        <family val="2"/>
        <charset val="1"/>
      </rPr>
      <t xml:space="preserve">GPT-6.1 Sol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底）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</si>
  <si>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（長上下文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</si>
  <si>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未見；</t>
    </r>
    <r>
      <rPr>
        <sz val="11"/>
        <color theme="1"/>
        <rFont val="Calibri"/>
        <family val="2"/>
        <charset val="1"/>
      </rPr>
      <t xml:space="preserve">GPT-5.6 Sol </t>
    </r>
    <r>
      <rPr>
        <sz val="11"/>
        <color theme="1"/>
        <rFont val="Noto Sans CJK SC"/>
        <family val="2"/>
      </rPr>
      <t xml:space="preserve">促銷價至少到 </t>
    </r>
    <r>
      <rPr>
        <sz val="11"/>
        <color theme="1"/>
        <rFont val="Calibri"/>
        <family val="2"/>
        <charset val="1"/>
      </rPr>
      <t xml:space="preserve">2026-11-21</t>
    </r>
  </si>
  <si>
    <t xml:space="preserve">developers.openai.com/api/docs/pricing</t>
  </si>
  <si>
    <r>
      <rPr>
        <sz val="11"/>
        <color theme="1"/>
        <rFont val="Calibri"/>
        <family val="2"/>
        <charset val="1"/>
      </rPr>
      <t xml:space="preserve">GPT-6 Luna</t>
    </r>
    <r>
      <rPr>
        <sz val="11"/>
        <color theme="1"/>
        <rFont val="Noto Sans CJK SC"/>
        <family val="2"/>
      </rPr>
      <t xml:space="preserve">（低階）</t>
    </r>
  </si>
  <si>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0.50</t>
    </r>
  </si>
  <si>
    <t xml:space="preserve">未見</t>
  </si>
  <si>
    <t xml:space="preserve">同上</t>
  </si>
  <si>
    <t xml:space="preserve">Google</t>
  </si>
  <si>
    <r>
      <rPr>
        <sz val="11"/>
        <color theme="1"/>
        <rFont val="Calibri"/>
        <family val="2"/>
        <charset val="1"/>
      </rPr>
      <t xml:space="preserve">Gemini 3.8 Flash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）等 </t>
    </r>
    <r>
      <rPr>
        <sz val="11"/>
        <color theme="1"/>
        <rFont val="Calibri"/>
        <family val="2"/>
        <charset val="1"/>
      </rPr>
      <t xml:space="preserve">Flash </t>
    </r>
    <r>
      <rPr>
        <sz val="11"/>
        <color theme="1"/>
        <rFont val="Noto Sans CJK SC"/>
        <family val="2"/>
      </rPr>
      <t xml:space="preserve">系列</t>
    </r>
  </si>
  <si>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3.75</t>
    </r>
  </si>
  <si>
    <r>
      <rPr>
        <sz val="11"/>
        <color theme="1"/>
        <rFont val="Calibri"/>
        <family val="2"/>
        <charset val="1"/>
      </rPr>
      <t xml:space="preserve">2027-01-01 </t>
    </r>
    <r>
      <rPr>
        <sz val="11"/>
        <color theme="1"/>
        <rFont val="Noto Sans CJK SC"/>
        <family val="2"/>
      </rPr>
      <t xml:space="preserve">起加倍為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7.50</t>
    </r>
  </si>
  <si>
    <t xml:space="preserve">ai.google.dev/gemini-api/docs/pricing</t>
  </si>
  <si>
    <r>
      <rPr>
        <sz val="11"/>
        <color theme="1"/>
        <rFont val="Calibri"/>
        <family val="2"/>
        <charset val="1"/>
      </rPr>
      <t xml:space="preserve">Gemini 4 Argon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 </t>
    </r>
    <r>
      <rPr>
        <sz val="11"/>
        <color theme="1"/>
        <rFont val="Noto Sans CJK SC"/>
        <family val="2"/>
      </rPr>
      <t xml:space="preserve">全面開放；旗艦）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</si>
  <si>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（介紹價）</t>
    </r>
  </si>
  <si>
    <r>
      <rPr>
        <sz val="11"/>
        <color theme="1"/>
        <rFont val="Calibri"/>
        <family val="2"/>
        <charset val="1"/>
      </rPr>
      <t xml:space="preserve">2026-12-01 </t>
    </r>
    <r>
      <rPr>
        <sz val="11"/>
        <color theme="1"/>
        <rFont val="Noto Sans CJK SC"/>
        <family val="2"/>
      </rPr>
      <t xml:space="preserve">起加倍為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</si>
  <si>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Noto Sans CJK SC"/>
        <family val="2"/>
      </rPr>
      <t xml:space="preserve">注意：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追蹤「中階」。</t>
    </r>
    <r>
      <rPr>
        <sz val="11"/>
        <color theme="1"/>
        <rFont val="Calibri"/>
        <family val="2"/>
        <charset val="1"/>
      </rPr>
      <t xml:space="preserve">Argon </t>
    </r>
    <r>
      <rPr>
        <sz val="11"/>
        <color theme="1"/>
        <rFont val="Noto Sans CJK SC"/>
        <family val="2"/>
      </rPr>
      <t xml:space="preserve">若歸旗艦，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漲價不是中階事件；中階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的漲價是 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的基準價沒找到，無法斷言九月以來有無變動。官方頁由代理經網頁摘要讀取，建議人工複核。</t>
    </r>
  </si>
  <si>
    <t xml:space="preserve">時間</t>
  </si>
  <si>
    <t xml:space="preserve">事件（來源）</t>
  </si>
  <si>
    <t xml:space="preserve">2023-03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</si>
  <si>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建的「數萬顆共置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」超級電腦隨 </t>
    </r>
    <r>
      <rPr>
        <sz val="11"/>
        <color theme="1"/>
        <rFont val="Calibri"/>
        <family val="2"/>
        <charset val="1"/>
      </rPr>
      <t xml:space="preserve">GPT-4 </t>
    </r>
    <r>
      <rPr>
        <sz val="11"/>
        <color theme="1"/>
        <rFont val="Noto Sans CJK SC"/>
        <family val="2"/>
      </rPr>
      <t xml:space="preserve">公開（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；未點名 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推論機隊大規模上線時點：找不到一手說法</t>
    </r>
  </si>
  <si>
    <t xml:space="preserve">2025-02</t>
  </si>
  <si>
    <r>
      <rPr>
        <sz val="11"/>
        <color theme="1"/>
        <rFont val="Calibri"/>
        <family val="2"/>
        <charset val="1"/>
      </rPr>
      <t xml:space="preserve">Altman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座 </t>
    </r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機櫃在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運作（單一來源）；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宣布 </t>
    </r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上市（未點名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</si>
  <si>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t xml:space="preserve">2025-03</t>
  </si>
  <si>
    <r>
      <rPr>
        <sz val="11"/>
        <color theme="1"/>
        <rFont val="Calibri"/>
        <family val="2"/>
        <charset val="1"/>
      </rPr>
      <t xml:space="preserve">Azure ND GB200 v6 GA</t>
    </r>
    <r>
      <rPr>
        <sz val="11"/>
        <color theme="1"/>
        <rFont val="Noto Sans CJK SC"/>
        <family val="2"/>
      </rPr>
      <t xml:space="preserve">（只讀到頁面 </t>
    </r>
    <r>
      <rPr>
        <sz val="11"/>
        <color theme="1"/>
        <rFont val="Calibri"/>
        <family val="2"/>
        <charset val="1"/>
      </rPr>
      <t xml:space="preserve">metadata</t>
    </r>
    <r>
      <rPr>
        <sz val="11"/>
        <color theme="1"/>
        <rFont val="Noto Sans CJK SC"/>
        <family val="2"/>
      </rPr>
      <t xml:space="preserve">）</t>
    </r>
  </si>
  <si>
    <t xml:space="preserve">2025-06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</si>
  <si>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開始交付 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首批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機櫃給 </t>
    </r>
    <r>
      <rPr>
        <sz val="11"/>
        <color theme="1"/>
        <rFont val="Calibri"/>
        <family val="2"/>
        <charset val="1"/>
      </rPr>
      <t xml:space="preserve">OpenAI</t>
    </r>
  </si>
  <si>
    <t xml:space="preserve">2025-09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</si>
  <si>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第一棟（約 </t>
    </r>
    <r>
      <rPr>
        <sz val="11"/>
        <color theme="1"/>
        <rFont val="Calibri"/>
        <family val="2"/>
        <charset val="1"/>
      </rPr>
      <t xml:space="preserve">105 MW IT</t>
    </r>
    <r>
      <rPr>
        <sz val="11"/>
        <color theme="1"/>
        <rFont val="Noto Sans CJK SC"/>
        <family val="2"/>
      </rPr>
      <t xml:space="preserve">）全面運作</t>
    </r>
  </si>
  <si>
    <t xml:space="preserve">2025-10-09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</si>
  <si>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已在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以大規模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叢集訓練與部署（數量未揭露）</t>
    </r>
  </si>
  <si>
    <t xml:space="preserve">2025-12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</si>
  <si>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第二棟完工，累計約 </t>
    </r>
    <r>
      <rPr>
        <sz val="11"/>
        <color theme="1"/>
        <rFont val="Calibri"/>
        <family val="2"/>
        <charset val="1"/>
      </rPr>
      <t xml:space="preserve">211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估計）</t>
    </r>
  </si>
  <si>
    <r>
      <rPr>
        <sz val="11"/>
        <color theme="1"/>
        <rFont val="Noto Sans CJK SC"/>
        <family val="2"/>
      </rPr>
      <t xml:space="preserve">含義（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端判斷，非查證）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</si>
  <si>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的世代起點 </t>
    </r>
    <r>
      <rPr>
        <sz val="11"/>
        <color theme="1"/>
        <rFont val="Calibri"/>
        <family val="2"/>
        <charset val="1"/>
      </rPr>
      <t xml:space="preserve">GB200 2025.0 </t>
    </r>
    <r>
      <rPr>
        <sz val="11"/>
        <color theme="1"/>
        <rFont val="Noto Sans CJK SC"/>
        <family val="2"/>
      </rPr>
      <t xml:space="preserve">可能偏早：大規模量的證據集中在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下半年。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Tokenomics 0.4</t>
    </r>
    <r>
      <rPr>
        <sz val="11"/>
        <color theme="1"/>
        <rFont val="Noto Sans CJK SC"/>
        <family val="2"/>
      </rPr>
      <t xml:space="preserve">）沒有揭露。世代起點晚，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t0 </t>
    </r>
    <r>
      <rPr>
        <sz val="11"/>
        <color theme="1"/>
        <rFont val="Noto Sans CJK SC"/>
        <family val="2"/>
      </rPr>
      <t xml:space="preserve">變小，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略降（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閱讀版 </t>
    </r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 可試算）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</si>
</sst>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20.1" hidden="false" customHeight="false" outlineLevel="0" collapsed="false">
      <c r="B1" s="1" t="s">
        <v>0</v>
      </c>
    </row>
    <row r="2" customFormat="false" ht="17.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7.15" hidden="false" customHeight="false" outlineLevel="0" collapsed="false">
      <c r="B4" s="3" t="s">
        <v>2</v>
      </c>
    </row>
    <row r="5" customFormat="false" ht="79.85" hidden="false" customHeight="false" outlineLevel="0" collapsed="false">
      <c r="B5" s="4" t="s">
        <v>3</v>
      </c>
    </row>
    <row r="6" customFormat="false" ht="32.8" hidden="false" customHeight="false" outlineLevel="0" collapsed="false">
      <c r="B6" s="4" t="s">
        <v>4</v>
      </c>
    </row>
    <row r="7" customFormat="false" ht="48.5" hidden="false" customHeight="false" outlineLevel="0" collapsed="false">
      <c r="B7" s="4" t="s">
        <v>5</v>
      </c>
    </row>
    <row r="8" customFormat="false" ht="48.5" hidden="false" customHeight="false" outlineLevel="0" collapsed="false">
      <c r="B8" s="4" t="s">
        <v>6</v>
      </c>
    </row>
    <row r="9" customFormat="false" ht="48.5" hidden="false" customHeight="false" outlineLevel="0" collapsed="false">
      <c r="B9" s="4" t="s">
        <v>7</v>
      </c>
    </row>
    <row r="10" customFormat="false" ht="32.8" hidden="false" customHeight="false" outlineLevel="0" collapsed="false">
      <c r="B10" s="4" t="s">
        <v>8</v>
      </c>
    </row>
    <row r="11" customFormat="false" ht="15" hidden="false" customHeight="false" outlineLevel="0" collapsed="false">
      <c r="B11" s="4"/>
    </row>
    <row r="12" customFormat="false" ht="17.15" hidden="false" customHeight="false" outlineLevel="0" collapsed="false">
      <c r="B12" s="3" t="s">
        <v>9</v>
      </c>
    </row>
    <row r="13" customFormat="false" ht="32.8" hidden="false" customHeight="false" outlineLevel="0" collapsed="false">
      <c r="B13" s="4" t="s">
        <v>10</v>
      </c>
    </row>
    <row r="14" customFormat="false" ht="32.8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4"/>
    </row>
    <row r="16" customFormat="false" ht="32.8" hidden="false" customHeight="false" outlineLevel="0" collapsed="false">
      <c r="B16" s="2" t="s">
        <v>12</v>
      </c>
    </row>
    <row r="17" customFormat="false" ht="32.8" hidden="false" customHeight="false" outlineLevel="0" collapsed="false">
      <c r="B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50"/>
  </cols>
  <sheetData>
    <row r="1" customFormat="false" ht="17.15" hidden="false" customHeight="fals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6" t="s">
        <v>21</v>
      </c>
      <c r="I1" s="6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</row>
    <row r="2" customFormat="false" ht="64.15" hidden="false" customHeight="false" outlineLevel="0" collapsed="false">
      <c r="A2" s="0" t="s">
        <v>28</v>
      </c>
      <c r="B2" s="0" t="s">
        <v>29</v>
      </c>
      <c r="C2" s="0" t="s">
        <v>30</v>
      </c>
      <c r="D2" s="7" t="n">
        <v>9.7</v>
      </c>
      <c r="E2" s="7" t="n">
        <v>5</v>
      </c>
      <c r="F2" s="7" t="n">
        <v>200</v>
      </c>
      <c r="G2" s="8" t="s">
        <v>31</v>
      </c>
      <c r="H2" s="7" t="n">
        <v>1</v>
      </c>
      <c r="I2" s="8" t="s">
        <v>32</v>
      </c>
      <c r="J2" s="9" t="n">
        <f aca="false">D2/E2/(F2/1000)*H2</f>
        <v>9.7</v>
      </c>
      <c r="K2" s="7" t="n">
        <v>10.886</v>
      </c>
      <c r="L2" s="9" t="n">
        <f aca="false">J2/K2</f>
        <v>0.891052728274848</v>
      </c>
      <c r="M2" s="10" t="s">
        <v>33</v>
      </c>
      <c r="N2" s="4" t="s">
        <v>34</v>
      </c>
    </row>
    <row r="3" customFormat="false" ht="64.15" hidden="false" customHeight="false" outlineLevel="0" collapsed="false">
      <c r="A3" s="11" t="s">
        <v>35</v>
      </c>
      <c r="B3" s="0" t="s">
        <v>36</v>
      </c>
      <c r="C3" s="0" t="s">
        <v>37</v>
      </c>
      <c r="D3" s="7" t="n">
        <v>6.288</v>
      </c>
      <c r="E3" s="7" t="n">
        <v>1</v>
      </c>
      <c r="F3" s="7" t="n">
        <v>720</v>
      </c>
      <c r="G3" s="8" t="s">
        <v>38</v>
      </c>
      <c r="H3" s="7" t="n">
        <v>1</v>
      </c>
      <c r="I3" s="8" t="s">
        <v>39</v>
      </c>
      <c r="J3" s="9" t="n">
        <f aca="false">D3/E3/(F3/1000)*H3</f>
        <v>8.73333333333333</v>
      </c>
      <c r="K3" s="7" t="n">
        <v>9.703</v>
      </c>
      <c r="L3" s="9" t="n">
        <f aca="false">J3/K3</f>
        <v>0.900065271909032</v>
      </c>
      <c r="M3" s="12" t="s">
        <v>40</v>
      </c>
      <c r="N3" s="4" t="s">
        <v>41</v>
      </c>
    </row>
    <row r="4" customFormat="false" ht="48.5" hidden="false" customHeight="false" outlineLevel="0" collapsed="false">
      <c r="A4" s="11" t="s">
        <v>42</v>
      </c>
      <c r="B4" s="0" t="s">
        <v>43</v>
      </c>
      <c r="C4" s="0" t="s">
        <v>44</v>
      </c>
      <c r="G4" s="0" t="s">
        <v>45</v>
      </c>
      <c r="I4" s="11" t="s">
        <v>46</v>
      </c>
      <c r="J4" s="9"/>
      <c r="L4" s="13" t="n">
        <v>0.91</v>
      </c>
      <c r="M4" s="12" t="s">
        <v>40</v>
      </c>
      <c r="N4" s="2" t="s">
        <v>47</v>
      </c>
    </row>
    <row r="5" customFormat="false" ht="32.8" hidden="false" customHeight="false" outlineLevel="0" collapsed="false">
      <c r="A5" s="11" t="s">
        <v>48</v>
      </c>
      <c r="B5" s="11" t="s">
        <v>49</v>
      </c>
      <c r="C5" s="0" t="s">
        <v>50</v>
      </c>
      <c r="G5" s="11" t="s">
        <v>51</v>
      </c>
      <c r="I5" s="0" t="s">
        <v>32</v>
      </c>
      <c r="J5" s="13" t="n">
        <v>10</v>
      </c>
      <c r="K5" s="7" t="n">
        <v>10.886</v>
      </c>
      <c r="L5" s="9" t="n">
        <f aca="false">J5/K5</f>
        <v>0.918611060077163</v>
      </c>
      <c r="M5" s="12" t="s">
        <v>52</v>
      </c>
      <c r="N5" s="4" t="s">
        <v>53</v>
      </c>
    </row>
    <row r="6" customFormat="false" ht="64.15" hidden="false" customHeight="false" outlineLevel="0" collapsed="false">
      <c r="A6" s="0" t="s">
        <v>54</v>
      </c>
      <c r="B6" s="0" t="s">
        <v>55</v>
      </c>
      <c r="C6" s="0" t="s">
        <v>56</v>
      </c>
      <c r="D6" s="7" t="n">
        <v>300</v>
      </c>
      <c r="E6" s="7" t="n">
        <v>5</v>
      </c>
      <c r="F6" s="7" t="n">
        <v>4500</v>
      </c>
      <c r="G6" s="11" t="s">
        <v>51</v>
      </c>
      <c r="H6" s="7" t="n">
        <v>1.25</v>
      </c>
      <c r="I6" s="8" t="s">
        <v>57</v>
      </c>
      <c r="J6" s="9" t="n">
        <f aca="false">D6/E6/(F6/1000)*H6</f>
        <v>16.6666666666667</v>
      </c>
      <c r="K6" s="7" t="n">
        <v>8.828</v>
      </c>
      <c r="L6" s="9" t="n">
        <f aca="false">J6/K6</f>
        <v>1.88793233650506</v>
      </c>
      <c r="M6" s="14" t="s">
        <v>58</v>
      </c>
      <c r="N6" s="4" t="s">
        <v>59</v>
      </c>
    </row>
    <row r="7" customFormat="false" ht="32.8" hidden="false" customHeight="false" outlineLevel="0" collapsed="false">
      <c r="A7" s="0" t="s">
        <v>28</v>
      </c>
      <c r="B7" s="0" t="s">
        <v>60</v>
      </c>
      <c r="C7" s="0" t="s">
        <v>61</v>
      </c>
      <c r="D7" s="7" t="n">
        <v>17.4</v>
      </c>
      <c r="E7" s="7" t="n">
        <v>5</v>
      </c>
      <c r="F7" s="7" t="n">
        <v>300</v>
      </c>
      <c r="G7" s="11" t="s">
        <v>62</v>
      </c>
      <c r="H7" s="7" t="n">
        <v>1</v>
      </c>
      <c r="I7" s="11" t="s">
        <v>51</v>
      </c>
      <c r="J7" s="9" t="n">
        <f aca="false">D7/E7/(F7/1000)*H7</f>
        <v>11.6</v>
      </c>
      <c r="K7" s="7" t="n">
        <v>10.886</v>
      </c>
      <c r="L7" s="9" t="n">
        <f aca="false">J7/K7</f>
        <v>1.06558882968951</v>
      </c>
      <c r="M7" s="14" t="s">
        <v>63</v>
      </c>
      <c r="N7" s="2" t="s">
        <v>64</v>
      </c>
    </row>
    <row r="9" customFormat="false" ht="17.15" hidden="false" customHeight="false" outlineLevel="0" collapsed="false">
      <c r="A9" s="5" t="s">
        <v>65</v>
      </c>
      <c r="L9" s="9" t="n">
        <f aca="false">MEDIAN(L2:L5)</f>
        <v>0.905032635954516</v>
      </c>
      <c r="M9" s="11" t="s">
        <v>66</v>
      </c>
    </row>
    <row r="10" customFormat="false" ht="17.15" hidden="false" customHeight="false" outlineLevel="0" collapsed="false">
      <c r="A10" s="0" t="s">
        <v>67</v>
      </c>
      <c r="L10" s="7" t="n">
        <v>0.85</v>
      </c>
      <c r="M10" s="11" t="s">
        <v>68</v>
      </c>
    </row>
    <row r="12" customFormat="false" ht="45" hidden="false" customHeight="true" outlineLevel="0" collapsed="false">
      <c r="A12" s="15" t="s">
        <v>69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</sheetData>
  <mergeCells count="1">
    <mergeCell ref="A12: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1"/>
  </cols>
  <sheetData>
    <row r="1" customFormat="false" ht="17.15" hidden="false" customHeight="false" outlineLevel="0" collapsed="false">
      <c r="A1" s="5" t="s">
        <v>70</v>
      </c>
    </row>
    <row r="3" customFormat="false" ht="17.15" hidden="false" customHeight="false" outlineLevel="0" collapsed="false">
      <c r="A3" s="11" t="s">
        <v>71</v>
      </c>
      <c r="B3" s="7" t="n">
        <v>13.07</v>
      </c>
    </row>
    <row r="4" customFormat="false" ht="17.15" hidden="false" customHeight="false" outlineLevel="0" collapsed="false">
      <c r="A4" s="0" t="s">
        <v>72</v>
      </c>
      <c r="B4" s="7" t="n">
        <v>0.758595656317823</v>
      </c>
    </row>
    <row r="5" customFormat="false" ht="17.15" hidden="false" customHeight="false" outlineLevel="0" collapsed="false">
      <c r="A5" s="0" t="s">
        <v>73</v>
      </c>
      <c r="B5" s="7" t="n">
        <v>0.472976132965196</v>
      </c>
      <c r="C5" s="7" t="n">
        <v>1.1382683720896</v>
      </c>
    </row>
    <row r="7" customFormat="false" ht="17.15" hidden="false" customHeight="false" outlineLevel="0" collapsed="false">
      <c r="A7" s="5" t="s">
        <v>74</v>
      </c>
    </row>
    <row r="8" customFormat="false" ht="15" hidden="false" customHeight="false" outlineLevel="0" collapsed="false">
      <c r="A8" s="11" t="s">
        <v>75</v>
      </c>
      <c r="B8" s="13" t="n">
        <v>0.73</v>
      </c>
      <c r="C8" s="13" t="n">
        <v>0.85</v>
      </c>
      <c r="D8" s="13" t="n">
        <v>0.89</v>
      </c>
      <c r="E8" s="13" t="n">
        <v>0.9</v>
      </c>
      <c r="F8" s="13" t="n">
        <v>1</v>
      </c>
      <c r="G8" s="13" t="n">
        <v>1.17</v>
      </c>
    </row>
    <row r="9" customFormat="false" ht="17.15" hidden="false" customHeight="false" outlineLevel="0" collapsed="false">
      <c r="A9" s="0" t="s">
        <v>76</v>
      </c>
      <c r="B9" s="16" t="n">
        <f aca="false">6.047/(B$8*$B$3)</f>
        <v>0.633784364486275</v>
      </c>
      <c r="C9" s="16" t="n">
        <f aca="false">6.047/(C$8*$B$3)</f>
        <v>0.544308924794095</v>
      </c>
      <c r="D9" s="16" t="n">
        <f aca="false">6.047/(D$8*$B$3)</f>
        <v>0.519845602331439</v>
      </c>
      <c r="E9" s="16" t="n">
        <f aca="false">6.047/(E$8*$B$3)</f>
        <v>0.514069540083312</v>
      </c>
      <c r="F9" s="16" t="n">
        <f aca="false">6.047/(F$8*$B$3)</f>
        <v>0.462662586074981</v>
      </c>
      <c r="G9" s="16" t="n">
        <f aca="false">6.047/(G$8*$B$3)</f>
        <v>0.395438107756394</v>
      </c>
    </row>
    <row r="10" customFormat="false" ht="17.15" hidden="false" customHeight="false" outlineLevel="0" collapsed="false">
      <c r="A10" s="11" t="s">
        <v>77</v>
      </c>
      <c r="B10" s="16" t="n">
        <f aca="false">7.5/(B$8*$B$3)</f>
        <v>0.786072884677867</v>
      </c>
      <c r="C10" s="16" t="n">
        <f aca="false">7.5/(C$8*$B$3)</f>
        <v>0.675097889193933</v>
      </c>
      <c r="D10" s="16" t="n">
        <f aca="false">7.5/(D$8*$B$3)</f>
        <v>0.644756411027914</v>
      </c>
      <c r="E10" s="16" t="n">
        <f aca="false">7.5/(E$8*$B$3)</f>
        <v>0.637592450905381</v>
      </c>
      <c r="F10" s="16" t="n">
        <f aca="false">7.5/(F$8*$B$3)</f>
        <v>0.573833205814843</v>
      </c>
      <c r="G10" s="16" t="n">
        <f aca="false">7.5/(G$8*$B$3)</f>
        <v>0.490455731465678</v>
      </c>
    </row>
    <row r="11" customFormat="false" ht="17.15" hidden="false" customHeight="false" outlineLevel="0" collapsed="false">
      <c r="A11" s="11" t="s">
        <v>78</v>
      </c>
      <c r="B11" s="16" t="n">
        <f aca="false">8.4/(B$8*$B$3)</f>
        <v>0.880401630839211</v>
      </c>
      <c r="C11" s="17" t="n">
        <f aca="false">8.4/(C$8*$B$3)</f>
        <v>0.756109635897205</v>
      </c>
      <c r="D11" s="16" t="n">
        <f aca="false">8.4/(D$8*$B$3)</f>
        <v>0.722127180351263</v>
      </c>
      <c r="E11" s="16" t="n">
        <f aca="false">8.4/(E$8*$B$3)</f>
        <v>0.714103545014027</v>
      </c>
      <c r="F11" s="16" t="n">
        <f aca="false">8.4/(F$8*$B$3)</f>
        <v>0.642693190512624</v>
      </c>
      <c r="G11" s="16" t="n">
        <f aca="false">8.4/(G$8*$B$3)</f>
        <v>0.549310419241559</v>
      </c>
    </row>
    <row r="12" customFormat="false" ht="17.15" hidden="false" customHeight="false" outlineLevel="0" collapsed="false">
      <c r="A12" s="0" t="s">
        <v>79</v>
      </c>
      <c r="B12" s="16" t="n">
        <f aca="false">8.8/(B$8*$B$3)</f>
        <v>0.922325518022031</v>
      </c>
      <c r="C12" s="16" t="n">
        <f aca="false">8.8/(C$8*$B$3)</f>
        <v>0.792114856654215</v>
      </c>
      <c r="D12" s="16" t="n">
        <f aca="false">8.8/(D$8*$B$3)</f>
        <v>0.756514188939419</v>
      </c>
      <c r="E12" s="16" t="n">
        <f aca="false">8.8/(E$8*$B$3)</f>
        <v>0.748108475728981</v>
      </c>
      <c r="F12" s="16" t="n">
        <f aca="false">8.8/(F$8*$B$3)</f>
        <v>0.673297628156083</v>
      </c>
      <c r="G12" s="16" t="n">
        <f aca="false">8.8/(G$8*$B$3)</f>
        <v>0.575468058253062</v>
      </c>
    </row>
    <row r="13" customFormat="false" ht="17.15" hidden="false" customHeight="false" outlineLevel="0" collapsed="false">
      <c r="A13" s="0" t="s">
        <v>80</v>
      </c>
      <c r="B13" s="16" t="n">
        <f aca="false">12.6/(B$8*$B$3)</f>
        <v>1.32060244625882</v>
      </c>
      <c r="C13" s="16" t="n">
        <f aca="false">12.6/(C$8*$B$3)</f>
        <v>1.13416445384581</v>
      </c>
      <c r="D13" s="16" t="n">
        <f aca="false">12.6/(D$8*$B$3)</f>
        <v>1.08319077052689</v>
      </c>
      <c r="E13" s="16" t="n">
        <f aca="false">12.6/(E$8*$B$3)</f>
        <v>1.07115531752104</v>
      </c>
      <c r="F13" s="16" t="n">
        <f aca="false">12.6/(F$8*$B$3)</f>
        <v>0.964039785768937</v>
      </c>
      <c r="G13" s="16" t="n">
        <f aca="false">12.6/(G$8*$B$3)</f>
        <v>0.823965628862339</v>
      </c>
    </row>
    <row r="15" customFormat="false" ht="17.15" hidden="false" customHeight="false" outlineLevel="0" collapsed="false">
      <c r="A15" s="5" t="s">
        <v>81</v>
      </c>
    </row>
    <row r="16" customFormat="false" ht="15" hidden="false" customHeight="false" outlineLevel="0" collapsed="false">
      <c r="A16" s="11" t="s">
        <v>75</v>
      </c>
      <c r="B16" s="13" t="n">
        <v>0.73</v>
      </c>
      <c r="C16" s="13" t="n">
        <v>0.85</v>
      </c>
      <c r="D16" s="13" t="n">
        <v>0.89</v>
      </c>
      <c r="E16" s="13" t="n">
        <v>0.9</v>
      </c>
      <c r="F16" s="13" t="n">
        <v>1</v>
      </c>
      <c r="G16" s="13" t="n">
        <v>1.17</v>
      </c>
    </row>
    <row r="17" customFormat="false" ht="17.15" hidden="false" customHeight="false" outlineLevel="0" collapsed="false">
      <c r="A17" s="0" t="s">
        <v>76</v>
      </c>
      <c r="B17" s="16" t="n">
        <f aca="false">$B$4/(6.047/(B$16*$B$3))</f>
        <v>1.19693021605655</v>
      </c>
      <c r="C17" s="16" t="n">
        <f aca="false">$B$4/(6.047/(C$16*$B$3))</f>
        <v>1.39368586801106</v>
      </c>
      <c r="D17" s="16" t="n">
        <f aca="false">$B$4/(6.047/(D$16*$B$3))</f>
        <v>1.45927108532922</v>
      </c>
      <c r="E17" s="16" t="n">
        <f aca="false">$B$4/(6.047/(E$16*$B$3))</f>
        <v>1.47566738965877</v>
      </c>
      <c r="F17" s="16" t="n">
        <f aca="false">$B$4/(6.047/(F$16*$B$3))</f>
        <v>1.63963043295418</v>
      </c>
      <c r="G17" s="16" t="n">
        <f aca="false">$B$4/(6.047/(G$16*$B$3))</f>
        <v>1.91836760655639</v>
      </c>
    </row>
    <row r="18" customFormat="false" ht="17.15" hidden="false" customHeight="false" outlineLevel="0" collapsed="false">
      <c r="A18" s="11" t="s">
        <v>77</v>
      </c>
      <c r="B18" s="16" t="n">
        <f aca="false">$B$4/(7.5/(B$16*$B$3))</f>
        <v>0.965044935532531</v>
      </c>
      <c r="C18" s="16" t="n">
        <f aca="false">$B$4/(7.5/(C$16*$B$3))</f>
        <v>1.12368245918171</v>
      </c>
      <c r="D18" s="16" t="n">
        <f aca="false">$B$4/(7.5/(D$16*$B$3))</f>
        <v>1.17656163373144</v>
      </c>
      <c r="E18" s="16" t="n">
        <f aca="false">$B$4/(7.5/(E$16*$B$3))</f>
        <v>1.18978142736887</v>
      </c>
      <c r="F18" s="16" t="n">
        <f aca="false">$B$4/(7.5/(F$16*$B$3))</f>
        <v>1.32197936374319</v>
      </c>
      <c r="G18" s="16" t="n">
        <f aca="false">$B$4/(7.5/(G$16*$B$3))</f>
        <v>1.54671585557954</v>
      </c>
    </row>
    <row r="19" customFormat="false" ht="17.15" hidden="false" customHeight="false" outlineLevel="0" collapsed="false">
      <c r="A19" s="11" t="s">
        <v>78</v>
      </c>
      <c r="B19" s="16" t="n">
        <f aca="false">$B$4/(8.4/(B$16*$B$3))</f>
        <v>0.861647263868331</v>
      </c>
      <c r="C19" s="17" t="n">
        <f aca="false">$B$4/(8.4/(C$16*$B$3))</f>
        <v>1.00328790998367</v>
      </c>
      <c r="D19" s="16" t="n">
        <f aca="false">$B$4/(8.4/(D$16*$B$3))</f>
        <v>1.05050145868879</v>
      </c>
      <c r="E19" s="16" t="n">
        <f aca="false">$B$4/(8.4/(E$16*$B$3))</f>
        <v>1.06230484586507</v>
      </c>
      <c r="F19" s="16" t="n">
        <f aca="false">$B$4/(8.4/(F$16*$B$3))</f>
        <v>1.18033871762785</v>
      </c>
      <c r="G19" s="16" t="n">
        <f aca="false">$B$4/(8.4/(G$16*$B$3))</f>
        <v>1.38099629962459</v>
      </c>
    </row>
    <row r="20" customFormat="false" ht="17.15" hidden="false" customHeight="false" outlineLevel="0" collapsed="false">
      <c r="A20" s="0" t="s">
        <v>79</v>
      </c>
      <c r="B20" s="16" t="n">
        <f aca="false">$B$4/(8.8/(B$16*$B$3))</f>
        <v>0.822481479147043</v>
      </c>
      <c r="C20" s="16" t="n">
        <f aca="false">$B$4/(8.8/(C$16*$B$3))</f>
        <v>0.957683914075324</v>
      </c>
      <c r="D20" s="16" t="n">
        <f aca="false">$B$4/(8.8/(D$16*$B$3))</f>
        <v>1.00275139238475</v>
      </c>
      <c r="E20" s="16" t="n">
        <f aca="false">$B$4/(8.8/(E$16*$B$3))</f>
        <v>1.01401826196211</v>
      </c>
      <c r="F20" s="16" t="n">
        <f aca="false">$B$4/(8.8/(F$16*$B$3))</f>
        <v>1.12668695773568</v>
      </c>
      <c r="G20" s="16" t="n">
        <f aca="false">$B$4/(8.8/(G$16*$B$3))</f>
        <v>1.31822374055074</v>
      </c>
    </row>
    <row r="21" customFormat="false" ht="17.15" hidden="false" customHeight="false" outlineLevel="0" collapsed="false">
      <c r="A21" s="0" t="s">
        <v>80</v>
      </c>
      <c r="B21" s="16" t="n">
        <f aca="false">$B$4/(12.6/(B$16*$B$3))</f>
        <v>0.574431509245554</v>
      </c>
      <c r="C21" s="16" t="n">
        <f aca="false">$B$4/(12.6/(C$16*$B$3))</f>
        <v>0.668858606655782</v>
      </c>
      <c r="D21" s="16" t="n">
        <f aca="false">$B$4/(12.6/(D$16*$B$3))</f>
        <v>0.700334305792525</v>
      </c>
      <c r="E21" s="16" t="n">
        <f aca="false">$B$4/(12.6/(E$16*$B$3))</f>
        <v>0.708203230576711</v>
      </c>
      <c r="F21" s="16" t="n">
        <f aca="false">$B$4/(12.6/(F$16*$B$3))</f>
        <v>0.786892478418567</v>
      </c>
      <c r="G21" s="16" t="n">
        <f aca="false">$B$4/(12.6/(G$16*$B$3))</f>
        <v>0.920664199749724</v>
      </c>
    </row>
    <row r="23" customFormat="false" ht="17.15" hidden="false" customHeight="false" outlineLevel="0" collapsed="false">
      <c r="A23" s="5" t="s">
        <v>82</v>
      </c>
    </row>
    <row r="24" customFormat="false" ht="15" hidden="false" customHeight="false" outlineLevel="0" collapsed="false">
      <c r="A24" s="11" t="s">
        <v>75</v>
      </c>
      <c r="B24" s="13" t="n">
        <v>0.73</v>
      </c>
      <c r="C24" s="13" t="n">
        <v>0.85</v>
      </c>
      <c r="D24" s="13" t="n">
        <v>0.89</v>
      </c>
      <c r="E24" s="13" t="n">
        <v>0.9</v>
      </c>
      <c r="F24" s="13" t="n">
        <v>1</v>
      </c>
      <c r="G24" s="13" t="n">
        <v>1.17</v>
      </c>
    </row>
    <row r="25" customFormat="false" ht="17.15" hidden="false" customHeight="false" outlineLevel="0" collapsed="false">
      <c r="A25" s="0" t="s">
        <v>76</v>
      </c>
      <c r="B25" s="16" t="str">
        <f aca="false">IF($C$5&lt;6.047/(B$24*$B$3),"未回本",IF($B$5&gt;6.047/(B$24*$B$3),"回本","未定"))</f>
        <v>未定</v>
      </c>
      <c r="C25" s="16" t="str">
        <f aca="false">IF($C$5&lt;6.047/(C$24*$B$3),"未回本",IF($B$5&gt;6.047/(C$24*$B$3),"回本","未定"))</f>
        <v>未定</v>
      </c>
      <c r="D25" s="16" t="str">
        <f aca="false">IF($C$5&lt;6.047/(D$24*$B$3),"未回本",IF($B$5&gt;6.047/(D$24*$B$3),"回本","未定"))</f>
        <v>未定</v>
      </c>
      <c r="E25" s="16" t="str">
        <f aca="false">IF($C$5&lt;6.047/(E$24*$B$3),"未回本",IF($B$5&gt;6.047/(E$24*$B$3),"回本","未定"))</f>
        <v>未定</v>
      </c>
      <c r="F25" s="16" t="str">
        <f aca="false">IF($C$5&lt;6.047/(F$24*$B$3),"未回本",IF($B$5&gt;6.047/(F$24*$B$3),"回本","未定"))</f>
        <v>回本</v>
      </c>
      <c r="G25" s="16" t="str">
        <f aca="false">IF($C$5&lt;6.047/(G$24*$B$3),"未回本",IF($B$5&gt;6.047/(G$24*$B$3),"回本","未定"))</f>
        <v>回本</v>
      </c>
    </row>
    <row r="26" customFormat="false" ht="17.15" hidden="false" customHeight="false" outlineLevel="0" collapsed="false">
      <c r="A26" s="11" t="s">
        <v>77</v>
      </c>
      <c r="B26" s="16" t="str">
        <f aca="false">IF($C$5&lt;7.5/(B$24*$B$3),"未回本",IF($B$5&gt;7.5/(B$24*$B$3),"回本","未定"))</f>
        <v>未定</v>
      </c>
      <c r="C26" s="16" t="str">
        <f aca="false">IF($C$5&lt;7.5/(C$24*$B$3),"未回本",IF($B$5&gt;7.5/(C$24*$B$3),"回本","未定"))</f>
        <v>未定</v>
      </c>
      <c r="D26" s="16" t="str">
        <f aca="false">IF($C$5&lt;7.5/(D$24*$B$3),"未回本",IF($B$5&gt;7.5/(D$24*$B$3),"回本","未定"))</f>
        <v>未定</v>
      </c>
      <c r="E26" s="16" t="str">
        <f aca="false">IF($C$5&lt;7.5/(E$24*$B$3),"未回本",IF($B$5&gt;7.5/(E$24*$B$3),"回本","未定"))</f>
        <v>未定</v>
      </c>
      <c r="F26" s="16" t="str">
        <f aca="false">IF($C$5&lt;7.5/(F$24*$B$3),"未回本",IF($B$5&gt;7.5/(F$24*$B$3),"回本","未定"))</f>
        <v>未定</v>
      </c>
      <c r="G26" s="16" t="str">
        <f aca="false">IF($C$5&lt;7.5/(G$24*$B$3),"未回本",IF($B$5&gt;7.5/(G$24*$B$3),"回本","未定"))</f>
        <v>未定</v>
      </c>
    </row>
    <row r="27" customFormat="false" ht="17.15" hidden="false" customHeight="false" outlineLevel="0" collapsed="false">
      <c r="A27" s="11" t="s">
        <v>78</v>
      </c>
      <c r="B27" s="16" t="str">
        <f aca="false">IF($C$5&lt;8.4/(B$24*$B$3),"未回本",IF($B$5&gt;8.4/(B$24*$B$3),"回本","未定"))</f>
        <v>未定</v>
      </c>
      <c r="C27" s="17" t="str">
        <f aca="false">IF($C$5&lt;8.4/(C$24*$B$3),"未回本",IF($B$5&gt;8.4/(C$24*$B$3),"回本","未定"))</f>
        <v>未定</v>
      </c>
      <c r="D27" s="16" t="str">
        <f aca="false">IF($C$5&lt;8.4/(D$24*$B$3),"未回本",IF($B$5&gt;8.4/(D$24*$B$3),"回本","未定"))</f>
        <v>未定</v>
      </c>
      <c r="E27" s="16" t="str">
        <f aca="false">IF($C$5&lt;8.4/(E$24*$B$3),"未回本",IF($B$5&gt;8.4/(E$24*$B$3),"回本","未定"))</f>
        <v>未定</v>
      </c>
      <c r="F27" s="16" t="str">
        <f aca="false">IF($C$5&lt;8.4/(F$24*$B$3),"未回本",IF($B$5&gt;8.4/(F$24*$B$3),"回本","未定"))</f>
        <v>未定</v>
      </c>
      <c r="G27" s="16" t="str">
        <f aca="false">IF($C$5&lt;8.4/(G$24*$B$3),"未回本",IF($B$5&gt;8.4/(G$24*$B$3),"回本","未定"))</f>
        <v>未定</v>
      </c>
    </row>
    <row r="28" customFormat="false" ht="17.15" hidden="false" customHeight="false" outlineLevel="0" collapsed="false">
      <c r="A28" s="0" t="s">
        <v>79</v>
      </c>
      <c r="B28" s="16" t="str">
        <f aca="false">IF($C$5&lt;8.8/(B$24*$B$3),"未回本",IF($B$5&gt;8.8/(B$24*$B$3),"回本","未定"))</f>
        <v>未定</v>
      </c>
      <c r="C28" s="16" t="str">
        <f aca="false">IF($C$5&lt;8.8/(C$24*$B$3),"未回本",IF($B$5&gt;8.8/(C$24*$B$3),"回本","未定"))</f>
        <v>未定</v>
      </c>
      <c r="D28" s="16" t="str">
        <f aca="false">IF($C$5&lt;8.8/(D$24*$B$3),"未回本",IF($B$5&gt;8.8/(D$24*$B$3),"回本","未定"))</f>
        <v>未定</v>
      </c>
      <c r="E28" s="16" t="str">
        <f aca="false">IF($C$5&lt;8.8/(E$24*$B$3),"未回本",IF($B$5&gt;8.8/(E$24*$B$3),"回本","未定"))</f>
        <v>未定</v>
      </c>
      <c r="F28" s="16" t="str">
        <f aca="false">IF($C$5&lt;8.8/(F$24*$B$3),"未回本",IF($B$5&gt;8.8/(F$24*$B$3),"回本","未定"))</f>
        <v>未定</v>
      </c>
      <c r="G28" s="16" t="str">
        <f aca="false">IF($C$5&lt;8.8/(G$24*$B$3),"未回本",IF($B$5&gt;8.8/(G$24*$B$3),"回本","未定"))</f>
        <v>未定</v>
      </c>
    </row>
    <row r="29" customFormat="false" ht="17.15" hidden="false" customHeight="false" outlineLevel="0" collapsed="false">
      <c r="A29" s="0" t="s">
        <v>80</v>
      </c>
      <c r="B29" s="16" t="str">
        <f aca="false">IF($C$5&lt;12.6/(B$24*$B$3),"未回本",IF($B$5&gt;12.6/(B$24*$B$3),"回本","未定"))</f>
        <v>未回本</v>
      </c>
      <c r="C29" s="16" t="str">
        <f aca="false">IF($C$5&lt;12.6/(C$24*$B$3),"未回本",IF($B$5&gt;12.6/(C$24*$B$3),"回本","未定"))</f>
        <v>未定</v>
      </c>
      <c r="D29" s="16" t="str">
        <f aca="false">IF($C$5&lt;12.6/(D$24*$B$3),"未回本",IF($B$5&gt;12.6/(D$24*$B$3),"回本","未定"))</f>
        <v>未定</v>
      </c>
      <c r="E29" s="16" t="str">
        <f aca="false">IF($C$5&lt;12.6/(E$24*$B$3),"未回本",IF($B$5&gt;12.6/(E$24*$B$3),"回本","未定"))</f>
        <v>未定</v>
      </c>
      <c r="F29" s="16" t="str">
        <f aca="false">IF($C$5&lt;12.6/(F$24*$B$3),"未回本",IF($B$5&gt;12.6/(F$24*$B$3),"回本","未定"))</f>
        <v>未定</v>
      </c>
      <c r="G29" s="16" t="str">
        <f aca="false">IF($C$5&lt;12.6/(G$24*$B$3),"未回本",IF($B$5&gt;12.6/(G$24*$B$3),"回本","未定"))</f>
        <v>未定</v>
      </c>
    </row>
    <row r="31" customFormat="false" ht="30" hidden="false" customHeight="true" outlineLevel="0" collapsed="false">
      <c r="A31" s="15" t="s">
        <v>83</v>
      </c>
      <c r="B31" s="15"/>
      <c r="C31" s="15"/>
      <c r="D31" s="15"/>
      <c r="E31" s="15"/>
      <c r="F31" s="15"/>
      <c r="G31" s="15"/>
    </row>
  </sheetData>
  <mergeCells count="1"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5" t="s">
        <v>84</v>
      </c>
      <c r="B1" s="6" t="s">
        <v>85</v>
      </c>
      <c r="C1" s="5" t="s">
        <v>86</v>
      </c>
    </row>
    <row r="2" customFormat="false" ht="48.5" hidden="false" customHeight="false" outlineLevel="0" collapsed="false">
      <c r="A2" s="2" t="s">
        <v>87</v>
      </c>
      <c r="B2" s="18" t="n">
        <v>6.047</v>
      </c>
      <c r="C2" s="2" t="s">
        <v>88</v>
      </c>
    </row>
    <row r="3" customFormat="false" ht="48.5" hidden="false" customHeight="false" outlineLevel="0" collapsed="false">
      <c r="A3" s="2" t="s">
        <v>89</v>
      </c>
      <c r="B3" s="18" t="n">
        <v>7.5</v>
      </c>
      <c r="C3" s="2" t="s">
        <v>90</v>
      </c>
    </row>
    <row r="4" customFormat="false" ht="17.15" hidden="false" customHeight="false" outlineLevel="0" collapsed="false">
      <c r="A4" s="4" t="s">
        <v>91</v>
      </c>
      <c r="B4" s="18" t="s">
        <v>92</v>
      </c>
      <c r="C4" s="4" t="s">
        <v>93</v>
      </c>
    </row>
    <row r="5" customFormat="false" ht="32.8" hidden="false" customHeight="false" outlineLevel="0" collapsed="false">
      <c r="A5" s="2" t="s">
        <v>94</v>
      </c>
      <c r="B5" s="18" t="n">
        <v>8.4</v>
      </c>
      <c r="C5" s="4" t="s">
        <v>95</v>
      </c>
    </row>
    <row r="6" customFormat="false" ht="48.5" hidden="false" customHeight="false" outlineLevel="0" collapsed="false">
      <c r="A6" s="4" t="s">
        <v>96</v>
      </c>
      <c r="B6" s="18" t="n">
        <v>12.6</v>
      </c>
      <c r="C6" s="4" t="s">
        <v>97</v>
      </c>
    </row>
    <row r="7" customFormat="false" ht="64.15" hidden="false" customHeight="false" outlineLevel="0" collapsed="false">
      <c r="A7" s="5" t="s">
        <v>98</v>
      </c>
      <c r="C7" s="4" t="s">
        <v>99</v>
      </c>
    </row>
    <row r="8" customFormat="false" ht="48.5" hidden="false" customHeight="false" outlineLevel="0" collapsed="false">
      <c r="A8" s="6" t="s">
        <v>100</v>
      </c>
      <c r="C8" s="4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17.15" hidden="false" customHeight="false" outlineLevel="0" collapsed="false">
      <c r="A1" s="5" t="s">
        <v>102</v>
      </c>
      <c r="B1" s="5" t="s">
        <v>103</v>
      </c>
      <c r="C1" s="5" t="s">
        <v>104</v>
      </c>
      <c r="D1" s="5" t="s">
        <v>105</v>
      </c>
      <c r="E1" s="5" t="s">
        <v>106</v>
      </c>
    </row>
    <row r="2" customFormat="false" ht="32.8" hidden="false" customHeight="false" outlineLevel="0" collapsed="false">
      <c r="A2" s="4" t="s">
        <v>107</v>
      </c>
      <c r="B2" s="4" t="s">
        <v>108</v>
      </c>
      <c r="C2" s="4" t="s">
        <v>109</v>
      </c>
      <c r="D2" s="2" t="s">
        <v>110</v>
      </c>
      <c r="E2" s="4" t="s">
        <v>111</v>
      </c>
    </row>
    <row r="3" customFormat="false" ht="32.8" hidden="false" customHeight="false" outlineLevel="0" collapsed="false">
      <c r="A3" s="4" t="s">
        <v>54</v>
      </c>
      <c r="B3" s="4" t="s">
        <v>112</v>
      </c>
      <c r="C3" s="4" t="s">
        <v>113</v>
      </c>
      <c r="D3" s="2" t="s">
        <v>114</v>
      </c>
      <c r="E3" s="4" t="s">
        <v>115</v>
      </c>
    </row>
    <row r="4" customFormat="false" ht="17.15" hidden="false" customHeight="false" outlineLevel="0" collapsed="false">
      <c r="A4" s="4" t="s">
        <v>54</v>
      </c>
      <c r="B4" s="4" t="s">
        <v>116</v>
      </c>
      <c r="C4" s="4" t="s">
        <v>117</v>
      </c>
      <c r="D4" s="2" t="s">
        <v>118</v>
      </c>
      <c r="E4" s="2" t="s">
        <v>119</v>
      </c>
    </row>
    <row r="5" customFormat="false" ht="32.8" hidden="false" customHeight="false" outlineLevel="0" collapsed="false">
      <c r="A5" s="4" t="s">
        <v>120</v>
      </c>
      <c r="B5" s="4" t="s">
        <v>121</v>
      </c>
      <c r="C5" s="4" t="s">
        <v>122</v>
      </c>
      <c r="D5" s="4" t="s">
        <v>123</v>
      </c>
      <c r="E5" s="4" t="s">
        <v>124</v>
      </c>
    </row>
    <row r="6" customFormat="false" ht="32.8" hidden="false" customHeight="false" outlineLevel="0" collapsed="false">
      <c r="A6" s="4" t="s">
        <v>120</v>
      </c>
      <c r="B6" s="4" t="s">
        <v>125</v>
      </c>
      <c r="C6" s="4" t="s">
        <v>126</v>
      </c>
      <c r="D6" s="4" t="s">
        <v>127</v>
      </c>
      <c r="E6" s="2" t="s">
        <v>119</v>
      </c>
    </row>
    <row r="8" customFormat="false" ht="45" hidden="false" customHeight="true" outlineLevel="0" collapsed="false">
      <c r="A8" s="15" t="s">
        <v>128</v>
      </c>
      <c r="B8" s="15"/>
      <c r="C8" s="15"/>
      <c r="D8" s="15"/>
      <c r="E8" s="15"/>
    </row>
  </sheetData>
  <mergeCells count="1"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5" t="s">
        <v>129</v>
      </c>
      <c r="B1" s="5" t="s">
        <v>130</v>
      </c>
    </row>
    <row r="2" customFormat="false" ht="32.8" hidden="false" customHeight="false" outlineLevel="0" collapsed="false">
      <c r="A2" s="4" t="s">
        <v>131</v>
      </c>
      <c r="B2" s="4" t="s">
        <v>132</v>
      </c>
    </row>
    <row r="3" customFormat="false" ht="32.8" hidden="false" customHeight="false" outlineLevel="0" collapsed="false">
      <c r="A3" s="4" t="s">
        <v>133</v>
      </c>
      <c r="B3" s="4" t="s">
        <v>134</v>
      </c>
    </row>
    <row r="4" customFormat="false" ht="17.15" hidden="false" customHeight="false" outlineLevel="0" collapsed="false">
      <c r="A4" s="4" t="s">
        <v>135</v>
      </c>
      <c r="B4" s="4" t="s">
        <v>136</v>
      </c>
    </row>
    <row r="5" customFormat="false" ht="17.15" hidden="false" customHeight="false" outlineLevel="0" collapsed="false">
      <c r="A5" s="4" t="s">
        <v>137</v>
      </c>
      <c r="B5" s="4" t="s">
        <v>138</v>
      </c>
    </row>
    <row r="6" customFormat="false" ht="17.15" hidden="false" customHeight="false" outlineLevel="0" collapsed="false">
      <c r="A6" s="4" t="s">
        <v>139</v>
      </c>
      <c r="B6" s="4" t="s">
        <v>140</v>
      </c>
    </row>
    <row r="7" customFormat="false" ht="17.15" hidden="false" customHeight="false" outlineLevel="0" collapsed="false">
      <c r="A7" s="4" t="s">
        <v>141</v>
      </c>
      <c r="B7" s="4" t="s">
        <v>142</v>
      </c>
    </row>
    <row r="8" customFormat="false" ht="17.15" hidden="false" customHeight="false" outlineLevel="0" collapsed="false">
      <c r="A8" s="4" t="s">
        <v>143</v>
      </c>
      <c r="B8" s="4" t="s">
        <v>144</v>
      </c>
    </row>
    <row r="9" customFormat="false" ht="48.5" hidden="false" customHeight="false" outlineLevel="0" collapsed="false">
      <c r="A9" s="2" t="s">
        <v>145</v>
      </c>
      <c r="B9" s="4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2026-10-20T09:24:54Z</dcterms:created>
  <dc:creator>openpyxl</dc:creator>
  <dc:description/>
  <dc:language>en-US</dc:language>
  <cp:lastModifiedBy/>
  <dcterms:modified xsi:type="dcterms:W3CDTF">2026-10-20T09:24:54Z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