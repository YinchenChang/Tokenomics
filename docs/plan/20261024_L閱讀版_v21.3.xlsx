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0_說明" sheetId="1" state="visible" r:id="rId3"/>
    <sheet name="1_公式樹" sheetId="2" state="visible" r:id="rId4"/>
    <sheet name="2_輸入" sheetId="3" state="visible" r:id="rId5"/>
    <sheet name="3_L逐世代" sheetId="4" state="visible" r:id="rId6"/>
    <sheet name="4_必須為真" sheetId="5" state="visible" r:id="rId7"/>
  </sheets>
  <definedNames>
    <definedName function="false" hidden="false" name="IN_A" vbProcedure="false">2_輸入!$C$16</definedName>
    <definedName function="false" hidden="false" name="IN_A_Hi" vbProcedure="false">2_輸入!$E$16</definedName>
    <definedName function="false" hidden="false" name="IN_A_Lo" vbProcedure="false">2_輸入!$D$16</definedName>
    <definedName function="false" hidden="false" name="IN_g" vbProcedure="false">2_輸入!$C$10</definedName>
    <definedName function="false" hidden="false" name="IN_gpre" vbProcedure="false">2_輸入!$C$14</definedName>
    <definedName function="false" hidden="false" name="IN_gpre_Hi" vbProcedure="false">2_輸入!$E$14</definedName>
    <definedName function="false" hidden="false" name="IN_gpre_Lo" vbProcedure="false">2_輸入!$D$14</definedName>
    <definedName function="false" hidden="false" name="IN_g_Hi" vbProcedure="false">2_輸入!$E$10</definedName>
    <definedName function="false" hidden="false" name="IN_g_Lo" vbProcedure="false">2_輸入!$D$10</definedName>
    <definedName function="false" hidden="false" name="IN_Hold" vbProcedure="false">2_輸入!$C$34</definedName>
    <definedName function="false" hidden="false" name="IN_Hold_Hi" vbProcedure="false">2_輸入!$E$34</definedName>
    <definedName function="false" hidden="false" name="IN_Hold_Lo" vbProcedure="false">2_輸入!$D$34</definedName>
    <definedName function="false" hidden="false" name="IN_Rev" vbProcedure="false">2_輸入!$C$6</definedName>
    <definedName function="false" hidden="false" name="IN_Rev_Hi" vbProcedure="false">2_輸入!$E$6</definedName>
    <definedName function="false" hidden="false" name="IN_Rev_Lo" vbProcedure="false">2_輸入!$D$6</definedName>
    <definedName function="false" hidden="false" name="IN_rg_3" vbProcedure="false">2_輸入!$C$28</definedName>
    <definedName function="false" hidden="false" name="IN_rg_3_Hi" vbProcedure="false">2_輸入!$E$28</definedName>
    <definedName function="false" hidden="false" name="IN_rg_3_Lo" vbProcedure="false">2_輸入!$D$28</definedName>
    <definedName function="false" hidden="false" name="IN_rg_G" vbProcedure="false">2_輸入!$C$27</definedName>
    <definedName function="false" hidden="false" name="IN_rg_G_Hi" vbProcedure="false">2_輸入!$E$27</definedName>
    <definedName function="false" hidden="false" name="IN_rg_G_Lo" vbProcedure="false">2_輸入!$D$27</definedName>
    <definedName function="false" hidden="false" name="IN_rg_H" vbProcedure="false">2_輸入!$C$26</definedName>
    <definedName function="false" hidden="false" name="IN_rg_H_Hi" vbProcedure="false">2_輸入!$E$26</definedName>
    <definedName function="false" hidden="false" name="IN_rg_H_Lo" vbProcedure="false">2_輸入!$D$26</definedName>
    <definedName function="false" hidden="false" name="IN_rg_V" vbProcedure="false">2_輸入!$C$29</definedName>
    <definedName function="false" hidden="false" name="IN_rg_V_Hi" vbProcedure="false">2_輸入!$E$29</definedName>
    <definedName function="false" hidden="false" name="IN_rg_V_Lo" vbProcedure="false">2_輸入!$D$29</definedName>
    <definedName function="false" hidden="false" name="IN_rho" vbProcedure="false">2_輸入!$C$12</definedName>
    <definedName function="false" hidden="false" name="IN_rho_Hi" vbProcedure="false">2_輸入!$E$12</definedName>
    <definedName function="false" hidden="false" name="IN_rho_Lo" vbProcedure="false">2_輸入!$D$12</definedName>
    <definedName function="false" hidden="false" name="IN_SB" vbProcedure="false">2_輸入!$C$8</definedName>
    <definedName function="false" hidden="false" name="IN_SB_Hi" vbProcedure="false">2_輸入!$E$8</definedName>
    <definedName function="false" hidden="false" name="IN_SB_Lo" vbProcedure="false">2_輸入!$D$8</definedName>
    <definedName function="false" hidden="false" name="IN_SeatShare" vbProcedure="false">2_輸入!$C$32</definedName>
    <definedName function="false" hidden="false" name="IN_SeatShare_Hi" vbProcedure="false">2_輸入!$E$32</definedName>
    <definedName function="false" hidden="false" name="IN_SeatShare_Lo" vbProcedure="false">2_輸入!$D$32</definedName>
    <definedName function="false" hidden="false" name="IN_sh_3" vbProcedure="false">2_輸入!$C$24</definedName>
    <definedName function="false" hidden="false" name="IN_sh_3_Hi" vbProcedure="false">2_輸入!$E$24</definedName>
    <definedName function="false" hidden="false" name="IN_sh_3_Lo" vbProcedure="false">2_輸入!$D$24</definedName>
    <definedName function="false" hidden="false" name="IN_sh_G" vbProcedure="false">2_輸入!$C$23</definedName>
    <definedName function="false" hidden="false" name="IN_sh_G_Hi" vbProcedure="false">2_輸入!$E$23</definedName>
    <definedName function="false" hidden="false" name="IN_sh_G_Lo" vbProcedure="false">2_輸入!$D$23</definedName>
    <definedName function="false" hidden="false" name="IN_sh_H" vbProcedure="false">2_輸入!$C$22</definedName>
    <definedName function="false" hidden="false" name="IN_sh_H_Hi" vbProcedure="false">2_輸入!$E$22</definedName>
    <definedName function="false" hidden="false" name="IN_sh_H_Lo" vbProcedure="false">2_輸入!$D$22</definedName>
    <definedName function="false" hidden="false" name="IN_sh_V" vbProcedure="false">2_輸入!$C$25</definedName>
    <definedName function="false" hidden="false" name="IN_sh_V_Hi" vbProcedure="false">2_輸入!$E$25</definedName>
    <definedName function="false" hidden="false" name="IN_sh_V_Lo" vbProcedure="false">2_輸入!$D$25</definedName>
    <definedName function="false" hidden="false" name="IN_Spend" vbProcedure="false">2_輸入!$C$7</definedName>
    <definedName function="false" hidden="false" name="IN_Spend_Hi" vbProcedure="false">2_輸入!$E$7</definedName>
    <definedName function="false" hidden="false" name="IN_Spend_Lo" vbProcedure="false">2_輸入!$D$7</definedName>
    <definedName function="false" hidden="false" name="IN_SubShare" vbProcedure="false">2_輸入!$C$31</definedName>
    <definedName function="false" hidden="false" name="IN_SubShare_Hi" vbProcedure="false">2_輸入!$E$31</definedName>
    <definedName function="false" hidden="false" name="IN_SubShare_Lo" vbProcedure="false">2_輸入!$D$31</definedName>
    <definedName function="false" hidden="false" name="IN_sv_3" vbProcedure="false">2_輸入!$C$20</definedName>
    <definedName function="false" hidden="false" name="IN_sv_3_Hi" vbProcedure="false">2_輸入!$E$20</definedName>
    <definedName function="false" hidden="false" name="IN_sv_3_Lo" vbProcedure="false">2_輸入!$D$20</definedName>
    <definedName function="false" hidden="false" name="IN_sv_G" vbProcedure="false">2_輸入!$C$19</definedName>
    <definedName function="false" hidden="false" name="IN_sv_G_Hi" vbProcedure="false">2_輸入!$E$19</definedName>
    <definedName function="false" hidden="false" name="IN_sv_G_Lo" vbProcedure="false">2_輸入!$D$19</definedName>
    <definedName function="false" hidden="false" name="IN_sv_H" vbProcedure="false">2_輸入!$C$18</definedName>
    <definedName function="false" hidden="false" name="IN_sv_H_Hi" vbProcedure="false">2_輸入!$E$18</definedName>
    <definedName function="false" hidden="false" name="IN_sv_H_Lo" vbProcedure="false">2_輸入!$D$18</definedName>
    <definedName function="false" hidden="false" name="IN_sv_V" vbProcedure="false">2_輸入!$C$21</definedName>
    <definedName function="false" hidden="false" name="IN_sv_V_Hi" vbProcedure="false">2_輸入!$E$21</definedName>
    <definedName function="false" hidden="false" name="IN_sv_V_Lo" vbProcedure="false">2_輸入!$D$21</definedName>
    <definedName function="false" hidden="false" name="IN_T" vbProcedure="false">2_輸入!$C$13</definedName>
    <definedName function="false" hidden="false" name="IN_T1" vbProcedure="false">2_輸入!$C$11</definedName>
    <definedName function="false" hidden="false" name="IN_T1_Hi" vbProcedure="false">2_輸入!$E$11</definedName>
    <definedName function="false" hidden="false" name="IN_T1_Lo" vbProcedure="false">2_輸入!$D$11</definedName>
    <definedName function="false" hidden="false" name="IN_T_Hi" vbProcedure="false">2_輸入!$E$13</definedName>
    <definedName function="false" hidden="false" name="IN_T_Lo" vbProcedure="false">2_輸入!$D$13</definedName>
    <definedName function="false" hidden="false" name="IN_WACC" vbProcedure="false">2_輸入!$C$15</definedName>
    <definedName function="false" hidden="false" name="IN_WACC_Hi" vbProcedure="false">2_輸入!$E$15</definedName>
    <definedName function="false" hidden="false" name="IN_WACC_Lo" vbProcedure="false">2_輸入!$D$15</definedName>
    <definedName function="false" hidden="false" name="LQ" vbProcedure="false">1_公式樹!$C$8</definedName>
    <definedName function="false" hidden="false" name="LS_L" vbProcedure="false">3_L逐世代!$C$9</definedName>
    <definedName function="false" hidden="false" name="LS_L_disc" vbProcedure="false">3_L逐世代!$C$8</definedName>
    <definedName function="false" hidden="false" name="LS_L_Hi" vbProcedure="false">3_L逐世代!$C$12</definedName>
    <definedName function="false" hidden="false" name="LS_L_Lo" vbProcedure="false">3_L逐世代!$C$11</definedName>
    <definedName function="false" hidden="false" name="LS_L_price" vbProcedure="false">3_L逐世代!$C$6</definedName>
    <definedName function="false" hidden="false" name="LS_L_total" vbProcedure="false">3_L逐世代!$C$7</definedName>
    <definedName function="false" hidden="false" name="LS_L_v16" vbProcedure="false">3_L逐世代!$C$10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<sst xmlns="http://schemas.openxmlformats.org/spreadsheetml/2006/main" count="862" uniqueCount="380">
  <si>
    <r>
      <rPr>
        <b val="true"/>
        <sz val="14"/>
        <rFont val="Cambria"/>
        <family val="0"/>
        <charset val="1"/>
      </rPr>
      <t xml:space="preserve">L </t>
    </r>
    <r>
      <rPr>
        <b val="true"/>
        <sz val="14"/>
        <rFont val="Noto Sans CJK SC"/>
        <family val="2"/>
      </rPr>
      <t xml:space="preserve">閱讀版（</t>
    </r>
    <r>
      <rPr>
        <b val="true"/>
        <sz val="14"/>
        <rFont val="Cambria"/>
        <family val="0"/>
        <charset val="1"/>
      </rPr>
      <t xml:space="preserve">Tokenomics v21.3</t>
    </r>
    <r>
      <rPr>
        <b val="true"/>
        <sz val="14"/>
        <rFont val="Noto Sans CJK SC"/>
        <family val="2"/>
      </rPr>
      <t xml:space="preserve">）</t>
    </r>
  </si>
  <si>
    <t xml:space="preserve">建立：2026-10-20，chat 端（Claude）；2026-10-24 換版到 Tokenomics v21.3（見修訂紀錄）。用途：讓 Andy 直觀理解 L（壽命期價格係數）與回本判讀怎麼推出來。核對範圍：tools/reading_workbooks/check_reading.py 對 Tokenomics v21.3 逐項檢查——2_輸入 第 6–34 列全部藍字輸入、1_公式樹 G 欄全部「Tokenomics 原值」（含區間文字）與三態判讀、3_L逐世代 情境摘要與各世代 L_rel、所需 L 與持有成本、錯誤值與差異欄；另經未參與製作的代理獨立核對（2026-10-24，不符 0）。1_公式樹 的推導說明文字與 4_必須為真 的格點結果不在逐格核對範圍內（格點由本簿公式重算）。本簿是版本快照，不隨 Tokenomics 自動同步。</t>
  </si>
  <si>
    <t xml:space="preserve">分頁</t>
  </si>
  <si>
    <r>
      <rPr>
        <sz val="11"/>
        <color theme="1"/>
        <rFont val="Calibri"/>
        <family val="2"/>
        <charset val="1"/>
      </rPr>
      <t xml:space="preserve">1_</t>
    </r>
    <r>
      <rPr>
        <sz val="11"/>
        <color theme="1"/>
        <rFont val="Noto Sans CJK SC"/>
        <family val="2"/>
      </rPr>
      <t xml:space="preserve">公式樹：從回本條件出發，逐層拆到所需 </t>
    </r>
    <r>
      <rPr>
        <sz val="11"/>
        <color theme="1"/>
        <rFont val="Calibri"/>
        <family val="2"/>
        <charset val="1"/>
      </rPr>
      <t xml:space="preserve">L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L </t>
    </r>
    <r>
      <rPr>
        <sz val="11"/>
        <color theme="1"/>
        <rFont val="Noto Sans CJK SC"/>
        <family val="2"/>
      </rPr>
      <t xml:space="preserve">的四個需求面前提、</t>
    </r>
    <r>
      <rPr>
        <sz val="11"/>
        <color theme="1"/>
        <rFont val="Calibri"/>
        <family val="2"/>
        <charset val="1"/>
      </rPr>
      <t xml:space="preserve">L </t>
    </r>
    <r>
      <rPr>
        <sz val="11"/>
        <color theme="1"/>
        <rFont val="Noto Sans CJK SC"/>
        <family val="2"/>
      </rPr>
      <t xml:space="preserve">的逐步組成（跌價→降級→折現→世代起點）、世代加權、三段拆分、閉式解、必須為真、需求角度的開放問題。建議先讀這頁。 </t>
    </r>
    <r>
      <rPr>
        <sz val="11"/>
        <color theme="1"/>
        <rFont val="Calibri"/>
        <family val="2"/>
        <charset val="1"/>
      </rPr>
      <t xml:space="preserve">1_</t>
    </r>
    <r>
      <rPr>
        <sz val="11"/>
        <color theme="1"/>
        <rFont val="Noto Sans CJK SC"/>
        <family val="2"/>
      </rPr>
      <t xml:space="preserve">公式樹 末段 </t>
    </r>
    <r>
      <rPr>
        <sz val="11"/>
        <color theme="1"/>
        <rFont val="Calibri"/>
        <family val="2"/>
        <charset val="1"/>
      </rPr>
      <t xml:space="preserve">L9 </t>
    </r>
    <r>
      <rPr>
        <sz val="11"/>
        <color theme="1"/>
        <rFont val="Noto Sans CJK SC"/>
        <family val="2"/>
      </rPr>
      <t xml:space="preserve">是舊主口徑（只含推論）所需 </t>
    </r>
    <r>
      <rPr>
        <sz val="11"/>
        <color theme="1"/>
        <rFont val="Calibri"/>
        <family val="2"/>
        <charset val="1"/>
      </rPr>
      <t xml:space="preserve">L </t>
    </r>
    <r>
      <rPr>
        <sz val="11"/>
        <color theme="1"/>
        <rFont val="Noto Sans CJK SC"/>
        <family val="2"/>
      </rPr>
      <t xml:space="preserve">的對照。</t>
    </r>
  </si>
  <si>
    <r>
      <rPr>
        <sz val="11"/>
        <color theme="1"/>
        <rFont val="Calibri"/>
        <family val="2"/>
        <charset val="1"/>
      </rPr>
      <t xml:space="preserve">2_</t>
    </r>
    <r>
      <rPr>
        <sz val="11"/>
        <color theme="1"/>
        <rFont val="Noto Sans CJK SC"/>
        <family val="2"/>
      </rPr>
      <t xml:space="preserve">輸入：全部輸入（藍字，基準／低端組合／高端組合）。黃底＝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。</t>
    </r>
  </si>
  <si>
    <r>
      <rPr>
        <sz val="11"/>
        <color theme="1"/>
        <rFont val="Calibri"/>
        <family val="2"/>
        <charset val="1"/>
      </rPr>
      <t xml:space="preserve">3_L</t>
    </r>
    <r>
      <rPr>
        <sz val="11"/>
        <color theme="1"/>
        <rFont val="Noto Sans CJK SC"/>
        <family val="2"/>
      </rPr>
      <t xml:space="preserve">逐世代：每個情境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世代一列，把價格路徑的積分拆成三段；情境摘要對照 </t>
    </r>
    <r>
      <rPr>
        <sz val="11"/>
        <color theme="1"/>
        <rFont val="Calibri"/>
        <family val="2"/>
        <charset val="1"/>
      </rPr>
      <t xml:space="preserve">Tokenomics v21.3 </t>
    </r>
    <r>
      <rPr>
        <sz val="11"/>
        <color theme="1"/>
        <rFont val="Noto Sans CJK SC"/>
        <family val="2"/>
      </rPr>
      <t xml:space="preserve">原值。</t>
    </r>
  </si>
  <si>
    <r>
      <rPr>
        <sz val="11"/>
        <color theme="1"/>
        <rFont val="Calibri"/>
        <family val="2"/>
        <charset val="1"/>
      </rPr>
      <t xml:space="preserve">4_</t>
    </r>
    <r>
      <rPr>
        <sz val="11"/>
        <color theme="1"/>
        <rFont val="Noto Sans CJK SC"/>
        <family val="2"/>
      </rPr>
      <t xml:space="preserve">必須為真：</t>
    </r>
    <r>
      <rPr>
        <sz val="11"/>
        <color theme="1"/>
        <rFont val="Calibri"/>
        <family val="2"/>
        <charset val="1"/>
      </rPr>
      <t xml:space="preserve">g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ρ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T1 </t>
    </r>
    <r>
      <rPr>
        <sz val="11"/>
        <color theme="1"/>
        <rFont val="Noto Sans CJK SC"/>
        <family val="2"/>
      </rPr>
      <t xml:space="preserve">的格點（每一格完整重算），內插出損益兩平值。</t>
    </r>
  </si>
  <si>
    <t xml:space="preserve">顏色</t>
  </si>
  <si>
    <t xml:space="preserve">藍字＝輸入；黑字＝公式；綠字＝連結其他分頁；黃底＝Assumed；淺綠底＝主要結果；淡黃底＝重點判讀。</t>
  </si>
  <si>
    <t xml:space="preserve">範圍與限制</t>
  </si>
  <si>
    <r>
      <rPr>
        <sz val="11"/>
        <color theme="1"/>
        <rFont val="Calibri"/>
        <family val="2"/>
        <charset val="1"/>
      </rPr>
      <t xml:space="preserve">1. </t>
    </r>
    <r>
      <rPr>
        <sz val="11"/>
        <color theme="1"/>
        <rFont val="Noto Sans CJK SC"/>
        <family val="2"/>
      </rPr>
      <t xml:space="preserve">基準模型 </t>
    </r>
    <r>
      <rPr>
        <sz val="11"/>
        <color theme="1"/>
        <rFont val="Calibri"/>
        <family val="2"/>
        <charset val="1"/>
      </rPr>
      <t xml:space="preserve">v21.3 </t>
    </r>
    <r>
      <rPr>
        <sz val="11"/>
        <color theme="1"/>
        <rFont val="Noto Sans CJK SC"/>
        <family val="2"/>
      </rPr>
      <t xml:space="preserve">已合併（</t>
    </r>
    <r>
      <rPr>
        <sz val="11"/>
        <color theme="1"/>
        <rFont val="Calibri"/>
        <family val="2"/>
        <charset val="1"/>
      </rPr>
      <t xml:space="preserve">master aa17328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model/20261024_Tokenomics_v21.3.xlsx</t>
    </r>
    <r>
      <rPr>
        <sz val="11"/>
        <color theme="1"/>
        <rFont val="Noto Sans CJK SC"/>
        <family val="2"/>
      </rPr>
      <t xml:space="preserve">）。</t>
    </r>
  </si>
  <si>
    <r>
      <rPr>
        <sz val="11"/>
        <color theme="1"/>
        <rFont val="Calibri"/>
        <family val="2"/>
        <charset val="1"/>
      </rPr>
      <t xml:space="preserve">2.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年付費營收（世代權重的一部分）由 </t>
    </r>
    <r>
      <rPr>
        <sz val="11"/>
        <color theme="1"/>
        <rFont val="Calibri"/>
        <family val="2"/>
        <charset val="1"/>
      </rPr>
      <t xml:space="preserve">m </t>
    </r>
    <r>
      <rPr>
        <sz val="11"/>
        <color theme="1"/>
        <rFont val="Noto Sans CJK SC"/>
        <family val="2"/>
      </rPr>
      <t xml:space="preserve">的計算鏈產生，本簿以值輸入，改 </t>
    </r>
    <r>
      <rPr>
        <sz val="11"/>
        <color theme="1"/>
        <rFont val="Calibri"/>
        <family val="2"/>
        <charset val="1"/>
      </rPr>
      <t xml:space="preserve">m </t>
    </r>
    <r>
      <rPr>
        <sz val="11"/>
        <color theme="1"/>
        <rFont val="Noto Sans CJK SC"/>
        <family val="2"/>
      </rPr>
      <t xml:space="preserve">的輸入不會連動到這裡。</t>
    </r>
  </si>
  <si>
    <r>
      <rPr>
        <sz val="11"/>
        <color theme="1"/>
        <rFont val="Calibri"/>
        <family val="2"/>
        <charset val="1"/>
      </rPr>
      <t xml:space="preserve">3. L </t>
    </r>
    <r>
      <rPr>
        <sz val="11"/>
        <color theme="1"/>
        <rFont val="Noto Sans CJK SC"/>
        <family val="2"/>
      </rPr>
      <t xml:space="preserve">只描述價格走勢（營收量固定在 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年，只讓價格走 </t>
    </r>
    <r>
      <rPr>
        <sz val="11"/>
        <color theme="1"/>
        <rFont val="Calibri"/>
        <family val="2"/>
        <charset val="1"/>
      </rPr>
      <t xml:space="preserve">L </t>
    </r>
    <r>
      <rPr>
        <sz val="11"/>
        <color theme="1"/>
        <rFont val="Noto Sans CJK SC"/>
        <family val="2"/>
      </rPr>
      <t xml:space="preserve">的路徑）。所需 </t>
    </r>
    <r>
      <rPr>
        <sz val="11"/>
        <color theme="1"/>
        <rFont val="Calibri"/>
        <family val="2"/>
        <charset val="1"/>
      </rPr>
      <t xml:space="preserve">L </t>
    </r>
    <r>
      <rPr>
        <sz val="11"/>
        <color theme="1"/>
        <rFont val="Noto Sans CJK SC"/>
        <family val="2"/>
      </rPr>
      <t xml:space="preserve">的成本側自 </t>
    </r>
    <r>
      <rPr>
        <sz val="11"/>
        <color theme="1"/>
        <rFont val="Calibri"/>
        <family val="2"/>
        <charset val="1"/>
      </rPr>
      <t xml:space="preserve">v20.0 </t>
    </r>
    <r>
      <rPr>
        <sz val="11"/>
        <color theme="1"/>
        <rFont val="Noto Sans CJK SC"/>
        <family val="2"/>
      </rPr>
      <t xml:space="preserve">起是全部算力年持有成本（含訓練與研發用算力）對 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營收；舊口徑只含服務推論、經計價倍數，現為對照。</t>
    </r>
  </si>
  <si>
    <r>
      <rPr>
        <sz val="11"/>
        <color theme="1"/>
        <rFont val="Calibri"/>
        <family val="2"/>
        <charset val="1"/>
      </rPr>
      <t xml:space="preserve">4. 1_</t>
    </r>
    <r>
      <rPr>
        <sz val="11"/>
        <color theme="1"/>
        <rFont val="Noto Sans CJK SC"/>
        <family val="2"/>
      </rPr>
      <t xml:space="preserve">公式樹 </t>
    </r>
    <r>
      <rPr>
        <sz val="11"/>
        <color theme="1"/>
        <rFont val="Calibri"/>
        <family val="2"/>
        <charset val="1"/>
      </rPr>
      <t xml:space="preserve">L8 </t>
    </r>
    <r>
      <rPr>
        <sz val="11"/>
        <color theme="1"/>
        <rFont val="Noto Sans CJK SC"/>
        <family val="2"/>
      </rPr>
      <t xml:space="preserve">的讀法 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是本簿新增的對照，</t>
    </r>
    <r>
      <rPr>
        <sz val="11"/>
        <color theme="1"/>
        <rFont val="Calibri"/>
        <family val="2"/>
        <charset val="1"/>
      </rPr>
      <t xml:space="preserve">Tokenomics </t>
    </r>
    <r>
      <rPr>
        <sz val="11"/>
        <color theme="1"/>
        <rFont val="Noto Sans CJK SC"/>
        <family val="2"/>
      </rPr>
      <t xml:space="preserve">沒有；是否採用待 </t>
    </r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判斷。</t>
    </r>
  </si>
  <si>
    <r>
      <rPr>
        <sz val="11"/>
        <color theme="1"/>
        <rFont val="Calibri"/>
        <family val="2"/>
        <charset val="1"/>
      </rPr>
      <t xml:space="preserve">5. </t>
    </r>
    <r>
      <rPr>
        <sz val="11"/>
        <color theme="1"/>
        <rFont val="Noto Sans CJK SC"/>
        <family val="2"/>
      </rPr>
      <t xml:space="preserve">本簿是版本快照，不會隨 </t>
    </r>
    <r>
      <rPr>
        <sz val="11"/>
        <color theme="1"/>
        <rFont val="Calibri"/>
        <family val="2"/>
        <charset val="1"/>
      </rPr>
      <t xml:space="preserve">Tokenomics </t>
    </r>
    <r>
      <rPr>
        <sz val="11"/>
        <color theme="1"/>
        <rFont val="Noto Sans CJK SC"/>
        <family val="2"/>
      </rPr>
      <t xml:space="preserve">自動同步。</t>
    </r>
  </si>
  <si>
    <t xml:space="preserve">修訂紀錄：v17.0（2026-10-20）改名為「L 閱讀版」；數字全部對 Tokenomics v17.0 核對（輸入 72 格、情境摘要 7、逐世代 28、格點 32 列、公式樹 17 格，全部相同）；IN_SubShare 低端改為 0.612。經未參與製作的代理獨立核對，不一致 0。</t>
  </si>
  <si>
    <t xml:space="preserve">修訂紀錄：v21.2 r0（2026-10-24）：L 輸入對 Tokenomics v21.2 更新——ρ 低端 0.1704→0.2007（v19.1）；四個世代每 GW 年付費營收（v19.1）：Hopper 4.633→4.698、GB200 22.800→23.116、GB300 27.810→28.173、VR200 45.733→46.415；計價倍數 0.85（0.73–1.17）→1.8（0.85–2.3）（v21.2，只影響舊口徑對照）。所需 L 主口徑改 L1_LReqFleet_Full（0.807，0.716–0.895；2_輸入新增 E 節 IN_Hold），L1_LReqFleet_IdNoK 改對照（L9；0.756→0.357）。（輸入由 72 格增為 75 格：新增 IN_Hold 基準／低／高。）</t>
  </si>
  <si>
    <t xml:space="preserve">修訂紀錄：v21.3 r0（2026-10-24）：L 輸入對 Tokenomics v21.3 更新——ρ 低端 0.2007→0.2057（v21.3 機架價低端 7.8→7.5 連動）；3_L逐世代 情境摘要原值 L1_LTotalFleetVDisc_Lo 0.4785→0.4794。其他 24 列輸入、所需 L 與基準值不變。另修 2_輸入 I12、1_公式樹 E63 兩句說明的 ρ 低端。check_reading.py 通過；經未參與製作的代理獨立核對。</t>
  </si>
  <si>
    <r>
      <rPr>
        <b val="true"/>
        <sz val="15"/>
        <rFont val="Cambria"/>
        <family val="0"/>
        <charset val="1"/>
      </rPr>
      <t xml:space="preserve">L </t>
    </r>
    <r>
      <rPr>
        <b val="true"/>
        <sz val="15"/>
        <rFont val="Noto Sans CJK SC"/>
        <family val="2"/>
      </rPr>
      <t xml:space="preserve">的公式樹：機隊能不能靠營收回收自己的持有成本</t>
    </r>
  </si>
  <si>
    <t xml:space="preserve">讀法：由上往下，每一層把上一層的一個量拆開。全部是公式，連到 2_輸入（藍字）與 3_L逐世代。G 欄＝Tokenomics v21.3 原值（貼上），H 欄＝差異。</t>
  </si>
  <si>
    <r>
      <rPr>
        <sz val="11"/>
        <color theme="1"/>
        <rFont val="Calibri"/>
        <family val="2"/>
        <charset val="1"/>
      </rPr>
      <t xml:space="preserve">L</t>
    </r>
    <r>
      <rPr>
        <sz val="11"/>
        <color theme="1"/>
        <rFont val="Noto Sans CJK SC"/>
        <family val="2"/>
      </rPr>
      <t xml:space="preserve">＝硬體壽命期內，同一批 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每年能收到的營收，平均是 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年的幾倍（只讓價格變、量固定）。所需 </t>
    </r>
    <r>
      <rPr>
        <sz val="11"/>
        <color theme="1"/>
        <rFont val="Calibri"/>
        <family val="2"/>
        <charset val="1"/>
      </rPr>
      <t xml:space="preserve">L</t>
    </r>
    <r>
      <rPr>
        <sz val="11"/>
        <color theme="1"/>
        <rFont val="Noto Sans CJK SC"/>
        <family val="2"/>
      </rPr>
      <t xml:space="preserve">＝年持有成本 </t>
    </r>
    <r>
      <rPr>
        <sz val="11"/>
        <color theme="1"/>
        <rFont val="Calibri"/>
        <family val="2"/>
        <charset val="1"/>
      </rPr>
      <t xml:space="preserve">÷ 2025 </t>
    </r>
    <r>
      <rPr>
        <sz val="11"/>
        <color theme="1"/>
        <rFont val="Noto Sans CJK SC"/>
        <family val="2"/>
      </rPr>
      <t xml:space="preserve">營收。</t>
    </r>
  </si>
  <si>
    <t xml:space="preserve">層</t>
  </si>
  <si>
    <t xml:space="preserve">項目</t>
  </si>
  <si>
    <t xml:space="preserve">值</t>
  </si>
  <si>
    <t xml:space="preserve">單位</t>
  </si>
  <si>
    <t xml:space="preserve">怎麼算（白話＋公式）</t>
  </si>
  <si>
    <t xml:space="preserve">標記</t>
  </si>
  <si>
    <r>
      <rPr>
        <b val="true"/>
        <sz val="11"/>
        <color rgb="FFFFFFFF"/>
        <rFont val="Cambria"/>
        <family val="0"/>
        <charset val="1"/>
      </rPr>
      <t xml:space="preserve">Tokenomics </t>
    </r>
    <r>
      <rPr>
        <b val="true"/>
        <sz val="11"/>
        <color rgb="FFFFFFFF"/>
        <rFont val="Noto Sans CJK SC"/>
        <family val="2"/>
      </rPr>
      <t xml:space="preserve">原值</t>
    </r>
  </si>
  <si>
    <t xml:space="preserve">差異</t>
  </si>
  <si>
    <t xml:space="preserve">L0</t>
  </si>
  <si>
    <t xml:space="preserve">回本條件：壽命期內平均年營收 ≥ 年持有成本</t>
  </si>
  <si>
    <r>
      <rPr>
        <sz val="11"/>
        <color theme="1"/>
        <rFont val="Calibri"/>
        <family val="2"/>
        <charset val="1"/>
      </rPr>
      <t xml:space="preserve">L</t>
    </r>
    <r>
      <rPr>
        <sz val="11"/>
        <color theme="1"/>
        <rFont val="Noto Sans CJK SC"/>
        <family val="2"/>
      </rPr>
      <t xml:space="preserve">（機隊；世代起點＋折現）</t>
    </r>
  </si>
  <si>
    <t xml:space="preserve">倍</t>
  </si>
  <si>
    <t xml:space="preserve">L 側：由 L3–L5 推出（Tokenomics L1_LTotalFleetVDisc）；回本判讀的 L</t>
  </si>
  <si>
    <t xml:space="preserve">Derived</t>
  </si>
  <si>
    <t xml:space="preserve">所需 L（主口徑：全部算力持有成本）</t>
  </si>
  <si>
    <t xml:space="preserve">由 L1 推出（Tokenomics L1_LReqFleet_Full）。v20.0 起的現行主口徑；舊口徑（只含推論、經計價倍數）改為對照，見 L9</t>
  </si>
  <si>
    <r>
      <rPr>
        <b val="true"/>
        <sz val="11"/>
        <rFont val="Cambria"/>
        <family val="0"/>
        <charset val="1"/>
      </rPr>
      <t xml:space="preserve">L ÷ </t>
    </r>
    <r>
      <rPr>
        <b val="true"/>
        <sz val="11"/>
        <rFont val="Noto Sans CJK SC"/>
        <family val="2"/>
      </rPr>
      <t xml:space="preserve">所需 </t>
    </r>
    <r>
      <rPr>
        <b val="true"/>
        <sz val="11"/>
        <rFont val="Cambria"/>
        <family val="0"/>
        <charset val="1"/>
      </rPr>
      <t xml:space="preserve">L</t>
    </r>
  </si>
  <si>
    <r>
      <rPr>
        <sz val="11"/>
        <color theme="1"/>
        <rFont val="Calibri"/>
        <family val="2"/>
        <charset val="1"/>
      </rPr>
      <t xml:space="preserve">≥1</t>
    </r>
    <r>
      <rPr>
        <sz val="11"/>
        <color theme="1"/>
        <rFont val="Noto Sans CJK SC"/>
        <family val="2"/>
      </rPr>
      <t xml:space="preserve">＝基準下回本；＜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＝基準下未回本。最後判讀看區間（</t>
    </r>
    <r>
      <rPr>
        <sz val="11"/>
        <color theme="1"/>
        <rFont val="Calibri"/>
        <family val="2"/>
        <charset val="1"/>
      </rPr>
      <t xml:space="preserve">C14</t>
    </r>
    <r>
      <rPr>
        <sz val="11"/>
        <color theme="1"/>
        <rFont val="Noto Sans CJK SC"/>
        <family val="2"/>
      </rPr>
      <t xml:space="preserve">），不只看基準。</t>
    </r>
    <r>
      <rPr>
        <sz val="11"/>
        <color theme="1"/>
        <rFont val="Calibri"/>
        <family val="2"/>
        <charset val="1"/>
      </rPr>
      <t xml:space="preserve">Tokenomics </t>
    </r>
    <r>
      <rPr>
        <sz val="11"/>
        <color theme="1"/>
        <rFont val="Noto Sans CJK SC"/>
        <family val="2"/>
      </rPr>
      <t xml:space="preserve">無此比值格，所以 </t>
    </r>
    <r>
      <rPr>
        <sz val="11"/>
        <color theme="1"/>
        <rFont val="Calibri"/>
        <family val="2"/>
        <charset val="1"/>
      </rPr>
      <t xml:space="preserve">G </t>
    </r>
    <r>
      <rPr>
        <sz val="11"/>
        <color theme="1"/>
        <rFont val="Noto Sans CJK SC"/>
        <family val="2"/>
      </rPr>
      <t xml:space="preserve">欄留空</t>
    </r>
  </si>
  <si>
    <t xml:space="preserve">換成金額：壽命期平均年營收</t>
  </si>
  <si>
    <r>
      <rPr>
        <sz val="11"/>
        <color theme="1"/>
        <rFont val="Calibri"/>
        <family val="2"/>
        <charset val="1"/>
      </rPr>
      <t xml:space="preserve">$B/</t>
    </r>
    <r>
      <rPr>
        <sz val="11"/>
        <color theme="1"/>
        <rFont val="Noto Sans CJK SC"/>
        <family val="2"/>
      </rPr>
      <t xml:space="preserve">年</t>
    </r>
  </si>
  <si>
    <t xml:space="preserve">＝2025 營收 × L</t>
  </si>
  <si>
    <t xml:space="preserve">　年持有成本（全部算力機隊）</t>
  </si>
  <si>
    <t xml:space="preserve">＝平均上線 GW × 機隊每 GW 年持有成本（Tokenomics L1_HoldFleet25）；不只服務推論</t>
  </si>
  <si>
    <r>
      <rPr>
        <sz val="11"/>
        <color theme="1"/>
        <rFont val="Calibri"/>
        <family val="2"/>
        <charset val="1"/>
      </rPr>
      <t xml:space="preserve">L </t>
    </r>
    <r>
      <rPr>
        <sz val="11"/>
        <color theme="1"/>
        <rFont val="Noto Sans CJK SC"/>
        <family val="2"/>
      </rPr>
      <t xml:space="preserve">區間（低端組合／高端組合）</t>
    </r>
  </si>
  <si>
    <t xml:space="preserve">端點組合（同一組低值一起用；見 2_輸入）</t>
  </si>
  <si>
    <t xml:space="preserve">0.479–1.138</t>
  </si>
  <si>
    <t xml:space="preserve">所需 L 區間</t>
  </si>
  <si>
    <t xml:space="preserve">低端＝GW 1.0 的全部算力持有成本 ÷ 營收；高端＝GW 1.25 的持有成本 ÷ 營收</t>
  </si>
  <si>
    <t xml:space="preserve">0.716–0.895</t>
  </si>
  <si>
    <t xml:space="preserve">判讀（三態）</t>
  </si>
  <si>
    <t xml:space="preserve">三態規則同 Tokenomics Cap_In C242：L 區間上端＜所需 L 區間下端＝未回本；L 區間下端＞所需 L 區間上端＝回本；其餘＝未定</t>
  </si>
  <si>
    <t xml:space="preserve">未定（區間重疊；基準 L 0.759 對所需 L 0.807）</t>
  </si>
  <si>
    <t xml:space="preserve">L1</t>
  </si>
  <si>
    <t xml:space="preserve">所需 L（主口徑）：2025 每 1 元營收要養多少「全部算力」持有成本</t>
  </si>
  <si>
    <t xml:space="preserve">全部算力年持有成本</t>
  </si>
  <si>
    <t xml:space="preserve">＝平均上線 GW × 機隊每 GW 年持有成本（Tokenomics L1_HoldFleet25）。v20.0 起不只含服務推論，是全部算力</t>
  </si>
  <si>
    <t xml:space="preserve">2025 營收</t>
  </si>
  <si>
    <t xml:space="preserve">$B</t>
  </si>
  <si>
    <t xml:space="preserve">Verified</t>
  </si>
  <si>
    <t xml:space="preserve">→ 所需 L</t>
  </si>
  <si>
    <t xml:space="preserve">營收可以平均衰減到 2025 年的這個比例仍打平。不含計價倍數與 κ，因為成本已經是持有成本（Tokenomics L1_LReqFleet_Full）</t>
  </si>
  <si>
    <t xml:space="preserve">　所需 L 低端（GW 1.0）</t>
  </si>
  <si>
    <t xml:space="preserve">全部算力持有成本取 GW 1.0 的端點</t>
  </si>
  <si>
    <t xml:space="preserve">　所需 L 高端（GW 1.25）</t>
  </si>
  <si>
    <t xml:space="preserve">全部算力持有成本取 GW 1.25 的端點</t>
  </si>
  <si>
    <t xml:space="preserve">L2</t>
  </si>
  <si>
    <r>
      <rPr>
        <b val="true"/>
        <sz val="11"/>
        <rFont val="Cambria"/>
        <family val="0"/>
        <charset val="1"/>
      </rPr>
      <t xml:space="preserve">L </t>
    </r>
    <r>
      <rPr>
        <b val="true"/>
        <sz val="11"/>
        <rFont val="Noto Sans CJK SC"/>
        <family val="2"/>
      </rPr>
      <t xml:space="preserve">對需求面隱含的四個假設（不是計算，是讀 </t>
    </r>
    <r>
      <rPr>
        <b val="true"/>
        <sz val="11"/>
        <rFont val="Cambria"/>
        <family val="0"/>
        <charset val="1"/>
      </rPr>
      <t xml:space="preserve">L </t>
    </r>
    <r>
      <rPr>
        <b val="true"/>
        <sz val="11"/>
        <rFont val="Noto Sans CJK SC"/>
        <family val="2"/>
      </rPr>
      <t xml:space="preserve">時要記得的前提）</t>
    </r>
  </si>
  <si>
    <t xml:space="preserve">① 量固定：機隊每年都被需求吃滿，營收只隨單價變</t>
  </si>
  <si>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（結構）</t>
    </r>
  </si>
  <si>
    <t xml:space="preserve">② 單價沿中階 token 牌價走：每年變化 g（基準 −9%）</t>
  </si>
  <si>
    <t xml:space="preserve">③ 降級：服務 T1 年後，需求移往新模型，舊硬體改賣低階 token，價值剩 ρ 倍</t>
  </si>
  <si>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Derived</t>
    </r>
  </si>
  <si>
    <t xml:space="preserve">④ 全部營收都跟 token 牌價走，包括約八成的訂閱與席次營收（見 L8）</t>
  </si>
  <si>
    <t xml:space="preserve">L3</t>
  </si>
  <si>
    <r>
      <rPr>
        <b val="true"/>
        <sz val="11"/>
        <rFont val="Cambria"/>
        <family val="0"/>
        <charset val="1"/>
      </rPr>
      <t xml:space="preserve">L </t>
    </r>
    <r>
      <rPr>
        <b val="true"/>
        <sz val="11"/>
        <rFont val="Noto Sans CJK SC"/>
        <family val="2"/>
      </rPr>
      <t xml:space="preserve">怎麼一步步算出來（每一步只加一個效果）</t>
    </r>
  </si>
  <si>
    <r>
      <rPr>
        <sz val="11"/>
        <color theme="1"/>
        <rFont val="Calibri"/>
        <family val="2"/>
        <charset val="1"/>
      </rPr>
      <t xml:space="preserve">S1 </t>
    </r>
    <r>
      <rPr>
        <sz val="11"/>
        <color theme="1"/>
        <rFont val="Noto Sans CJK SC"/>
        <family val="2"/>
      </rPr>
      <t xml:space="preserve">只有跌價：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當第 </t>
    </r>
    <r>
      <rPr>
        <sz val="11"/>
        <color theme="1"/>
        <rFont val="Calibri"/>
        <family val="2"/>
        <charset val="1"/>
      </rPr>
      <t xml:space="preserve">0 </t>
    </r>
    <r>
      <rPr>
        <sz val="11"/>
        <color theme="1"/>
        <rFont val="Noto Sans CJK SC"/>
        <family val="2"/>
      </rPr>
      <t xml:space="preserve">年、不降級、不折現</t>
    </r>
  </si>
  <si>
    <r>
      <rPr>
        <sz val="11"/>
        <color theme="1"/>
        <rFont val="Calibri"/>
        <family val="2"/>
        <charset val="1"/>
      </rPr>
      <t xml:space="preserve">L_price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[(1+g)^T − 1] ÷ [T × ln(1+g)]</t>
    </r>
    <r>
      <rPr>
        <sz val="11"/>
        <color theme="1"/>
        <rFont val="Noto Sans CJK SC"/>
        <family val="2"/>
      </rPr>
      <t xml:space="preserve">。牌價每年 −</t>
    </r>
    <r>
      <rPr>
        <sz val="11"/>
        <color theme="1"/>
        <rFont val="Calibri"/>
        <family val="2"/>
        <charset val="1"/>
      </rPr>
      <t xml:space="preserve">9%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6 </t>
    </r>
    <r>
      <rPr>
        <sz val="11"/>
        <color theme="1"/>
        <rFont val="Noto Sans CJK SC"/>
        <family val="2"/>
      </rPr>
      <t xml:space="preserve">年平均剩 </t>
    </r>
    <r>
      <rPr>
        <sz val="11"/>
        <color theme="1"/>
        <rFont val="Calibri"/>
        <family val="2"/>
        <charset val="1"/>
      </rPr>
      <t xml:space="preserve">76%</t>
    </r>
  </si>
  <si>
    <r>
      <rPr>
        <sz val="11"/>
        <color theme="1"/>
        <rFont val="Calibri"/>
        <family val="2"/>
        <charset val="1"/>
      </rPr>
      <t xml:space="preserve">S2 </t>
    </r>
    <r>
      <rPr>
        <sz val="11"/>
        <color theme="1"/>
        <rFont val="Noto Sans CJK SC"/>
        <family val="2"/>
      </rPr>
      <t xml:space="preserve">＋降級</t>
    </r>
  </si>
  <si>
    <t xml:space="preserve">第 T1＝4 年後價值剩 ρ＝0.5 倍 → 再打折</t>
  </si>
  <si>
    <t xml:space="preserve">　降級的影響</t>
  </si>
  <si>
    <t xml:space="preserve">負值＝降級拉低 L</t>
  </si>
  <si>
    <r>
      <rPr>
        <sz val="11"/>
        <color theme="1"/>
        <rFont val="Calibri"/>
        <family val="2"/>
        <charset val="1"/>
      </rPr>
      <t xml:space="preserve">S3 </t>
    </r>
    <r>
      <rPr>
        <sz val="11"/>
        <color theme="1"/>
        <rFont val="Noto Sans CJK SC"/>
        <family val="2"/>
      </rPr>
      <t xml:space="preserve">＋折現</t>
    </r>
  </si>
  <si>
    <t xml:space="preserve">持有成本是 WACC 10% 的年金（早年的錢比較值錢）；L 用同口徑折現後，早年的高價權重變大</t>
  </si>
  <si>
    <t xml:space="preserve">　折現的影響</t>
  </si>
  <si>
    <r>
      <rPr>
        <b val="true"/>
        <sz val="11"/>
        <rFont val="Cambria"/>
        <family val="0"/>
        <charset val="1"/>
      </rPr>
      <t xml:space="preserve">S4 </t>
    </r>
    <r>
      <rPr>
        <b val="true"/>
        <sz val="11"/>
        <rFont val="Noto Sans CJK SC"/>
        <family val="2"/>
      </rPr>
      <t xml:space="preserve">＋世代起點（＝</t>
    </r>
    <r>
      <rPr>
        <b val="true"/>
        <sz val="11"/>
        <rFont val="Cambria"/>
        <family val="0"/>
        <charset val="1"/>
      </rPr>
      <t xml:space="preserve">L</t>
    </r>
    <r>
      <rPr>
        <b val="true"/>
        <sz val="11"/>
        <rFont val="Noto Sans CJK SC"/>
        <family val="2"/>
      </rPr>
      <t xml:space="preserve">，主口徑）</t>
    </r>
  </si>
  <si>
    <t xml:space="preserve">每個世代從自己的服務起點算：Hopper 在 2025 年中已服務 2 年，之前賣的是更高的價格</t>
  </si>
  <si>
    <t xml:space="preserve">　世代起點的影響</t>
  </si>
  <si>
    <t xml:space="preserve">對照：世代起點、不折現（v16.0 口徑）</t>
  </si>
  <si>
    <t xml:space="preserve">換個順序看：先加世代起點（0.660→0.716），再加折現（→0.759）。效果有交互作用，拆分大小與順序有關</t>
  </si>
  <si>
    <t xml:space="preserve">L4</t>
  </si>
  <si>
    <t xml:space="preserve">機隊 L＝各世代 L 以 2025 營收加權</t>
  </si>
  <si>
    <r>
      <rPr>
        <sz val="11"/>
        <color theme="1"/>
        <rFont val="Calibri"/>
        <family val="2"/>
        <charset val="1"/>
      </rPr>
      <t xml:space="preserve">Hopper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營收權重</t>
    </r>
  </si>
  <si>
    <t xml:space="preserve">%</t>
  </si>
  <si>
    <t xml:space="preserve">＝60% × 每 GW 營收 47.0 億</t>
  </si>
  <si>
    <r>
      <rPr>
        <sz val="11"/>
        <color theme="1"/>
        <rFont val="Calibri"/>
        <family val="2"/>
        <charset val="1"/>
      </rPr>
      <t xml:space="preserve">Hopper</t>
    </r>
    <r>
      <rPr>
        <sz val="11"/>
        <color theme="1"/>
        <rFont val="Noto Sans CJK SC"/>
        <family val="2"/>
      </rPr>
      <t xml:space="preserve">：錨點時已服務年數 </t>
    </r>
    <r>
      <rPr>
        <sz val="11"/>
        <color theme="1"/>
        <rFont val="Calibri"/>
        <family val="2"/>
        <charset val="1"/>
      </rPr>
      <t xml:space="preserve">t0</t>
    </r>
  </si>
  <si>
    <t xml:space="preserve">年</t>
  </si>
  <si>
    <t xml:space="preserve">＝MAX(0, 2025.5 − 服務起點)</t>
  </si>
  <si>
    <r>
      <rPr>
        <sz val="11"/>
        <color theme="1"/>
        <rFont val="Calibri"/>
        <family val="2"/>
        <charset val="1"/>
      </rPr>
      <t xml:space="preserve">Hopper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L_rel</t>
    </r>
  </si>
  <si>
    <t xml:space="preserve">該世代壽命期平均價格 ÷ 錨點價格（折現）（Tokenomics Cap_In!C322）</t>
  </si>
  <si>
    <r>
      <rPr>
        <sz val="11"/>
        <color theme="1"/>
        <rFont val="Calibri"/>
        <family val="2"/>
        <charset val="1"/>
      </rPr>
      <t xml:space="preserve">GB200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營收權重</t>
    </r>
  </si>
  <si>
    <t xml:space="preserve">＝服務 GW 占比 × 每 GW 營收。GB200 每 GW 營收約為 Hopper 的 4.9 倍，所以 GW 只占 40% 卻占營收權重約 77%</t>
  </si>
  <si>
    <r>
      <rPr>
        <sz val="11"/>
        <color theme="1"/>
        <rFont val="Calibri"/>
        <family val="2"/>
        <charset val="1"/>
      </rPr>
      <t xml:space="preserve">GB200</t>
    </r>
    <r>
      <rPr>
        <sz val="11"/>
        <color theme="1"/>
        <rFont val="Noto Sans CJK SC"/>
        <family val="2"/>
      </rPr>
      <t xml:space="preserve">：錨點時已服務年數 </t>
    </r>
    <r>
      <rPr>
        <sz val="11"/>
        <color theme="1"/>
        <rFont val="Calibri"/>
        <family val="2"/>
        <charset val="1"/>
      </rPr>
      <t xml:space="preserve">t0</t>
    </r>
  </si>
  <si>
    <r>
      <rPr>
        <sz val="11"/>
        <color theme="1"/>
        <rFont val="Calibri"/>
        <family val="2"/>
        <charset val="1"/>
      </rPr>
      <t xml:space="preserve">GB200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L_rel</t>
    </r>
  </si>
  <si>
    <t xml:space="preserve">該世代壽命期平均價格 ÷ 錨點價格（折現）（Tokenomics Cap_In!D322）</t>
  </si>
  <si>
    <r>
      <rPr>
        <sz val="11"/>
        <color theme="1"/>
        <rFont val="Calibri"/>
        <family val="2"/>
        <charset val="1"/>
      </rPr>
      <t xml:space="preserve">GB300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VR200</t>
    </r>
  </si>
  <si>
    <t xml:space="preserve">—</t>
  </si>
  <si>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服務占比為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，不影響機隊 </t>
    </r>
    <r>
      <rPr>
        <sz val="11"/>
        <color theme="1"/>
        <rFont val="Calibri"/>
        <family val="2"/>
        <charset val="1"/>
      </rPr>
      <t xml:space="preserve">L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3_L</t>
    </r>
    <r>
      <rPr>
        <sz val="11"/>
        <color theme="1"/>
        <rFont val="Noto Sans CJK SC"/>
        <family val="2"/>
      </rPr>
      <t xml:space="preserve">逐世代 仍照算）</t>
    </r>
  </si>
  <si>
    <t xml:space="preserve">L5</t>
  </si>
  <si>
    <t xml:space="preserve">各世代 L_rel 拆成三段：L_rel ×（折現分母）＝段 1＋段 2＋段 3；下列為各段占分子比例</t>
  </si>
  <si>
    <r>
      <rPr>
        <sz val="11"/>
        <color theme="1"/>
        <rFont val="Calibri"/>
        <family val="2"/>
        <charset val="1"/>
      </rPr>
      <t xml:space="preserve">Hopper</t>
    </r>
    <r>
      <rPr>
        <sz val="11"/>
        <color theme="1"/>
        <rFont val="Noto Sans CJK SC"/>
        <family val="2"/>
      </rPr>
      <t xml:space="preserve">：段 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錨點前已賣過的高價期（占分子）</t>
    </r>
  </si>
  <si>
    <t xml:space="preserve">價格比錨點高（g_pre＜0 往回推）；Hopper 有 2 年，GB200 有 0.5 年</t>
  </si>
  <si>
    <r>
      <rPr>
        <sz val="11"/>
        <color theme="1"/>
        <rFont val="Calibri"/>
        <family val="2"/>
        <charset val="1"/>
      </rPr>
      <t xml:space="preserve">Hopper</t>
    </r>
    <r>
      <rPr>
        <sz val="11"/>
        <color theme="1"/>
        <rFont val="Noto Sans CJK SC"/>
        <family val="2"/>
      </rPr>
      <t xml:space="preserve">：段 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中階服務期（占分子）</t>
    </r>
  </si>
  <si>
    <t xml:space="preserve">錨點後到第 T1 年，價格每年 g</t>
  </si>
  <si>
    <r>
      <rPr>
        <sz val="11"/>
        <color theme="1"/>
        <rFont val="Calibri"/>
        <family val="2"/>
        <charset val="1"/>
      </rPr>
      <t xml:space="preserve">Hopper</t>
    </r>
    <r>
      <rPr>
        <sz val="11"/>
        <color theme="1"/>
        <rFont val="Noto Sans CJK SC"/>
        <family val="2"/>
      </rPr>
      <t xml:space="preserve">：段 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降級期（占分子）</t>
    </r>
  </si>
  <si>
    <r>
      <rPr>
        <sz val="11"/>
        <color theme="1"/>
        <rFont val="Calibri"/>
        <family val="2"/>
        <charset val="1"/>
      </rPr>
      <t xml:space="preserve">T1 </t>
    </r>
    <r>
      <rPr>
        <sz val="11"/>
        <color theme="1"/>
        <rFont val="Noto Sans CJK SC"/>
        <family val="2"/>
      </rPr>
      <t xml:space="preserve">年後到壽命結束，價值 </t>
    </r>
    <r>
      <rPr>
        <sz val="11"/>
        <color theme="1"/>
        <rFont val="Calibri"/>
        <family val="2"/>
        <charset val="1"/>
      </rPr>
      <t xml:space="preserve">× ρ</t>
    </r>
    <r>
      <rPr>
        <sz val="11"/>
        <color theme="1"/>
        <rFont val="Noto Sans CJK SC"/>
        <family val="2"/>
      </rPr>
      <t xml:space="preserve">。基準下 </t>
    </r>
    <r>
      <rPr>
        <sz val="11"/>
        <color theme="1"/>
        <rFont val="Calibri"/>
        <family val="2"/>
        <charset val="1"/>
      </rPr>
      <t xml:space="preserve">g_pre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g</t>
    </r>
    <r>
      <rPr>
        <sz val="11"/>
        <color theme="1"/>
        <rFont val="Noto Sans CJK SC"/>
        <family val="2"/>
      </rPr>
      <t xml:space="preserve">（都是 −</t>
    </r>
    <r>
      <rPr>
        <sz val="11"/>
        <color theme="1"/>
        <rFont val="Calibri"/>
        <family val="2"/>
        <charset val="1"/>
      </rPr>
      <t xml:space="preserve">9%</t>
    </r>
    <r>
      <rPr>
        <sz val="11"/>
        <color theme="1"/>
        <rFont val="Noto Sans CJK SC"/>
        <family val="2"/>
      </rPr>
      <t xml:space="preserve">），兩世代降級段占比恰好相同，屬巧合</t>
    </r>
  </si>
  <si>
    <r>
      <rPr>
        <sz val="11"/>
        <color theme="1"/>
        <rFont val="Calibri"/>
        <family val="2"/>
        <charset val="1"/>
      </rPr>
      <t xml:space="preserve">GB200</t>
    </r>
    <r>
      <rPr>
        <sz val="11"/>
        <color theme="1"/>
        <rFont val="Noto Sans CJK SC"/>
        <family val="2"/>
      </rPr>
      <t xml:space="preserve">：段 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錨點前已賣過的高價期（占分子）</t>
    </r>
  </si>
  <si>
    <r>
      <rPr>
        <sz val="11"/>
        <color theme="1"/>
        <rFont val="Calibri"/>
        <family val="2"/>
        <charset val="1"/>
      </rPr>
      <t xml:space="preserve">GB200</t>
    </r>
    <r>
      <rPr>
        <sz val="11"/>
        <color theme="1"/>
        <rFont val="Noto Sans CJK SC"/>
        <family val="2"/>
      </rPr>
      <t xml:space="preserve">：段 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中階服務期（占分子）</t>
    </r>
  </si>
  <si>
    <r>
      <rPr>
        <sz val="11"/>
        <color theme="1"/>
        <rFont val="Calibri"/>
        <family val="2"/>
        <charset val="1"/>
      </rPr>
      <t xml:space="preserve">GB200</t>
    </r>
    <r>
      <rPr>
        <sz val="11"/>
        <color theme="1"/>
        <rFont val="Noto Sans CJK SC"/>
        <family val="2"/>
      </rPr>
      <t xml:space="preserve">：段 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降級期（占分子）</t>
    </r>
  </si>
  <si>
    <t xml:space="preserve">L6</t>
  </si>
  <si>
    <t xml:space="preserve">閉式解</t>
  </si>
  <si>
    <t xml:space="preserve">回本 ⇔ 營收 × L ≥ 全部算力年持有成本 ⇔ L ≥ 全部算力年持有成本 ÷ 營收（所需 L）</t>
  </si>
  <si>
    <r>
      <rPr>
        <sz val="11"/>
        <color theme="1"/>
        <rFont val="Calibri"/>
        <family val="2"/>
        <charset val="1"/>
      </rPr>
      <t xml:space="preserve">L_rel(</t>
    </r>
    <r>
      <rPr>
        <sz val="11"/>
        <color theme="1"/>
        <rFont val="Noto Sans CJK SC"/>
        <family val="2"/>
      </rPr>
      <t xml:space="preserve">世代</t>
    </r>
    <r>
      <rPr>
        <sz val="11"/>
        <color theme="1"/>
        <rFont val="Calibri"/>
        <family val="2"/>
        <charset val="1"/>
      </rPr>
      <t xml:space="preserve">) </t>
    </r>
    <r>
      <rPr>
        <sz val="11"/>
        <color theme="1"/>
        <rFont val="Noto Sans CJK SC"/>
        <family val="2"/>
      </rPr>
      <t xml:space="preserve">＝ </t>
    </r>
    <r>
      <rPr>
        <sz val="11"/>
        <color theme="1"/>
        <rFont val="Calibri"/>
        <family val="2"/>
        <charset val="1"/>
      </rPr>
      <t xml:space="preserve">[ </t>
    </r>
    <r>
      <rPr>
        <sz val="11"/>
        <color theme="1"/>
        <rFont val="Noto Sans CJK SC"/>
        <family val="2"/>
      </rPr>
      <t xml:space="preserve">段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＋ 段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＋ 段</t>
    </r>
    <r>
      <rPr>
        <sz val="11"/>
        <color theme="1"/>
        <rFont val="Calibri"/>
        <family val="2"/>
        <charset val="1"/>
      </rPr>
      <t xml:space="preserve">3 ] ÷ ∫₀ᵀ e^(−δt) dt</t>
    </r>
    <r>
      <rPr>
        <sz val="11"/>
        <color theme="1"/>
        <rFont val="Noto Sans CJK SC"/>
        <family val="2"/>
      </rPr>
      <t xml:space="preserve">；段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e^(−k_pre·t0)∫₀^t0 e^((k_pre−δ)t)dt</t>
    </r>
    <r>
      <rPr>
        <sz val="11"/>
        <color theme="1"/>
        <rFont val="Noto Sans CJK SC"/>
        <family val="2"/>
      </rPr>
      <t xml:space="preserve">，段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e^(−k·t0)∫_t0^T1 e^((k−δ)t)dt</t>
    </r>
    <r>
      <rPr>
        <sz val="11"/>
        <color theme="1"/>
        <rFont val="Noto Sans CJK SC"/>
        <family val="2"/>
      </rPr>
      <t xml:space="preserve">，段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ρ·e^(−k·t0)∫_T1^T e^((k−δ)t)dt</t>
    </r>
  </si>
  <si>
    <r>
      <rPr>
        <sz val="11"/>
        <color theme="1"/>
        <rFont val="Calibri"/>
        <family val="2"/>
        <charset val="1"/>
      </rPr>
      <t xml:space="preserve">k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ln(1+g)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k_pre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ln(1+g_pre)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δ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ln(1+WACC)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t0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MAX(0, 2025.5 − </t>
    </r>
    <r>
      <rPr>
        <sz val="11"/>
        <color theme="1"/>
        <rFont val="Noto Sans CJK SC"/>
        <family val="2"/>
      </rPr>
      <t xml:space="preserve">服務起點</t>
    </r>
    <r>
      <rPr>
        <sz val="11"/>
        <color theme="1"/>
        <rFont val="Calibri"/>
        <family val="2"/>
        <charset val="1"/>
      </rPr>
      <t xml:space="preserve">)</t>
    </r>
    <r>
      <rPr>
        <sz val="11"/>
        <color theme="1"/>
        <rFont val="Noto Sans CJK SC"/>
        <family val="2"/>
      </rPr>
      <t xml:space="preserve">；機隊 </t>
    </r>
    <r>
      <rPr>
        <sz val="11"/>
        <color theme="1"/>
        <rFont val="Calibri"/>
        <family val="2"/>
        <charset val="1"/>
      </rPr>
      <t xml:space="preserve">L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Σ w·L_rel ÷ Σ w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w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占比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營收</t>
    </r>
  </si>
  <si>
    <t xml:space="preserve">L7</t>
  </si>
  <si>
    <t xml:space="preserve">必須為真：單獨改一個變數，損益兩平在哪裡（4_必須為真 的格點內插）</t>
  </si>
  <si>
    <t xml:space="preserve">損益兩平的 g（格點內插）</t>
  </si>
  <si>
    <r>
      <rPr>
        <sz val="11"/>
        <color theme="1"/>
        <rFont val="Calibri"/>
        <family val="2"/>
        <charset val="1"/>
      </rPr>
      <t xml:space="preserve">%/</t>
    </r>
    <r>
      <rPr>
        <sz val="11"/>
        <color theme="1"/>
        <rFont val="Noto Sans CJK SC"/>
        <family val="2"/>
      </rPr>
      <t xml:space="preserve">年</t>
    </r>
  </si>
  <si>
    <t xml:space="preserve">現值 −9%（區間 −20%～+5%）。牌價每年跌得比這個慢，就回本</t>
  </si>
  <si>
    <t xml:space="preserve">損益兩平的 ρ</t>
  </si>
  <si>
    <t xml:space="preserve">現值 0.5（區間 0.21–0.7）。損益兩平高於區間上端：只靠 ρ 在區間內翻不了判讀</t>
  </si>
  <si>
    <t xml:space="preserve">損益兩平的 T1</t>
  </si>
  <si>
    <t xml:space="preserve">現值 4（區間 3–5）</t>
  </si>
  <si>
    <t xml:space="preserve">回本所容許的最高全部算力年持有成本</t>
  </si>
  <si>
    <t xml:space="preserve">＝L × 營收；現值 105.5 億（區間 93.5–116.9 億）</t>
  </si>
  <si>
    <t xml:space="preserve">回本所需的最低 2025 營收</t>
  </si>
  <si>
    <t xml:space="preserve">＝全部算力年持有成本 ÷ L；現值 130.7 億</t>
  </si>
  <si>
    <t xml:space="preserve">讀法</t>
  </si>
  <si>
    <t xml:space="preserve">L8</t>
  </si>
  <si>
    <t xml:space="preserve">需求角度的開放問題：訂閱營收是否該跟 token 牌價一起跌？（Tokenomics 未處理；待 Andy 判斷）</t>
  </si>
  <si>
    <t xml:space="preserve">訂閱類營收占比（消費訂閱＋商用席次）</t>
  </si>
  <si>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約八成營收是定額訂閱，月費不直接跟 </t>
    </r>
    <r>
      <rPr>
        <sz val="11"/>
        <color theme="1"/>
        <rFont val="Calibri"/>
        <family val="2"/>
        <charset val="1"/>
      </rPr>
      <t xml:space="preserve">token </t>
    </r>
    <r>
      <rPr>
        <sz val="11"/>
        <color theme="1"/>
        <rFont val="Noto Sans CJK SC"/>
        <family val="2"/>
      </rPr>
      <t xml:space="preserve">牌價走（</t>
    </r>
    <r>
      <rPr>
        <sz val="11"/>
        <color theme="1"/>
        <rFont val="Calibri"/>
        <family val="2"/>
        <charset val="1"/>
      </rPr>
      <t xml:space="preserve">Tokenomics </t>
    </r>
    <r>
      <rPr>
        <sz val="11"/>
        <color theme="1"/>
        <rFont val="Noto Sans CJK SC"/>
        <family val="2"/>
      </rPr>
      <t xml:space="preserve">沒有單一格：＝</t>
    </r>
    <r>
      <rPr>
        <sz val="11"/>
        <color theme="1"/>
        <rFont val="Calibri"/>
        <family val="2"/>
        <charset val="1"/>
      </rPr>
      <t xml:space="preserve">Cap_In C70 </t>
    </r>
    <r>
      <rPr>
        <sz val="11"/>
        <color theme="1"/>
        <rFont val="Noto Sans CJK SC"/>
        <family val="2"/>
      </rPr>
      <t xml:space="preserve">＋ </t>
    </r>
    <r>
      <rPr>
        <sz val="11"/>
        <color theme="1"/>
        <rFont val="Calibri"/>
        <family val="2"/>
        <charset val="1"/>
      </rPr>
      <t xml:space="preserve">C131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</si>
  <si>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Assumed</t>
    </r>
  </si>
  <si>
    <t xml:space="preserve">讀法 A（模型現行）：全部營收跟 token 牌價走</t>
  </si>
  <si>
    <r>
      <rPr>
        <sz val="11"/>
        <color theme="1"/>
        <rFont val="Calibri"/>
        <family val="2"/>
        <charset val="1"/>
      </rPr>
      <t xml:space="preserve">L </t>
    </r>
    <r>
      <rPr>
        <sz val="11"/>
        <color theme="1"/>
        <rFont val="Noto Sans CJK SC"/>
        <family val="2"/>
      </rPr>
      <t xml:space="preserve">不變</t>
    </r>
  </si>
  <si>
    <t xml:space="preserve">讀法 B（極端對照）：訂閱類營收在壽命期內持平，只有 API 跟牌價走</t>
  </si>
  <si>
    <t xml:space="preserve">＝訂閱占比 × 1 ＋ API 占比 × L。這是上限讀法：忽略「每位訂閱用戶用量變大、每 GPU 能服務的訂閱數變少」</t>
  </si>
  <si>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（讀法）</t>
    </r>
  </si>
  <si>
    <t xml:space="preserve">　讀法 B 的 L ÷ 所需 L</t>
  </si>
  <si>
    <t xml:space="preserve">真實情況介於 A 與 B 之間；需要的證據：訂閱用戶平均用量的年成長率、訂閱定價變化</t>
  </si>
  <si>
    <t xml:space="preserve">L9</t>
  </si>
  <si>
    <t xml:space="preserve">對照：舊主口徑所需 L（v17.0–v19.x；只含推論、經計價倍數）。不是現行回本判讀</t>
  </si>
  <si>
    <t xml:space="preserve">推論支出</t>
  </si>
  <si>
    <r>
      <rPr>
        <sz val="11"/>
        <color theme="1"/>
        <rFont val="Calibri"/>
        <family val="2"/>
        <charset val="1"/>
      </rPr>
      <t xml:space="preserve">OpenAI 2025 </t>
    </r>
    <r>
      <rPr>
        <sz val="11"/>
        <color theme="1"/>
        <rFont val="Noto Sans CJK SC"/>
        <family val="2"/>
      </rPr>
      <t xml:space="preserve">花在服務推論的錢</t>
    </r>
  </si>
  <si>
    <t xml:space="preserve">Interested-party</t>
  </si>
  <si>
    <t xml:space="preserve">計價倍數</t>
  </si>
  <si>
    <t xml:space="preserve">推論支出 ÷ 經濟持有成本。v21.2 由 0.85 改為 1.8（區間 0.85–2.3）</t>
  </si>
  <si>
    <t xml:space="preserve">→ 年持有成本（只含推論）</t>
  </si>
  <si>
    <t xml:space="preserve">＝支出 ÷ 計價倍數</t>
  </si>
  <si>
    <t xml:space="preserve">→ 所需 L（舊主口徑，L1_LReqFleet_IdNoK）</t>
  </si>
  <si>
    <r>
      <rPr>
        <sz val="11"/>
        <color theme="1"/>
        <rFont val="Calibri"/>
        <family val="2"/>
        <charset val="1"/>
      </rPr>
      <t xml:space="preserve">v21.2 </t>
    </r>
    <r>
      <rPr>
        <sz val="11"/>
        <color theme="1"/>
        <rFont val="Noto Sans CJK SC"/>
        <family val="2"/>
      </rPr>
      <t xml:space="preserve">計價倍數 </t>
    </r>
    <r>
      <rPr>
        <sz val="11"/>
        <color theme="1"/>
        <rFont val="Calibri"/>
        <family val="2"/>
        <charset val="1"/>
      </rPr>
      <t xml:space="preserve">1.8 </t>
    </r>
    <r>
      <rPr>
        <sz val="11"/>
        <color theme="1"/>
        <rFont val="Noto Sans CJK SC"/>
        <family val="2"/>
      </rPr>
      <t xml:space="preserve">使其由 </t>
    </r>
    <r>
      <rPr>
        <sz val="11"/>
        <color theme="1"/>
        <rFont val="Calibri"/>
        <family val="2"/>
        <charset val="1"/>
      </rPr>
      <t xml:space="preserve">0.756 </t>
    </r>
    <r>
      <rPr>
        <sz val="11"/>
        <color theme="1"/>
        <rFont val="Noto Sans CJK SC"/>
        <family val="2"/>
      </rPr>
      <t xml:space="preserve">降為 </t>
    </r>
    <r>
      <rPr>
        <sz val="11"/>
        <color theme="1"/>
        <rFont val="Calibri"/>
        <family val="2"/>
        <charset val="1"/>
      </rPr>
      <t xml:space="preserve">0.357</t>
    </r>
    <r>
      <rPr>
        <sz val="11"/>
        <color theme="1"/>
        <rFont val="Noto Sans CJK SC"/>
        <family val="2"/>
      </rPr>
      <t xml:space="preserve">；這是支出路線的對照，不是現行回本判讀（現行判讀見 </t>
    </r>
    <r>
      <rPr>
        <sz val="11"/>
        <color theme="1"/>
        <rFont val="Calibri"/>
        <family val="2"/>
        <charset val="1"/>
      </rPr>
      <t xml:space="preserve">C8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C14</t>
    </r>
    <r>
      <rPr>
        <sz val="11"/>
        <color theme="1"/>
        <rFont val="Noto Sans CJK SC"/>
        <family val="2"/>
      </rPr>
      <t xml:space="preserve">）</t>
    </r>
  </si>
  <si>
    <t xml:space="preserve">　舊口徑所需 L 區間</t>
  </si>
  <si>
    <t xml:space="preserve">低端＝支出 75 億 ÷ 計價倍數 2.3；高端＝88 億 ÷ 0.85</t>
  </si>
  <si>
    <t xml:space="preserve">0.249–0.792</t>
  </si>
  <si>
    <t xml:space="preserve">　舊口徑下回本所需的最低計價倍數</t>
  </si>
  <si>
    <t xml:space="preserve">現值 1.8 高於此值＝舊口徑下 L 高於舊所需 L（支出路線看起來回本）；全部算力口徑不用計價倍數</t>
  </si>
  <si>
    <t xml:space="preserve">下鑽</t>
  </si>
  <si>
    <t xml:space="preserve">本頁各層對應的頁面</t>
  </si>
  <si>
    <r>
      <rPr>
        <sz val="11"/>
        <color theme="1"/>
        <rFont val="Calibri"/>
        <family val="2"/>
        <charset val="1"/>
      </rPr>
      <t xml:space="preserve">L3–L5 </t>
    </r>
    <r>
      <rPr>
        <sz val="11"/>
        <color theme="1"/>
        <rFont val="Noto Sans CJK SC"/>
        <family val="2"/>
      </rPr>
      <t xml:space="preserve">的逐世代、逐段計算 → </t>
    </r>
    <r>
      <rPr>
        <sz val="11"/>
        <color theme="1"/>
        <rFont val="Calibri"/>
        <family val="2"/>
        <charset val="1"/>
      </rPr>
      <t xml:space="preserve">3_L</t>
    </r>
    <r>
      <rPr>
        <sz val="11"/>
        <color theme="1"/>
        <rFont val="Noto Sans CJK SC"/>
        <family val="2"/>
      </rPr>
      <t xml:space="preserve">逐世代</t>
    </r>
  </si>
  <si>
    <r>
      <rPr>
        <sz val="11"/>
        <color theme="1"/>
        <rFont val="Calibri"/>
        <family val="2"/>
        <charset val="1"/>
      </rPr>
      <t xml:space="preserve">L7 </t>
    </r>
    <r>
      <rPr>
        <sz val="11"/>
        <color theme="1"/>
        <rFont val="Noto Sans CJK SC"/>
        <family val="2"/>
      </rPr>
      <t xml:space="preserve">的格點 → </t>
    </r>
    <r>
      <rPr>
        <sz val="11"/>
        <color theme="1"/>
        <rFont val="Calibri"/>
        <family val="2"/>
        <charset val="1"/>
      </rPr>
      <t xml:space="preserve">4_</t>
    </r>
    <r>
      <rPr>
        <sz val="11"/>
        <color theme="1"/>
        <rFont val="Noto Sans CJK SC"/>
        <family val="2"/>
      </rPr>
      <t xml:space="preserve">必須為真</t>
    </r>
  </si>
  <si>
    <t xml:space="preserve">全部輸入與來源位置 → 2_輸入</t>
  </si>
  <si>
    <r>
      <rPr>
        <sz val="11"/>
        <color theme="1"/>
        <rFont val="Calibri"/>
        <family val="2"/>
        <charset val="1"/>
      </rPr>
      <t xml:space="preserve">Tokenomics </t>
    </r>
    <r>
      <rPr>
        <sz val="11"/>
        <color theme="1"/>
        <rFont val="Noto Sans CJK SC"/>
        <family val="2"/>
      </rPr>
      <t xml:space="preserve">原式：</t>
    </r>
    <r>
      <rPr>
        <sz val="11"/>
        <color theme="1"/>
        <rFont val="Calibri"/>
        <family val="2"/>
        <charset val="1"/>
      </rPr>
      <t xml:space="preserve">L </t>
    </r>
    <r>
      <rPr>
        <sz val="11"/>
        <color theme="1"/>
        <rFont val="Noto Sans CJK SC"/>
        <family val="2"/>
      </rPr>
      <t xml:space="preserve">在 </t>
    </r>
    <r>
      <rPr>
        <sz val="11"/>
        <color theme="1"/>
        <rFont val="Calibri"/>
        <family val="2"/>
        <charset val="1"/>
      </rPr>
      <t xml:space="preserve">Cap_In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296–325 </t>
    </r>
    <r>
      <rPr>
        <sz val="11"/>
        <color theme="1"/>
        <rFont val="Noto Sans CJK SC"/>
        <family val="2"/>
      </rPr>
      <t xml:space="preserve">列、所需 </t>
    </r>
    <r>
      <rPr>
        <sz val="11"/>
        <color theme="1"/>
        <rFont val="Calibri"/>
        <family val="2"/>
        <charset val="1"/>
      </rPr>
      <t xml:space="preserve">L</t>
    </r>
    <r>
      <rPr>
        <sz val="11"/>
        <color theme="1"/>
        <rFont val="Noto Sans CJK SC"/>
        <family val="2"/>
      </rPr>
      <t xml:space="preserve">（主口徑）在 </t>
    </r>
    <r>
      <rPr>
        <sz val="11"/>
        <color theme="1"/>
        <rFont val="Calibri"/>
        <family val="2"/>
        <charset val="1"/>
      </rPr>
      <t xml:space="preserve">L1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L1_LReqFleet_Full</t>
    </r>
    <r>
      <rPr>
        <sz val="11"/>
        <color theme="1"/>
        <rFont val="Noto Sans CJK SC"/>
        <family val="2"/>
      </rPr>
      <t xml:space="preserve">）、舊口徑對照 </t>
    </r>
    <r>
      <rPr>
        <sz val="11"/>
        <color theme="1"/>
        <rFont val="Calibri"/>
        <family val="2"/>
        <charset val="1"/>
      </rPr>
      <t xml:space="preserve">L1_LReqFleet_IdNoK</t>
    </r>
    <r>
      <rPr>
        <sz val="11"/>
        <color theme="1"/>
        <rFont val="Noto Sans CJK SC"/>
        <family val="2"/>
      </rPr>
      <t xml:space="preserve">、判讀在 </t>
    </r>
    <r>
      <rPr>
        <sz val="11"/>
        <color theme="1"/>
        <rFont val="Calibri"/>
        <family val="2"/>
        <charset val="1"/>
      </rPr>
      <t xml:space="preserve">Cap_In C242</t>
    </r>
  </si>
  <si>
    <r>
      <rPr>
        <sz val="11"/>
        <color theme="1"/>
        <rFont val="Calibri"/>
        <family val="2"/>
        <charset val="1"/>
      </rPr>
      <t xml:space="preserve">L </t>
    </r>
    <r>
      <rPr>
        <sz val="11"/>
        <color theme="1"/>
        <rFont val="Noto Sans CJK SC"/>
        <family val="2"/>
      </rPr>
      <t xml:space="preserve">推導的全部輸入（藍字可改）。值取自 </t>
    </r>
    <r>
      <rPr>
        <sz val="11"/>
        <color theme="1"/>
        <rFont val="Calibri"/>
        <family val="2"/>
        <charset val="1"/>
      </rPr>
      <t xml:space="preserve">Tokenomics v21.3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model/20261024_Tokenomics_v21.3.xlsx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master aa17328</t>
    </r>
    <r>
      <rPr>
        <sz val="11"/>
        <color theme="1"/>
        <rFont val="Noto Sans CJK SC"/>
        <family val="2"/>
      </rPr>
      <t xml:space="preserve">）。</t>
    </r>
  </si>
  <si>
    <t xml:space="preserve">「低端組合」「高端組合」＝Tokenomics 用來算 L 與所需 L 區間端點的那一組值（同一欄的值一起用，不是各自的區間）。</t>
  </si>
  <si>
    <t xml:space="preserve">ID</t>
  </si>
  <si>
    <t xml:space="preserve">基準</t>
  </si>
  <si>
    <t xml:space="preserve">低端組合</t>
  </si>
  <si>
    <t xml:space="preserve">高端組合</t>
  </si>
  <si>
    <r>
      <rPr>
        <b val="true"/>
        <sz val="11"/>
        <color rgb="FFFFFFFF"/>
        <rFont val="Cambria"/>
        <family val="0"/>
        <charset val="1"/>
      </rPr>
      <t xml:space="preserve">Tokenomics v21.3 </t>
    </r>
    <r>
      <rPr>
        <b val="true"/>
        <sz val="11"/>
        <color rgb="FFFFFFFF"/>
        <rFont val="Noto Sans CJK SC"/>
        <family val="2"/>
      </rPr>
      <t xml:space="preserve">位置</t>
    </r>
  </si>
  <si>
    <t xml:space="preserve">說明</t>
  </si>
  <si>
    <r>
      <rPr>
        <b val="true"/>
        <sz val="11"/>
        <rFont val="Cambria"/>
        <family val="0"/>
        <charset val="1"/>
      </rPr>
      <t xml:space="preserve">A. 2025 </t>
    </r>
    <r>
      <rPr>
        <b val="true"/>
        <sz val="11"/>
        <rFont val="Noto Sans CJK SC"/>
        <family val="2"/>
      </rPr>
      <t xml:space="preserve">營收與成本（決定所需 </t>
    </r>
    <r>
      <rPr>
        <b val="true"/>
        <sz val="11"/>
        <rFont val="Cambria"/>
        <family val="0"/>
        <charset val="1"/>
      </rPr>
      <t xml:space="preserve">L</t>
    </r>
    <r>
      <rPr>
        <b val="true"/>
        <sz val="11"/>
        <rFont val="Noto Sans CJK SC"/>
        <family val="2"/>
      </rPr>
      <t xml:space="preserve">）</t>
    </r>
  </si>
  <si>
    <t xml:space="preserve">IN_Rev</t>
  </si>
  <si>
    <r>
      <rPr>
        <sz val="11"/>
        <color theme="1"/>
        <rFont val="Calibri"/>
        <family val="2"/>
        <charset val="1"/>
      </rPr>
      <t xml:space="preserve">OpenAI 2025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</si>
  <si>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（查核財報）</t>
    </r>
  </si>
  <si>
    <t xml:space="preserve">SRC_Demand!C11</t>
  </si>
  <si>
    <r>
      <rPr>
        <sz val="11"/>
        <color theme="1"/>
        <rFont val="Calibri"/>
        <family val="2"/>
        <charset val="1"/>
      </rPr>
      <t xml:space="preserve">SRC_DEM_007</t>
    </r>
    <r>
      <rPr>
        <sz val="11"/>
        <color theme="1"/>
        <rFont val="Noto Sans CJK SC"/>
        <family val="2"/>
      </rPr>
      <t xml:space="preserve">；三欄同值</t>
    </r>
  </si>
  <si>
    <t xml:space="preserve">IN_Spend</t>
  </si>
  <si>
    <r>
      <rPr>
        <sz val="11"/>
        <color theme="1"/>
        <rFont val="Calibri"/>
        <family val="2"/>
        <charset val="1"/>
      </rPr>
      <t xml:space="preserve">OpenAI 2025 </t>
    </r>
    <r>
      <rPr>
        <sz val="11"/>
        <color theme="1"/>
        <rFont val="Noto Sans CJK SC"/>
        <family val="2"/>
      </rPr>
      <t xml:space="preserve">推論支出</t>
    </r>
  </si>
  <si>
    <t xml:space="preserve">SRC_Demand!C8:E8</t>
  </si>
  <si>
    <r>
      <rPr>
        <sz val="11"/>
        <color theme="1"/>
        <rFont val="Calibri"/>
        <family val="2"/>
        <charset val="1"/>
      </rPr>
      <t xml:space="preserve">SRC_DEM_004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OpenAI </t>
    </r>
    <r>
      <rPr>
        <sz val="11"/>
        <color theme="1"/>
        <rFont val="Noto Sans CJK SC"/>
        <family val="2"/>
      </rPr>
      <t xml:space="preserve">投資人資料（經 </t>
    </r>
    <r>
      <rPr>
        <sz val="11"/>
        <color theme="1"/>
        <rFont val="Calibri"/>
        <family val="2"/>
        <charset val="1"/>
      </rPr>
      <t xml:space="preserve">The Information</t>
    </r>
    <r>
      <rPr>
        <sz val="11"/>
        <color theme="1"/>
        <rFont val="Noto Sans CJK SC"/>
        <family val="2"/>
      </rPr>
      <t xml:space="preserve">）</t>
    </r>
  </si>
  <si>
    <t xml:space="preserve">IN_SB</t>
  </si>
  <si>
    <t xml:space="preserve">計價倍數（推論支出 ÷ 經濟持有成本）</t>
  </si>
  <si>
    <r>
      <rPr>
        <sz val="11"/>
        <color theme="1"/>
        <rFont val="Calibri"/>
        <family val="2"/>
        <charset val="1"/>
      </rPr>
      <t xml:space="preserve">Alloc_In!C23:E23</t>
    </r>
    <r>
      <rPr>
        <sz val="11"/>
        <color theme="1"/>
        <rFont val="Noto Sans CJK SC"/>
        <family val="2"/>
      </rPr>
      <t xml:space="preserve">（低端組合／高端組合欄與 </t>
    </r>
    <r>
      <rPr>
        <sz val="11"/>
        <color theme="1"/>
        <rFont val="Calibri"/>
        <family val="2"/>
        <charset val="1"/>
      </rPr>
      <t xml:space="preserve">Tokenomics </t>
    </r>
    <r>
      <rPr>
        <sz val="11"/>
        <color theme="1"/>
        <rFont val="Noto Sans CJK SC"/>
        <family val="2"/>
      </rPr>
      <t xml:space="preserve">欄序相反：此處依 </t>
    </r>
    <r>
      <rPr>
        <sz val="11"/>
        <color theme="1"/>
        <rFont val="Calibri"/>
        <family val="2"/>
        <charset val="1"/>
      </rPr>
      <t xml:space="preserve">L </t>
    </r>
    <r>
      <rPr>
        <sz val="11"/>
        <color theme="1"/>
        <rFont val="Noto Sans CJK SC"/>
        <family val="2"/>
      </rPr>
      <t xml:space="preserve">端點組合排列）</t>
    </r>
  </si>
  <si>
    <t xml:space="preserve">所需 L 低端用 2.3、高端用 0.85（倍數越大，同樣支出代表的持有成本越小）。v21.2 由 0.85（0.73–1.17）改為 1.8（0.85–2.3）；本簿只用於「舊口徑對照」（1_公式樹 L9）</t>
  </si>
  <si>
    <r>
      <rPr>
        <b val="true"/>
        <sz val="11"/>
        <rFont val="Cambria"/>
        <family val="0"/>
        <charset val="1"/>
      </rPr>
      <t xml:space="preserve">B. </t>
    </r>
    <r>
      <rPr>
        <b val="true"/>
        <sz val="11"/>
        <rFont val="Noto Sans CJK SC"/>
        <family val="2"/>
      </rPr>
      <t xml:space="preserve">價格路徑（決定 </t>
    </r>
    <r>
      <rPr>
        <b val="true"/>
        <sz val="11"/>
        <rFont val="Cambria"/>
        <family val="0"/>
        <charset val="1"/>
      </rPr>
      <t xml:space="preserve">L</t>
    </r>
    <r>
      <rPr>
        <b val="true"/>
        <sz val="11"/>
        <rFont val="Noto Sans CJK SC"/>
        <family val="2"/>
      </rPr>
      <t xml:space="preserve">）</t>
    </r>
  </si>
  <si>
    <t xml:space="preserve">IN_g</t>
  </si>
  <si>
    <t xml:space="preserve">中階 token 牌價年變化率 g</t>
  </si>
  <si>
    <t xml:space="preserve">Cap_In!C226:E226</t>
  </si>
  <si>
    <t xml:space="preserve">牌價序列迴歸（等級 3，待一手確認）</t>
  </si>
  <si>
    <t xml:space="preserve">IN_T1</t>
  </si>
  <si>
    <t xml:space="preserve">降級前服務中階的年數 T1</t>
  </si>
  <si>
    <t xml:space="preserve">Assumed</t>
  </si>
  <si>
    <t xml:space="preserve">Cap_In!C227:E227</t>
  </si>
  <si>
    <t xml:space="preserve">硬體所服務層級的更替</t>
  </si>
  <si>
    <t xml:space="preserve">IN_rho</t>
  </si>
  <si>
    <t xml:space="preserve">降級後價值比 ρ</t>
  </si>
  <si>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（兩種讀法）</t>
    </r>
  </si>
  <si>
    <t xml:space="preserve">Cap_In!C228:E228</t>
  </si>
  <si>
    <t xml:space="preserve">低端＝低階單價 ÷ 中階單價 × 低階每 GPU 吞吐倍數（原為公式，此處以值輸入）。v19.1 起低端由 0.1704 改為 0.2007；v21.3 起 0.2057（機架價低端 7.8→7.5 連動低階吞吐成本比）</t>
  </si>
  <si>
    <t xml:space="preserve">IN_T</t>
  </si>
  <si>
    <t xml:space="preserve">硬體壽命 T</t>
  </si>
  <si>
    <t xml:space="preserve">Cap_In!C229:E229</t>
  </si>
  <si>
    <t xml:space="preserve">＝IT 折舊年限</t>
  </si>
  <si>
    <t xml:space="preserve">IN_gpre</t>
  </si>
  <si>
    <t xml:space="preserve">錨點前中階牌價年變化率 g_pre</t>
  </si>
  <si>
    <r>
      <rPr>
        <sz val="11"/>
        <color theme="1"/>
        <rFont val="Calibri"/>
        <family val="2"/>
        <charset val="1"/>
      </rPr>
      <t xml:space="preserve">Cap_In!C304:E304</t>
    </r>
    <r>
      <rPr>
        <sz val="11"/>
        <color theme="1"/>
        <rFont val="Noto Sans CJK SC"/>
        <family val="2"/>
      </rPr>
      <t xml:space="preserve">（低端組合／高端組合欄與 </t>
    </r>
    <r>
      <rPr>
        <sz val="11"/>
        <color theme="1"/>
        <rFont val="Calibri"/>
        <family val="2"/>
        <charset val="1"/>
      </rPr>
      <t xml:space="preserve">Tokenomics </t>
    </r>
    <r>
      <rPr>
        <sz val="11"/>
        <color theme="1"/>
        <rFont val="Noto Sans CJK SC"/>
        <family val="2"/>
      </rPr>
      <t xml:space="preserve">欄序相反：此處依 </t>
    </r>
    <r>
      <rPr>
        <sz val="11"/>
        <color theme="1"/>
        <rFont val="Calibri"/>
        <family val="2"/>
        <charset val="1"/>
      </rPr>
      <t xml:space="preserve">L </t>
    </r>
    <r>
      <rPr>
        <sz val="11"/>
        <color theme="1"/>
        <rFont val="Noto Sans CJK SC"/>
        <family val="2"/>
      </rPr>
      <t xml:space="preserve">端點組合排列）</t>
    </r>
  </si>
  <si>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年以前的跌價速度；低端組合用 −</t>
    </r>
    <r>
      <rPr>
        <sz val="11"/>
        <color theme="1"/>
        <rFont val="Calibri"/>
        <family val="2"/>
        <charset val="1"/>
      </rPr>
      <t xml:space="preserve">0.09</t>
    </r>
    <r>
      <rPr>
        <sz val="11"/>
        <color theme="1"/>
        <rFont val="Noto Sans CJK SC"/>
        <family val="2"/>
      </rPr>
      <t xml:space="preserve">、高端組合用 −</t>
    </r>
    <r>
      <rPr>
        <sz val="11"/>
        <color theme="1"/>
        <rFont val="Calibri"/>
        <family val="2"/>
        <charset val="1"/>
      </rPr>
      <t xml:space="preserve">0.30</t>
    </r>
    <r>
      <rPr>
        <sz val="11"/>
        <color theme="1"/>
        <rFont val="Noto Sans CJK SC"/>
        <family val="2"/>
      </rPr>
      <t xml:space="preserve">（跌得越快，早年價格越高）</t>
    </r>
  </si>
  <si>
    <t xml:space="preserve">IN_WACC</t>
  </si>
  <si>
    <t xml:space="preserve">折現率 WACC</t>
  </si>
  <si>
    <r>
      <rPr>
        <sz val="11"/>
        <color theme="1"/>
        <rFont val="Calibri"/>
        <family val="2"/>
        <charset val="1"/>
      </rPr>
      <t xml:space="preserve">Inputs!E28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D28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F28</t>
    </r>
  </si>
  <si>
    <t xml:space="preserve">與持有成本年金同口徑</t>
  </si>
  <si>
    <t xml:space="preserve">IN_A</t>
  </si>
  <si>
    <t xml:space="preserve">校準錨點年 A（2025 營收與支出的年中）</t>
  </si>
  <si>
    <t xml:space="preserve">Decision</t>
  </si>
  <si>
    <t xml:space="preserve">Cap_In!C303</t>
  </si>
  <si>
    <r>
      <rPr>
        <b val="true"/>
        <sz val="11"/>
        <rFont val="Cambria"/>
        <family val="0"/>
        <charset val="1"/>
      </rPr>
      <t xml:space="preserve">C. </t>
    </r>
    <r>
      <rPr>
        <b val="true"/>
        <sz val="11"/>
        <rFont val="Noto Sans CJK SC"/>
        <family val="2"/>
      </rPr>
      <t xml:space="preserve">機隊世代（決定機隊 </t>
    </r>
    <r>
      <rPr>
        <b val="true"/>
        <sz val="11"/>
        <rFont val="Cambria"/>
        <family val="0"/>
        <charset val="1"/>
      </rPr>
      <t xml:space="preserve">L </t>
    </r>
    <r>
      <rPr>
        <b val="true"/>
        <sz val="11"/>
        <rFont val="Noto Sans CJK SC"/>
        <family val="2"/>
      </rPr>
      <t xml:space="preserve">的加權）</t>
    </r>
  </si>
  <si>
    <t xml:space="preserve">IN_sv_H</t>
  </si>
  <si>
    <t xml:space="preserve">世代服務起點 s_v：Hopper</t>
  </si>
  <si>
    <r>
      <rPr>
        <sz val="11"/>
        <color theme="1"/>
        <rFont val="Calibri"/>
        <family val="2"/>
        <charset val="1"/>
      </rPr>
      <t xml:space="preserve">Cap_In!C300:C302</t>
    </r>
    <r>
      <rPr>
        <sz val="11"/>
        <color theme="1"/>
        <rFont val="Noto Sans CJK SC"/>
        <family val="2"/>
      </rPr>
      <t xml:space="preserve">（低端組合／高端組合欄與 </t>
    </r>
    <r>
      <rPr>
        <sz val="11"/>
        <color theme="1"/>
        <rFont val="Calibri"/>
        <family val="2"/>
        <charset val="1"/>
      </rPr>
      <t xml:space="preserve">Tokenomics </t>
    </r>
    <r>
      <rPr>
        <sz val="11"/>
        <color theme="1"/>
        <rFont val="Noto Sans CJK SC"/>
        <family val="2"/>
      </rPr>
      <t xml:space="preserve">欄序相反：此處依 </t>
    </r>
    <r>
      <rPr>
        <sz val="11"/>
        <color theme="1"/>
        <rFont val="Calibri"/>
        <family val="2"/>
        <charset val="1"/>
      </rPr>
      <t xml:space="preserve">L </t>
    </r>
    <r>
      <rPr>
        <sz val="11"/>
        <color theme="1"/>
        <rFont val="Noto Sans CJK SC"/>
        <family val="2"/>
      </rPr>
      <t xml:space="preserve">端點組合排列）</t>
    </r>
  </si>
  <si>
    <t xml:space="preserve">低端組合取較晚（已服務年數少）、高端組合取較早</t>
  </si>
  <si>
    <t xml:space="preserve">IN_sv_G</t>
  </si>
  <si>
    <t xml:space="preserve">世代服務起點 s_v：GB200</t>
  </si>
  <si>
    <r>
      <rPr>
        <sz val="11"/>
        <color theme="1"/>
        <rFont val="Calibri"/>
        <family val="2"/>
        <charset val="1"/>
      </rPr>
      <t xml:space="preserve">Cap_In!D300:D302</t>
    </r>
    <r>
      <rPr>
        <sz val="11"/>
        <color theme="1"/>
        <rFont val="Noto Sans CJK SC"/>
        <family val="2"/>
      </rPr>
      <t xml:space="preserve">（低端組合／高端組合欄與 </t>
    </r>
    <r>
      <rPr>
        <sz val="11"/>
        <color theme="1"/>
        <rFont val="Calibri"/>
        <family val="2"/>
        <charset val="1"/>
      </rPr>
      <t xml:space="preserve">Tokenomics </t>
    </r>
    <r>
      <rPr>
        <sz val="11"/>
        <color theme="1"/>
        <rFont val="Noto Sans CJK SC"/>
        <family val="2"/>
      </rPr>
      <t xml:space="preserve">欄序相反：此處依 </t>
    </r>
    <r>
      <rPr>
        <sz val="11"/>
        <color theme="1"/>
        <rFont val="Calibri"/>
        <family val="2"/>
        <charset val="1"/>
      </rPr>
      <t xml:space="preserve">L </t>
    </r>
    <r>
      <rPr>
        <sz val="11"/>
        <color theme="1"/>
        <rFont val="Noto Sans CJK SC"/>
        <family val="2"/>
      </rPr>
      <t xml:space="preserve">端點組合排列）</t>
    </r>
  </si>
  <si>
    <t xml:space="preserve">IN_sv_3</t>
  </si>
  <si>
    <t xml:space="preserve">世代服務起點 s_v：GB300</t>
  </si>
  <si>
    <r>
      <rPr>
        <sz val="11"/>
        <color theme="1"/>
        <rFont val="Calibri"/>
        <family val="2"/>
        <charset val="1"/>
      </rPr>
      <t xml:space="preserve">Cap_In!E300:E302</t>
    </r>
    <r>
      <rPr>
        <sz val="11"/>
        <color theme="1"/>
        <rFont val="Noto Sans CJK SC"/>
        <family val="2"/>
      </rPr>
      <t xml:space="preserve">（低端組合／高端組合欄與 </t>
    </r>
    <r>
      <rPr>
        <sz val="11"/>
        <color theme="1"/>
        <rFont val="Calibri"/>
        <family val="2"/>
        <charset val="1"/>
      </rPr>
      <t xml:space="preserve">Tokenomics </t>
    </r>
    <r>
      <rPr>
        <sz val="11"/>
        <color theme="1"/>
        <rFont val="Noto Sans CJK SC"/>
        <family val="2"/>
      </rPr>
      <t xml:space="preserve">欄序相反：此處依 </t>
    </r>
    <r>
      <rPr>
        <sz val="11"/>
        <color theme="1"/>
        <rFont val="Calibri"/>
        <family val="2"/>
        <charset val="1"/>
      </rPr>
      <t xml:space="preserve">L </t>
    </r>
    <r>
      <rPr>
        <sz val="11"/>
        <color theme="1"/>
        <rFont val="Noto Sans CJK SC"/>
        <family val="2"/>
      </rPr>
      <t xml:space="preserve">端點組合排列）</t>
    </r>
  </si>
  <si>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服務占比 </t>
    </r>
    <r>
      <rPr>
        <sz val="11"/>
        <color theme="1"/>
        <rFont val="Calibri"/>
        <family val="2"/>
        <charset val="1"/>
      </rPr>
      <t xml:space="preserve">0</t>
    </r>
  </si>
  <si>
    <t xml:space="preserve">IN_sv_V</t>
  </si>
  <si>
    <t xml:space="preserve">世代服務起點 s_v：VR200</t>
  </si>
  <si>
    <r>
      <rPr>
        <sz val="11"/>
        <color theme="1"/>
        <rFont val="Calibri"/>
        <family val="2"/>
        <charset val="1"/>
      </rPr>
      <t xml:space="preserve">Cap_In!F300:F302</t>
    </r>
    <r>
      <rPr>
        <sz val="11"/>
        <color theme="1"/>
        <rFont val="Noto Sans CJK SC"/>
        <family val="2"/>
      </rPr>
      <t xml:space="preserve">（低端組合／高端組合欄與 </t>
    </r>
    <r>
      <rPr>
        <sz val="11"/>
        <color theme="1"/>
        <rFont val="Calibri"/>
        <family val="2"/>
        <charset val="1"/>
      </rPr>
      <t xml:space="preserve">Tokenomics </t>
    </r>
    <r>
      <rPr>
        <sz val="11"/>
        <color theme="1"/>
        <rFont val="Noto Sans CJK SC"/>
        <family val="2"/>
      </rPr>
      <t xml:space="preserve">欄序相反：此處依 </t>
    </r>
    <r>
      <rPr>
        <sz val="11"/>
        <color theme="1"/>
        <rFont val="Calibri"/>
        <family val="2"/>
        <charset val="1"/>
      </rPr>
      <t xml:space="preserve">L </t>
    </r>
    <r>
      <rPr>
        <sz val="11"/>
        <color theme="1"/>
        <rFont val="Noto Sans CJK SC"/>
        <family val="2"/>
      </rPr>
      <t xml:space="preserve">端點組合排列）</t>
    </r>
  </si>
  <si>
    <t xml:space="preserve">IN_sh_H</t>
  </si>
  <si>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服務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占比：</t>
    </r>
    <r>
      <rPr>
        <sz val="11"/>
        <color theme="1"/>
        <rFont val="Calibri"/>
        <family val="2"/>
        <charset val="1"/>
      </rPr>
      <t xml:space="preserve">Hopper</t>
    </r>
  </si>
  <si>
    <r>
      <rPr>
        <sz val="11"/>
        <color theme="1"/>
        <rFont val="Calibri"/>
        <family val="2"/>
        <charset val="1"/>
      </rPr>
      <t xml:space="preserve">Alloc!C18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AL_ShareGen</t>
    </r>
    <r>
      <rPr>
        <sz val="11"/>
        <color theme="1"/>
        <rFont val="Noto Sans CJK SC"/>
        <family val="2"/>
      </rPr>
      <t xml:space="preserve">）</t>
    </r>
  </si>
  <si>
    <t xml:space="preserve">三欄同值</t>
  </si>
  <si>
    <t xml:space="preserve">IN_sh_G</t>
  </si>
  <si>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服務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占比：</t>
    </r>
    <r>
      <rPr>
        <sz val="11"/>
        <color theme="1"/>
        <rFont val="Calibri"/>
        <family val="2"/>
        <charset val="1"/>
      </rPr>
      <t xml:space="preserve">GB200</t>
    </r>
  </si>
  <si>
    <t xml:space="preserve">Alloc!D18</t>
  </si>
  <si>
    <t xml:space="preserve">IN_sh_3</t>
  </si>
  <si>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服務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占比：</t>
    </r>
    <r>
      <rPr>
        <sz val="11"/>
        <color theme="1"/>
        <rFont val="Calibri"/>
        <family val="2"/>
        <charset val="1"/>
      </rPr>
      <t xml:space="preserve">GB300</t>
    </r>
  </si>
  <si>
    <t xml:space="preserve">Alloc!E18</t>
  </si>
  <si>
    <t xml:space="preserve">IN_sh_V</t>
  </si>
  <si>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服務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占比：</t>
    </r>
    <r>
      <rPr>
        <sz val="11"/>
        <color theme="1"/>
        <rFont val="Calibri"/>
        <family val="2"/>
        <charset val="1"/>
      </rPr>
      <t xml:space="preserve">VR200</t>
    </r>
  </si>
  <si>
    <t xml:space="preserve">Alloc!F18</t>
  </si>
  <si>
    <t xml:space="preserve">IN_rg_H</t>
  </si>
  <si>
    <t xml:space="preserve">每 GW 年付費營收（2025 單價）：Hopper</t>
  </si>
  <si>
    <r>
      <rPr>
        <sz val="11"/>
        <color theme="1"/>
        <rFont val="Calibri"/>
        <family val="2"/>
        <charset val="1"/>
      </rPr>
      <t xml:space="preserve">$B/(GW·</t>
    </r>
    <r>
      <rPr>
        <sz val="11"/>
        <color theme="1"/>
        <rFont val="Noto Sans CJK SC"/>
        <family val="2"/>
      </rPr>
      <t xml:space="preserve">年</t>
    </r>
    <r>
      <rPr>
        <sz val="11"/>
        <color theme="1"/>
        <rFont val="Calibri"/>
        <family val="2"/>
        <charset val="1"/>
      </rPr>
      <t xml:space="preserve">)</t>
    </r>
  </si>
  <si>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（貼上值）</t>
    </r>
  </si>
  <si>
    <r>
      <rPr>
        <sz val="11"/>
        <color theme="1"/>
        <rFont val="Calibri"/>
        <family val="2"/>
        <charset val="1"/>
      </rPr>
      <t xml:space="preserve">Alloc!C153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AL_RevGW25</t>
    </r>
    <r>
      <rPr>
        <sz val="11"/>
        <color theme="1"/>
        <rFont val="Noto Sans CJK SC"/>
        <family val="2"/>
      </rPr>
      <t xml:space="preserve">）</t>
    </r>
  </si>
  <si>
    <t xml:space="preserve">由 m 的計算鏈產生（機隊每 GW 營收 × 實收 ÷ 牌價）；本簿以值輸入。v19.1 起四個世代的值都改變（Hopper 原 4.633、GB200 原 22.800、GB300 原 27.810、VR200 原 45.733）</t>
  </si>
  <si>
    <t xml:space="preserve">IN_rg_G</t>
  </si>
  <si>
    <t xml:space="preserve">每 GW 年付費營收（2025 單價）：GB200</t>
  </si>
  <si>
    <t xml:space="preserve">Alloc!D153</t>
  </si>
  <si>
    <t xml:space="preserve">IN_rg_3</t>
  </si>
  <si>
    <t xml:space="preserve">每 GW 年付費營收（2025 單價）：GB300</t>
  </si>
  <si>
    <t xml:space="preserve">Alloc!E153</t>
  </si>
  <si>
    <t xml:space="preserve">IN_rg_V</t>
  </si>
  <si>
    <t xml:space="preserve">每 GW 年付費營收（2025 單價）：VR200</t>
  </si>
  <si>
    <t xml:space="preserve">Alloc!F153</t>
  </si>
  <si>
    <r>
      <rPr>
        <b val="true"/>
        <sz val="11"/>
        <rFont val="Cambria"/>
        <family val="0"/>
        <charset val="1"/>
      </rPr>
      <t xml:space="preserve">D. </t>
    </r>
    <r>
      <rPr>
        <b val="true"/>
        <sz val="11"/>
        <rFont val="Noto Sans CJK SC"/>
        <family val="2"/>
      </rPr>
      <t xml:space="preserve">營收結構（只用於 </t>
    </r>
    <r>
      <rPr>
        <b val="true"/>
        <sz val="11"/>
        <rFont val="Cambria"/>
        <family val="0"/>
        <charset val="1"/>
      </rPr>
      <t xml:space="preserve">1_</t>
    </r>
    <r>
      <rPr>
        <b val="true"/>
        <sz val="11"/>
        <rFont val="Noto Sans CJK SC"/>
        <family val="2"/>
      </rPr>
      <t xml:space="preserve">公式樹 </t>
    </r>
    <r>
      <rPr>
        <b val="true"/>
        <sz val="11"/>
        <rFont val="Cambria"/>
        <family val="0"/>
        <charset val="1"/>
      </rPr>
      <t xml:space="preserve">L8 </t>
    </r>
    <r>
      <rPr>
        <b val="true"/>
        <sz val="11"/>
        <rFont val="Noto Sans CJK SC"/>
        <family val="2"/>
      </rPr>
      <t xml:space="preserve">的需求角度問題；</t>
    </r>
    <r>
      <rPr>
        <b val="true"/>
        <sz val="11"/>
        <rFont val="Cambria"/>
        <family val="0"/>
        <charset val="1"/>
      </rPr>
      <t xml:space="preserve">Tokenomics </t>
    </r>
    <r>
      <rPr>
        <b val="true"/>
        <sz val="11"/>
        <rFont val="Noto Sans CJK SC"/>
        <family val="2"/>
      </rPr>
      <t xml:space="preserve">的 </t>
    </r>
    <r>
      <rPr>
        <b val="true"/>
        <sz val="11"/>
        <rFont val="Cambria"/>
        <family val="0"/>
        <charset val="1"/>
      </rPr>
      <t xml:space="preserve">L </t>
    </r>
    <r>
      <rPr>
        <b val="true"/>
        <sz val="11"/>
        <rFont val="Noto Sans CJK SC"/>
        <family val="2"/>
      </rPr>
      <t xml:space="preserve">不用）</t>
    </r>
  </si>
  <si>
    <t xml:space="preserve">IN_SubShare</t>
  </si>
  <si>
    <t xml:space="preserve">消費訂閱占 2025 營收</t>
  </si>
  <si>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N10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OpenAI </t>
    </r>
    <r>
      <rPr>
        <sz val="11"/>
        <color theme="1"/>
        <rFont val="Noto Sans CJK SC"/>
        <family val="2"/>
      </rPr>
      <t xml:space="preserve">自述約 </t>
    </r>
    <r>
      <rPr>
        <sz val="11"/>
        <color theme="1"/>
        <rFont val="Calibri"/>
        <family val="2"/>
        <charset val="1"/>
      </rPr>
      <t xml:space="preserve">70%</t>
    </r>
    <r>
      <rPr>
        <sz val="11"/>
        <color theme="1"/>
        <rFont val="Noto Sans CJK SC"/>
        <family val="2"/>
      </rPr>
      <t xml:space="preserve">）</t>
    </r>
  </si>
  <si>
    <t xml:space="preserve">Cap_In!C70</t>
  </si>
  <si>
    <r>
      <rPr>
        <sz val="11"/>
        <color theme="1"/>
        <rFont val="Calibri"/>
        <family val="2"/>
        <charset val="1"/>
      </rPr>
      <t xml:space="preserve">OpenAI </t>
    </r>
    <r>
      <rPr>
        <sz val="11"/>
        <color theme="1"/>
        <rFont val="Noto Sans CJK SC"/>
        <family val="2"/>
      </rPr>
      <t xml:space="preserve">自述約值</t>
    </r>
  </si>
  <si>
    <t xml:space="preserve">IN_SeatShare</t>
  </si>
  <si>
    <t xml:space="preserve">商用席次占 2025 營收</t>
  </si>
  <si>
    <t xml:space="preserve">Cap_In!C131</t>
  </si>
  <si>
    <r>
      <rPr>
        <b val="true"/>
        <sz val="11"/>
        <rFont val="Cambria"/>
        <family val="0"/>
        <charset val="1"/>
      </rPr>
      <t xml:space="preserve">E. </t>
    </r>
    <r>
      <rPr>
        <b val="true"/>
        <sz val="11"/>
        <rFont val="Noto Sans CJK SC"/>
        <family val="2"/>
      </rPr>
      <t xml:space="preserve">全部算力年持有成本（決定主口徑所需 </t>
    </r>
    <r>
      <rPr>
        <b val="true"/>
        <sz val="11"/>
        <rFont val="Cambria"/>
        <family val="0"/>
        <charset val="1"/>
      </rPr>
      <t xml:space="preserve">L</t>
    </r>
    <r>
      <rPr>
        <b val="true"/>
        <sz val="11"/>
        <rFont val="Noto Sans CJK SC"/>
        <family val="2"/>
      </rPr>
      <t xml:space="preserve">；</t>
    </r>
    <r>
      <rPr>
        <b val="true"/>
        <sz val="11"/>
        <rFont val="Cambria"/>
        <family val="0"/>
        <charset val="1"/>
      </rPr>
      <t xml:space="preserve">v20.0 </t>
    </r>
    <r>
      <rPr>
        <b val="true"/>
        <sz val="11"/>
        <rFont val="Noto Sans CJK SC"/>
        <family val="2"/>
      </rPr>
      <t xml:space="preserve">起）</t>
    </r>
  </si>
  <si>
    <t xml:space="preserve">IN_Hold</t>
  </si>
  <si>
    <t xml:space="preserve">2025 全部算力年持有成本（平均上線 GW × 機隊每 GW 年持有成本）</t>
  </si>
  <si>
    <r>
      <rPr>
        <sz val="11"/>
        <color theme="1"/>
        <rFont val="Calibri"/>
        <family val="2"/>
        <charset val="1"/>
      </rPr>
      <t xml:space="preserve">L1!D137:F137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L1_HoldFleet25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Cap_In!C336:E336</t>
    </r>
    <r>
      <rPr>
        <sz val="11"/>
        <color theme="1"/>
        <rFont val="Noto Sans CJK SC"/>
        <family val="2"/>
      </rPr>
      <t xml:space="preserve">）</t>
    </r>
  </si>
  <si>
    <t xml:space="preserve">低端＝GW 1.0 × 每 GW 持有成本；高端＝GW 1.25 × 每 GW 持有成本（持有成本取基準，只隨 GW 端點）。全部算力，不只服務推論；本簿以值輸入，所需 L＝本列 ÷ IN_Rev</t>
  </si>
  <si>
    <r>
      <rPr>
        <sz val="11"/>
        <color theme="1"/>
        <rFont val="Calibri"/>
        <family val="2"/>
        <charset val="1"/>
      </rPr>
      <t xml:space="preserve">L </t>
    </r>
    <r>
      <rPr>
        <sz val="11"/>
        <color theme="1"/>
        <rFont val="Noto Sans CJK SC"/>
        <family val="2"/>
      </rPr>
      <t xml:space="preserve">的逐世代計算：每一列＝一個情境下的一個世代。價格路徑以錨點（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年中）為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；積分拆成三段後除以分母。全部公式。</t>
    </r>
  </si>
  <si>
    <t xml:space="preserve">段 1＝錨點前已經賣過的高價期（只有 t0&gt;0 的世代有）；段 2＝錨點後、降級前，賣中階 token；段 3＝降級後，價值為中階的 ρ 倍。折現率＝0 表示不折現。</t>
  </si>
  <si>
    <t xml:space="preserve">情境摘要（機隊 L＝Σ w × L_rel ÷ Σ w）</t>
  </si>
  <si>
    <t xml:space="preserve">情境</t>
  </si>
  <si>
    <t xml:space="preserve">名稱</t>
  </si>
  <si>
    <t xml:space="preserve">機隊 L</t>
  </si>
  <si>
    <r>
      <rPr>
        <b val="true"/>
        <sz val="11"/>
        <color rgb="FFFFFFFF"/>
        <rFont val="Cambria"/>
        <family val="0"/>
        <charset val="1"/>
      </rPr>
      <t xml:space="preserve">Tokenomics v21.3 </t>
    </r>
    <r>
      <rPr>
        <b val="true"/>
        <sz val="11"/>
        <color rgb="FFFFFFFF"/>
        <rFont val="Noto Sans CJK SC"/>
        <family val="2"/>
      </rPr>
      <t xml:space="preserve">原值</t>
    </r>
  </si>
  <si>
    <r>
      <rPr>
        <b val="true"/>
        <sz val="11"/>
        <color rgb="FFFFFFFF"/>
        <rFont val="Cambria"/>
        <family val="0"/>
        <charset val="1"/>
      </rPr>
      <t xml:space="preserve">Tokenomics </t>
    </r>
    <r>
      <rPr>
        <b val="true"/>
        <sz val="11"/>
        <color rgb="FFFFFFFF"/>
        <rFont val="Noto Sans CJK SC"/>
        <family val="2"/>
      </rPr>
      <t xml:space="preserve">名稱</t>
    </r>
  </si>
  <si>
    <r>
      <rPr>
        <sz val="11"/>
        <color theme="1"/>
        <rFont val="Calibri"/>
        <family val="2"/>
        <charset val="1"/>
      </rPr>
      <t xml:space="preserve">S1 </t>
    </r>
    <r>
      <rPr>
        <sz val="11"/>
        <color theme="1"/>
        <rFont val="Noto Sans CJK SC"/>
        <family val="2"/>
      </rPr>
      <t xml:space="preserve">只有跌價（</t>
    </r>
    <r>
      <rPr>
        <sz val="11"/>
        <color theme="1"/>
        <rFont val="Calibri"/>
        <family val="2"/>
        <charset val="1"/>
      </rPr>
      <t xml:space="preserve">2025</t>
    </r>
    <r>
      <rPr>
        <sz val="11"/>
        <color theme="1"/>
        <rFont val="Noto Sans CJK SC"/>
        <family val="2"/>
      </rPr>
      <t xml:space="preserve">＝第 </t>
    </r>
    <r>
      <rPr>
        <sz val="11"/>
        <color theme="1"/>
        <rFont val="Calibri"/>
        <family val="2"/>
        <charset val="1"/>
      </rPr>
      <t xml:space="preserve">0 </t>
    </r>
    <r>
      <rPr>
        <sz val="11"/>
        <color theme="1"/>
        <rFont val="Noto Sans CJK SC"/>
        <family val="2"/>
      </rPr>
      <t xml:space="preserve">年、不降級、不折現）</t>
    </r>
  </si>
  <si>
    <t xml:space="preserve">L_price</t>
  </si>
  <si>
    <t xml:space="preserve">L1_LPrice</t>
  </si>
  <si>
    <t xml:space="preserve">L_total</t>
  </si>
  <si>
    <t xml:space="preserve">L1_LTotal</t>
  </si>
  <si>
    <t xml:space="preserve">L_disc</t>
  </si>
  <si>
    <t xml:space="preserve">L1_LTotalDisc</t>
  </si>
  <si>
    <r>
      <rPr>
        <sz val="11"/>
        <color theme="1"/>
        <rFont val="Calibri"/>
        <family val="2"/>
        <charset val="1"/>
      </rPr>
      <t xml:space="preserve">S4 </t>
    </r>
    <r>
      <rPr>
        <sz val="11"/>
        <color theme="1"/>
        <rFont val="Noto Sans CJK SC"/>
        <family val="2"/>
      </rPr>
      <t xml:space="preserve">＋世代起點（主口徑）</t>
    </r>
  </si>
  <si>
    <t xml:space="preserve">L</t>
  </si>
  <si>
    <t xml:space="preserve">L1_LTotalFleetVDisc</t>
  </si>
  <si>
    <r>
      <rPr>
        <sz val="11"/>
        <color theme="1"/>
        <rFont val="Calibri"/>
        <family val="2"/>
        <charset val="1"/>
      </rPr>
      <t xml:space="preserve">S5 </t>
    </r>
    <r>
      <rPr>
        <sz val="11"/>
        <color theme="1"/>
        <rFont val="Noto Sans CJK SC"/>
        <family val="2"/>
      </rPr>
      <t xml:space="preserve">對照：世代起點、不折現（</t>
    </r>
    <r>
      <rPr>
        <sz val="11"/>
        <color theme="1"/>
        <rFont val="Calibri"/>
        <family val="2"/>
        <charset val="1"/>
      </rPr>
      <t xml:space="preserve">v16.0 </t>
    </r>
    <r>
      <rPr>
        <sz val="11"/>
        <color theme="1"/>
        <rFont val="Noto Sans CJK SC"/>
        <family val="2"/>
      </rPr>
      <t xml:space="preserve">口徑）</t>
    </r>
  </si>
  <si>
    <t xml:space="preserve">L_v16</t>
  </si>
  <si>
    <t xml:space="preserve">L1_LTotalFleetV</t>
  </si>
  <si>
    <r>
      <rPr>
        <sz val="11"/>
        <color theme="1"/>
        <rFont val="Calibri"/>
        <family val="2"/>
        <charset val="1"/>
      </rPr>
      <t xml:space="preserve">S6 </t>
    </r>
    <r>
      <rPr>
        <sz val="11"/>
        <color theme="1"/>
        <rFont val="Noto Sans CJK SC"/>
        <family val="2"/>
      </rPr>
      <t xml:space="preserve">低端組合</t>
    </r>
  </si>
  <si>
    <t xml:space="preserve">L_Lo</t>
  </si>
  <si>
    <t xml:space="preserve">L1_LTotalFleetVDisc_Lo</t>
  </si>
  <si>
    <r>
      <rPr>
        <sz val="11"/>
        <color theme="1"/>
        <rFont val="Calibri"/>
        <family val="2"/>
        <charset val="1"/>
      </rPr>
      <t xml:space="preserve">S7 </t>
    </r>
    <r>
      <rPr>
        <sz val="11"/>
        <color theme="1"/>
        <rFont val="Noto Sans CJK SC"/>
        <family val="2"/>
      </rPr>
      <t xml:space="preserve">高端組合</t>
    </r>
  </si>
  <si>
    <t xml:space="preserve">L_Hi</t>
  </si>
  <si>
    <t xml:space="preserve">L1_LTotalFleetVDisc_Hi</t>
  </si>
  <si>
    <t xml:space="preserve">世代</t>
  </si>
  <si>
    <r>
      <rPr>
        <b val="true"/>
        <sz val="11"/>
        <color rgb="FFFFFFFF"/>
        <rFont val="Cambria"/>
        <family val="0"/>
        <charset val="1"/>
      </rPr>
      <t xml:space="preserve">t0</t>
    </r>
    <r>
      <rPr>
        <b val="true"/>
        <sz val="11"/>
        <color rgb="FFFFFFFF"/>
        <rFont val="Noto Sans CJK SC"/>
        <family val="2"/>
      </rPr>
      <t xml:space="preserve">（錨點時已服務年數）</t>
    </r>
  </si>
  <si>
    <t xml:space="preserve">g</t>
  </si>
  <si>
    <t xml:space="preserve">g_pre</t>
  </si>
  <si>
    <t xml:space="preserve">T1</t>
  </si>
  <si>
    <t xml:space="preserve">ρ</t>
  </si>
  <si>
    <t xml:space="preserve">T</t>
  </si>
  <si>
    <t xml:space="preserve">折現率</t>
  </si>
  <si>
    <r>
      <rPr>
        <b val="true"/>
        <sz val="11"/>
        <color rgb="FFFFFFFF"/>
        <rFont val="Cambria"/>
        <family val="0"/>
        <charset val="1"/>
      </rPr>
      <t xml:space="preserve">k</t>
    </r>
    <r>
      <rPr>
        <b val="true"/>
        <sz val="11"/>
        <color rgb="FFFFFFFF"/>
        <rFont val="Noto Sans CJK SC"/>
        <family val="2"/>
      </rPr>
      <t xml:space="preserve">＝</t>
    </r>
    <r>
      <rPr>
        <b val="true"/>
        <sz val="11"/>
        <color rgb="FFFFFFFF"/>
        <rFont val="Cambria"/>
        <family val="0"/>
        <charset val="1"/>
      </rPr>
      <t xml:space="preserve">ln(1+g)</t>
    </r>
  </si>
  <si>
    <r>
      <rPr>
        <b val="true"/>
        <sz val="11"/>
        <color rgb="FFFFFFFF"/>
        <rFont val="Cambria"/>
        <family val="0"/>
        <charset val="1"/>
      </rPr>
      <t xml:space="preserve">k_pre</t>
    </r>
    <r>
      <rPr>
        <b val="true"/>
        <sz val="11"/>
        <color rgb="FFFFFFFF"/>
        <rFont val="Noto Sans CJK SC"/>
        <family val="2"/>
      </rPr>
      <t xml:space="preserve">＝</t>
    </r>
    <r>
      <rPr>
        <b val="true"/>
        <sz val="11"/>
        <color rgb="FFFFFFFF"/>
        <rFont val="Cambria"/>
        <family val="0"/>
        <charset val="1"/>
      </rPr>
      <t xml:space="preserve">ln(1+g_pre)</t>
    </r>
  </si>
  <si>
    <r>
      <rPr>
        <b val="true"/>
        <sz val="11"/>
        <color rgb="FFFFFFFF"/>
        <rFont val="Cambria"/>
        <family val="0"/>
        <charset val="1"/>
      </rPr>
      <t xml:space="preserve">δ</t>
    </r>
    <r>
      <rPr>
        <b val="true"/>
        <sz val="11"/>
        <color rgb="FFFFFFFF"/>
        <rFont val="Noto Sans CJK SC"/>
        <family val="2"/>
      </rPr>
      <t xml:space="preserve">＝</t>
    </r>
    <r>
      <rPr>
        <b val="true"/>
        <sz val="11"/>
        <color rgb="FFFFFFFF"/>
        <rFont val="Cambria"/>
        <family val="0"/>
        <charset val="1"/>
      </rPr>
      <t xml:space="preserve">ln(1+</t>
    </r>
    <r>
      <rPr>
        <b val="true"/>
        <sz val="11"/>
        <color rgb="FFFFFFFF"/>
        <rFont val="Noto Sans CJK SC"/>
        <family val="2"/>
      </rPr>
      <t xml:space="preserve">折現率</t>
    </r>
    <r>
      <rPr>
        <b val="true"/>
        <sz val="11"/>
        <color rgb="FFFFFFFF"/>
        <rFont val="Cambria"/>
        <family val="0"/>
        <charset val="1"/>
      </rPr>
      <t xml:space="preserve">)</t>
    </r>
  </si>
  <si>
    <t xml:space="preserve">段 1：錨點前</t>
  </si>
  <si>
    <t xml:space="preserve">段 2：中階服務</t>
  </si>
  <si>
    <t xml:space="preserve">段 3：降級後</t>
  </si>
  <si>
    <t xml:space="preserve">分母：∫e^(−δt)</t>
  </si>
  <si>
    <t xml:space="preserve">L_rel</t>
  </si>
  <si>
    <r>
      <rPr>
        <b val="true"/>
        <sz val="11"/>
        <color rgb="FFFFFFFF"/>
        <rFont val="Cambria"/>
        <family val="0"/>
        <charset val="1"/>
      </rPr>
      <t xml:space="preserve">2025 </t>
    </r>
    <r>
      <rPr>
        <b val="true"/>
        <sz val="11"/>
        <color rgb="FFFFFFFF"/>
        <rFont val="Noto Sans CJK SC"/>
        <family val="2"/>
      </rPr>
      <t xml:space="preserve">營收權重 </t>
    </r>
    <r>
      <rPr>
        <b val="true"/>
        <sz val="11"/>
        <color rgb="FFFFFFFF"/>
        <rFont val="Cambria"/>
        <family val="0"/>
        <charset val="1"/>
      </rPr>
      <t xml:space="preserve">w</t>
    </r>
  </si>
  <si>
    <t xml:space="preserve">Hopper</t>
  </si>
  <si>
    <t xml:space="preserve">GB200</t>
  </si>
  <si>
    <t xml:space="preserve">GB300</t>
  </si>
  <si>
    <t xml:space="preserve">VR200</t>
  </si>
  <si>
    <t xml:space="preserve">必須為真：單獨改一個變數（其餘維持基準；L 與所需 L 都用主口徑），機隊 L ÷ 所需 L 何時跨過 1。全部公式；格點的每一列都完整重算四個世代。</t>
  </si>
  <si>
    <t xml:space="preserve">格點：g</t>
  </si>
  <si>
    <r>
      <rPr>
        <b val="true"/>
        <sz val="11"/>
        <color rgb="FFFFFFFF"/>
        <rFont val="Cambria"/>
        <family val="0"/>
        <charset val="1"/>
      </rPr>
      <t xml:space="preserve">L ÷ </t>
    </r>
    <r>
      <rPr>
        <b val="true"/>
        <sz val="11"/>
        <color rgb="FFFFFFFF"/>
        <rFont val="Noto Sans CJK SC"/>
        <family val="2"/>
      </rPr>
      <t xml:space="preserve">所需 </t>
    </r>
    <r>
      <rPr>
        <b val="true"/>
        <sz val="11"/>
        <color rgb="FFFFFFFF"/>
        <rFont val="Cambria"/>
        <family val="0"/>
        <charset val="1"/>
      </rPr>
      <t xml:space="preserve">L</t>
    </r>
  </si>
  <si>
    <t xml:space="preserve">判讀</t>
  </si>
  <si>
    <t xml:space="preserve">損益兩平的 g（線性內插）</t>
  </si>
  <si>
    <t xml:space="preserve">損益兩平的 g（精確值）</t>
  </si>
  <si>
    <t xml:space="preserve">精確值另算：g −5.068%（2026-10-24 chat 端獨立核對以 Python 算；與上方內插 −5.07% 一致）</t>
  </si>
  <si>
    <t xml:space="preserve">註</t>
  </si>
  <si>
    <t xml:space="preserve">損益兩平 g 只動錨點後的 g，g_pre 固定 −9%（錨點前回推不變）</t>
  </si>
  <si>
    <t xml:space="preserve">（g 格點的逐世代計算）</t>
  </si>
  <si>
    <r>
      <rPr>
        <sz val="11"/>
        <color theme="1"/>
        <rFont val="Calibri"/>
        <family val="2"/>
        <charset val="1"/>
      </rPr>
      <t xml:space="preserve">g</t>
    </r>
    <r>
      <rPr>
        <sz val="11"/>
        <color theme="1"/>
        <rFont val="Noto Sans CJK SC"/>
        <family val="2"/>
      </rPr>
      <t xml:space="preserve">＝格點第 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列</t>
    </r>
  </si>
  <si>
    <r>
      <rPr>
        <sz val="11"/>
        <color theme="1"/>
        <rFont val="Calibri"/>
        <family val="2"/>
        <charset val="1"/>
      </rPr>
      <t xml:space="preserve">g</t>
    </r>
    <r>
      <rPr>
        <sz val="11"/>
        <color theme="1"/>
        <rFont val="Noto Sans CJK SC"/>
        <family val="2"/>
      </rPr>
      <t xml:space="preserve">＝格點第 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列</t>
    </r>
  </si>
  <si>
    <r>
      <rPr>
        <sz val="11"/>
        <color theme="1"/>
        <rFont val="Calibri"/>
        <family val="2"/>
        <charset val="1"/>
      </rPr>
      <t xml:space="preserve">g</t>
    </r>
    <r>
      <rPr>
        <sz val="11"/>
        <color theme="1"/>
        <rFont val="Noto Sans CJK SC"/>
        <family val="2"/>
      </rPr>
      <t xml:space="preserve">＝格點第 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列</t>
    </r>
  </si>
  <si>
    <r>
      <rPr>
        <sz val="11"/>
        <color theme="1"/>
        <rFont val="Calibri"/>
        <family val="2"/>
        <charset val="1"/>
      </rPr>
      <t xml:space="preserve">g</t>
    </r>
    <r>
      <rPr>
        <sz val="11"/>
        <color theme="1"/>
        <rFont val="Noto Sans CJK SC"/>
        <family val="2"/>
      </rPr>
      <t xml:space="preserve">＝格點第 </t>
    </r>
    <r>
      <rPr>
        <sz val="11"/>
        <color theme="1"/>
        <rFont val="Calibri"/>
        <family val="2"/>
        <charset val="1"/>
      </rPr>
      <t xml:space="preserve">4 </t>
    </r>
    <r>
      <rPr>
        <sz val="11"/>
        <color theme="1"/>
        <rFont val="Noto Sans CJK SC"/>
        <family val="2"/>
      </rPr>
      <t xml:space="preserve">列</t>
    </r>
  </si>
  <si>
    <r>
      <rPr>
        <sz val="11"/>
        <color theme="1"/>
        <rFont val="Calibri"/>
        <family val="2"/>
        <charset val="1"/>
      </rPr>
      <t xml:space="preserve">g</t>
    </r>
    <r>
      <rPr>
        <sz val="11"/>
        <color theme="1"/>
        <rFont val="Noto Sans CJK SC"/>
        <family val="2"/>
      </rPr>
      <t xml:space="preserve">＝格點第 </t>
    </r>
    <r>
      <rPr>
        <sz val="11"/>
        <color theme="1"/>
        <rFont val="Calibri"/>
        <family val="2"/>
        <charset val="1"/>
      </rPr>
      <t xml:space="preserve">5 </t>
    </r>
    <r>
      <rPr>
        <sz val="11"/>
        <color theme="1"/>
        <rFont val="Noto Sans CJK SC"/>
        <family val="2"/>
      </rPr>
      <t xml:space="preserve">列</t>
    </r>
  </si>
  <si>
    <r>
      <rPr>
        <sz val="11"/>
        <color theme="1"/>
        <rFont val="Calibri"/>
        <family val="2"/>
        <charset val="1"/>
      </rPr>
      <t xml:space="preserve">g</t>
    </r>
    <r>
      <rPr>
        <sz val="11"/>
        <color theme="1"/>
        <rFont val="Noto Sans CJK SC"/>
        <family val="2"/>
      </rPr>
      <t xml:space="preserve">＝格點第 </t>
    </r>
    <r>
      <rPr>
        <sz val="11"/>
        <color theme="1"/>
        <rFont val="Calibri"/>
        <family val="2"/>
        <charset val="1"/>
      </rPr>
      <t xml:space="preserve">6 </t>
    </r>
    <r>
      <rPr>
        <sz val="11"/>
        <color theme="1"/>
        <rFont val="Noto Sans CJK SC"/>
        <family val="2"/>
      </rPr>
      <t xml:space="preserve">列</t>
    </r>
  </si>
  <si>
    <r>
      <rPr>
        <sz val="11"/>
        <color theme="1"/>
        <rFont val="Calibri"/>
        <family val="2"/>
        <charset val="1"/>
      </rPr>
      <t xml:space="preserve">g</t>
    </r>
    <r>
      <rPr>
        <sz val="11"/>
        <color theme="1"/>
        <rFont val="Noto Sans CJK SC"/>
        <family val="2"/>
      </rPr>
      <t xml:space="preserve">＝格點第 </t>
    </r>
    <r>
      <rPr>
        <sz val="11"/>
        <color theme="1"/>
        <rFont val="Calibri"/>
        <family val="2"/>
        <charset val="1"/>
      </rPr>
      <t xml:space="preserve">7 </t>
    </r>
    <r>
      <rPr>
        <sz val="11"/>
        <color theme="1"/>
        <rFont val="Noto Sans CJK SC"/>
        <family val="2"/>
      </rPr>
      <t xml:space="preserve">列</t>
    </r>
  </si>
  <si>
    <r>
      <rPr>
        <sz val="11"/>
        <color theme="1"/>
        <rFont val="Calibri"/>
        <family val="2"/>
        <charset val="1"/>
      </rPr>
      <t xml:space="preserve">g</t>
    </r>
    <r>
      <rPr>
        <sz val="11"/>
        <color theme="1"/>
        <rFont val="Noto Sans CJK SC"/>
        <family val="2"/>
      </rPr>
      <t xml:space="preserve">＝格點第 </t>
    </r>
    <r>
      <rPr>
        <sz val="11"/>
        <color theme="1"/>
        <rFont val="Calibri"/>
        <family val="2"/>
        <charset val="1"/>
      </rPr>
      <t xml:space="preserve">8 </t>
    </r>
    <r>
      <rPr>
        <sz val="11"/>
        <color theme="1"/>
        <rFont val="Noto Sans CJK SC"/>
        <family val="2"/>
      </rPr>
      <t xml:space="preserve">列</t>
    </r>
  </si>
  <si>
    <r>
      <rPr>
        <sz val="11"/>
        <color theme="1"/>
        <rFont val="Calibri"/>
        <family val="2"/>
        <charset val="1"/>
      </rPr>
      <t xml:space="preserve">g</t>
    </r>
    <r>
      <rPr>
        <sz val="11"/>
        <color theme="1"/>
        <rFont val="Noto Sans CJK SC"/>
        <family val="2"/>
      </rPr>
      <t xml:space="preserve">＝格點第 </t>
    </r>
    <r>
      <rPr>
        <sz val="11"/>
        <color theme="1"/>
        <rFont val="Calibri"/>
        <family val="2"/>
        <charset val="1"/>
      </rPr>
      <t xml:space="preserve">9 </t>
    </r>
    <r>
      <rPr>
        <sz val="11"/>
        <color theme="1"/>
        <rFont val="Noto Sans CJK SC"/>
        <family val="2"/>
      </rPr>
      <t xml:space="preserve">列</t>
    </r>
  </si>
  <si>
    <r>
      <rPr>
        <sz val="11"/>
        <color theme="1"/>
        <rFont val="Calibri"/>
        <family val="2"/>
        <charset val="1"/>
      </rPr>
      <t xml:space="preserve">g</t>
    </r>
    <r>
      <rPr>
        <sz val="11"/>
        <color theme="1"/>
        <rFont val="Noto Sans CJK SC"/>
        <family val="2"/>
      </rPr>
      <t xml:space="preserve">＝格點第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列</t>
    </r>
  </si>
  <si>
    <r>
      <rPr>
        <sz val="11"/>
        <color theme="1"/>
        <rFont val="Calibri"/>
        <family val="2"/>
        <charset val="1"/>
      </rPr>
      <t xml:space="preserve">g</t>
    </r>
    <r>
      <rPr>
        <sz val="11"/>
        <color theme="1"/>
        <rFont val="Noto Sans CJK SC"/>
        <family val="2"/>
      </rPr>
      <t xml:space="preserve">＝格點第 </t>
    </r>
    <r>
      <rPr>
        <sz val="11"/>
        <color theme="1"/>
        <rFont val="Calibri"/>
        <family val="2"/>
        <charset val="1"/>
      </rPr>
      <t xml:space="preserve">11 </t>
    </r>
    <r>
      <rPr>
        <sz val="11"/>
        <color theme="1"/>
        <rFont val="Noto Sans CJK SC"/>
        <family val="2"/>
      </rPr>
      <t xml:space="preserve">列</t>
    </r>
  </si>
  <si>
    <r>
      <rPr>
        <sz val="11"/>
        <color theme="1"/>
        <rFont val="Calibri"/>
        <family val="2"/>
        <charset val="1"/>
      </rPr>
      <t xml:space="preserve">g</t>
    </r>
    <r>
      <rPr>
        <sz val="11"/>
        <color theme="1"/>
        <rFont val="Noto Sans CJK SC"/>
        <family val="2"/>
      </rPr>
      <t xml:space="preserve">＝格點第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列</t>
    </r>
  </si>
  <si>
    <r>
      <rPr>
        <sz val="11"/>
        <color theme="1"/>
        <rFont val="Calibri"/>
        <family val="2"/>
        <charset val="1"/>
      </rPr>
      <t xml:space="preserve">g</t>
    </r>
    <r>
      <rPr>
        <sz val="11"/>
        <color theme="1"/>
        <rFont val="Noto Sans CJK SC"/>
        <family val="2"/>
      </rPr>
      <t xml:space="preserve">＝格點第 </t>
    </r>
    <r>
      <rPr>
        <sz val="11"/>
        <color theme="1"/>
        <rFont val="Calibri"/>
        <family val="2"/>
        <charset val="1"/>
      </rPr>
      <t xml:space="preserve">13 </t>
    </r>
    <r>
      <rPr>
        <sz val="11"/>
        <color theme="1"/>
        <rFont val="Noto Sans CJK SC"/>
        <family val="2"/>
      </rPr>
      <t xml:space="preserve">列</t>
    </r>
  </si>
  <si>
    <t xml:space="preserve">格點：ρ</t>
  </si>
  <si>
    <t xml:space="preserve">損益兩平的 ρ（線性內插）</t>
  </si>
  <si>
    <t xml:space="preserve">（ρ 格點的逐世代計算）</t>
  </si>
  <si>
    <r>
      <rPr>
        <sz val="11"/>
        <color theme="1"/>
        <rFont val="Calibri"/>
        <family val="2"/>
        <charset val="1"/>
      </rPr>
      <t xml:space="preserve">ρ</t>
    </r>
    <r>
      <rPr>
        <sz val="11"/>
        <color theme="1"/>
        <rFont val="Noto Sans CJK SC"/>
        <family val="2"/>
      </rPr>
      <t xml:space="preserve">＝格點第 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列</t>
    </r>
  </si>
  <si>
    <r>
      <rPr>
        <sz val="11"/>
        <color theme="1"/>
        <rFont val="Calibri"/>
        <family val="2"/>
        <charset val="1"/>
      </rPr>
      <t xml:space="preserve">ρ</t>
    </r>
    <r>
      <rPr>
        <sz val="11"/>
        <color theme="1"/>
        <rFont val="Noto Sans CJK SC"/>
        <family val="2"/>
      </rPr>
      <t xml:space="preserve">＝格點第 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列</t>
    </r>
  </si>
  <si>
    <r>
      <rPr>
        <sz val="11"/>
        <color theme="1"/>
        <rFont val="Calibri"/>
        <family val="2"/>
        <charset val="1"/>
      </rPr>
      <t xml:space="preserve">ρ</t>
    </r>
    <r>
      <rPr>
        <sz val="11"/>
        <color theme="1"/>
        <rFont val="Noto Sans CJK SC"/>
        <family val="2"/>
      </rPr>
      <t xml:space="preserve">＝格點第 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列</t>
    </r>
  </si>
  <si>
    <r>
      <rPr>
        <sz val="11"/>
        <color theme="1"/>
        <rFont val="Calibri"/>
        <family val="2"/>
        <charset val="1"/>
      </rPr>
      <t xml:space="preserve">ρ</t>
    </r>
    <r>
      <rPr>
        <sz val="11"/>
        <color theme="1"/>
        <rFont val="Noto Sans CJK SC"/>
        <family val="2"/>
      </rPr>
      <t xml:space="preserve">＝格點第 </t>
    </r>
    <r>
      <rPr>
        <sz val="11"/>
        <color theme="1"/>
        <rFont val="Calibri"/>
        <family val="2"/>
        <charset val="1"/>
      </rPr>
      <t xml:space="preserve">4 </t>
    </r>
    <r>
      <rPr>
        <sz val="11"/>
        <color theme="1"/>
        <rFont val="Noto Sans CJK SC"/>
        <family val="2"/>
      </rPr>
      <t xml:space="preserve">列</t>
    </r>
  </si>
  <si>
    <r>
      <rPr>
        <sz val="11"/>
        <color theme="1"/>
        <rFont val="Calibri"/>
        <family val="2"/>
        <charset val="1"/>
      </rPr>
      <t xml:space="preserve">ρ</t>
    </r>
    <r>
      <rPr>
        <sz val="11"/>
        <color theme="1"/>
        <rFont val="Noto Sans CJK SC"/>
        <family val="2"/>
      </rPr>
      <t xml:space="preserve">＝格點第 </t>
    </r>
    <r>
      <rPr>
        <sz val="11"/>
        <color theme="1"/>
        <rFont val="Calibri"/>
        <family val="2"/>
        <charset val="1"/>
      </rPr>
      <t xml:space="preserve">5 </t>
    </r>
    <r>
      <rPr>
        <sz val="11"/>
        <color theme="1"/>
        <rFont val="Noto Sans CJK SC"/>
        <family val="2"/>
      </rPr>
      <t xml:space="preserve">列</t>
    </r>
  </si>
  <si>
    <r>
      <rPr>
        <sz val="11"/>
        <color theme="1"/>
        <rFont val="Calibri"/>
        <family val="2"/>
        <charset val="1"/>
      </rPr>
      <t xml:space="preserve">ρ</t>
    </r>
    <r>
      <rPr>
        <sz val="11"/>
        <color theme="1"/>
        <rFont val="Noto Sans CJK SC"/>
        <family val="2"/>
      </rPr>
      <t xml:space="preserve">＝格點第 </t>
    </r>
    <r>
      <rPr>
        <sz val="11"/>
        <color theme="1"/>
        <rFont val="Calibri"/>
        <family val="2"/>
        <charset val="1"/>
      </rPr>
      <t xml:space="preserve">6 </t>
    </r>
    <r>
      <rPr>
        <sz val="11"/>
        <color theme="1"/>
        <rFont val="Noto Sans CJK SC"/>
        <family val="2"/>
      </rPr>
      <t xml:space="preserve">列</t>
    </r>
  </si>
  <si>
    <r>
      <rPr>
        <sz val="11"/>
        <color theme="1"/>
        <rFont val="Calibri"/>
        <family val="2"/>
        <charset val="1"/>
      </rPr>
      <t xml:space="preserve">ρ</t>
    </r>
    <r>
      <rPr>
        <sz val="11"/>
        <color theme="1"/>
        <rFont val="Noto Sans CJK SC"/>
        <family val="2"/>
      </rPr>
      <t xml:space="preserve">＝格點第 </t>
    </r>
    <r>
      <rPr>
        <sz val="11"/>
        <color theme="1"/>
        <rFont val="Calibri"/>
        <family val="2"/>
        <charset val="1"/>
      </rPr>
      <t xml:space="preserve">7 </t>
    </r>
    <r>
      <rPr>
        <sz val="11"/>
        <color theme="1"/>
        <rFont val="Noto Sans CJK SC"/>
        <family val="2"/>
      </rPr>
      <t xml:space="preserve">列</t>
    </r>
  </si>
  <si>
    <r>
      <rPr>
        <sz val="11"/>
        <color theme="1"/>
        <rFont val="Calibri"/>
        <family val="2"/>
        <charset val="1"/>
      </rPr>
      <t xml:space="preserve">ρ</t>
    </r>
    <r>
      <rPr>
        <sz val="11"/>
        <color theme="1"/>
        <rFont val="Noto Sans CJK SC"/>
        <family val="2"/>
      </rPr>
      <t xml:space="preserve">＝格點第 </t>
    </r>
    <r>
      <rPr>
        <sz val="11"/>
        <color theme="1"/>
        <rFont val="Calibri"/>
        <family val="2"/>
        <charset val="1"/>
      </rPr>
      <t xml:space="preserve">8 </t>
    </r>
    <r>
      <rPr>
        <sz val="11"/>
        <color theme="1"/>
        <rFont val="Noto Sans CJK SC"/>
        <family val="2"/>
      </rPr>
      <t xml:space="preserve">列</t>
    </r>
  </si>
  <si>
    <r>
      <rPr>
        <sz val="11"/>
        <color theme="1"/>
        <rFont val="Calibri"/>
        <family val="2"/>
        <charset val="1"/>
      </rPr>
      <t xml:space="preserve">ρ</t>
    </r>
    <r>
      <rPr>
        <sz val="11"/>
        <color theme="1"/>
        <rFont val="Noto Sans CJK SC"/>
        <family val="2"/>
      </rPr>
      <t xml:space="preserve">＝格點第 </t>
    </r>
    <r>
      <rPr>
        <sz val="11"/>
        <color theme="1"/>
        <rFont val="Calibri"/>
        <family val="2"/>
        <charset val="1"/>
      </rPr>
      <t xml:space="preserve">9 </t>
    </r>
    <r>
      <rPr>
        <sz val="11"/>
        <color theme="1"/>
        <rFont val="Noto Sans CJK SC"/>
        <family val="2"/>
      </rPr>
      <t xml:space="preserve">列</t>
    </r>
  </si>
  <si>
    <r>
      <rPr>
        <sz val="11"/>
        <color theme="1"/>
        <rFont val="Calibri"/>
        <family val="2"/>
        <charset val="1"/>
      </rPr>
      <t xml:space="preserve">ρ</t>
    </r>
    <r>
      <rPr>
        <sz val="11"/>
        <color theme="1"/>
        <rFont val="Noto Sans CJK SC"/>
        <family val="2"/>
      </rPr>
      <t xml:space="preserve">＝格點第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列</t>
    </r>
  </si>
  <si>
    <t xml:space="preserve">格點：T1</t>
  </si>
  <si>
    <t xml:space="preserve">損益兩平的 T1（線性內插）</t>
  </si>
  <si>
    <t xml:space="preserve">損益兩平的 T1（精確值）</t>
  </si>
  <si>
    <t xml:space="preserve">精確值另算：T1 4.9525 年（2026-10-24 chat 端獨立核對以 Python 算）</t>
  </si>
  <si>
    <t xml:space="preserve">（T1 格點的逐世代計算）</t>
  </si>
  <si>
    <r>
      <rPr>
        <sz val="11"/>
        <color theme="1"/>
        <rFont val="Calibri"/>
        <family val="2"/>
        <charset val="1"/>
      </rPr>
      <t xml:space="preserve">T1</t>
    </r>
    <r>
      <rPr>
        <sz val="11"/>
        <color theme="1"/>
        <rFont val="Noto Sans CJK SC"/>
        <family val="2"/>
      </rPr>
      <t xml:space="preserve">＝格點第 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列</t>
    </r>
  </si>
  <si>
    <r>
      <rPr>
        <sz val="11"/>
        <color theme="1"/>
        <rFont val="Calibri"/>
        <family val="2"/>
        <charset val="1"/>
      </rPr>
      <t xml:space="preserve">T1</t>
    </r>
    <r>
      <rPr>
        <sz val="11"/>
        <color theme="1"/>
        <rFont val="Noto Sans CJK SC"/>
        <family val="2"/>
      </rPr>
      <t xml:space="preserve">＝格點第 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列</t>
    </r>
  </si>
  <si>
    <r>
      <rPr>
        <sz val="11"/>
        <color theme="1"/>
        <rFont val="Calibri"/>
        <family val="2"/>
        <charset val="1"/>
      </rPr>
      <t xml:space="preserve">T1</t>
    </r>
    <r>
      <rPr>
        <sz val="11"/>
        <color theme="1"/>
        <rFont val="Noto Sans CJK SC"/>
        <family val="2"/>
      </rPr>
      <t xml:space="preserve">＝格點第 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列</t>
    </r>
  </si>
  <si>
    <r>
      <rPr>
        <sz val="11"/>
        <color theme="1"/>
        <rFont val="Calibri"/>
        <family val="2"/>
        <charset val="1"/>
      </rPr>
      <t xml:space="preserve">T1</t>
    </r>
    <r>
      <rPr>
        <sz val="11"/>
        <color theme="1"/>
        <rFont val="Noto Sans CJK SC"/>
        <family val="2"/>
      </rPr>
      <t xml:space="preserve">＝格點第 </t>
    </r>
    <r>
      <rPr>
        <sz val="11"/>
        <color theme="1"/>
        <rFont val="Calibri"/>
        <family val="2"/>
        <charset val="1"/>
      </rPr>
      <t xml:space="preserve">4 </t>
    </r>
    <r>
      <rPr>
        <sz val="11"/>
        <color theme="1"/>
        <rFont val="Noto Sans CJK SC"/>
        <family val="2"/>
      </rPr>
      <t xml:space="preserve">列</t>
    </r>
  </si>
  <si>
    <r>
      <rPr>
        <sz val="11"/>
        <color theme="1"/>
        <rFont val="Calibri"/>
        <family val="2"/>
        <charset val="1"/>
      </rPr>
      <t xml:space="preserve">T1</t>
    </r>
    <r>
      <rPr>
        <sz val="11"/>
        <color theme="1"/>
        <rFont val="Noto Sans CJK SC"/>
        <family val="2"/>
      </rPr>
      <t xml:space="preserve">＝格點第 </t>
    </r>
    <r>
      <rPr>
        <sz val="11"/>
        <color theme="1"/>
        <rFont val="Calibri"/>
        <family val="2"/>
        <charset val="1"/>
      </rPr>
      <t xml:space="preserve">5 </t>
    </r>
    <r>
      <rPr>
        <sz val="11"/>
        <color theme="1"/>
        <rFont val="Noto Sans CJK SC"/>
        <family val="2"/>
      </rPr>
      <t xml:space="preserve">列</t>
    </r>
  </si>
  <si>
    <r>
      <rPr>
        <sz val="11"/>
        <color theme="1"/>
        <rFont val="Calibri"/>
        <family val="2"/>
        <charset val="1"/>
      </rPr>
      <t xml:space="preserve">T1</t>
    </r>
    <r>
      <rPr>
        <sz val="11"/>
        <color theme="1"/>
        <rFont val="Noto Sans CJK SC"/>
        <family val="2"/>
      </rPr>
      <t xml:space="preserve">＝格點第 </t>
    </r>
    <r>
      <rPr>
        <sz val="11"/>
        <color theme="1"/>
        <rFont val="Calibri"/>
        <family val="2"/>
        <charset val="1"/>
      </rPr>
      <t xml:space="preserve">6 </t>
    </r>
    <r>
      <rPr>
        <sz val="11"/>
        <color theme="1"/>
        <rFont val="Noto Sans CJK SC"/>
        <family val="2"/>
      </rPr>
      <t xml:space="preserve">列</t>
    </r>
  </si>
  <si>
    <r>
      <rPr>
        <sz val="11"/>
        <color theme="1"/>
        <rFont val="Calibri"/>
        <family val="2"/>
        <charset val="1"/>
      </rPr>
      <t xml:space="preserve">T1</t>
    </r>
    <r>
      <rPr>
        <sz val="11"/>
        <color theme="1"/>
        <rFont val="Noto Sans CJK SC"/>
        <family val="2"/>
      </rPr>
      <t xml:space="preserve">＝格點第 </t>
    </r>
    <r>
      <rPr>
        <sz val="11"/>
        <color theme="1"/>
        <rFont val="Calibri"/>
        <family val="2"/>
        <charset val="1"/>
      </rPr>
      <t xml:space="preserve">7 </t>
    </r>
    <r>
      <rPr>
        <sz val="11"/>
        <color theme="1"/>
        <rFont val="Noto Sans CJK SC"/>
        <family val="2"/>
      </rPr>
      <t xml:space="preserve">列</t>
    </r>
  </si>
  <si>
    <r>
      <rPr>
        <sz val="11"/>
        <color theme="1"/>
        <rFont val="Calibri"/>
        <family val="2"/>
        <charset val="1"/>
      </rPr>
      <t xml:space="preserve">T1</t>
    </r>
    <r>
      <rPr>
        <sz val="11"/>
        <color theme="1"/>
        <rFont val="Noto Sans CJK SC"/>
        <family val="2"/>
      </rPr>
      <t xml:space="preserve">＝格點第 </t>
    </r>
    <r>
      <rPr>
        <sz val="11"/>
        <color theme="1"/>
        <rFont val="Calibri"/>
        <family val="2"/>
        <charset val="1"/>
      </rPr>
      <t xml:space="preserve">8 </t>
    </r>
    <r>
      <rPr>
        <sz val="11"/>
        <color theme="1"/>
        <rFont val="Noto Sans CJK SC"/>
        <family val="2"/>
      </rPr>
      <t xml:space="preserve">列</t>
    </r>
  </si>
  <si>
    <r>
      <rPr>
        <sz val="11"/>
        <color theme="1"/>
        <rFont val="Calibri"/>
        <family val="2"/>
        <charset val="1"/>
      </rPr>
      <t xml:space="preserve">T1</t>
    </r>
    <r>
      <rPr>
        <sz val="11"/>
        <color theme="1"/>
        <rFont val="Noto Sans CJK SC"/>
        <family val="2"/>
      </rPr>
      <t xml:space="preserve">＝格點第 </t>
    </r>
    <r>
      <rPr>
        <sz val="11"/>
        <color theme="1"/>
        <rFont val="Calibri"/>
        <family val="2"/>
        <charset val="1"/>
      </rPr>
      <t xml:space="preserve">9 </t>
    </r>
    <r>
      <rPr>
        <sz val="11"/>
        <color theme="1"/>
        <rFont val="Noto Sans CJK SC"/>
        <family val="2"/>
      </rPr>
      <t xml:space="preserve">列</t>
    </r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</si>
</sst>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0.000%"/>
    <numFmt numFmtId="166" formatCode="0.000"/>
    <numFmt numFmtId="167" formatCode="0.00"/>
    <numFmt numFmtId="168" formatCode="\+0.000;\-0.000"/>
    <numFmt numFmtId="169" formatCode="0.0%"/>
    <numFmt numFmtId="170" formatCode="0%"/>
    <numFmt numFmtId="171" formatCode="0.0000"/>
    <numFmt numFmtId="172" formatCode="0.0"/>
  </numFmts>
  <fonts count="1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Cambria"/>
      <family val="0"/>
      <charset val="1"/>
    </font>
    <font>
      <b val="true"/>
      <sz val="14"/>
      <name val="Noto Sans CJK SC"/>
      <family val="2"/>
    </font>
    <font>
      <sz val="11"/>
      <color theme="1"/>
      <name val="Noto Sans CJK SC"/>
      <family val="2"/>
      <charset val="1"/>
    </font>
    <font>
      <b val="true"/>
      <sz val="11"/>
      <name val="Noto Sans CJK SC"/>
      <family val="2"/>
      <charset val="1"/>
    </font>
    <font>
      <sz val="11"/>
      <color theme="1"/>
      <name val="Noto Sans CJK SC"/>
      <family val="2"/>
    </font>
    <font>
      <b val="true"/>
      <sz val="15"/>
      <name val="Cambria"/>
      <family val="0"/>
      <charset val="1"/>
    </font>
    <font>
      <b val="true"/>
      <sz val="15"/>
      <name val="Noto Sans CJK SC"/>
      <family val="2"/>
    </font>
    <font>
      <b val="true"/>
      <sz val="11"/>
      <color rgb="FFFFFFFF"/>
      <name val="Noto Sans CJK SC"/>
      <family val="2"/>
      <charset val="1"/>
    </font>
    <font>
      <b val="true"/>
      <sz val="11"/>
      <color rgb="FFFFFFFF"/>
      <name val="Cambria"/>
      <family val="0"/>
      <charset val="1"/>
    </font>
    <font>
      <b val="true"/>
      <sz val="11"/>
      <color rgb="FFFFFFFF"/>
      <name val="Noto Sans CJK SC"/>
      <family val="2"/>
    </font>
    <font>
      <b val="true"/>
      <sz val="11"/>
      <name val="Cambria"/>
      <family val="0"/>
      <charset val="1"/>
    </font>
    <font>
      <sz val="11"/>
      <color rgb="FF008000"/>
      <name val="Cambria"/>
      <family val="0"/>
      <charset val="1"/>
    </font>
    <font>
      <b val="true"/>
      <sz val="11"/>
      <name val="Noto Sans CJK SC"/>
      <family val="2"/>
    </font>
    <font>
      <sz val="11"/>
      <color rgb="FF0000FF"/>
      <name val="Cambria"/>
      <family val="0"/>
      <charset val="1"/>
    </font>
    <font>
      <i val="true"/>
      <sz val="11"/>
      <color rgb="FF808080"/>
      <name val="Noto Sans CJK SC"/>
      <family val="2"/>
      <charset val="1"/>
    </font>
  </fonts>
  <fills count="7">
    <fill>
      <patternFill patternType="none"/>
    </fill>
    <fill>
      <patternFill patternType="gray125"/>
    </fill>
    <fill>
      <patternFill patternType="solid">
        <fgColor rgb="FF305496"/>
        <bgColor rgb="FF666699"/>
      </patternFill>
    </fill>
    <fill>
      <patternFill patternType="solid">
        <fgColor rgb="FFD9E1F2"/>
        <bgColor rgb="FFE2EFDA"/>
      </patternFill>
    </fill>
    <fill>
      <patternFill patternType="solid">
        <fgColor rgb="FFE2EFDA"/>
        <bgColor rgb="FFD9E1F2"/>
      </patternFill>
    </fill>
    <fill>
      <patternFill patternType="solid">
        <fgColor rgb="FFFFF2CC"/>
        <bgColor rgb="FFE2EFDA"/>
      </patternFill>
    </fill>
    <fill>
      <patternFill patternType="solid">
        <fgColor rgb="FFFFFF99"/>
        <bgColor rgb="FFFFF2CC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1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1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2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1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4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6" fontId="1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4" fillId="4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6" fontId="14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0" fillId="5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5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5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0" fillId="5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1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4" fillId="3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8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4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6" fontId="0" fillId="4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0" fillId="4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1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2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1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7" fillId="6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17" fillId="6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1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0" fillId="4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14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1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14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2" fontId="1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2" fontId="14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2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70AD47"/>
      <rgbColor rgb="FF003366"/>
      <rgbColor rgb="FF339966"/>
      <rgbColor rgb="FF003300"/>
      <rgbColor rgb="FF333300"/>
      <rgbColor rgb="FF993300"/>
      <rgbColor rgb="FF993366"/>
      <rgbColor rgb="FF30549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2" style="1" width="130"/>
  </cols>
  <sheetData>
    <row r="1" customFormat="false" ht="21" hidden="false" customHeight="true" outlineLevel="0" collapsed="false">
      <c r="B1" s="2" t="s">
        <v>0</v>
      </c>
    </row>
    <row r="2" customFormat="false" ht="32.25" hidden="false" customHeight="true" outlineLevel="0" collapsed="false">
      <c r="B2" s="3" t="s">
        <v>1</v>
      </c>
    </row>
    <row r="3" customFormat="false" ht="15" hidden="false" customHeight="true" outlineLevel="0" collapsed="false">
      <c r="B3" s="3"/>
    </row>
    <row r="4" customFormat="false" ht="16.5" hidden="false" customHeight="true" outlineLevel="0" collapsed="false">
      <c r="B4" s="4" t="s">
        <v>2</v>
      </c>
    </row>
    <row r="5" customFormat="false" ht="32.25" hidden="false" customHeight="true" outlineLevel="0" collapsed="false">
      <c r="B5" s="5" t="s">
        <v>3</v>
      </c>
    </row>
    <row r="6" customFormat="false" ht="16.5" hidden="false" customHeight="true" outlineLevel="0" collapsed="false">
      <c r="B6" s="5" t="s">
        <v>4</v>
      </c>
    </row>
    <row r="7" customFormat="false" ht="16.5" hidden="false" customHeight="true" outlineLevel="0" collapsed="false">
      <c r="B7" s="5" t="s">
        <v>5</v>
      </c>
    </row>
    <row r="8" customFormat="false" ht="16.5" hidden="false" customHeight="true" outlineLevel="0" collapsed="false">
      <c r="B8" s="5" t="s">
        <v>6</v>
      </c>
    </row>
    <row r="9" customFormat="false" ht="15" hidden="false" customHeight="true" outlineLevel="0" collapsed="false">
      <c r="B9" s="5"/>
    </row>
    <row r="10" customFormat="false" ht="16.5" hidden="false" customHeight="true" outlineLevel="0" collapsed="false">
      <c r="B10" s="4" t="s">
        <v>7</v>
      </c>
    </row>
    <row r="11" customFormat="false" ht="16.5" hidden="false" customHeight="true" outlineLevel="0" collapsed="false">
      <c r="B11" s="3" t="s">
        <v>8</v>
      </c>
    </row>
    <row r="12" customFormat="false" ht="15" hidden="false" customHeight="true" outlineLevel="0" collapsed="false">
      <c r="B12" s="5"/>
    </row>
    <row r="13" customFormat="false" ht="16.5" hidden="false" customHeight="true" outlineLevel="0" collapsed="false">
      <c r="B13" s="4" t="s">
        <v>9</v>
      </c>
    </row>
    <row r="14" customFormat="false" ht="16.5" hidden="false" customHeight="true" outlineLevel="0" collapsed="false">
      <c r="B14" s="5" t="s">
        <v>10</v>
      </c>
    </row>
    <row r="15" customFormat="false" ht="16.5" hidden="false" customHeight="true" outlineLevel="0" collapsed="false">
      <c r="B15" s="5" t="s">
        <v>11</v>
      </c>
    </row>
    <row r="16" customFormat="false" ht="16.5" hidden="false" customHeight="true" outlineLevel="0" collapsed="false">
      <c r="B16" s="5" t="s">
        <v>12</v>
      </c>
    </row>
    <row r="17" customFormat="false" ht="16.5" hidden="false" customHeight="true" outlineLevel="0" collapsed="false">
      <c r="B17" s="5" t="s">
        <v>13</v>
      </c>
    </row>
    <row r="18" customFormat="false" ht="16.5" hidden="false" customHeight="true" outlineLevel="0" collapsed="false">
      <c r="B18" s="5" t="s">
        <v>14</v>
      </c>
    </row>
    <row r="19" customFormat="false" ht="16.5" hidden="false" customHeight="true" outlineLevel="0" collapsed="false">
      <c r="B19" s="6" t="s">
        <v>15</v>
      </c>
    </row>
    <row r="20" customFormat="false" ht="16.5" hidden="false" customHeight="true" outlineLevel="0" collapsed="false">
      <c r="B20" s="6" t="s">
        <v>16</v>
      </c>
    </row>
    <row r="21" customFormat="false" ht="16.5" hidden="false" customHeight="true" outlineLevel="0" collapsed="false">
      <c r="A21" s="6" t="s">
        <v>17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0AD47"/>
    <pageSetUpPr fitToPage="false"/>
  </sheetPr>
  <dimension ref="A1:H8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7"/>
    <col collapsed="false" customWidth="true" hidden="false" outlineLevel="0" max="2" min="2" style="1" width="42"/>
    <col collapsed="false" customWidth="true" hidden="false" outlineLevel="0" max="3" min="3" style="1" width="14"/>
    <col collapsed="false" customWidth="true" hidden="false" outlineLevel="0" max="4" min="4" style="1" width="13"/>
    <col collapsed="false" customWidth="true" hidden="false" outlineLevel="0" max="5" min="5" style="1" width="64"/>
    <col collapsed="false" customWidth="true" hidden="false" outlineLevel="0" max="6" min="6" style="1" width="20"/>
    <col collapsed="false" customWidth="true" hidden="false" outlineLevel="0" max="7" min="7" style="1" width="16"/>
    <col collapsed="false" customWidth="true" hidden="false" outlineLevel="0" max="8" min="8" style="1" width="10"/>
  </cols>
  <sheetData>
    <row r="1" customFormat="false" ht="22.5" hidden="false" customHeight="true" outlineLevel="0" collapsed="false">
      <c r="A1" s="7" t="s">
        <v>18</v>
      </c>
    </row>
    <row r="2" customFormat="false" ht="16.5" hidden="false" customHeight="true" outlineLevel="0" collapsed="false">
      <c r="A2" s="6" t="s">
        <v>19</v>
      </c>
    </row>
    <row r="3" customFormat="false" ht="16.5" hidden="false" customHeight="true" outlineLevel="0" collapsed="false">
      <c r="A3" s="1" t="s">
        <v>20</v>
      </c>
    </row>
    <row r="5" customFormat="false" ht="16.5" hidden="false" customHeight="true" outlineLevel="0" collapsed="false">
      <c r="A5" s="8" t="s">
        <v>21</v>
      </c>
      <c r="B5" s="9" t="s">
        <v>22</v>
      </c>
      <c r="C5" s="8" t="s">
        <v>23</v>
      </c>
      <c r="D5" s="8" t="s">
        <v>24</v>
      </c>
      <c r="E5" s="9" t="s">
        <v>25</v>
      </c>
      <c r="F5" s="8" t="s">
        <v>26</v>
      </c>
      <c r="G5" s="10" t="s">
        <v>27</v>
      </c>
      <c r="H5" s="11" t="s">
        <v>28</v>
      </c>
    </row>
    <row r="6" customFormat="false" ht="32.25" hidden="false" customHeight="true" outlineLevel="0" collapsed="false">
      <c r="A6" s="12" t="s">
        <v>29</v>
      </c>
      <c r="B6" s="13" t="s">
        <v>30</v>
      </c>
      <c r="C6" s="12"/>
      <c r="D6" s="12"/>
      <c r="E6" s="13"/>
      <c r="F6" s="12"/>
      <c r="G6" s="12"/>
      <c r="H6" s="12"/>
    </row>
    <row r="7" customFormat="false" ht="16.5" hidden="false" customHeight="true" outlineLevel="0" collapsed="false">
      <c r="B7" s="5" t="s">
        <v>31</v>
      </c>
      <c r="C7" s="14" t="n">
        <f aca="false">LS_L</f>
        <v>0.758597367273996</v>
      </c>
      <c r="D7" s="6" t="s">
        <v>32</v>
      </c>
      <c r="E7" s="3" t="s">
        <v>33</v>
      </c>
      <c r="F7" s="1" t="s">
        <v>34</v>
      </c>
      <c r="G7" s="15" t="n">
        <v>0.758597367273996</v>
      </c>
      <c r="H7" s="16" t="n">
        <f aca="false">IF(ISNUMBER(C7),IF(G7=0,C7-G7,C7/G7-1),"—")</f>
        <v>0</v>
      </c>
    </row>
    <row r="8" customFormat="false" ht="16.5" hidden="false" customHeight="true" outlineLevel="0" collapsed="false">
      <c r="B8" s="3" t="s">
        <v>35</v>
      </c>
      <c r="C8" s="15" t="n">
        <f aca="false">IN_Hold/IN_Rev</f>
        <v>0.807078229832035</v>
      </c>
      <c r="D8" s="6" t="s">
        <v>32</v>
      </c>
      <c r="E8" s="3" t="s">
        <v>36</v>
      </c>
      <c r="F8" s="1" t="s">
        <v>34</v>
      </c>
      <c r="G8" s="15" t="n">
        <v>0.807078229832035</v>
      </c>
      <c r="H8" s="16" t="n">
        <f aca="false">IF(ISNUMBER(C8),IF(G8=0,C8-G8,C8/G8-1),"—")</f>
        <v>0</v>
      </c>
    </row>
    <row r="9" customFormat="false" ht="16.5" hidden="false" customHeight="true" outlineLevel="0" collapsed="false">
      <c r="A9" s="17"/>
      <c r="B9" s="18" t="s">
        <v>37</v>
      </c>
      <c r="C9" s="19" t="n">
        <f aca="false">C7/C8</f>
        <v>0.93993040480335</v>
      </c>
      <c r="D9" s="20" t="s">
        <v>32</v>
      </c>
      <c r="E9" s="21" t="s">
        <v>38</v>
      </c>
      <c r="F9" s="17" t="s">
        <v>34</v>
      </c>
      <c r="G9" s="17"/>
      <c r="H9" s="17"/>
    </row>
    <row r="10" customFormat="false" ht="16.5" hidden="false" customHeight="true" outlineLevel="0" collapsed="false">
      <c r="B10" s="3" t="s">
        <v>39</v>
      </c>
      <c r="C10" s="15" t="n">
        <f aca="false">IN_Rev*C7</f>
        <v>9.91486759027113</v>
      </c>
      <c r="D10" s="1" t="s">
        <v>40</v>
      </c>
      <c r="E10" s="3" t="s">
        <v>41</v>
      </c>
      <c r="F10" s="1" t="s">
        <v>34</v>
      </c>
    </row>
    <row r="11" customFormat="false" ht="16.5" hidden="false" customHeight="true" outlineLevel="0" collapsed="false">
      <c r="B11" s="3" t="s">
        <v>42</v>
      </c>
      <c r="C11" s="15" t="n">
        <f aca="false">IN_Hold</f>
        <v>10.5485124639047</v>
      </c>
      <c r="D11" s="1" t="s">
        <v>40</v>
      </c>
      <c r="E11" s="3" t="s">
        <v>43</v>
      </c>
      <c r="F11" s="1" t="s">
        <v>34</v>
      </c>
      <c r="G11" s="1" t="n">
        <v>10.5485124639047</v>
      </c>
      <c r="H11" s="1" t="n">
        <f aca="false">IF(ISNUMBER(C11),IF(G11=0,C11-G11,C11/G11-1),"—")</f>
        <v>0</v>
      </c>
    </row>
    <row r="12" customFormat="false" ht="16.5" hidden="false" customHeight="true" outlineLevel="0" collapsed="false">
      <c r="B12" s="5" t="s">
        <v>44</v>
      </c>
      <c r="C12" s="1" t="str">
        <f aca="false">TEXT(LS_L_Lo,"0.000")&amp;"–"&amp;TEXT(LS_L_Hi,"0.000")</f>
        <v>0.479–1.138</v>
      </c>
      <c r="E12" s="3" t="s">
        <v>45</v>
      </c>
      <c r="F12" s="1" t="s">
        <v>34</v>
      </c>
      <c r="G12" s="1" t="s">
        <v>46</v>
      </c>
      <c r="H12" s="16" t="n">
        <f aca="false">IF(C12=G12,0,"不同")</f>
        <v>0</v>
      </c>
    </row>
    <row r="13" customFormat="false" ht="16.5" hidden="false" customHeight="true" outlineLevel="0" collapsed="false">
      <c r="B13" s="3" t="s">
        <v>47</v>
      </c>
      <c r="C13" s="1" t="str">
        <f aca="false">TEXT(IN_Hold_Lo/IN_Rev,"0.000")&amp;"–"&amp;TEXT(IN_Hold_Hi/IN_Rev,"0.000")</f>
        <v>0.716–0.895</v>
      </c>
      <c r="E13" s="3" t="s">
        <v>48</v>
      </c>
      <c r="F13" s="1" t="s">
        <v>34</v>
      </c>
      <c r="G13" s="1" t="s">
        <v>49</v>
      </c>
      <c r="H13" s="16" t="n">
        <f aca="false">IF(C13=G13,0,"不同")</f>
        <v>0</v>
      </c>
    </row>
    <row r="14" customFormat="false" ht="16.5" hidden="false" customHeight="true" outlineLevel="0" collapsed="false">
      <c r="A14" s="22"/>
      <c r="B14" s="23" t="s">
        <v>50</v>
      </c>
      <c r="C14" s="24" t="str">
        <f aca="false">IF(AND(ISNUMBER(LS_L),ISNUMBER(LS_L_Lo),ISNUMBER(LS_L_Hi)),IF(LS_L_Hi&lt;IN_Hold_Lo/IN_Rev,"未回本（L 區間全在所需 L 之下）",IF(LS_L_Lo&gt;IN_Hold_Hi/IN_Rev,"回本（L 區間全在所需 L 之上）","未定（區間重疊；基準 L "&amp;TEXT(LS_L,"0.000")&amp;" 對所需 L "&amp;TEXT(LQ,"0.000")&amp;"）")),"所需 L 或 L 非數字（本情境）")</f>
        <v>未定（區間重疊；基準 L 0.759 對所需 L 0.807）</v>
      </c>
      <c r="D14" s="22"/>
      <c r="E14" s="25" t="s">
        <v>51</v>
      </c>
      <c r="F14" s="22" t="s">
        <v>34</v>
      </c>
      <c r="G14" s="26" t="s">
        <v>52</v>
      </c>
      <c r="H14" s="27" t="n">
        <f aca="false">IF(C14=G14,0,"不同")</f>
        <v>0</v>
      </c>
    </row>
    <row r="16" customFormat="false" ht="16.5" hidden="false" customHeight="true" outlineLevel="0" collapsed="false">
      <c r="A16" s="12" t="s">
        <v>53</v>
      </c>
      <c r="B16" s="13" t="s">
        <v>54</v>
      </c>
      <c r="C16" s="12"/>
      <c r="D16" s="12"/>
      <c r="E16" s="13"/>
      <c r="F16" s="12"/>
      <c r="G16" s="12"/>
      <c r="H16" s="12"/>
    </row>
    <row r="17" customFormat="false" ht="16.5" hidden="false" customHeight="true" outlineLevel="0" collapsed="false">
      <c r="B17" s="3" t="s">
        <v>55</v>
      </c>
      <c r="C17" s="28" t="n">
        <f aca="false">IN_Hold</f>
        <v>10.5485124639047</v>
      </c>
      <c r="D17" s="1" t="s">
        <v>40</v>
      </c>
      <c r="E17" s="3" t="s">
        <v>56</v>
      </c>
      <c r="F17" s="1" t="s">
        <v>34</v>
      </c>
      <c r="G17" s="29" t="n">
        <v>10.5485124639047</v>
      </c>
      <c r="H17" s="1" t="n">
        <f aca="false">IF(ISNUMBER(C17),IF(G17=0,C17-G17,C17/G17-1),"—")</f>
        <v>0</v>
      </c>
    </row>
    <row r="18" customFormat="false" ht="16.5" hidden="false" customHeight="true" outlineLevel="0" collapsed="false">
      <c r="B18" s="3" t="s">
        <v>57</v>
      </c>
      <c r="C18" s="28" t="n">
        <f aca="false">IN_Rev</f>
        <v>13.07</v>
      </c>
      <c r="D18" s="1" t="s">
        <v>58</v>
      </c>
      <c r="E18" s="5"/>
      <c r="F18" s="1" t="s">
        <v>59</v>
      </c>
      <c r="G18" s="29" t="n">
        <v>13.07</v>
      </c>
      <c r="H18" s="1" t="n">
        <f aca="false">IF(ISNUMBER(C18),IF(G18=0,C18-G18,C18/G18-1),"—")</f>
        <v>0</v>
      </c>
    </row>
    <row r="19" customFormat="false" ht="32.25" hidden="false" customHeight="true" outlineLevel="0" collapsed="false">
      <c r="B19" s="3" t="s">
        <v>60</v>
      </c>
      <c r="C19" s="15" t="n">
        <f aca="false">IN_Hold/IN_Rev</f>
        <v>0.807078229832035</v>
      </c>
      <c r="D19" s="6" t="s">
        <v>32</v>
      </c>
      <c r="E19" s="3" t="s">
        <v>61</v>
      </c>
      <c r="F19" s="1" t="s">
        <v>34</v>
      </c>
      <c r="G19" s="15" t="n">
        <v>0.807078229832035</v>
      </c>
      <c r="H19" s="1" t="n">
        <f aca="false">IF(ISNUMBER(C19),IF(G19=0,C19-G19,C19/G19-1),"—")</f>
        <v>0</v>
      </c>
    </row>
    <row r="20" customFormat="false" ht="16.5" hidden="false" customHeight="true" outlineLevel="0" collapsed="false">
      <c r="B20" s="3" t="s">
        <v>62</v>
      </c>
      <c r="C20" s="14" t="n">
        <f aca="false">IN_Hold_Lo/IN_Rev</f>
        <v>0.715617337265177</v>
      </c>
      <c r="D20" s="6" t="s">
        <v>32</v>
      </c>
      <c r="E20" s="3" t="s">
        <v>63</v>
      </c>
      <c r="F20" s="1" t="s">
        <v>34</v>
      </c>
      <c r="G20" s="15" t="n">
        <v>0.715617337265177</v>
      </c>
      <c r="H20" s="1" t="n">
        <f aca="false">IF(ISNUMBER(C20),IF(G20=0,C20-G20,C20/G20-1),"—")</f>
        <v>0</v>
      </c>
    </row>
    <row r="21" customFormat="false" ht="32.25" hidden="false" customHeight="true" outlineLevel="0" collapsed="false">
      <c r="B21" s="3" t="s">
        <v>64</v>
      </c>
      <c r="C21" s="14" t="n">
        <f aca="false">IN_Hold_Hi/IN_Rev</f>
        <v>0.894521671581469</v>
      </c>
      <c r="D21" s="6" t="s">
        <v>32</v>
      </c>
      <c r="E21" s="3" t="s">
        <v>65</v>
      </c>
      <c r="F21" s="1" t="s">
        <v>34</v>
      </c>
      <c r="G21" s="15" t="n">
        <v>0.894521671581471</v>
      </c>
      <c r="H21" s="1" t="n">
        <f aca="false">IF(ISNUMBER(C21),IF(G21=0,C21-G21,C21/G21-1),"—")</f>
        <v>0</v>
      </c>
    </row>
    <row r="23" customFormat="false" ht="32.25" hidden="false" customHeight="true" outlineLevel="0" collapsed="false">
      <c r="A23" s="12" t="s">
        <v>66</v>
      </c>
      <c r="B23" s="30" t="s">
        <v>67</v>
      </c>
      <c r="C23" s="12"/>
      <c r="D23" s="12"/>
      <c r="E23" s="13"/>
      <c r="F23" s="12"/>
      <c r="G23" s="12"/>
      <c r="H23" s="12"/>
    </row>
    <row r="24" customFormat="false" ht="32.25" hidden="false" customHeight="true" outlineLevel="0" collapsed="false">
      <c r="B24" s="3" t="s">
        <v>68</v>
      </c>
      <c r="E24" s="5"/>
      <c r="F24" s="1" t="s">
        <v>69</v>
      </c>
    </row>
    <row r="25" customFormat="false" ht="32.25" hidden="false" customHeight="true" outlineLevel="0" collapsed="false">
      <c r="B25" s="3" t="s">
        <v>70</v>
      </c>
      <c r="E25" s="5"/>
      <c r="F25" s="1" t="s">
        <v>34</v>
      </c>
    </row>
    <row r="26" customFormat="false" ht="32.25" hidden="false" customHeight="true" outlineLevel="0" collapsed="false">
      <c r="B26" s="3" t="s">
        <v>71</v>
      </c>
      <c r="E26" s="5"/>
      <c r="F26" s="1" t="s">
        <v>72</v>
      </c>
    </row>
    <row r="27" customFormat="false" ht="32.25" hidden="false" customHeight="true" outlineLevel="0" collapsed="false">
      <c r="B27" s="3" t="s">
        <v>73</v>
      </c>
      <c r="E27" s="5"/>
      <c r="F27" s="1" t="s">
        <v>69</v>
      </c>
    </row>
    <row r="29" customFormat="false" ht="16.5" hidden="false" customHeight="true" outlineLevel="0" collapsed="false">
      <c r="A29" s="12" t="s">
        <v>74</v>
      </c>
      <c r="B29" s="30" t="s">
        <v>75</v>
      </c>
      <c r="C29" s="12"/>
      <c r="D29" s="12"/>
      <c r="E29" s="13"/>
      <c r="F29" s="12"/>
      <c r="G29" s="12"/>
      <c r="H29" s="12"/>
    </row>
    <row r="30" customFormat="false" ht="32.25" hidden="false" customHeight="true" outlineLevel="0" collapsed="false">
      <c r="B30" s="5" t="s">
        <v>76</v>
      </c>
      <c r="C30" s="14" t="n">
        <f aca="false">LS_L_price</f>
        <v>0.763665278739318</v>
      </c>
      <c r="D30" s="6" t="s">
        <v>32</v>
      </c>
      <c r="E30" s="5" t="s">
        <v>77</v>
      </c>
      <c r="F30" s="1" t="s">
        <v>34</v>
      </c>
      <c r="G30" s="15" t="n">
        <v>0.763665278739318</v>
      </c>
      <c r="H30" s="16" t="n">
        <f aca="false">IF(ISNUMBER(C30),IF(G30=0,C30-G30,C30/G30-1),"—")</f>
        <v>0</v>
      </c>
    </row>
    <row r="31" customFormat="false" ht="16.5" hidden="false" customHeight="true" outlineLevel="0" collapsed="false">
      <c r="B31" s="5" t="s">
        <v>78</v>
      </c>
      <c r="C31" s="14" t="n">
        <f aca="false">LS_L_total</f>
        <v>0.659505673291396</v>
      </c>
      <c r="D31" s="6" t="s">
        <v>32</v>
      </c>
      <c r="E31" s="3" t="s">
        <v>79</v>
      </c>
      <c r="F31" s="1" t="s">
        <v>34</v>
      </c>
      <c r="G31" s="15" t="n">
        <v>0.659505673291395</v>
      </c>
      <c r="H31" s="16" t="n">
        <f aca="false">IF(ISNUMBER(C31),IF(G31=0,C31-G31,C31/G31-1),"—")</f>
        <v>0</v>
      </c>
    </row>
    <row r="32" customFormat="false" ht="16.5" hidden="false" customHeight="true" outlineLevel="0" collapsed="false">
      <c r="B32" s="3" t="s">
        <v>80</v>
      </c>
      <c r="C32" s="31" t="n">
        <f aca="false">C31-C30</f>
        <v>-0.104159605447923</v>
      </c>
      <c r="D32" s="6" t="s">
        <v>32</v>
      </c>
      <c r="E32" s="3" t="s">
        <v>81</v>
      </c>
      <c r="F32" s="1" t="s">
        <v>34</v>
      </c>
    </row>
    <row r="33" customFormat="false" ht="32.25" hidden="false" customHeight="true" outlineLevel="0" collapsed="false">
      <c r="B33" s="5" t="s">
        <v>82</v>
      </c>
      <c r="C33" s="14" t="n">
        <f aca="false">LS_L_disc</f>
        <v>0.698844526610524</v>
      </c>
      <c r="D33" s="6" t="s">
        <v>32</v>
      </c>
      <c r="E33" s="3" t="s">
        <v>83</v>
      </c>
      <c r="F33" s="1" t="s">
        <v>34</v>
      </c>
      <c r="G33" s="15" t="n">
        <v>0.698844526610524</v>
      </c>
      <c r="H33" s="16" t="n">
        <f aca="false">IF(ISNUMBER(C33),IF(G33=0,C33-G33,C33/G33-1),"—")</f>
        <v>0</v>
      </c>
    </row>
    <row r="34" customFormat="false" ht="16.5" hidden="false" customHeight="true" outlineLevel="0" collapsed="false">
      <c r="B34" s="3" t="s">
        <v>84</v>
      </c>
      <c r="C34" s="31" t="n">
        <f aca="false">C33-C31</f>
        <v>0.0393388533191289</v>
      </c>
      <c r="D34" s="6" t="s">
        <v>32</v>
      </c>
      <c r="E34" s="5"/>
      <c r="F34" s="1" t="s">
        <v>34</v>
      </c>
    </row>
    <row r="35" customFormat="false" ht="32.25" hidden="false" customHeight="true" outlineLevel="0" collapsed="false">
      <c r="A35" s="17"/>
      <c r="B35" s="18" t="s">
        <v>85</v>
      </c>
      <c r="C35" s="19" t="n">
        <f aca="false">LS_L</f>
        <v>0.758597367273996</v>
      </c>
      <c r="D35" s="20" t="s">
        <v>32</v>
      </c>
      <c r="E35" s="32" t="s">
        <v>86</v>
      </c>
      <c r="F35" s="17" t="s">
        <v>34</v>
      </c>
      <c r="G35" s="33" t="n">
        <v>0.758597367273996</v>
      </c>
      <c r="H35" s="34" t="n">
        <f aca="false">IF(ISNUMBER(C35),IF(G35=0,C35-G35,C35/G35-1),"—")</f>
        <v>0</v>
      </c>
    </row>
    <row r="36" customFormat="false" ht="16.5" hidden="false" customHeight="true" outlineLevel="0" collapsed="false">
      <c r="B36" s="3" t="s">
        <v>87</v>
      </c>
      <c r="C36" s="31" t="n">
        <f aca="false">C35-C33</f>
        <v>0.0597528406634716</v>
      </c>
      <c r="D36" s="6" t="s">
        <v>32</v>
      </c>
      <c r="E36" s="5"/>
      <c r="F36" s="1" t="s">
        <v>34</v>
      </c>
    </row>
    <row r="37" customFormat="false" ht="32.25" hidden="false" customHeight="true" outlineLevel="0" collapsed="false">
      <c r="B37" s="3" t="s">
        <v>88</v>
      </c>
      <c r="C37" s="14" t="n">
        <f aca="false">LS_L_v16</f>
        <v>0.715894950036491</v>
      </c>
      <c r="D37" s="6" t="s">
        <v>32</v>
      </c>
      <c r="E37" s="3" t="s">
        <v>89</v>
      </c>
      <c r="F37" s="1" t="s">
        <v>34</v>
      </c>
      <c r="G37" s="15" t="n">
        <v>0.715894950036491</v>
      </c>
      <c r="H37" s="16" t="n">
        <f aca="false">IF(ISNUMBER(C37),IF(G37=0,C37-G37,C37/G37-1),"—")</f>
        <v>0</v>
      </c>
    </row>
    <row r="39" customFormat="false" ht="16.5" hidden="false" customHeight="true" outlineLevel="0" collapsed="false">
      <c r="A39" s="12" t="s">
        <v>90</v>
      </c>
      <c r="B39" s="13" t="s">
        <v>91</v>
      </c>
      <c r="C39" s="12"/>
      <c r="D39" s="12"/>
      <c r="E39" s="13"/>
      <c r="F39" s="12"/>
      <c r="G39" s="12"/>
      <c r="H39" s="12"/>
    </row>
    <row r="40" customFormat="false" ht="16.5" hidden="false" customHeight="true" outlineLevel="0" collapsed="false">
      <c r="B40" s="5" t="s">
        <v>92</v>
      </c>
      <c r="C40" s="35" t="n">
        <f aca="false">3_L逐世代!R28/SUM(3_L逐世代!R28:R31)</f>
        <v>0.233633295451976</v>
      </c>
      <c r="D40" s="1" t="s">
        <v>93</v>
      </c>
      <c r="E40" s="3" t="s">
        <v>94</v>
      </c>
      <c r="F40" s="1" t="s">
        <v>34</v>
      </c>
    </row>
    <row r="41" customFormat="false" ht="16.5" hidden="false" customHeight="true" outlineLevel="0" collapsed="false">
      <c r="B41" s="5" t="s">
        <v>95</v>
      </c>
      <c r="C41" s="29" t="n">
        <f aca="false">3_L逐世代!C28</f>
        <v>2</v>
      </c>
      <c r="D41" s="6" t="s">
        <v>96</v>
      </c>
      <c r="E41" s="3" t="s">
        <v>97</v>
      </c>
      <c r="F41" s="1" t="s">
        <v>34</v>
      </c>
    </row>
    <row r="42" customFormat="false" ht="32.25" hidden="false" customHeight="true" outlineLevel="0" collapsed="false">
      <c r="B42" s="5" t="s">
        <v>98</v>
      </c>
      <c r="C42" s="15" t="n">
        <f aca="false">3_L逐世代!Q28</f>
        <v>0.843913206871784</v>
      </c>
      <c r="D42" s="6" t="s">
        <v>32</v>
      </c>
      <c r="E42" s="3" t="s">
        <v>99</v>
      </c>
      <c r="F42" s="1" t="s">
        <v>34</v>
      </c>
      <c r="G42" s="15" t="n">
        <v>0.843913206871784</v>
      </c>
      <c r="H42" s="16" t="n">
        <f aca="false">IF(ISNUMBER(C42),IF(G42=0,C42-G42,C42/G42-1),"—")</f>
        <v>0</v>
      </c>
    </row>
    <row r="43" customFormat="false" ht="32.25" hidden="false" customHeight="true" outlineLevel="0" collapsed="false">
      <c r="B43" s="5" t="s">
        <v>100</v>
      </c>
      <c r="C43" s="35" t="n">
        <f aca="false">3_L逐世代!R29/SUM(3_L逐世代!R28:R31)</f>
        <v>0.766366704548024</v>
      </c>
      <c r="D43" s="1" t="s">
        <v>93</v>
      </c>
      <c r="E43" s="3" t="s">
        <v>101</v>
      </c>
      <c r="F43" s="1" t="s">
        <v>34</v>
      </c>
    </row>
    <row r="44" customFormat="false" ht="16.5" hidden="false" customHeight="true" outlineLevel="0" collapsed="false">
      <c r="B44" s="5" t="s">
        <v>102</v>
      </c>
      <c r="C44" s="29" t="n">
        <f aca="false">3_L逐世代!C29</f>
        <v>0.5</v>
      </c>
      <c r="D44" s="6" t="s">
        <v>96</v>
      </c>
      <c r="E44" s="3" t="s">
        <v>97</v>
      </c>
      <c r="F44" s="1" t="s">
        <v>34</v>
      </c>
    </row>
    <row r="45" customFormat="false" ht="32.25" hidden="false" customHeight="true" outlineLevel="0" collapsed="false">
      <c r="B45" s="5" t="s">
        <v>103</v>
      </c>
      <c r="C45" s="15" t="n">
        <f aca="false">3_L逐世代!Q29</f>
        <v>0.73258812047192</v>
      </c>
      <c r="D45" s="6" t="s">
        <v>32</v>
      </c>
      <c r="E45" s="3" t="s">
        <v>104</v>
      </c>
      <c r="F45" s="1" t="s">
        <v>34</v>
      </c>
      <c r="G45" s="15" t="n">
        <v>0.73258812047192</v>
      </c>
      <c r="H45" s="16" t="n">
        <f aca="false">IF(ISNUMBER(C45),IF(G45=0,C45-G45,C45/G45-1),"—")</f>
        <v>0</v>
      </c>
    </row>
    <row r="46" customFormat="false" ht="16.5" hidden="false" customHeight="true" outlineLevel="0" collapsed="false">
      <c r="B46" s="5" t="s">
        <v>105</v>
      </c>
      <c r="C46" s="1" t="s">
        <v>106</v>
      </c>
      <c r="E46" s="5" t="s">
        <v>107</v>
      </c>
      <c r="F46" s="1" t="s">
        <v>106</v>
      </c>
    </row>
    <row r="48" customFormat="false" ht="32.25" hidden="false" customHeight="true" outlineLevel="0" collapsed="false">
      <c r="A48" s="12" t="s">
        <v>108</v>
      </c>
      <c r="B48" s="13" t="s">
        <v>109</v>
      </c>
      <c r="C48" s="12"/>
      <c r="D48" s="12"/>
      <c r="E48" s="13"/>
      <c r="F48" s="12"/>
      <c r="G48" s="12"/>
      <c r="H48" s="12"/>
    </row>
    <row r="49" customFormat="false" ht="32.25" hidden="false" customHeight="true" outlineLevel="0" collapsed="false">
      <c r="B49" s="5" t="s">
        <v>110</v>
      </c>
      <c r="C49" s="35" t="n">
        <f aca="false">3_L逐世代!M28/(3_L逐世代!M28+3_L逐世代!N28+3_L逐世代!O28)</f>
        <v>0.521222004616021</v>
      </c>
      <c r="D49" s="1" t="s">
        <v>93</v>
      </c>
      <c r="E49" s="3" t="s">
        <v>111</v>
      </c>
      <c r="F49" s="1" t="s">
        <v>34</v>
      </c>
    </row>
    <row r="50" customFormat="false" ht="16.5" hidden="false" customHeight="true" outlineLevel="0" collapsed="false">
      <c r="B50" s="5" t="s">
        <v>112</v>
      </c>
      <c r="C50" s="35" t="n">
        <f aca="false">3_L逐世代!N28/(3_L逐世代!M28+3_L逐世代!N28+3_L逐世代!O28)</f>
        <v>0.35671400167151</v>
      </c>
      <c r="D50" s="1" t="s">
        <v>93</v>
      </c>
      <c r="E50" s="3" t="s">
        <v>113</v>
      </c>
      <c r="F50" s="1" t="s">
        <v>34</v>
      </c>
    </row>
    <row r="51" customFormat="false" ht="32.25" hidden="false" customHeight="true" outlineLevel="0" collapsed="false">
      <c r="B51" s="5" t="s">
        <v>114</v>
      </c>
      <c r="C51" s="35" t="n">
        <f aca="false">3_L逐世代!O28/(3_L逐世代!M28+3_L逐世代!N28+3_L逐世代!O28)</f>
        <v>0.12206399371247</v>
      </c>
      <c r="D51" s="1" t="s">
        <v>93</v>
      </c>
      <c r="E51" s="5" t="s">
        <v>115</v>
      </c>
      <c r="F51" s="1" t="s">
        <v>34</v>
      </c>
    </row>
    <row r="52" customFormat="false" ht="32.25" hidden="false" customHeight="true" outlineLevel="0" collapsed="false">
      <c r="B52" s="5" t="s">
        <v>116</v>
      </c>
      <c r="C52" s="35" t="n">
        <f aca="false">3_L逐世代!M29/(3_L逐世代!M29+3_L逐世代!N29+3_L逐世代!O29)</f>
        <v>0.149378947466451</v>
      </c>
      <c r="D52" s="1" t="s">
        <v>93</v>
      </c>
      <c r="E52" s="3" t="s">
        <v>111</v>
      </c>
      <c r="F52" s="1" t="s">
        <v>34</v>
      </c>
    </row>
    <row r="53" customFormat="false" ht="16.5" hidden="false" customHeight="true" outlineLevel="0" collapsed="false">
      <c r="B53" s="5" t="s">
        <v>117</v>
      </c>
      <c r="C53" s="35" t="n">
        <f aca="false">3_L逐世代!N29/(3_L逐世代!M29+3_L逐世代!N29+3_L逐世代!O29)</f>
        <v>0.72855705882108</v>
      </c>
      <c r="D53" s="1" t="s">
        <v>93</v>
      </c>
      <c r="E53" s="3" t="s">
        <v>113</v>
      </c>
      <c r="F53" s="1" t="s">
        <v>34</v>
      </c>
    </row>
    <row r="54" customFormat="false" ht="32.25" hidden="false" customHeight="true" outlineLevel="0" collapsed="false">
      <c r="B54" s="5" t="s">
        <v>118</v>
      </c>
      <c r="C54" s="35" t="n">
        <f aca="false">3_L逐世代!O29/(3_L逐世代!M29+3_L逐世代!N29+3_L逐世代!O29)</f>
        <v>0.12206399371247</v>
      </c>
      <c r="D54" s="1" t="s">
        <v>93</v>
      </c>
      <c r="E54" s="5" t="s">
        <v>115</v>
      </c>
      <c r="F54" s="1" t="s">
        <v>34</v>
      </c>
    </row>
    <row r="56" customFormat="false" ht="16.5" hidden="false" customHeight="true" outlineLevel="0" collapsed="false">
      <c r="A56" s="12" t="s">
        <v>119</v>
      </c>
      <c r="B56" s="13" t="s">
        <v>120</v>
      </c>
      <c r="C56" s="12"/>
      <c r="D56" s="12"/>
      <c r="E56" s="13"/>
      <c r="F56" s="12"/>
      <c r="G56" s="12"/>
      <c r="H56" s="12"/>
    </row>
    <row r="57" customFormat="false" ht="32.25" hidden="false" customHeight="true" outlineLevel="0" collapsed="false">
      <c r="B57" s="3" t="s">
        <v>121</v>
      </c>
      <c r="E57" s="5"/>
    </row>
    <row r="58" customFormat="false" ht="61.5" hidden="false" customHeight="true" outlineLevel="0" collapsed="false">
      <c r="B58" s="5" t="s">
        <v>122</v>
      </c>
      <c r="E58" s="5"/>
    </row>
    <row r="59" customFormat="false" ht="63.75" hidden="false" customHeight="true" outlineLevel="0" collapsed="false">
      <c r="B59" s="5" t="s">
        <v>123</v>
      </c>
      <c r="E59" s="5"/>
    </row>
    <row r="61" customFormat="false" ht="32.25" hidden="false" customHeight="true" outlineLevel="0" collapsed="false">
      <c r="A61" s="22" t="s">
        <v>124</v>
      </c>
      <c r="B61" s="23" t="s">
        <v>125</v>
      </c>
      <c r="C61" s="24"/>
      <c r="D61" s="22"/>
      <c r="E61" s="25"/>
      <c r="F61" s="22"/>
      <c r="G61" s="22"/>
      <c r="H61" s="22"/>
    </row>
    <row r="62" customFormat="false" ht="16.5" hidden="false" customHeight="true" outlineLevel="0" collapsed="false">
      <c r="B62" s="3" t="s">
        <v>126</v>
      </c>
      <c r="C62" s="35" t="n">
        <f aca="false">4_必須為真!B18</f>
        <v>-0.0506999309058455</v>
      </c>
      <c r="D62" s="1" t="s">
        <v>127</v>
      </c>
      <c r="E62" s="3" t="s">
        <v>128</v>
      </c>
      <c r="F62" s="1" t="s">
        <v>34</v>
      </c>
    </row>
    <row r="63" customFormat="false" ht="16.5" hidden="false" customHeight="true" outlineLevel="0" collapsed="false">
      <c r="B63" s="3" t="s">
        <v>129</v>
      </c>
      <c r="C63" s="15" t="n">
        <f aca="false">4_必須為真!B90</f>
        <v>0.761782997424852</v>
      </c>
      <c r="D63" s="6" t="s">
        <v>32</v>
      </c>
      <c r="E63" s="3" t="s">
        <v>130</v>
      </c>
      <c r="F63" s="1" t="s">
        <v>34</v>
      </c>
    </row>
    <row r="64" customFormat="false" ht="16.5" hidden="false" customHeight="true" outlineLevel="0" collapsed="false">
      <c r="B64" s="3" t="s">
        <v>131</v>
      </c>
      <c r="C64" s="29" t="n">
        <f aca="false">4_必須為真!B149</f>
        <v>4.95454465564605</v>
      </c>
      <c r="D64" s="6" t="s">
        <v>96</v>
      </c>
      <c r="E64" s="3" t="s">
        <v>132</v>
      </c>
      <c r="F64" s="1" t="s">
        <v>34</v>
      </c>
    </row>
    <row r="65" customFormat="false" ht="16.5" hidden="false" customHeight="true" outlineLevel="0" collapsed="false">
      <c r="B65" s="3" t="s">
        <v>133</v>
      </c>
      <c r="C65" s="29" t="n">
        <f aca="false">C7*IN_Rev</f>
        <v>9.91486759027113</v>
      </c>
      <c r="D65" s="1" t="s">
        <v>40</v>
      </c>
      <c r="E65" s="3" t="s">
        <v>134</v>
      </c>
      <c r="F65" s="1" t="s">
        <v>34</v>
      </c>
    </row>
    <row r="66" customFormat="false" ht="16.5" hidden="false" customHeight="true" outlineLevel="0" collapsed="false">
      <c r="B66" s="3" t="s">
        <v>135</v>
      </c>
      <c r="C66" s="15" t="n">
        <f aca="false">IN_Hold/C7</f>
        <v>13.9052848308854</v>
      </c>
      <c r="D66" s="6" t="s">
        <v>58</v>
      </c>
      <c r="E66" s="3" t="s">
        <v>136</v>
      </c>
      <c r="F66" s="1" t="s">
        <v>34</v>
      </c>
    </row>
    <row r="67" customFormat="false" ht="48" hidden="false" customHeight="true" outlineLevel="0" collapsed="false">
      <c r="B67" s="3" t="s">
        <v>137</v>
      </c>
      <c r="E67" s="3" t="str">
        <f aca="false">"基準下 L 為所需 L 的 "&amp;TEXT(C9,"0.0%")&amp;"；L 區間 "&amp;C12&amp;" 與所需 L 區間 "&amp;C13&amp;IF(LEFT(C14,2)="未定"," 重疊，所以結論是「未定」。基準本身就接近線，任何一個變數往不利方向小幅移動就可能翻轉。",IF(LEFT(C14,3)="未回本"," 不重疊，L 區間全在所需 L 之下，結論是「未回本」。"," 不重疊，L 區間全在所需 L 之上，結論是「回本」。"))</f>
        <v>基準下 L 為所需 L 的 94.0%；L 區間 0.479–1.138 與所需 L 區間 0.716–0.895 重疊，所以結論是「未定」。基準本身就接近線，任何一個變數往不利方向小幅移動就可能翻轉。</v>
      </c>
      <c r="F67" s="1" t="s">
        <v>106</v>
      </c>
    </row>
    <row r="69" customFormat="false" ht="48" hidden="false" customHeight="true" outlineLevel="0" collapsed="false">
      <c r="A69" s="22" t="s">
        <v>138</v>
      </c>
      <c r="B69" s="23" t="s">
        <v>139</v>
      </c>
      <c r="C69" s="24"/>
      <c r="D69" s="22"/>
      <c r="E69" s="25"/>
      <c r="F69" s="22"/>
      <c r="G69" s="22"/>
      <c r="H69" s="22"/>
    </row>
    <row r="70" customFormat="false" ht="32.25" hidden="false" customHeight="true" outlineLevel="0" collapsed="false">
      <c r="B70" s="3" t="s">
        <v>140</v>
      </c>
      <c r="C70" s="36" t="n">
        <f aca="false">IN_SubShare+IN_SeatShare</f>
        <v>0.8</v>
      </c>
      <c r="D70" s="1" t="s">
        <v>93</v>
      </c>
      <c r="E70" s="5" t="s">
        <v>141</v>
      </c>
      <c r="F70" s="1" t="s">
        <v>142</v>
      </c>
      <c r="G70" s="37" t="n">
        <v>0.8</v>
      </c>
      <c r="H70" s="16" t="n">
        <f aca="false">IF(ISNUMBER(C70),IF(G70=0,C70-G70,C70/G70-1),"—")</f>
        <v>0</v>
      </c>
    </row>
    <row r="71" customFormat="false" ht="32.25" hidden="false" customHeight="true" outlineLevel="0" collapsed="false">
      <c r="B71" s="3" t="s">
        <v>143</v>
      </c>
      <c r="C71" s="15" t="n">
        <f aca="false">C7</f>
        <v>0.758597367273996</v>
      </c>
      <c r="D71" s="6" t="s">
        <v>32</v>
      </c>
      <c r="E71" s="5" t="s">
        <v>144</v>
      </c>
      <c r="F71" s="1" t="s">
        <v>34</v>
      </c>
    </row>
    <row r="72" customFormat="false" ht="32.25" hidden="false" customHeight="true" outlineLevel="0" collapsed="false">
      <c r="B72" s="3" t="s">
        <v>145</v>
      </c>
      <c r="C72" s="15" t="n">
        <f aca="false">C70*1+(1-C70)*C7</f>
        <v>0.951719473454799</v>
      </c>
      <c r="D72" s="6" t="s">
        <v>32</v>
      </c>
      <c r="E72" s="3" t="s">
        <v>146</v>
      </c>
      <c r="F72" s="1" t="s">
        <v>147</v>
      </c>
    </row>
    <row r="73" customFormat="false" ht="32.25" hidden="false" customHeight="true" outlineLevel="0" collapsed="false">
      <c r="B73" s="3" t="s">
        <v>148</v>
      </c>
      <c r="C73" s="15" t="n">
        <f aca="false">C72/C8</f>
        <v>1.17921589045075</v>
      </c>
      <c r="D73" s="6" t="s">
        <v>32</v>
      </c>
      <c r="E73" s="3" t="s">
        <v>149</v>
      </c>
      <c r="F73" s="1" t="s">
        <v>147</v>
      </c>
    </row>
    <row r="75" customFormat="false" ht="16.5" hidden="false" customHeight="true" outlineLevel="0" collapsed="false">
      <c r="A75" s="38" t="s">
        <v>150</v>
      </c>
      <c r="B75" s="13" t="s">
        <v>151</v>
      </c>
      <c r="C75" s="38"/>
      <c r="D75" s="38"/>
      <c r="E75" s="13"/>
      <c r="F75" s="38"/>
      <c r="G75" s="38"/>
      <c r="H75" s="38"/>
    </row>
    <row r="76" customFormat="false" ht="16.5" hidden="false" customHeight="true" outlineLevel="0" collapsed="false">
      <c r="B76" s="3" t="s">
        <v>152</v>
      </c>
      <c r="C76" s="28" t="n">
        <f aca="false">IN_Spend</f>
        <v>8.4</v>
      </c>
      <c r="D76" s="1" t="s">
        <v>58</v>
      </c>
      <c r="E76" s="5" t="s">
        <v>153</v>
      </c>
      <c r="F76" s="1" t="s">
        <v>154</v>
      </c>
      <c r="G76" s="29" t="n">
        <v>8.4</v>
      </c>
      <c r="H76" s="1" t="n">
        <f aca="false">IF(ISNUMBER(C76),IF(G76=0,C76-G76,C76/G76-1),"—")</f>
        <v>0</v>
      </c>
    </row>
    <row r="77" customFormat="false" ht="16.5" hidden="false" customHeight="true" outlineLevel="0" collapsed="false">
      <c r="B77" s="3" t="s">
        <v>155</v>
      </c>
      <c r="C77" s="28" t="n">
        <f aca="false">IN_SB</f>
        <v>1.8</v>
      </c>
      <c r="D77" s="6" t="s">
        <v>32</v>
      </c>
      <c r="E77" s="3" t="s">
        <v>156</v>
      </c>
      <c r="F77" s="1" t="s">
        <v>34</v>
      </c>
      <c r="G77" s="29" t="n">
        <v>1.8</v>
      </c>
      <c r="H77" s="1" t="n">
        <f aca="false">IF(ISNUMBER(C77),IF(G77=0,C77-G77,C77/G77-1),"—")</f>
        <v>0</v>
      </c>
    </row>
    <row r="78" customFormat="false" ht="16.5" hidden="false" customHeight="true" outlineLevel="0" collapsed="false">
      <c r="B78" s="3" t="s">
        <v>157</v>
      </c>
      <c r="C78" s="28" t="n">
        <f aca="false">IN_Spend/IN_SB</f>
        <v>4.66666666666667</v>
      </c>
      <c r="D78" s="1" t="s">
        <v>40</v>
      </c>
      <c r="E78" s="3" t="s">
        <v>158</v>
      </c>
      <c r="F78" s="1" t="s">
        <v>34</v>
      </c>
      <c r="G78" s="29"/>
    </row>
    <row r="79" customFormat="false" ht="45.75" hidden="false" customHeight="true" outlineLevel="0" collapsed="false">
      <c r="B79" s="3" t="s">
        <v>159</v>
      </c>
      <c r="C79" s="14" t="n">
        <f aca="false">IN_Spend/IN_SB/IN_Rev</f>
        <v>0.357051772507014</v>
      </c>
      <c r="D79" s="6" t="s">
        <v>32</v>
      </c>
      <c r="E79" s="5" t="s">
        <v>160</v>
      </c>
      <c r="F79" s="1" t="s">
        <v>34</v>
      </c>
      <c r="G79" s="15" t="n">
        <v>0.357051772507014</v>
      </c>
      <c r="H79" s="1" t="n">
        <f aca="false">IF(ISNUMBER(C79),IF(G79=0,C79-G79,C79/G79-1),"—")</f>
        <v>0</v>
      </c>
    </row>
    <row r="80" customFormat="false" ht="16.5" hidden="false" customHeight="true" outlineLevel="0" collapsed="false">
      <c r="B80" s="3" t="s">
        <v>161</v>
      </c>
      <c r="C80" s="39" t="str">
        <f aca="false">TEXT(IN_Spend_Lo/IN_SB_Lo/IN_Rev,"0.000")&amp;"–"&amp;TEXT(IN_Spend_Hi/IN_SB_Hi/IN_Rev,"0.000")</f>
        <v>0.249–0.792</v>
      </c>
      <c r="E80" s="3" t="s">
        <v>162</v>
      </c>
      <c r="F80" s="1" t="s">
        <v>34</v>
      </c>
      <c r="G80" s="1" t="s">
        <v>163</v>
      </c>
      <c r="H80" s="1" t="n">
        <f aca="false">IF(C80=G80,0,"不同")</f>
        <v>0</v>
      </c>
    </row>
    <row r="81" customFormat="false" ht="32.25" hidden="false" customHeight="true" outlineLevel="0" collapsed="false">
      <c r="B81" s="3" t="s">
        <v>164</v>
      </c>
      <c r="C81" s="14" t="n">
        <f aca="false">IN_Spend/(C7*IN_Rev)</f>
        <v>0.847212524375255</v>
      </c>
      <c r="D81" s="6" t="s">
        <v>32</v>
      </c>
      <c r="E81" s="3" t="s">
        <v>165</v>
      </c>
      <c r="F81" s="1" t="s">
        <v>34</v>
      </c>
      <c r="G81" s="15"/>
    </row>
    <row r="82" customFormat="false" ht="15" hidden="false" customHeight="true" outlineLevel="0" collapsed="false">
      <c r="B82" s="3"/>
      <c r="C82" s="28"/>
      <c r="E82" s="5"/>
      <c r="G82" s="29"/>
    </row>
    <row r="83" customFormat="false" ht="16.5" hidden="false" customHeight="true" outlineLevel="0" collapsed="false">
      <c r="A83" s="38" t="s">
        <v>166</v>
      </c>
      <c r="B83" s="13" t="s">
        <v>167</v>
      </c>
      <c r="C83" s="38"/>
      <c r="D83" s="38"/>
      <c r="E83" s="13"/>
      <c r="F83" s="38"/>
      <c r="G83" s="38"/>
      <c r="H83" s="38"/>
    </row>
    <row r="84" customFormat="false" ht="16.5" hidden="false" customHeight="true" outlineLevel="0" collapsed="false">
      <c r="B84" s="5" t="s">
        <v>168</v>
      </c>
      <c r="E84" s="5"/>
    </row>
    <row r="85" customFormat="false" ht="16.5" hidden="false" customHeight="true" outlineLevel="0" collapsed="false">
      <c r="B85" s="5" t="s">
        <v>169</v>
      </c>
      <c r="E85" s="5"/>
    </row>
    <row r="86" customFormat="false" ht="16.5" hidden="false" customHeight="true" outlineLevel="0" collapsed="false">
      <c r="B86" s="3" t="s">
        <v>170</v>
      </c>
      <c r="E86" s="5"/>
    </row>
    <row r="87" customFormat="false" ht="61.5" hidden="false" customHeight="true" outlineLevel="0" collapsed="false">
      <c r="B87" s="5" t="s">
        <v>171</v>
      </c>
      <c r="E87" s="5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4"/>
    <col collapsed="false" customWidth="true" hidden="false" outlineLevel="0" max="2" min="2" style="1" width="40"/>
    <col collapsed="false" customWidth="true" hidden="false" outlineLevel="0" max="5" min="3" style="1" width="12"/>
    <col collapsed="false" customWidth="true" hidden="false" outlineLevel="0" max="6" min="6" style="1" width="10"/>
    <col collapsed="false" customWidth="true" hidden="false" outlineLevel="0" max="7" min="7" style="1" width="22"/>
    <col collapsed="false" customWidth="true" hidden="false" outlineLevel="0" max="8" min="8" style="1" width="26"/>
    <col collapsed="false" customWidth="true" hidden="false" outlineLevel="0" max="9" min="9" style="1" width="70"/>
  </cols>
  <sheetData>
    <row r="1" customFormat="false" ht="16.5" hidden="false" customHeight="true" outlineLevel="0" collapsed="false">
      <c r="A1" s="1" t="s">
        <v>172</v>
      </c>
    </row>
    <row r="2" customFormat="false" ht="16.5" hidden="false" customHeight="true" outlineLevel="0" collapsed="false">
      <c r="A2" s="6" t="s">
        <v>173</v>
      </c>
    </row>
    <row r="4" customFormat="false" ht="16.5" hidden="false" customHeight="true" outlineLevel="0" collapsed="false">
      <c r="A4" s="40" t="s">
        <v>174</v>
      </c>
      <c r="B4" s="9" t="s">
        <v>22</v>
      </c>
      <c r="C4" s="9" t="s">
        <v>175</v>
      </c>
      <c r="D4" s="9" t="s">
        <v>176</v>
      </c>
      <c r="E4" s="9" t="s">
        <v>177</v>
      </c>
      <c r="F4" s="9" t="s">
        <v>24</v>
      </c>
      <c r="G4" s="9" t="s">
        <v>26</v>
      </c>
      <c r="H4" s="40" t="s">
        <v>178</v>
      </c>
      <c r="I4" s="9" t="s">
        <v>179</v>
      </c>
    </row>
    <row r="5" customFormat="false" ht="16.5" hidden="false" customHeight="true" outlineLevel="0" collapsed="false">
      <c r="A5" s="12" t="s">
        <v>180</v>
      </c>
      <c r="B5" s="38"/>
      <c r="C5" s="38"/>
      <c r="D5" s="38"/>
      <c r="E5" s="38"/>
      <c r="F5" s="38"/>
      <c r="G5" s="38"/>
      <c r="H5" s="38"/>
      <c r="I5" s="38"/>
    </row>
    <row r="6" customFormat="false" ht="16.5" hidden="false" customHeight="true" outlineLevel="0" collapsed="false">
      <c r="A6" s="1" t="s">
        <v>181</v>
      </c>
      <c r="B6" s="1" t="s">
        <v>182</v>
      </c>
      <c r="C6" s="41" t="n">
        <v>13.07</v>
      </c>
      <c r="D6" s="41" t="n">
        <v>13.07</v>
      </c>
      <c r="E6" s="41" t="n">
        <v>13.07</v>
      </c>
      <c r="F6" s="1" t="s">
        <v>58</v>
      </c>
      <c r="G6" s="1" t="s">
        <v>183</v>
      </c>
      <c r="H6" s="1" t="s">
        <v>184</v>
      </c>
      <c r="I6" s="5" t="s">
        <v>185</v>
      </c>
    </row>
    <row r="7" customFormat="false" ht="16.5" hidden="false" customHeight="true" outlineLevel="0" collapsed="false">
      <c r="A7" s="1" t="s">
        <v>186</v>
      </c>
      <c r="B7" s="1" t="s">
        <v>187</v>
      </c>
      <c r="C7" s="41" t="n">
        <v>8.4</v>
      </c>
      <c r="D7" s="41" t="n">
        <v>7.5</v>
      </c>
      <c r="E7" s="41" t="n">
        <v>8.8</v>
      </c>
      <c r="F7" s="1" t="s">
        <v>58</v>
      </c>
      <c r="G7" s="1" t="s">
        <v>154</v>
      </c>
      <c r="H7" s="1" t="s">
        <v>188</v>
      </c>
      <c r="I7" s="5" t="s">
        <v>189</v>
      </c>
    </row>
    <row r="8" customFormat="false" ht="32.25" hidden="false" customHeight="true" outlineLevel="0" collapsed="false">
      <c r="A8" s="1" t="s">
        <v>190</v>
      </c>
      <c r="B8" s="6" t="s">
        <v>191</v>
      </c>
      <c r="C8" s="41" t="n">
        <v>1.8</v>
      </c>
      <c r="D8" s="41" t="n">
        <v>2.3</v>
      </c>
      <c r="E8" s="41" t="n">
        <v>0.85</v>
      </c>
      <c r="F8" s="6" t="s">
        <v>32</v>
      </c>
      <c r="G8" s="1" t="s">
        <v>34</v>
      </c>
      <c r="H8" s="1" t="s">
        <v>192</v>
      </c>
      <c r="I8" s="3" t="s">
        <v>193</v>
      </c>
    </row>
    <row r="9" customFormat="false" ht="16.5" hidden="false" customHeight="true" outlineLevel="0" collapsed="false">
      <c r="A9" s="12" t="s">
        <v>194</v>
      </c>
      <c r="B9" s="38"/>
      <c r="C9" s="38"/>
      <c r="D9" s="38"/>
      <c r="E9" s="38"/>
      <c r="F9" s="38"/>
      <c r="G9" s="38"/>
      <c r="H9" s="38"/>
      <c r="I9" s="38"/>
    </row>
    <row r="10" customFormat="false" ht="16.5" hidden="false" customHeight="true" outlineLevel="0" collapsed="false">
      <c r="A10" s="1" t="s">
        <v>195</v>
      </c>
      <c r="B10" s="6" t="s">
        <v>196</v>
      </c>
      <c r="C10" s="42" t="n">
        <v>-0.09</v>
      </c>
      <c r="D10" s="42" t="n">
        <v>-0.2</v>
      </c>
      <c r="E10" s="42" t="n">
        <v>0.05</v>
      </c>
      <c r="F10" s="1" t="s">
        <v>127</v>
      </c>
      <c r="G10" s="1" t="s">
        <v>34</v>
      </c>
      <c r="H10" s="1" t="s">
        <v>197</v>
      </c>
      <c r="I10" s="3" t="s">
        <v>198</v>
      </c>
    </row>
    <row r="11" customFormat="false" ht="16.5" hidden="false" customHeight="true" outlineLevel="0" collapsed="false">
      <c r="A11" s="1" t="s">
        <v>199</v>
      </c>
      <c r="B11" s="6" t="s">
        <v>200</v>
      </c>
      <c r="C11" s="43" t="n">
        <v>4</v>
      </c>
      <c r="D11" s="43" t="n">
        <v>3</v>
      </c>
      <c r="E11" s="43" t="n">
        <v>5</v>
      </c>
      <c r="F11" s="6" t="s">
        <v>96</v>
      </c>
      <c r="G11" s="1" t="s">
        <v>201</v>
      </c>
      <c r="H11" s="1" t="s">
        <v>202</v>
      </c>
      <c r="I11" s="3" t="s">
        <v>203</v>
      </c>
    </row>
    <row r="12" customFormat="false" ht="32.25" hidden="false" customHeight="true" outlineLevel="0" collapsed="false">
      <c r="A12" s="1" t="s">
        <v>204</v>
      </c>
      <c r="B12" s="6" t="s">
        <v>205</v>
      </c>
      <c r="C12" s="41" t="n">
        <v>0.5</v>
      </c>
      <c r="D12" s="41" t="n">
        <v>0.205722505372091</v>
      </c>
      <c r="E12" s="41" t="n">
        <v>0.7</v>
      </c>
      <c r="F12" s="6" t="s">
        <v>32</v>
      </c>
      <c r="G12" s="1" t="s">
        <v>206</v>
      </c>
      <c r="H12" s="1" t="s">
        <v>207</v>
      </c>
      <c r="I12" s="3" t="s">
        <v>208</v>
      </c>
    </row>
    <row r="13" customFormat="false" ht="16.5" hidden="false" customHeight="true" outlineLevel="0" collapsed="false">
      <c r="A13" s="1" t="s">
        <v>209</v>
      </c>
      <c r="B13" s="6" t="s">
        <v>210</v>
      </c>
      <c r="C13" s="41" t="n">
        <v>6</v>
      </c>
      <c r="D13" s="41" t="n">
        <v>6</v>
      </c>
      <c r="E13" s="41" t="n">
        <v>6</v>
      </c>
      <c r="F13" s="6" t="s">
        <v>96</v>
      </c>
      <c r="G13" s="1" t="s">
        <v>34</v>
      </c>
      <c r="H13" s="1" t="s">
        <v>211</v>
      </c>
      <c r="I13" s="3" t="s">
        <v>212</v>
      </c>
    </row>
    <row r="14" customFormat="false" ht="32.25" hidden="false" customHeight="true" outlineLevel="0" collapsed="false">
      <c r="A14" s="1" t="s">
        <v>213</v>
      </c>
      <c r="B14" s="6" t="s">
        <v>214</v>
      </c>
      <c r="C14" s="44" t="n">
        <v>-0.09</v>
      </c>
      <c r="D14" s="44" t="n">
        <v>-0.09</v>
      </c>
      <c r="E14" s="44" t="n">
        <v>-0.3</v>
      </c>
      <c r="F14" s="1" t="s">
        <v>127</v>
      </c>
      <c r="G14" s="1" t="s">
        <v>201</v>
      </c>
      <c r="H14" s="1" t="s">
        <v>215</v>
      </c>
      <c r="I14" s="5" t="s">
        <v>216</v>
      </c>
    </row>
    <row r="15" customFormat="false" ht="16.5" hidden="false" customHeight="true" outlineLevel="0" collapsed="false">
      <c r="A15" s="1" t="s">
        <v>217</v>
      </c>
      <c r="B15" s="6" t="s">
        <v>218</v>
      </c>
      <c r="C15" s="44" t="n">
        <v>0.1</v>
      </c>
      <c r="D15" s="44" t="n">
        <v>0.08</v>
      </c>
      <c r="E15" s="44" t="n">
        <v>0.13</v>
      </c>
      <c r="F15" s="1" t="s">
        <v>127</v>
      </c>
      <c r="G15" s="1" t="s">
        <v>201</v>
      </c>
      <c r="H15" s="1" t="s">
        <v>219</v>
      </c>
      <c r="I15" s="3" t="s">
        <v>220</v>
      </c>
    </row>
    <row r="16" customFormat="false" ht="16.5" hidden="false" customHeight="true" outlineLevel="0" collapsed="false">
      <c r="A16" s="1" t="s">
        <v>221</v>
      </c>
      <c r="B16" s="6" t="s">
        <v>222</v>
      </c>
      <c r="C16" s="41" t="n">
        <v>2025.5</v>
      </c>
      <c r="D16" s="41" t="n">
        <v>2025.5</v>
      </c>
      <c r="E16" s="41" t="n">
        <v>2025.5</v>
      </c>
      <c r="F16" s="6" t="s">
        <v>96</v>
      </c>
      <c r="G16" s="1" t="s">
        <v>223</v>
      </c>
      <c r="H16" s="1" t="s">
        <v>224</v>
      </c>
      <c r="I16" s="5"/>
    </row>
    <row r="17" customFormat="false" ht="16.5" hidden="false" customHeight="true" outlineLevel="0" collapsed="false">
      <c r="A17" s="12" t="s">
        <v>225</v>
      </c>
      <c r="B17" s="38"/>
      <c r="C17" s="38"/>
      <c r="D17" s="38"/>
      <c r="E17" s="38"/>
      <c r="F17" s="38"/>
      <c r="G17" s="38"/>
      <c r="H17" s="38"/>
      <c r="I17" s="38"/>
    </row>
    <row r="18" customFormat="false" ht="16.5" hidden="false" customHeight="true" outlineLevel="0" collapsed="false">
      <c r="A18" s="1" t="s">
        <v>226</v>
      </c>
      <c r="B18" s="6" t="s">
        <v>227</v>
      </c>
      <c r="C18" s="43" t="n">
        <v>2023.5</v>
      </c>
      <c r="D18" s="43" t="n">
        <v>2024</v>
      </c>
      <c r="E18" s="43" t="n">
        <v>2023</v>
      </c>
      <c r="F18" s="6" t="s">
        <v>96</v>
      </c>
      <c r="G18" s="1" t="s">
        <v>201</v>
      </c>
      <c r="H18" s="1" t="s">
        <v>228</v>
      </c>
      <c r="I18" s="3" t="s">
        <v>229</v>
      </c>
    </row>
    <row r="19" customFormat="false" ht="16.5" hidden="false" customHeight="true" outlineLevel="0" collapsed="false">
      <c r="A19" s="1" t="s">
        <v>230</v>
      </c>
      <c r="B19" s="6" t="s">
        <v>231</v>
      </c>
      <c r="C19" s="43" t="n">
        <v>2025</v>
      </c>
      <c r="D19" s="43" t="n">
        <v>2025.5</v>
      </c>
      <c r="E19" s="43" t="n">
        <v>2025</v>
      </c>
      <c r="F19" s="6" t="s">
        <v>96</v>
      </c>
      <c r="G19" s="1" t="s">
        <v>201</v>
      </c>
      <c r="H19" s="1" t="s">
        <v>232</v>
      </c>
      <c r="I19" s="5"/>
    </row>
    <row r="20" customFormat="false" ht="16.5" hidden="false" customHeight="true" outlineLevel="0" collapsed="false">
      <c r="A20" s="1" t="s">
        <v>233</v>
      </c>
      <c r="B20" s="6" t="s">
        <v>234</v>
      </c>
      <c r="C20" s="43" t="n">
        <v>2025.5</v>
      </c>
      <c r="D20" s="43" t="n">
        <v>2025.6</v>
      </c>
      <c r="E20" s="43" t="n">
        <v>2025.5</v>
      </c>
      <c r="F20" s="6" t="s">
        <v>96</v>
      </c>
      <c r="G20" s="1" t="s">
        <v>201</v>
      </c>
      <c r="H20" s="1" t="s">
        <v>235</v>
      </c>
      <c r="I20" s="5" t="s">
        <v>236</v>
      </c>
    </row>
    <row r="21" customFormat="false" ht="16.5" hidden="false" customHeight="true" outlineLevel="0" collapsed="false">
      <c r="A21" s="1" t="s">
        <v>237</v>
      </c>
      <c r="B21" s="6" t="s">
        <v>238</v>
      </c>
      <c r="C21" s="43" t="n">
        <v>2026.75</v>
      </c>
      <c r="D21" s="43" t="n">
        <v>2027</v>
      </c>
      <c r="E21" s="43" t="n">
        <v>2026.75</v>
      </c>
      <c r="F21" s="6" t="s">
        <v>96</v>
      </c>
      <c r="G21" s="1" t="s">
        <v>201</v>
      </c>
      <c r="H21" s="1" t="s">
        <v>239</v>
      </c>
      <c r="I21" s="5" t="s">
        <v>236</v>
      </c>
    </row>
    <row r="22" customFormat="false" ht="16.5" hidden="false" customHeight="true" outlineLevel="0" collapsed="false">
      <c r="A22" s="1" t="s">
        <v>240</v>
      </c>
      <c r="B22" s="1" t="s">
        <v>241</v>
      </c>
      <c r="C22" s="44" t="n">
        <v>0.6</v>
      </c>
      <c r="D22" s="44" t="n">
        <v>0.6</v>
      </c>
      <c r="E22" s="44" t="n">
        <v>0.6</v>
      </c>
      <c r="F22" s="1" t="s">
        <v>93</v>
      </c>
      <c r="G22" s="1" t="s">
        <v>201</v>
      </c>
      <c r="H22" s="1" t="s">
        <v>242</v>
      </c>
      <c r="I22" s="3" t="s">
        <v>243</v>
      </c>
    </row>
    <row r="23" customFormat="false" ht="16.5" hidden="false" customHeight="true" outlineLevel="0" collapsed="false">
      <c r="A23" s="1" t="s">
        <v>244</v>
      </c>
      <c r="B23" s="1" t="s">
        <v>245</v>
      </c>
      <c r="C23" s="44" t="n">
        <v>0.4</v>
      </c>
      <c r="D23" s="44" t="n">
        <v>0.4</v>
      </c>
      <c r="E23" s="44" t="n">
        <v>0.4</v>
      </c>
      <c r="F23" s="1" t="s">
        <v>93</v>
      </c>
      <c r="G23" s="1" t="s">
        <v>201</v>
      </c>
      <c r="H23" s="1" t="s">
        <v>246</v>
      </c>
      <c r="I23" s="5"/>
    </row>
    <row r="24" customFormat="false" ht="16.5" hidden="false" customHeight="true" outlineLevel="0" collapsed="false">
      <c r="A24" s="1" t="s">
        <v>247</v>
      </c>
      <c r="B24" s="1" t="s">
        <v>248</v>
      </c>
      <c r="C24" s="42" t="n">
        <v>0</v>
      </c>
      <c r="D24" s="42" t="n">
        <v>0</v>
      </c>
      <c r="E24" s="42" t="n">
        <v>0</v>
      </c>
      <c r="F24" s="1" t="s">
        <v>93</v>
      </c>
      <c r="G24" s="1" t="s">
        <v>106</v>
      </c>
      <c r="H24" s="1" t="s">
        <v>249</v>
      </c>
      <c r="I24" s="5"/>
    </row>
    <row r="25" customFormat="false" ht="16.5" hidden="false" customHeight="true" outlineLevel="0" collapsed="false">
      <c r="A25" s="1" t="s">
        <v>250</v>
      </c>
      <c r="B25" s="1" t="s">
        <v>251</v>
      </c>
      <c r="C25" s="42" t="n">
        <v>0</v>
      </c>
      <c r="D25" s="42" t="n">
        <v>0</v>
      </c>
      <c r="E25" s="42" t="n">
        <v>0</v>
      </c>
      <c r="F25" s="1" t="s">
        <v>93</v>
      </c>
      <c r="G25" s="1" t="s">
        <v>106</v>
      </c>
      <c r="H25" s="1" t="s">
        <v>252</v>
      </c>
      <c r="I25" s="5"/>
    </row>
    <row r="26" customFormat="false" ht="16.5" hidden="false" customHeight="true" outlineLevel="0" collapsed="false">
      <c r="A26" s="1" t="s">
        <v>253</v>
      </c>
      <c r="B26" s="6" t="s">
        <v>254</v>
      </c>
      <c r="C26" s="41" t="n">
        <v>4.69814253003078</v>
      </c>
      <c r="D26" s="41" t="n">
        <v>4.69814253003078</v>
      </c>
      <c r="E26" s="41" t="n">
        <v>4.69814253003078</v>
      </c>
      <c r="F26" s="1" t="s">
        <v>255</v>
      </c>
      <c r="G26" s="1" t="s">
        <v>256</v>
      </c>
      <c r="H26" s="1" t="s">
        <v>257</v>
      </c>
      <c r="I26" s="3" t="s">
        <v>258</v>
      </c>
    </row>
    <row r="27" customFormat="false" ht="16.5" hidden="false" customHeight="true" outlineLevel="0" collapsed="false">
      <c r="A27" s="1" t="s">
        <v>259</v>
      </c>
      <c r="B27" s="6" t="s">
        <v>260</v>
      </c>
      <c r="C27" s="41" t="n">
        <v>23.1163542075921</v>
      </c>
      <c r="D27" s="41" t="n">
        <v>23.1163542075921</v>
      </c>
      <c r="E27" s="41" t="n">
        <v>23.1163542075921</v>
      </c>
      <c r="F27" s="1" t="s">
        <v>255</v>
      </c>
      <c r="G27" s="1" t="s">
        <v>256</v>
      </c>
      <c r="H27" s="1" t="s">
        <v>261</v>
      </c>
      <c r="I27" s="5"/>
    </row>
    <row r="28" customFormat="false" ht="16.5" hidden="false" customHeight="true" outlineLevel="0" collapsed="false">
      <c r="A28" s="1" t="s">
        <v>262</v>
      </c>
      <c r="B28" s="6" t="s">
        <v>263</v>
      </c>
      <c r="C28" s="41" t="n">
        <v>28.1729831681894</v>
      </c>
      <c r="D28" s="41" t="n">
        <v>28.1729831681894</v>
      </c>
      <c r="E28" s="41" t="n">
        <v>28.1729831681894</v>
      </c>
      <c r="F28" s="1" t="s">
        <v>255</v>
      </c>
      <c r="G28" s="1" t="s">
        <v>256</v>
      </c>
      <c r="H28" s="1" t="s">
        <v>264</v>
      </c>
      <c r="I28" s="5"/>
    </row>
    <row r="29" customFormat="false" ht="16.5" hidden="false" customHeight="true" outlineLevel="0" collapsed="false">
      <c r="A29" s="1" t="s">
        <v>265</v>
      </c>
      <c r="B29" s="6" t="s">
        <v>266</v>
      </c>
      <c r="C29" s="41" t="n">
        <v>46.4147909527709</v>
      </c>
      <c r="D29" s="41" t="n">
        <v>46.4147909527709</v>
      </c>
      <c r="E29" s="41" t="n">
        <v>46.4147909527709</v>
      </c>
      <c r="F29" s="1" t="s">
        <v>255</v>
      </c>
      <c r="G29" s="1" t="s">
        <v>256</v>
      </c>
      <c r="H29" s="1" t="s">
        <v>267</v>
      </c>
      <c r="I29" s="5"/>
    </row>
    <row r="30" customFormat="false" ht="16.5" hidden="false" customHeight="true" outlineLevel="0" collapsed="false">
      <c r="A30" s="12" t="s">
        <v>268</v>
      </c>
      <c r="B30" s="38"/>
      <c r="C30" s="38"/>
      <c r="D30" s="38"/>
      <c r="E30" s="38"/>
      <c r="F30" s="38"/>
      <c r="G30" s="38"/>
      <c r="H30" s="38"/>
      <c r="I30" s="38"/>
    </row>
    <row r="31" customFormat="false" ht="16.5" hidden="false" customHeight="true" outlineLevel="0" collapsed="false">
      <c r="A31" s="1" t="s">
        <v>269</v>
      </c>
      <c r="B31" s="6" t="s">
        <v>270</v>
      </c>
      <c r="C31" s="42" t="n">
        <v>0.7</v>
      </c>
      <c r="D31" s="42" t="n">
        <v>0.612088752869166</v>
      </c>
      <c r="E31" s="42" t="n">
        <v>0.82</v>
      </c>
      <c r="F31" s="1" t="s">
        <v>93</v>
      </c>
      <c r="G31" s="1" t="s">
        <v>271</v>
      </c>
      <c r="H31" s="1" t="s">
        <v>272</v>
      </c>
      <c r="I31" s="5" t="s">
        <v>273</v>
      </c>
    </row>
    <row r="32" customFormat="false" ht="16.5" hidden="false" customHeight="true" outlineLevel="0" collapsed="false">
      <c r="A32" s="1" t="s">
        <v>274</v>
      </c>
      <c r="B32" s="6" t="s">
        <v>275</v>
      </c>
      <c r="C32" s="44" t="n">
        <v>0.1</v>
      </c>
      <c r="D32" s="44" t="n">
        <v>0.05</v>
      </c>
      <c r="E32" s="44" t="n">
        <v>0.15</v>
      </c>
      <c r="F32" s="1" t="s">
        <v>93</v>
      </c>
      <c r="G32" s="1" t="s">
        <v>201</v>
      </c>
      <c r="H32" s="1" t="s">
        <v>276</v>
      </c>
      <c r="I32" s="5"/>
    </row>
    <row r="33" customFormat="false" ht="16.5" hidden="false" customHeight="true" outlineLevel="0" collapsed="false">
      <c r="A33" s="12" t="s">
        <v>277</v>
      </c>
      <c r="B33" s="38"/>
      <c r="C33" s="38"/>
      <c r="D33" s="38"/>
      <c r="E33" s="38"/>
      <c r="F33" s="38"/>
      <c r="G33" s="38"/>
      <c r="H33" s="38"/>
      <c r="I33" s="38"/>
    </row>
    <row r="34" customFormat="false" ht="48" hidden="false" customHeight="true" outlineLevel="0" collapsed="false">
      <c r="A34" s="1" t="s">
        <v>278</v>
      </c>
      <c r="B34" s="6" t="s">
        <v>279</v>
      </c>
      <c r="C34" s="45" t="n">
        <v>10.5485124639047</v>
      </c>
      <c r="D34" s="45" t="n">
        <v>9.35311859805586</v>
      </c>
      <c r="E34" s="45" t="n">
        <v>11.6913982475698</v>
      </c>
      <c r="F34" s="1" t="s">
        <v>40</v>
      </c>
      <c r="G34" s="1" t="s">
        <v>256</v>
      </c>
      <c r="H34" s="1" t="s">
        <v>280</v>
      </c>
      <c r="I34" s="3" t="s">
        <v>281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4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6"/>
    <col collapsed="false" customWidth="true" hidden="false" outlineLevel="0" max="2" min="2" style="1" width="9"/>
    <col collapsed="false" customWidth="true" hidden="false" outlineLevel="0" max="3" min="3" style="1" width="11"/>
    <col collapsed="false" customWidth="true" hidden="false" outlineLevel="0" max="5" min="4" style="1" width="8"/>
    <col collapsed="false" customWidth="true" hidden="false" outlineLevel="0" max="6" min="6" style="1" width="6"/>
    <col collapsed="false" customWidth="true" hidden="false" outlineLevel="0" max="7" min="7" style="1" width="8"/>
    <col collapsed="false" customWidth="true" hidden="false" outlineLevel="0" max="8" min="8" style="1" width="6"/>
    <col collapsed="false" customWidth="true" hidden="false" outlineLevel="0" max="9" min="9" style="1" width="8"/>
    <col collapsed="false" customWidth="true" hidden="false" outlineLevel="0" max="12" min="10" style="1" width="10"/>
    <col collapsed="false" customWidth="true" hidden="false" outlineLevel="0" max="16" min="13" style="1" width="11"/>
    <col collapsed="false" customWidth="true" hidden="false" outlineLevel="0" max="17" min="17" style="1" width="10"/>
    <col collapsed="false" customWidth="true" hidden="false" outlineLevel="0" max="18" min="18" style="1" width="11"/>
  </cols>
  <sheetData>
    <row r="1" customFormat="false" ht="16.5" hidden="false" customHeight="true" outlineLevel="0" collapsed="false">
      <c r="A1" s="1" t="s">
        <v>282</v>
      </c>
    </row>
    <row r="2" customFormat="false" ht="16.5" hidden="false" customHeight="true" outlineLevel="0" collapsed="false">
      <c r="A2" s="6" t="s">
        <v>283</v>
      </c>
    </row>
    <row r="4" customFormat="false" ht="16.5" hidden="false" customHeight="true" outlineLevel="0" collapsed="false">
      <c r="A4" s="46" t="s">
        <v>284</v>
      </c>
    </row>
    <row r="5" customFormat="false" ht="59.25" hidden="false" customHeight="true" outlineLevel="0" collapsed="false">
      <c r="A5" s="9" t="s">
        <v>285</v>
      </c>
      <c r="B5" s="9" t="s">
        <v>286</v>
      </c>
      <c r="C5" s="9" t="s">
        <v>287</v>
      </c>
      <c r="D5" s="40" t="s">
        <v>288</v>
      </c>
      <c r="E5" s="9" t="s">
        <v>28</v>
      </c>
      <c r="F5" s="40" t="s">
        <v>289</v>
      </c>
    </row>
    <row r="6" customFormat="false" ht="16.5" hidden="false" customHeight="true" outlineLevel="0" collapsed="false">
      <c r="A6" s="1" t="s">
        <v>290</v>
      </c>
      <c r="B6" s="1" t="s">
        <v>291</v>
      </c>
      <c r="C6" s="47" t="n">
        <f aca="false">IF(SUMPRODUCT(ISTEXT(Q16:Q19)*(R16:R19&gt;0))&gt;0,"含 t0&gt;T1 的世代",SUMPRODUCT(R16:R19,Q16:Q19)/SUM(R16:R19))</f>
        <v>0.763665278739318</v>
      </c>
      <c r="D6" s="47" t="n">
        <v>0.763665278739318</v>
      </c>
      <c r="E6" s="16" t="n">
        <f aca="false">IF(ISNUMBER(C6),C6/D6-1,"—")</f>
        <v>0</v>
      </c>
      <c r="F6" s="1" t="s">
        <v>292</v>
      </c>
    </row>
    <row r="7" customFormat="false" ht="16.5" hidden="false" customHeight="true" outlineLevel="0" collapsed="false">
      <c r="A7" s="1" t="s">
        <v>78</v>
      </c>
      <c r="B7" s="1" t="s">
        <v>293</v>
      </c>
      <c r="C7" s="47" t="n">
        <f aca="false">IF(SUMPRODUCT(ISTEXT(Q20:Q23)*(R20:R23&gt;0))&gt;0,"含 t0&gt;T1 的世代",SUMPRODUCT(R20:R23,Q20:Q23)/SUM(R20:R23))</f>
        <v>0.659505673291396</v>
      </c>
      <c r="D7" s="47" t="n">
        <v>0.659505673291395</v>
      </c>
      <c r="E7" s="16" t="n">
        <f aca="false">IF(ISNUMBER(C7),C7/D7-1,"—")</f>
        <v>0</v>
      </c>
      <c r="F7" s="1" t="s">
        <v>294</v>
      </c>
    </row>
    <row r="8" customFormat="false" ht="16.5" hidden="false" customHeight="true" outlineLevel="0" collapsed="false">
      <c r="A8" s="1" t="s">
        <v>82</v>
      </c>
      <c r="B8" s="1" t="s">
        <v>295</v>
      </c>
      <c r="C8" s="47" t="n">
        <f aca="false">IF(SUMPRODUCT(ISTEXT(Q24:Q27)*(R24:R27&gt;0))&gt;0,"含 t0&gt;T1 的世代",SUMPRODUCT(R24:R27,Q24:Q27)/SUM(R24:R27))</f>
        <v>0.698844526610524</v>
      </c>
      <c r="D8" s="47" t="n">
        <v>0.698844526610524</v>
      </c>
      <c r="E8" s="16" t="n">
        <f aca="false">IF(ISNUMBER(C8),C8/D8-1,"—")</f>
        <v>0</v>
      </c>
      <c r="F8" s="1" t="s">
        <v>296</v>
      </c>
    </row>
    <row r="9" customFormat="false" ht="16.5" hidden="false" customHeight="true" outlineLevel="0" collapsed="false">
      <c r="A9" s="17" t="s">
        <v>297</v>
      </c>
      <c r="B9" s="17" t="s">
        <v>298</v>
      </c>
      <c r="C9" s="48" t="n">
        <f aca="false">IF(SUMPRODUCT(ISTEXT(Q28:Q31)*(R28:R31&gt;0))&gt;0,"含 t0&gt;T1 的世代",SUMPRODUCT(R28:R31,Q28:Q31)/SUM(R28:R31))</f>
        <v>0.758597367273996</v>
      </c>
      <c r="D9" s="48" t="n">
        <v>0.758597367273996</v>
      </c>
      <c r="E9" s="34" t="n">
        <f aca="false">IF(ISNUMBER(C9),C9/D9-1,"—")</f>
        <v>0</v>
      </c>
      <c r="F9" s="17" t="s">
        <v>299</v>
      </c>
    </row>
    <row r="10" customFormat="false" ht="16.5" hidden="false" customHeight="true" outlineLevel="0" collapsed="false">
      <c r="A10" s="1" t="s">
        <v>300</v>
      </c>
      <c r="B10" s="1" t="s">
        <v>301</v>
      </c>
      <c r="C10" s="47" t="n">
        <f aca="false">IF(SUMPRODUCT(ISTEXT(Q32:Q35)*(R32:R35&gt;0))&gt;0,"含 t0&gt;T1 的世代",SUMPRODUCT(R32:R35,Q32:Q35)/SUM(R32:R35))</f>
        <v>0.715894950036491</v>
      </c>
      <c r="D10" s="47" t="n">
        <v>0.715894950036491</v>
      </c>
      <c r="E10" s="16" t="n">
        <f aca="false">IF(ISNUMBER(C10),C10/D10-1,"—")</f>
        <v>0</v>
      </c>
      <c r="F10" s="1" t="s">
        <v>302</v>
      </c>
    </row>
    <row r="11" customFormat="false" ht="16.5" hidden="false" customHeight="true" outlineLevel="0" collapsed="false">
      <c r="A11" s="1" t="s">
        <v>303</v>
      </c>
      <c r="B11" s="1" t="s">
        <v>304</v>
      </c>
      <c r="C11" s="47" t="n">
        <f aca="false">IF(SUMPRODUCT(ISTEXT(Q36:Q39)*(R36:R39&gt;0))&gt;0,"含 t0&gt;T1 的世代",SUMPRODUCT(R36:R39,Q36:Q39)/SUM(R36:R39))</f>
        <v>0.479441891854564</v>
      </c>
      <c r="D11" s="47" t="n">
        <v>0.479441891854564</v>
      </c>
      <c r="E11" s="16" t="n">
        <f aca="false">IF(ISNUMBER(C11),C11/D11-1,"—")</f>
        <v>0</v>
      </c>
      <c r="F11" s="1" t="s">
        <v>305</v>
      </c>
    </row>
    <row r="12" customFormat="false" ht="16.5" hidden="false" customHeight="true" outlineLevel="0" collapsed="false">
      <c r="A12" s="1" t="s">
        <v>306</v>
      </c>
      <c r="B12" s="1" t="s">
        <v>307</v>
      </c>
      <c r="C12" s="47" t="n">
        <f aca="false">IF(SUMPRODUCT(ISTEXT(Q40:Q43)*(R40:R43&gt;0))&gt;0,"含 t0&gt;T1 的世代",SUMPRODUCT(R40:R43,Q40:Q43)/SUM(R40:R43))</f>
        <v>1.13827219966509</v>
      </c>
      <c r="D12" s="47" t="n">
        <v>1.13827219966509</v>
      </c>
      <c r="E12" s="16" t="n">
        <f aca="false">IF(ISNUMBER(C12),C12/D12-1,"—")</f>
        <v>3.5527136788005E-015</v>
      </c>
      <c r="F12" s="1" t="s">
        <v>308</v>
      </c>
    </row>
    <row r="15" customFormat="false" ht="48" hidden="false" customHeight="true" outlineLevel="0" collapsed="false">
      <c r="A15" s="9" t="s">
        <v>285</v>
      </c>
      <c r="B15" s="9" t="s">
        <v>309</v>
      </c>
      <c r="C15" s="40" t="s">
        <v>310</v>
      </c>
      <c r="D15" s="40" t="s">
        <v>311</v>
      </c>
      <c r="E15" s="40" t="s">
        <v>312</v>
      </c>
      <c r="F15" s="40" t="s">
        <v>313</v>
      </c>
      <c r="G15" s="40" t="s">
        <v>314</v>
      </c>
      <c r="H15" s="40" t="s">
        <v>315</v>
      </c>
      <c r="I15" s="9" t="s">
        <v>316</v>
      </c>
      <c r="J15" s="40" t="s">
        <v>317</v>
      </c>
      <c r="K15" s="40" t="s">
        <v>318</v>
      </c>
      <c r="L15" s="40" t="s">
        <v>319</v>
      </c>
      <c r="M15" s="9" t="s">
        <v>320</v>
      </c>
      <c r="N15" s="9" t="s">
        <v>321</v>
      </c>
      <c r="O15" s="9" t="s">
        <v>322</v>
      </c>
      <c r="P15" s="9" t="s">
        <v>323</v>
      </c>
      <c r="Q15" s="40" t="s">
        <v>324</v>
      </c>
      <c r="R15" s="40" t="s">
        <v>325</v>
      </c>
    </row>
    <row r="16" customFormat="false" ht="16.5" hidden="false" customHeight="true" outlineLevel="0" collapsed="false">
      <c r="A16" s="1" t="s">
        <v>290</v>
      </c>
      <c r="B16" s="1" t="s">
        <v>326</v>
      </c>
      <c r="C16" s="1" t="n">
        <f aca="false">0</f>
        <v>0</v>
      </c>
      <c r="D16" s="35" t="n">
        <f aca="false">IN_g</f>
        <v>-0.09</v>
      </c>
      <c r="E16" s="35" t="n">
        <f aca="false">IN_gpre</f>
        <v>-0.09</v>
      </c>
      <c r="F16" s="1" t="n">
        <f aca="false">IN_T1</f>
        <v>4</v>
      </c>
      <c r="G16" s="35" t="n">
        <f aca="false">1</f>
        <v>1</v>
      </c>
      <c r="H16" s="1" t="n">
        <f aca="false">IN_T</f>
        <v>6</v>
      </c>
      <c r="I16" s="35" t="n">
        <f aca="false">0</f>
        <v>0</v>
      </c>
      <c r="J16" s="47" t="n">
        <f aca="false">LN(1+D16)</f>
        <v>-0.0943106794712413</v>
      </c>
      <c r="K16" s="47" t="n">
        <f aca="false">LN(1+E16)</f>
        <v>-0.0943106794712413</v>
      </c>
      <c r="L16" s="47" t="n">
        <f aca="false">LN(1+I16)</f>
        <v>0</v>
      </c>
      <c r="M16" s="47" t="n">
        <f aca="false">IF(C16&gt;0,EXP(-K16*C16)*IF(ABS(K16-L16)&lt;0.000000000001,(C16)-(0),(EXP((K16-L16)*(C16))-EXP((K16-L16)*(0)))/(K16-L16)),0)</f>
        <v>0</v>
      </c>
      <c r="N16" s="47" t="n">
        <f aca="false">EXP(-J16*C16)*IF(ABS(J16-L16)&lt;0.000000000001,(F16)-(C16),(EXP((J16-L16)*(F16))-EXP((J16-L16)*(C16)))/(J16-L16))</f>
        <v>3.33207640706084</v>
      </c>
      <c r="O16" s="47" t="n">
        <f aca="false">G16*EXP(-J16*C16)*IF(ABS(J16-L16)&lt;0.000000000001,(H16)-(F16),(EXP((J16-L16)*(H16))-EXP((J16-L16)*(F16)))/(J16-L16))</f>
        <v>1.24991526537507</v>
      </c>
      <c r="P16" s="47" t="n">
        <f aca="false">IF(ABS(-L16)&lt;0.000000000001,(H16)-(0),(EXP((-L16)*(H16))-EXP((-L16)*(0)))/(-L16))</f>
        <v>6</v>
      </c>
      <c r="Q16" s="47" t="n">
        <f aca="false">IF(C16&gt;F16,"t0&gt;T1（未支援）",(M16+N16+O16)/P16)</f>
        <v>0.763665278739318</v>
      </c>
      <c r="R16" s="15" t="n">
        <f aca="false">IN_sh_H*IN_rg_H</f>
        <v>2.81888551801847</v>
      </c>
    </row>
    <row r="17" customFormat="false" ht="16.5" hidden="false" customHeight="true" outlineLevel="0" collapsed="false">
      <c r="A17" s="1" t="s">
        <v>290</v>
      </c>
      <c r="B17" s="1" t="s">
        <v>327</v>
      </c>
      <c r="C17" s="1" t="n">
        <f aca="false">0</f>
        <v>0</v>
      </c>
      <c r="D17" s="35" t="n">
        <f aca="false">IN_g</f>
        <v>-0.09</v>
      </c>
      <c r="E17" s="35" t="n">
        <f aca="false">IN_gpre</f>
        <v>-0.09</v>
      </c>
      <c r="F17" s="1" t="n">
        <f aca="false">IN_T1</f>
        <v>4</v>
      </c>
      <c r="G17" s="35" t="n">
        <f aca="false">1</f>
        <v>1</v>
      </c>
      <c r="H17" s="1" t="n">
        <f aca="false">IN_T</f>
        <v>6</v>
      </c>
      <c r="I17" s="35" t="n">
        <f aca="false">0</f>
        <v>0</v>
      </c>
      <c r="J17" s="47" t="n">
        <f aca="false">LN(1+D17)</f>
        <v>-0.0943106794712413</v>
      </c>
      <c r="K17" s="47" t="n">
        <f aca="false">LN(1+E17)</f>
        <v>-0.0943106794712413</v>
      </c>
      <c r="L17" s="47" t="n">
        <f aca="false">LN(1+I17)</f>
        <v>0</v>
      </c>
      <c r="M17" s="47" t="n">
        <f aca="false">IF(C17&gt;0,EXP(-K17*C17)*IF(ABS(K17-L17)&lt;0.000000000001,(C17)-(0),(EXP((K17-L17)*(C17))-EXP((K17-L17)*(0)))/(K17-L17)),0)</f>
        <v>0</v>
      </c>
      <c r="N17" s="47" t="n">
        <f aca="false">EXP(-J17*C17)*IF(ABS(J17-L17)&lt;0.000000000001,(F17)-(C17),(EXP((J17-L17)*(F17))-EXP((J17-L17)*(C17)))/(J17-L17))</f>
        <v>3.33207640706084</v>
      </c>
      <c r="O17" s="47" t="n">
        <f aca="false">G17*EXP(-J17*C17)*IF(ABS(J17-L17)&lt;0.000000000001,(H17)-(F17),(EXP((J17-L17)*(H17))-EXP((J17-L17)*(F17)))/(J17-L17))</f>
        <v>1.24991526537507</v>
      </c>
      <c r="P17" s="47" t="n">
        <f aca="false">IF(ABS(-L17)&lt;0.000000000001,(H17)-(0),(EXP((-L17)*(H17))-EXP((-L17)*(0)))/(-L17))</f>
        <v>6</v>
      </c>
      <c r="Q17" s="47" t="n">
        <f aca="false">IF(C17&gt;F17,"t0&gt;T1（未支援）",(M17+N17+O17)/P17)</f>
        <v>0.763665278739318</v>
      </c>
      <c r="R17" s="15" t="n">
        <f aca="false">IN_sh_G*IN_rg_G</f>
        <v>9.24654168303684</v>
      </c>
    </row>
    <row r="18" customFormat="false" ht="16.5" hidden="false" customHeight="true" outlineLevel="0" collapsed="false">
      <c r="A18" s="1" t="s">
        <v>290</v>
      </c>
      <c r="B18" s="1" t="s">
        <v>328</v>
      </c>
      <c r="C18" s="1" t="n">
        <f aca="false">0</f>
        <v>0</v>
      </c>
      <c r="D18" s="35" t="n">
        <f aca="false">IN_g</f>
        <v>-0.09</v>
      </c>
      <c r="E18" s="35" t="n">
        <f aca="false">IN_gpre</f>
        <v>-0.09</v>
      </c>
      <c r="F18" s="1" t="n">
        <f aca="false">IN_T1</f>
        <v>4</v>
      </c>
      <c r="G18" s="35" t="n">
        <f aca="false">1</f>
        <v>1</v>
      </c>
      <c r="H18" s="1" t="n">
        <f aca="false">IN_T</f>
        <v>6</v>
      </c>
      <c r="I18" s="35" t="n">
        <f aca="false">0</f>
        <v>0</v>
      </c>
      <c r="J18" s="47" t="n">
        <f aca="false">LN(1+D18)</f>
        <v>-0.0943106794712413</v>
      </c>
      <c r="K18" s="47" t="n">
        <f aca="false">LN(1+E18)</f>
        <v>-0.0943106794712413</v>
      </c>
      <c r="L18" s="47" t="n">
        <f aca="false">LN(1+I18)</f>
        <v>0</v>
      </c>
      <c r="M18" s="47" t="n">
        <f aca="false">IF(C18&gt;0,EXP(-K18*C18)*IF(ABS(K18-L18)&lt;0.000000000001,(C18)-(0),(EXP((K18-L18)*(C18))-EXP((K18-L18)*(0)))/(K18-L18)),0)</f>
        <v>0</v>
      </c>
      <c r="N18" s="47" t="n">
        <f aca="false">EXP(-J18*C18)*IF(ABS(J18-L18)&lt;0.000000000001,(F18)-(C18),(EXP((J18-L18)*(F18))-EXP((J18-L18)*(C18)))/(J18-L18))</f>
        <v>3.33207640706084</v>
      </c>
      <c r="O18" s="47" t="n">
        <f aca="false">G18*EXP(-J18*C18)*IF(ABS(J18-L18)&lt;0.000000000001,(H18)-(F18),(EXP((J18-L18)*(H18))-EXP((J18-L18)*(F18)))/(J18-L18))</f>
        <v>1.24991526537507</v>
      </c>
      <c r="P18" s="47" t="n">
        <f aca="false">IF(ABS(-L18)&lt;0.000000000001,(H18)-(0),(EXP((-L18)*(H18))-EXP((-L18)*(0)))/(-L18))</f>
        <v>6</v>
      </c>
      <c r="Q18" s="47" t="n">
        <f aca="false">IF(C18&gt;F18,"t0&gt;T1（未支援）",(M18+N18+O18)/P18)</f>
        <v>0.763665278739318</v>
      </c>
      <c r="R18" s="15" t="n">
        <f aca="false">IN_sh_3*IN_rg_3</f>
        <v>0</v>
      </c>
    </row>
    <row r="19" customFormat="false" ht="16.5" hidden="false" customHeight="true" outlineLevel="0" collapsed="false">
      <c r="A19" s="1" t="s">
        <v>290</v>
      </c>
      <c r="B19" s="1" t="s">
        <v>329</v>
      </c>
      <c r="C19" s="1" t="n">
        <f aca="false">0</f>
        <v>0</v>
      </c>
      <c r="D19" s="35" t="n">
        <f aca="false">IN_g</f>
        <v>-0.09</v>
      </c>
      <c r="E19" s="35" t="n">
        <f aca="false">IN_gpre</f>
        <v>-0.09</v>
      </c>
      <c r="F19" s="1" t="n">
        <f aca="false">IN_T1</f>
        <v>4</v>
      </c>
      <c r="G19" s="35" t="n">
        <f aca="false">1</f>
        <v>1</v>
      </c>
      <c r="H19" s="1" t="n">
        <f aca="false">IN_T</f>
        <v>6</v>
      </c>
      <c r="I19" s="35" t="n">
        <f aca="false">0</f>
        <v>0</v>
      </c>
      <c r="J19" s="47" t="n">
        <f aca="false">LN(1+D19)</f>
        <v>-0.0943106794712413</v>
      </c>
      <c r="K19" s="47" t="n">
        <f aca="false">LN(1+E19)</f>
        <v>-0.0943106794712413</v>
      </c>
      <c r="L19" s="47" t="n">
        <f aca="false">LN(1+I19)</f>
        <v>0</v>
      </c>
      <c r="M19" s="47" t="n">
        <f aca="false">IF(C19&gt;0,EXP(-K19*C19)*IF(ABS(K19-L19)&lt;0.000000000001,(C19)-(0),(EXP((K19-L19)*(C19))-EXP((K19-L19)*(0)))/(K19-L19)),0)</f>
        <v>0</v>
      </c>
      <c r="N19" s="47" t="n">
        <f aca="false">EXP(-J19*C19)*IF(ABS(J19-L19)&lt;0.000000000001,(F19)-(C19),(EXP((J19-L19)*(F19))-EXP((J19-L19)*(C19)))/(J19-L19))</f>
        <v>3.33207640706084</v>
      </c>
      <c r="O19" s="47" t="n">
        <f aca="false">G19*EXP(-J19*C19)*IF(ABS(J19-L19)&lt;0.000000000001,(H19)-(F19),(EXP((J19-L19)*(H19))-EXP((J19-L19)*(F19)))/(J19-L19))</f>
        <v>1.24991526537507</v>
      </c>
      <c r="P19" s="47" t="n">
        <f aca="false">IF(ABS(-L19)&lt;0.000000000001,(H19)-(0),(EXP((-L19)*(H19))-EXP((-L19)*(0)))/(-L19))</f>
        <v>6</v>
      </c>
      <c r="Q19" s="47" t="n">
        <f aca="false">IF(C19&gt;F19,"t0&gt;T1（未支援）",(M19+N19+O19)/P19)</f>
        <v>0.763665278739318</v>
      </c>
      <c r="R19" s="15" t="n">
        <f aca="false">IN_sh_V*IN_rg_V</f>
        <v>0</v>
      </c>
    </row>
    <row r="20" customFormat="false" ht="16.5" hidden="false" customHeight="true" outlineLevel="0" collapsed="false">
      <c r="A20" s="1" t="s">
        <v>78</v>
      </c>
      <c r="B20" s="1" t="s">
        <v>326</v>
      </c>
      <c r="C20" s="1" t="n">
        <f aca="false">0</f>
        <v>0</v>
      </c>
      <c r="D20" s="35" t="n">
        <f aca="false">IN_g</f>
        <v>-0.09</v>
      </c>
      <c r="E20" s="35" t="n">
        <f aca="false">IN_gpre</f>
        <v>-0.09</v>
      </c>
      <c r="F20" s="1" t="n">
        <f aca="false">IN_T1</f>
        <v>4</v>
      </c>
      <c r="G20" s="35" t="n">
        <f aca="false">IN_rho</f>
        <v>0.5</v>
      </c>
      <c r="H20" s="1" t="n">
        <f aca="false">IN_T</f>
        <v>6</v>
      </c>
      <c r="I20" s="35" t="n">
        <f aca="false">0</f>
        <v>0</v>
      </c>
      <c r="J20" s="47" t="n">
        <f aca="false">LN(1+D20)</f>
        <v>-0.0943106794712413</v>
      </c>
      <c r="K20" s="47" t="n">
        <f aca="false">LN(1+E20)</f>
        <v>-0.0943106794712413</v>
      </c>
      <c r="L20" s="47" t="n">
        <f aca="false">LN(1+I20)</f>
        <v>0</v>
      </c>
      <c r="M20" s="47" t="n">
        <f aca="false">IF(C20&gt;0,EXP(-K20*C20)*IF(ABS(K20-L20)&lt;0.000000000001,(C20)-(0),(EXP((K20-L20)*(C20))-EXP((K20-L20)*(0)))/(K20-L20)),0)</f>
        <v>0</v>
      </c>
      <c r="N20" s="47" t="n">
        <f aca="false">EXP(-J20*C20)*IF(ABS(J20-L20)&lt;0.000000000001,(F20)-(C20),(EXP((J20-L20)*(F20))-EXP((J20-L20)*(C20)))/(J20-L20))</f>
        <v>3.33207640706084</v>
      </c>
      <c r="O20" s="47" t="n">
        <f aca="false">G20*EXP(-J20*C20)*IF(ABS(J20-L20)&lt;0.000000000001,(H20)-(F20),(EXP((J20-L20)*(H20))-EXP((J20-L20)*(F20)))/(J20-L20))</f>
        <v>0.624957632687536</v>
      </c>
      <c r="P20" s="47" t="n">
        <f aca="false">IF(ABS(-L20)&lt;0.000000000001,(H20)-(0),(EXP((-L20)*(H20))-EXP((-L20)*(0)))/(-L20))</f>
        <v>6</v>
      </c>
      <c r="Q20" s="47" t="n">
        <f aca="false">IF(C20&gt;F20,"t0&gt;T1（未支援）",(M20+N20+O20)/P20)</f>
        <v>0.659505673291395</v>
      </c>
      <c r="R20" s="15" t="n">
        <f aca="false">IN_sh_H*IN_rg_H</f>
        <v>2.81888551801847</v>
      </c>
    </row>
    <row r="21" customFormat="false" ht="16.5" hidden="false" customHeight="true" outlineLevel="0" collapsed="false">
      <c r="A21" s="1" t="s">
        <v>78</v>
      </c>
      <c r="B21" s="1" t="s">
        <v>327</v>
      </c>
      <c r="C21" s="1" t="n">
        <f aca="false">0</f>
        <v>0</v>
      </c>
      <c r="D21" s="35" t="n">
        <f aca="false">IN_g</f>
        <v>-0.09</v>
      </c>
      <c r="E21" s="35" t="n">
        <f aca="false">IN_gpre</f>
        <v>-0.09</v>
      </c>
      <c r="F21" s="1" t="n">
        <f aca="false">IN_T1</f>
        <v>4</v>
      </c>
      <c r="G21" s="35" t="n">
        <f aca="false">IN_rho</f>
        <v>0.5</v>
      </c>
      <c r="H21" s="1" t="n">
        <f aca="false">IN_T</f>
        <v>6</v>
      </c>
      <c r="I21" s="35" t="n">
        <f aca="false">0</f>
        <v>0</v>
      </c>
      <c r="J21" s="47" t="n">
        <f aca="false">LN(1+D21)</f>
        <v>-0.0943106794712413</v>
      </c>
      <c r="K21" s="47" t="n">
        <f aca="false">LN(1+E21)</f>
        <v>-0.0943106794712413</v>
      </c>
      <c r="L21" s="47" t="n">
        <f aca="false">LN(1+I21)</f>
        <v>0</v>
      </c>
      <c r="M21" s="47" t="n">
        <f aca="false">IF(C21&gt;0,EXP(-K21*C21)*IF(ABS(K21-L21)&lt;0.000000000001,(C21)-(0),(EXP((K21-L21)*(C21))-EXP((K21-L21)*(0)))/(K21-L21)),0)</f>
        <v>0</v>
      </c>
      <c r="N21" s="47" t="n">
        <f aca="false">EXP(-J21*C21)*IF(ABS(J21-L21)&lt;0.000000000001,(F21)-(C21),(EXP((J21-L21)*(F21))-EXP((J21-L21)*(C21)))/(J21-L21))</f>
        <v>3.33207640706084</v>
      </c>
      <c r="O21" s="47" t="n">
        <f aca="false">G21*EXP(-J21*C21)*IF(ABS(J21-L21)&lt;0.000000000001,(H21)-(F21),(EXP((J21-L21)*(H21))-EXP((J21-L21)*(F21)))/(J21-L21))</f>
        <v>0.624957632687536</v>
      </c>
      <c r="P21" s="47" t="n">
        <f aca="false">IF(ABS(-L21)&lt;0.000000000001,(H21)-(0),(EXP((-L21)*(H21))-EXP((-L21)*(0)))/(-L21))</f>
        <v>6</v>
      </c>
      <c r="Q21" s="47" t="n">
        <f aca="false">IF(C21&gt;F21,"t0&gt;T1（未支援）",(M21+N21+O21)/P21)</f>
        <v>0.659505673291395</v>
      </c>
      <c r="R21" s="15" t="n">
        <f aca="false">IN_sh_G*IN_rg_G</f>
        <v>9.24654168303684</v>
      </c>
    </row>
    <row r="22" customFormat="false" ht="16.5" hidden="false" customHeight="true" outlineLevel="0" collapsed="false">
      <c r="A22" s="1" t="s">
        <v>78</v>
      </c>
      <c r="B22" s="1" t="s">
        <v>328</v>
      </c>
      <c r="C22" s="1" t="n">
        <f aca="false">0</f>
        <v>0</v>
      </c>
      <c r="D22" s="35" t="n">
        <f aca="false">IN_g</f>
        <v>-0.09</v>
      </c>
      <c r="E22" s="35" t="n">
        <f aca="false">IN_gpre</f>
        <v>-0.09</v>
      </c>
      <c r="F22" s="1" t="n">
        <f aca="false">IN_T1</f>
        <v>4</v>
      </c>
      <c r="G22" s="35" t="n">
        <f aca="false">IN_rho</f>
        <v>0.5</v>
      </c>
      <c r="H22" s="1" t="n">
        <f aca="false">IN_T</f>
        <v>6</v>
      </c>
      <c r="I22" s="35" t="n">
        <f aca="false">0</f>
        <v>0</v>
      </c>
      <c r="J22" s="47" t="n">
        <f aca="false">LN(1+D22)</f>
        <v>-0.0943106794712413</v>
      </c>
      <c r="K22" s="47" t="n">
        <f aca="false">LN(1+E22)</f>
        <v>-0.0943106794712413</v>
      </c>
      <c r="L22" s="47" t="n">
        <f aca="false">LN(1+I22)</f>
        <v>0</v>
      </c>
      <c r="M22" s="47" t="n">
        <f aca="false">IF(C22&gt;0,EXP(-K22*C22)*IF(ABS(K22-L22)&lt;0.000000000001,(C22)-(0),(EXP((K22-L22)*(C22))-EXP((K22-L22)*(0)))/(K22-L22)),0)</f>
        <v>0</v>
      </c>
      <c r="N22" s="47" t="n">
        <f aca="false">EXP(-J22*C22)*IF(ABS(J22-L22)&lt;0.000000000001,(F22)-(C22),(EXP((J22-L22)*(F22))-EXP((J22-L22)*(C22)))/(J22-L22))</f>
        <v>3.33207640706084</v>
      </c>
      <c r="O22" s="47" t="n">
        <f aca="false">G22*EXP(-J22*C22)*IF(ABS(J22-L22)&lt;0.000000000001,(H22)-(F22),(EXP((J22-L22)*(H22))-EXP((J22-L22)*(F22)))/(J22-L22))</f>
        <v>0.624957632687536</v>
      </c>
      <c r="P22" s="47" t="n">
        <f aca="false">IF(ABS(-L22)&lt;0.000000000001,(H22)-(0),(EXP((-L22)*(H22))-EXP((-L22)*(0)))/(-L22))</f>
        <v>6</v>
      </c>
      <c r="Q22" s="47" t="n">
        <f aca="false">IF(C22&gt;F22,"t0&gt;T1（未支援）",(M22+N22+O22)/P22)</f>
        <v>0.659505673291395</v>
      </c>
      <c r="R22" s="15" t="n">
        <f aca="false">IN_sh_3*IN_rg_3</f>
        <v>0</v>
      </c>
    </row>
    <row r="23" customFormat="false" ht="16.5" hidden="false" customHeight="true" outlineLevel="0" collapsed="false">
      <c r="A23" s="1" t="s">
        <v>78</v>
      </c>
      <c r="B23" s="1" t="s">
        <v>329</v>
      </c>
      <c r="C23" s="1" t="n">
        <f aca="false">0</f>
        <v>0</v>
      </c>
      <c r="D23" s="35" t="n">
        <f aca="false">IN_g</f>
        <v>-0.09</v>
      </c>
      <c r="E23" s="35" t="n">
        <f aca="false">IN_gpre</f>
        <v>-0.09</v>
      </c>
      <c r="F23" s="1" t="n">
        <f aca="false">IN_T1</f>
        <v>4</v>
      </c>
      <c r="G23" s="35" t="n">
        <f aca="false">IN_rho</f>
        <v>0.5</v>
      </c>
      <c r="H23" s="1" t="n">
        <f aca="false">IN_T</f>
        <v>6</v>
      </c>
      <c r="I23" s="35" t="n">
        <f aca="false">0</f>
        <v>0</v>
      </c>
      <c r="J23" s="47" t="n">
        <f aca="false">LN(1+D23)</f>
        <v>-0.0943106794712413</v>
      </c>
      <c r="K23" s="47" t="n">
        <f aca="false">LN(1+E23)</f>
        <v>-0.0943106794712413</v>
      </c>
      <c r="L23" s="47" t="n">
        <f aca="false">LN(1+I23)</f>
        <v>0</v>
      </c>
      <c r="M23" s="47" t="n">
        <f aca="false">IF(C23&gt;0,EXP(-K23*C23)*IF(ABS(K23-L23)&lt;0.000000000001,(C23)-(0),(EXP((K23-L23)*(C23))-EXP((K23-L23)*(0)))/(K23-L23)),0)</f>
        <v>0</v>
      </c>
      <c r="N23" s="47" t="n">
        <f aca="false">EXP(-J23*C23)*IF(ABS(J23-L23)&lt;0.000000000001,(F23)-(C23),(EXP((J23-L23)*(F23))-EXP((J23-L23)*(C23)))/(J23-L23))</f>
        <v>3.33207640706084</v>
      </c>
      <c r="O23" s="47" t="n">
        <f aca="false">G23*EXP(-J23*C23)*IF(ABS(J23-L23)&lt;0.000000000001,(H23)-(F23),(EXP((J23-L23)*(H23))-EXP((J23-L23)*(F23)))/(J23-L23))</f>
        <v>0.624957632687536</v>
      </c>
      <c r="P23" s="47" t="n">
        <f aca="false">IF(ABS(-L23)&lt;0.000000000001,(H23)-(0),(EXP((-L23)*(H23))-EXP((-L23)*(0)))/(-L23))</f>
        <v>6</v>
      </c>
      <c r="Q23" s="47" t="n">
        <f aca="false">IF(C23&gt;F23,"t0&gt;T1（未支援）",(M23+N23+O23)/P23)</f>
        <v>0.659505673291395</v>
      </c>
      <c r="R23" s="15" t="n">
        <f aca="false">IN_sh_V*IN_rg_V</f>
        <v>0</v>
      </c>
    </row>
    <row r="24" customFormat="false" ht="16.5" hidden="false" customHeight="true" outlineLevel="0" collapsed="false">
      <c r="A24" s="1" t="s">
        <v>82</v>
      </c>
      <c r="B24" s="1" t="s">
        <v>326</v>
      </c>
      <c r="C24" s="1" t="n">
        <f aca="false">0</f>
        <v>0</v>
      </c>
      <c r="D24" s="35" t="n">
        <f aca="false">IN_g</f>
        <v>-0.09</v>
      </c>
      <c r="E24" s="35" t="n">
        <f aca="false">IN_gpre</f>
        <v>-0.09</v>
      </c>
      <c r="F24" s="1" t="n">
        <f aca="false">IN_T1</f>
        <v>4</v>
      </c>
      <c r="G24" s="35" t="n">
        <f aca="false">IN_rho</f>
        <v>0.5</v>
      </c>
      <c r="H24" s="1" t="n">
        <f aca="false">IN_T</f>
        <v>6</v>
      </c>
      <c r="I24" s="35" t="n">
        <f aca="false">IN_WACC</f>
        <v>0.1</v>
      </c>
      <c r="J24" s="47" t="n">
        <f aca="false">LN(1+D24)</f>
        <v>-0.0943106794712413</v>
      </c>
      <c r="K24" s="47" t="n">
        <f aca="false">LN(1+E24)</f>
        <v>-0.0943106794712413</v>
      </c>
      <c r="L24" s="47" t="n">
        <f aca="false">LN(1+I24)</f>
        <v>0.0953101798043249</v>
      </c>
      <c r="M24" s="47" t="n">
        <f aca="false">IF(C24&gt;0,EXP(-K24*C24)*IF(ABS(K24-L24)&lt;0.000000000001,(C24)-(0),(EXP((K24-L24)*(C24))-EXP((K24-L24)*(0)))/(K24-L24)),0)</f>
        <v>0</v>
      </c>
      <c r="N24" s="47" t="n">
        <f aca="false">EXP(-J24*C24)*IF(ABS(J24-L24)&lt;0.000000000001,(F24)-(C24),(EXP((J24-L24)*(F24))-EXP((J24-L24)*(C24)))/(J24-L24))</f>
        <v>2.80361449362525</v>
      </c>
      <c r="O24" s="47" t="n">
        <f aca="false">G24*EXP(-J24*C24)*IF(ABS(J24-L24)&lt;0.000000000001,(H24)-(F24),(EXP((J24-L24)*(H24))-EXP((J24-L24)*(F24)))/(J24-L24))</f>
        <v>0.38980105551108</v>
      </c>
      <c r="P24" s="47" t="n">
        <f aca="false">IF(ABS(-L24)&lt;0.000000000001,(H24)-(0),(EXP((-L24)*(H24))-EXP((-L24)*(0)))/(-L24))</f>
        <v>4.56956508570619</v>
      </c>
      <c r="Q24" s="47" t="n">
        <f aca="false">IF(C24&gt;F24,"t0&gt;T1（未支援）",(M24+N24+O24)/P24)</f>
        <v>0.698844526610524</v>
      </c>
      <c r="R24" s="15" t="n">
        <f aca="false">IN_sh_H*IN_rg_H</f>
        <v>2.81888551801847</v>
      </c>
    </row>
    <row r="25" customFormat="false" ht="16.5" hidden="false" customHeight="true" outlineLevel="0" collapsed="false">
      <c r="A25" s="1" t="s">
        <v>82</v>
      </c>
      <c r="B25" s="1" t="s">
        <v>327</v>
      </c>
      <c r="C25" s="1" t="n">
        <f aca="false">0</f>
        <v>0</v>
      </c>
      <c r="D25" s="35" t="n">
        <f aca="false">IN_g</f>
        <v>-0.09</v>
      </c>
      <c r="E25" s="35" t="n">
        <f aca="false">IN_gpre</f>
        <v>-0.09</v>
      </c>
      <c r="F25" s="1" t="n">
        <f aca="false">IN_T1</f>
        <v>4</v>
      </c>
      <c r="G25" s="35" t="n">
        <f aca="false">IN_rho</f>
        <v>0.5</v>
      </c>
      <c r="H25" s="1" t="n">
        <f aca="false">IN_T</f>
        <v>6</v>
      </c>
      <c r="I25" s="35" t="n">
        <f aca="false">IN_WACC</f>
        <v>0.1</v>
      </c>
      <c r="J25" s="47" t="n">
        <f aca="false">LN(1+D25)</f>
        <v>-0.0943106794712413</v>
      </c>
      <c r="K25" s="47" t="n">
        <f aca="false">LN(1+E25)</f>
        <v>-0.0943106794712413</v>
      </c>
      <c r="L25" s="47" t="n">
        <f aca="false">LN(1+I25)</f>
        <v>0.0953101798043249</v>
      </c>
      <c r="M25" s="47" t="n">
        <f aca="false">IF(C25&gt;0,EXP(-K25*C25)*IF(ABS(K25-L25)&lt;0.000000000001,(C25)-(0),(EXP((K25-L25)*(C25))-EXP((K25-L25)*(0)))/(K25-L25)),0)</f>
        <v>0</v>
      </c>
      <c r="N25" s="47" t="n">
        <f aca="false">EXP(-J25*C25)*IF(ABS(J25-L25)&lt;0.000000000001,(F25)-(C25),(EXP((J25-L25)*(F25))-EXP((J25-L25)*(C25)))/(J25-L25))</f>
        <v>2.80361449362525</v>
      </c>
      <c r="O25" s="47" t="n">
        <f aca="false">G25*EXP(-J25*C25)*IF(ABS(J25-L25)&lt;0.000000000001,(H25)-(F25),(EXP((J25-L25)*(H25))-EXP((J25-L25)*(F25)))/(J25-L25))</f>
        <v>0.38980105551108</v>
      </c>
      <c r="P25" s="47" t="n">
        <f aca="false">IF(ABS(-L25)&lt;0.000000000001,(H25)-(0),(EXP((-L25)*(H25))-EXP((-L25)*(0)))/(-L25))</f>
        <v>4.56956508570619</v>
      </c>
      <c r="Q25" s="47" t="n">
        <f aca="false">IF(C25&gt;F25,"t0&gt;T1（未支援）",(M25+N25+O25)/P25)</f>
        <v>0.698844526610524</v>
      </c>
      <c r="R25" s="15" t="n">
        <f aca="false">IN_sh_G*IN_rg_G</f>
        <v>9.24654168303684</v>
      </c>
    </row>
    <row r="26" customFormat="false" ht="16.5" hidden="false" customHeight="true" outlineLevel="0" collapsed="false">
      <c r="A26" s="1" t="s">
        <v>82</v>
      </c>
      <c r="B26" s="1" t="s">
        <v>328</v>
      </c>
      <c r="C26" s="1" t="n">
        <f aca="false">0</f>
        <v>0</v>
      </c>
      <c r="D26" s="35" t="n">
        <f aca="false">IN_g</f>
        <v>-0.09</v>
      </c>
      <c r="E26" s="35" t="n">
        <f aca="false">IN_gpre</f>
        <v>-0.09</v>
      </c>
      <c r="F26" s="1" t="n">
        <f aca="false">IN_T1</f>
        <v>4</v>
      </c>
      <c r="G26" s="35" t="n">
        <f aca="false">IN_rho</f>
        <v>0.5</v>
      </c>
      <c r="H26" s="1" t="n">
        <f aca="false">IN_T</f>
        <v>6</v>
      </c>
      <c r="I26" s="35" t="n">
        <f aca="false">IN_WACC</f>
        <v>0.1</v>
      </c>
      <c r="J26" s="47" t="n">
        <f aca="false">LN(1+D26)</f>
        <v>-0.0943106794712413</v>
      </c>
      <c r="K26" s="47" t="n">
        <f aca="false">LN(1+E26)</f>
        <v>-0.0943106794712413</v>
      </c>
      <c r="L26" s="47" t="n">
        <f aca="false">LN(1+I26)</f>
        <v>0.0953101798043249</v>
      </c>
      <c r="M26" s="47" t="n">
        <f aca="false">IF(C26&gt;0,EXP(-K26*C26)*IF(ABS(K26-L26)&lt;0.000000000001,(C26)-(0),(EXP((K26-L26)*(C26))-EXP((K26-L26)*(0)))/(K26-L26)),0)</f>
        <v>0</v>
      </c>
      <c r="N26" s="47" t="n">
        <f aca="false">EXP(-J26*C26)*IF(ABS(J26-L26)&lt;0.000000000001,(F26)-(C26),(EXP((J26-L26)*(F26))-EXP((J26-L26)*(C26)))/(J26-L26))</f>
        <v>2.80361449362525</v>
      </c>
      <c r="O26" s="47" t="n">
        <f aca="false">G26*EXP(-J26*C26)*IF(ABS(J26-L26)&lt;0.000000000001,(H26)-(F26),(EXP((J26-L26)*(H26))-EXP((J26-L26)*(F26)))/(J26-L26))</f>
        <v>0.38980105551108</v>
      </c>
      <c r="P26" s="47" t="n">
        <f aca="false">IF(ABS(-L26)&lt;0.000000000001,(H26)-(0),(EXP((-L26)*(H26))-EXP((-L26)*(0)))/(-L26))</f>
        <v>4.56956508570619</v>
      </c>
      <c r="Q26" s="47" t="n">
        <f aca="false">IF(C26&gt;F26,"t0&gt;T1（未支援）",(M26+N26+O26)/P26)</f>
        <v>0.698844526610524</v>
      </c>
      <c r="R26" s="15" t="n">
        <f aca="false">IN_sh_3*IN_rg_3</f>
        <v>0</v>
      </c>
    </row>
    <row r="27" customFormat="false" ht="16.5" hidden="false" customHeight="true" outlineLevel="0" collapsed="false">
      <c r="A27" s="1" t="s">
        <v>82</v>
      </c>
      <c r="B27" s="1" t="s">
        <v>329</v>
      </c>
      <c r="C27" s="1" t="n">
        <f aca="false">0</f>
        <v>0</v>
      </c>
      <c r="D27" s="35" t="n">
        <f aca="false">IN_g</f>
        <v>-0.09</v>
      </c>
      <c r="E27" s="35" t="n">
        <f aca="false">IN_gpre</f>
        <v>-0.09</v>
      </c>
      <c r="F27" s="1" t="n">
        <f aca="false">IN_T1</f>
        <v>4</v>
      </c>
      <c r="G27" s="35" t="n">
        <f aca="false">IN_rho</f>
        <v>0.5</v>
      </c>
      <c r="H27" s="1" t="n">
        <f aca="false">IN_T</f>
        <v>6</v>
      </c>
      <c r="I27" s="35" t="n">
        <f aca="false">IN_WACC</f>
        <v>0.1</v>
      </c>
      <c r="J27" s="47" t="n">
        <f aca="false">LN(1+D27)</f>
        <v>-0.0943106794712413</v>
      </c>
      <c r="K27" s="47" t="n">
        <f aca="false">LN(1+E27)</f>
        <v>-0.0943106794712413</v>
      </c>
      <c r="L27" s="47" t="n">
        <f aca="false">LN(1+I27)</f>
        <v>0.0953101798043249</v>
      </c>
      <c r="M27" s="47" t="n">
        <f aca="false">IF(C27&gt;0,EXP(-K27*C27)*IF(ABS(K27-L27)&lt;0.000000000001,(C27)-(0),(EXP((K27-L27)*(C27))-EXP((K27-L27)*(0)))/(K27-L27)),0)</f>
        <v>0</v>
      </c>
      <c r="N27" s="47" t="n">
        <f aca="false">EXP(-J27*C27)*IF(ABS(J27-L27)&lt;0.000000000001,(F27)-(C27),(EXP((J27-L27)*(F27))-EXP((J27-L27)*(C27)))/(J27-L27))</f>
        <v>2.80361449362525</v>
      </c>
      <c r="O27" s="47" t="n">
        <f aca="false">G27*EXP(-J27*C27)*IF(ABS(J27-L27)&lt;0.000000000001,(H27)-(F27),(EXP((J27-L27)*(H27))-EXP((J27-L27)*(F27)))/(J27-L27))</f>
        <v>0.38980105551108</v>
      </c>
      <c r="P27" s="47" t="n">
        <f aca="false">IF(ABS(-L27)&lt;0.000000000001,(H27)-(0),(EXP((-L27)*(H27))-EXP((-L27)*(0)))/(-L27))</f>
        <v>4.56956508570619</v>
      </c>
      <c r="Q27" s="47" t="n">
        <f aca="false">IF(C27&gt;F27,"t0&gt;T1（未支援）",(M27+N27+O27)/P27)</f>
        <v>0.698844526610524</v>
      </c>
      <c r="R27" s="15" t="n">
        <f aca="false">IN_sh_V*IN_rg_V</f>
        <v>0</v>
      </c>
    </row>
    <row r="28" customFormat="false" ht="16.5" hidden="false" customHeight="true" outlineLevel="0" collapsed="false">
      <c r="A28" s="1" t="s">
        <v>297</v>
      </c>
      <c r="B28" s="1" t="s">
        <v>326</v>
      </c>
      <c r="C28" s="1" t="n">
        <f aca="false">MAX(0,IN_A-IN_sv_H)</f>
        <v>2</v>
      </c>
      <c r="D28" s="35" t="n">
        <f aca="false">IN_g</f>
        <v>-0.09</v>
      </c>
      <c r="E28" s="35" t="n">
        <f aca="false">IN_gpre</f>
        <v>-0.09</v>
      </c>
      <c r="F28" s="1" t="n">
        <f aca="false">IN_T1</f>
        <v>4</v>
      </c>
      <c r="G28" s="35" t="n">
        <f aca="false">IN_rho</f>
        <v>0.5</v>
      </c>
      <c r="H28" s="1" t="n">
        <f aca="false">IN_T</f>
        <v>6</v>
      </c>
      <c r="I28" s="35" t="n">
        <f aca="false">IN_WACC</f>
        <v>0.1</v>
      </c>
      <c r="J28" s="47" t="n">
        <f aca="false">LN(1+D28)</f>
        <v>-0.0943106794712413</v>
      </c>
      <c r="K28" s="47" t="n">
        <f aca="false">LN(1+E28)</f>
        <v>-0.0943106794712413</v>
      </c>
      <c r="L28" s="47" t="n">
        <f aca="false">LN(1+I28)</f>
        <v>0.0953101798043249</v>
      </c>
      <c r="M28" s="47" t="n">
        <f aca="false">IF(C28&gt;0,EXP(-K28*C28)*IF(ABS(K28-L28)&lt;0.000000000001,(C28)-(0),(EXP((K28-L28)*(C28))-EXP((K28-L28)*(0)))/(K28-L28)),0)</f>
        <v>2.00999692560416</v>
      </c>
      <c r="N28" s="47" t="n">
        <f aca="false">EXP(-J28*C28)*IF(ABS(J28-L28)&lt;0.000000000001,(F28)-(C28),(EXP((J28-L28)*(F28))-EXP((J28-L28)*(C28)))/(J28-L28))</f>
        <v>1.37560202817587</v>
      </c>
      <c r="O28" s="47" t="n">
        <f aca="false">G28*EXP(-J28*C28)*IF(ABS(J28-L28)&lt;0.000000000001,(H28)-(F28),(EXP((J28-L28)*(H28))-EXP((J28-L28)*(F28)))/(J28-L28))</f>
        <v>0.47071737170762</v>
      </c>
      <c r="P28" s="47" t="n">
        <f aca="false">IF(ABS(-L28)&lt;0.000000000001,(H28)-(0),(EXP((-L28)*(H28))-EXP((-L28)*(0)))/(-L28))</f>
        <v>4.56956508570619</v>
      </c>
      <c r="Q28" s="47" t="n">
        <f aca="false">IF(C28&gt;F28,"t0&gt;T1（未支援）",(M28+N28+O28)/P28)</f>
        <v>0.843913206871784</v>
      </c>
      <c r="R28" s="15" t="n">
        <f aca="false">IN_sh_H*IN_rg_H</f>
        <v>2.81888551801847</v>
      </c>
    </row>
    <row r="29" customFormat="false" ht="16.5" hidden="false" customHeight="true" outlineLevel="0" collapsed="false">
      <c r="A29" s="1" t="s">
        <v>297</v>
      </c>
      <c r="B29" s="1" t="s">
        <v>327</v>
      </c>
      <c r="C29" s="1" t="n">
        <f aca="false">MAX(0,IN_A-IN_sv_G)</f>
        <v>0.5</v>
      </c>
      <c r="D29" s="35" t="n">
        <f aca="false">IN_g</f>
        <v>-0.09</v>
      </c>
      <c r="E29" s="35" t="n">
        <f aca="false">IN_gpre</f>
        <v>-0.09</v>
      </c>
      <c r="F29" s="1" t="n">
        <f aca="false">IN_T1</f>
        <v>4</v>
      </c>
      <c r="G29" s="35" t="n">
        <f aca="false">IN_rho</f>
        <v>0.5</v>
      </c>
      <c r="H29" s="1" t="n">
        <f aca="false">IN_T</f>
        <v>6</v>
      </c>
      <c r="I29" s="35" t="n">
        <f aca="false">IN_WACC</f>
        <v>0.1</v>
      </c>
      <c r="J29" s="47" t="n">
        <f aca="false">LN(1+D29)</f>
        <v>-0.0943106794712413</v>
      </c>
      <c r="K29" s="47" t="n">
        <f aca="false">LN(1+E29)</f>
        <v>-0.0943106794712413</v>
      </c>
      <c r="L29" s="47" t="n">
        <f aca="false">LN(1+I29)</f>
        <v>0.0953101798043249</v>
      </c>
      <c r="M29" s="47" t="n">
        <f aca="false">IF(C29&gt;0,EXP(-K29*C29)*IF(ABS(K29-L29)&lt;0.000000000001,(C29)-(0),(EXP((K29-L29)*(C29))-EXP((K29-L29)*(0)))/(K29-L29)),0)</f>
        <v>0.500062323515398</v>
      </c>
      <c r="N29" s="47" t="n">
        <f aca="false">EXP(-J29*C29)*IF(ABS(J29-L29)&lt;0.000000000001,(F29)-(C29),(EXP((J29-L29)*(F29))-EXP((J29-L29)*(C29)))/(J29-L29))</f>
        <v>2.43892423816575</v>
      </c>
      <c r="O29" s="47" t="n">
        <f aca="false">G29*EXP(-J29*C29)*IF(ABS(J29-L29)&lt;0.000000000001,(H29)-(F29),(EXP((J29-L29)*(H29))-EXP((J29-L29)*(F29)))/(J29-L29))</f>
        <v>0.408622535830464</v>
      </c>
      <c r="P29" s="47" t="n">
        <f aca="false">IF(ABS(-L29)&lt;0.000000000001,(H29)-(0),(EXP((-L29)*(H29))-EXP((-L29)*(0)))/(-L29))</f>
        <v>4.56956508570619</v>
      </c>
      <c r="Q29" s="47" t="n">
        <f aca="false">IF(C29&gt;F29,"t0&gt;T1（未支援）",(M29+N29+O29)/P29)</f>
        <v>0.73258812047192</v>
      </c>
      <c r="R29" s="15" t="n">
        <f aca="false">IN_sh_G*IN_rg_G</f>
        <v>9.24654168303684</v>
      </c>
    </row>
    <row r="30" customFormat="false" ht="16.5" hidden="false" customHeight="true" outlineLevel="0" collapsed="false">
      <c r="A30" s="1" t="s">
        <v>297</v>
      </c>
      <c r="B30" s="1" t="s">
        <v>328</v>
      </c>
      <c r="C30" s="1" t="n">
        <f aca="false">MAX(0,IN_A-IN_sv_3)</f>
        <v>0</v>
      </c>
      <c r="D30" s="35" t="n">
        <f aca="false">IN_g</f>
        <v>-0.09</v>
      </c>
      <c r="E30" s="35" t="n">
        <f aca="false">IN_gpre</f>
        <v>-0.09</v>
      </c>
      <c r="F30" s="1" t="n">
        <f aca="false">IN_T1</f>
        <v>4</v>
      </c>
      <c r="G30" s="35" t="n">
        <f aca="false">IN_rho</f>
        <v>0.5</v>
      </c>
      <c r="H30" s="1" t="n">
        <f aca="false">IN_T</f>
        <v>6</v>
      </c>
      <c r="I30" s="35" t="n">
        <f aca="false">IN_WACC</f>
        <v>0.1</v>
      </c>
      <c r="J30" s="47" t="n">
        <f aca="false">LN(1+D30)</f>
        <v>-0.0943106794712413</v>
      </c>
      <c r="K30" s="47" t="n">
        <f aca="false">LN(1+E30)</f>
        <v>-0.0943106794712413</v>
      </c>
      <c r="L30" s="47" t="n">
        <f aca="false">LN(1+I30)</f>
        <v>0.0953101798043249</v>
      </c>
      <c r="M30" s="47" t="n">
        <f aca="false">IF(C30&gt;0,EXP(-K30*C30)*IF(ABS(K30-L30)&lt;0.000000000001,(C30)-(0),(EXP((K30-L30)*(C30))-EXP((K30-L30)*(0)))/(K30-L30)),0)</f>
        <v>0</v>
      </c>
      <c r="N30" s="47" t="n">
        <f aca="false">EXP(-J30*C30)*IF(ABS(J30-L30)&lt;0.000000000001,(F30)-(C30),(EXP((J30-L30)*(F30))-EXP((J30-L30)*(C30)))/(J30-L30))</f>
        <v>2.80361449362525</v>
      </c>
      <c r="O30" s="47" t="n">
        <f aca="false">G30*EXP(-J30*C30)*IF(ABS(J30-L30)&lt;0.000000000001,(H30)-(F30),(EXP((J30-L30)*(H30))-EXP((J30-L30)*(F30)))/(J30-L30))</f>
        <v>0.38980105551108</v>
      </c>
      <c r="P30" s="47" t="n">
        <f aca="false">IF(ABS(-L30)&lt;0.000000000001,(H30)-(0),(EXP((-L30)*(H30))-EXP((-L30)*(0)))/(-L30))</f>
        <v>4.56956508570619</v>
      </c>
      <c r="Q30" s="47" t="n">
        <f aca="false">IF(C30&gt;F30,"t0&gt;T1（未支援）",(M30+N30+O30)/P30)</f>
        <v>0.698844526610524</v>
      </c>
      <c r="R30" s="15" t="n">
        <f aca="false">IN_sh_3*IN_rg_3</f>
        <v>0</v>
      </c>
    </row>
    <row r="31" customFormat="false" ht="16.5" hidden="false" customHeight="true" outlineLevel="0" collapsed="false">
      <c r="A31" s="1" t="s">
        <v>297</v>
      </c>
      <c r="B31" s="1" t="s">
        <v>329</v>
      </c>
      <c r="C31" s="1" t="n">
        <f aca="false">MAX(0,IN_A-IN_sv_V)</f>
        <v>0</v>
      </c>
      <c r="D31" s="35" t="n">
        <f aca="false">IN_g</f>
        <v>-0.09</v>
      </c>
      <c r="E31" s="35" t="n">
        <f aca="false">IN_gpre</f>
        <v>-0.09</v>
      </c>
      <c r="F31" s="1" t="n">
        <f aca="false">IN_T1</f>
        <v>4</v>
      </c>
      <c r="G31" s="35" t="n">
        <f aca="false">IN_rho</f>
        <v>0.5</v>
      </c>
      <c r="H31" s="1" t="n">
        <f aca="false">IN_T</f>
        <v>6</v>
      </c>
      <c r="I31" s="35" t="n">
        <f aca="false">IN_WACC</f>
        <v>0.1</v>
      </c>
      <c r="J31" s="47" t="n">
        <f aca="false">LN(1+D31)</f>
        <v>-0.0943106794712413</v>
      </c>
      <c r="K31" s="47" t="n">
        <f aca="false">LN(1+E31)</f>
        <v>-0.0943106794712413</v>
      </c>
      <c r="L31" s="47" t="n">
        <f aca="false">LN(1+I31)</f>
        <v>0.0953101798043249</v>
      </c>
      <c r="M31" s="47" t="n">
        <f aca="false">IF(C31&gt;0,EXP(-K31*C31)*IF(ABS(K31-L31)&lt;0.000000000001,(C31)-(0),(EXP((K31-L31)*(C31))-EXP((K31-L31)*(0)))/(K31-L31)),0)</f>
        <v>0</v>
      </c>
      <c r="N31" s="47" t="n">
        <f aca="false">EXP(-J31*C31)*IF(ABS(J31-L31)&lt;0.000000000001,(F31)-(C31),(EXP((J31-L31)*(F31))-EXP((J31-L31)*(C31)))/(J31-L31))</f>
        <v>2.80361449362525</v>
      </c>
      <c r="O31" s="47" t="n">
        <f aca="false">G31*EXP(-J31*C31)*IF(ABS(J31-L31)&lt;0.000000000001,(H31)-(F31),(EXP((J31-L31)*(H31))-EXP((J31-L31)*(F31)))/(J31-L31))</f>
        <v>0.38980105551108</v>
      </c>
      <c r="P31" s="47" t="n">
        <f aca="false">IF(ABS(-L31)&lt;0.000000000001,(H31)-(0),(EXP((-L31)*(H31))-EXP((-L31)*(0)))/(-L31))</f>
        <v>4.56956508570619</v>
      </c>
      <c r="Q31" s="47" t="n">
        <f aca="false">IF(C31&gt;F31,"t0&gt;T1（未支援）",(M31+N31+O31)/P31)</f>
        <v>0.698844526610524</v>
      </c>
      <c r="R31" s="15" t="n">
        <f aca="false">IN_sh_V*IN_rg_V</f>
        <v>0</v>
      </c>
    </row>
    <row r="32" customFormat="false" ht="16.5" hidden="false" customHeight="true" outlineLevel="0" collapsed="false">
      <c r="A32" s="1" t="s">
        <v>300</v>
      </c>
      <c r="B32" s="1" t="s">
        <v>326</v>
      </c>
      <c r="C32" s="1" t="n">
        <f aca="false">MAX(0,IN_A-IN_sv_H)</f>
        <v>2</v>
      </c>
      <c r="D32" s="35" t="n">
        <f aca="false">IN_g</f>
        <v>-0.09</v>
      </c>
      <c r="E32" s="35" t="n">
        <f aca="false">IN_gpre</f>
        <v>-0.09</v>
      </c>
      <c r="F32" s="1" t="n">
        <f aca="false">IN_T1</f>
        <v>4</v>
      </c>
      <c r="G32" s="35" t="n">
        <f aca="false">IN_rho</f>
        <v>0.5</v>
      </c>
      <c r="H32" s="1" t="n">
        <f aca="false">IN_T</f>
        <v>6</v>
      </c>
      <c r="I32" s="35" t="n">
        <f aca="false">0</f>
        <v>0</v>
      </c>
      <c r="J32" s="47" t="n">
        <f aca="false">LN(1+D32)</f>
        <v>-0.0943106794712413</v>
      </c>
      <c r="K32" s="47" t="n">
        <f aca="false">LN(1+E32)</f>
        <v>-0.0943106794712413</v>
      </c>
      <c r="L32" s="47" t="n">
        <f aca="false">LN(1+I32)</f>
        <v>0</v>
      </c>
      <c r="M32" s="47" t="n">
        <f aca="false">IF(C32&gt;0,EXP(-K32*C32)*IF(ABS(K32-L32)&lt;0.000000000001,(C32)-(0),(EXP((K32-L32)*(C32))-EXP((K32-L32)*(0)))/(K32-L32)),0)</f>
        <v>2.20106170721994</v>
      </c>
      <c r="N32" s="47" t="n">
        <f aca="false">EXP(-J32*C32)*IF(ABS(J32-L32)&lt;0.000000000001,(F32)-(C32),(EXP((J32-L32)*(F32))-EXP((J32-L32)*(C32)))/(J32-L32))</f>
        <v>1.82269919974883</v>
      </c>
      <c r="O32" s="47" t="n">
        <f aca="false">G32*EXP(-J32*C32)*IF(ABS(J32-L32)&lt;0.000000000001,(H32)-(F32),(EXP((J32-L32)*(H32))-EXP((J32-L32)*(F32)))/(J32-L32))</f>
        <v>0.754688603656003</v>
      </c>
      <c r="P32" s="47" t="n">
        <f aca="false">IF(ABS(-L32)&lt;0.000000000001,(H32)-(0),(EXP((-L32)*(H32))-EXP((-L32)*(0)))/(-L32))</f>
        <v>6</v>
      </c>
      <c r="Q32" s="47" t="n">
        <f aca="false">IF(C32&gt;F32,"t0&gt;T1（未支援）",(M32+N32+O32)/P32)</f>
        <v>0.796408251770795</v>
      </c>
      <c r="R32" s="15" t="n">
        <f aca="false">IN_sh_H*IN_rg_H</f>
        <v>2.81888551801847</v>
      </c>
    </row>
    <row r="33" customFormat="false" ht="16.5" hidden="false" customHeight="true" outlineLevel="0" collapsed="false">
      <c r="A33" s="1" t="s">
        <v>300</v>
      </c>
      <c r="B33" s="1" t="s">
        <v>327</v>
      </c>
      <c r="C33" s="1" t="n">
        <f aca="false">MAX(0,IN_A-IN_sv_G)</f>
        <v>0.5</v>
      </c>
      <c r="D33" s="35" t="n">
        <f aca="false">IN_g</f>
        <v>-0.09</v>
      </c>
      <c r="E33" s="35" t="n">
        <f aca="false">IN_gpre</f>
        <v>-0.09</v>
      </c>
      <c r="F33" s="1" t="n">
        <f aca="false">IN_T1</f>
        <v>4</v>
      </c>
      <c r="G33" s="35" t="n">
        <f aca="false">IN_rho</f>
        <v>0.5</v>
      </c>
      <c r="H33" s="1" t="n">
        <f aca="false">IN_T</f>
        <v>6</v>
      </c>
      <c r="I33" s="35" t="n">
        <f aca="false">0</f>
        <v>0</v>
      </c>
      <c r="J33" s="47" t="n">
        <f aca="false">LN(1+D33)</f>
        <v>-0.0943106794712413</v>
      </c>
      <c r="K33" s="47" t="n">
        <f aca="false">LN(1+E33)</f>
        <v>-0.0943106794712413</v>
      </c>
      <c r="L33" s="47" t="n">
        <f aca="false">LN(1+I33)</f>
        <v>0</v>
      </c>
      <c r="M33" s="47" t="n">
        <f aca="false">IF(C33&gt;0,EXP(-K33*C33)*IF(ABS(K33-L33)&lt;0.000000000001,(C33)-(0),(EXP((K33-L33)*(C33))-EXP((K33-L33)*(0)))/(K33-L33)),0)</f>
        <v>0.511976342367908</v>
      </c>
      <c r="N33" s="47" t="n">
        <f aca="false">EXP(-J33*C33)*IF(ABS(J33-L33)&lt;0.000000000001,(F33)-(C33),(EXP((J33-L33)*(F33))-EXP((J33-L33)*(C33)))/(J33-L33))</f>
        <v>2.98098882995282</v>
      </c>
      <c r="O33" s="47" t="n">
        <f aca="false">G33*EXP(-J33*C33)*IF(ABS(J33-L33)&lt;0.000000000001,(H33)-(F33),(EXP((J33-L33)*(H33))-EXP((J33-L33)*(F33)))/(J33-L33))</f>
        <v>0.655133609939971</v>
      </c>
      <c r="P33" s="47" t="n">
        <f aca="false">IF(ABS(-L33)&lt;0.000000000001,(H33)-(0),(EXP((-L33)*(H33))-EXP((-L33)*(0)))/(-L33))</f>
        <v>6</v>
      </c>
      <c r="Q33" s="47" t="n">
        <f aca="false">IF(C33&gt;F33,"t0&gt;T1（未支援）",(M33+N33+O33)/P33)</f>
        <v>0.691349797043449</v>
      </c>
      <c r="R33" s="15" t="n">
        <f aca="false">IN_sh_G*IN_rg_G</f>
        <v>9.24654168303684</v>
      </c>
    </row>
    <row r="34" customFormat="false" ht="16.5" hidden="false" customHeight="true" outlineLevel="0" collapsed="false">
      <c r="A34" s="1" t="s">
        <v>300</v>
      </c>
      <c r="B34" s="1" t="s">
        <v>328</v>
      </c>
      <c r="C34" s="1" t="n">
        <f aca="false">MAX(0,IN_A-IN_sv_3)</f>
        <v>0</v>
      </c>
      <c r="D34" s="35" t="n">
        <f aca="false">IN_g</f>
        <v>-0.09</v>
      </c>
      <c r="E34" s="35" t="n">
        <f aca="false">IN_gpre</f>
        <v>-0.09</v>
      </c>
      <c r="F34" s="1" t="n">
        <f aca="false">IN_T1</f>
        <v>4</v>
      </c>
      <c r="G34" s="35" t="n">
        <f aca="false">IN_rho</f>
        <v>0.5</v>
      </c>
      <c r="H34" s="1" t="n">
        <f aca="false">IN_T</f>
        <v>6</v>
      </c>
      <c r="I34" s="35" t="n">
        <f aca="false">0</f>
        <v>0</v>
      </c>
      <c r="J34" s="47" t="n">
        <f aca="false">LN(1+D34)</f>
        <v>-0.0943106794712413</v>
      </c>
      <c r="K34" s="47" t="n">
        <f aca="false">LN(1+E34)</f>
        <v>-0.0943106794712413</v>
      </c>
      <c r="L34" s="47" t="n">
        <f aca="false">LN(1+I34)</f>
        <v>0</v>
      </c>
      <c r="M34" s="47" t="n">
        <f aca="false">IF(C34&gt;0,EXP(-K34*C34)*IF(ABS(K34-L34)&lt;0.000000000001,(C34)-(0),(EXP((K34-L34)*(C34))-EXP((K34-L34)*(0)))/(K34-L34)),0)</f>
        <v>0</v>
      </c>
      <c r="N34" s="47" t="n">
        <f aca="false">EXP(-J34*C34)*IF(ABS(J34-L34)&lt;0.000000000001,(F34)-(C34),(EXP((J34-L34)*(F34))-EXP((J34-L34)*(C34)))/(J34-L34))</f>
        <v>3.33207640706084</v>
      </c>
      <c r="O34" s="47" t="n">
        <f aca="false">G34*EXP(-J34*C34)*IF(ABS(J34-L34)&lt;0.000000000001,(H34)-(F34),(EXP((J34-L34)*(H34))-EXP((J34-L34)*(F34)))/(J34-L34))</f>
        <v>0.624957632687536</v>
      </c>
      <c r="P34" s="47" t="n">
        <f aca="false">IF(ABS(-L34)&lt;0.000000000001,(H34)-(0),(EXP((-L34)*(H34))-EXP((-L34)*(0)))/(-L34))</f>
        <v>6</v>
      </c>
      <c r="Q34" s="47" t="n">
        <f aca="false">IF(C34&gt;F34,"t0&gt;T1（未支援）",(M34+N34+O34)/P34)</f>
        <v>0.659505673291395</v>
      </c>
      <c r="R34" s="15" t="n">
        <f aca="false">IN_sh_3*IN_rg_3</f>
        <v>0</v>
      </c>
    </row>
    <row r="35" customFormat="false" ht="16.5" hidden="false" customHeight="true" outlineLevel="0" collapsed="false">
      <c r="A35" s="1" t="s">
        <v>300</v>
      </c>
      <c r="B35" s="1" t="s">
        <v>329</v>
      </c>
      <c r="C35" s="1" t="n">
        <f aca="false">MAX(0,IN_A-IN_sv_V)</f>
        <v>0</v>
      </c>
      <c r="D35" s="35" t="n">
        <f aca="false">IN_g</f>
        <v>-0.09</v>
      </c>
      <c r="E35" s="35" t="n">
        <f aca="false">IN_gpre</f>
        <v>-0.09</v>
      </c>
      <c r="F35" s="1" t="n">
        <f aca="false">IN_T1</f>
        <v>4</v>
      </c>
      <c r="G35" s="35" t="n">
        <f aca="false">IN_rho</f>
        <v>0.5</v>
      </c>
      <c r="H35" s="1" t="n">
        <f aca="false">IN_T</f>
        <v>6</v>
      </c>
      <c r="I35" s="35" t="n">
        <f aca="false">0</f>
        <v>0</v>
      </c>
      <c r="J35" s="47" t="n">
        <f aca="false">LN(1+D35)</f>
        <v>-0.0943106794712413</v>
      </c>
      <c r="K35" s="47" t="n">
        <f aca="false">LN(1+E35)</f>
        <v>-0.0943106794712413</v>
      </c>
      <c r="L35" s="47" t="n">
        <f aca="false">LN(1+I35)</f>
        <v>0</v>
      </c>
      <c r="M35" s="47" t="n">
        <f aca="false">IF(C35&gt;0,EXP(-K35*C35)*IF(ABS(K35-L35)&lt;0.000000000001,(C35)-(0),(EXP((K35-L35)*(C35))-EXP((K35-L35)*(0)))/(K35-L35)),0)</f>
        <v>0</v>
      </c>
      <c r="N35" s="47" t="n">
        <f aca="false">EXP(-J35*C35)*IF(ABS(J35-L35)&lt;0.000000000001,(F35)-(C35),(EXP((J35-L35)*(F35))-EXP((J35-L35)*(C35)))/(J35-L35))</f>
        <v>3.33207640706084</v>
      </c>
      <c r="O35" s="47" t="n">
        <f aca="false">G35*EXP(-J35*C35)*IF(ABS(J35-L35)&lt;0.000000000001,(H35)-(F35),(EXP((J35-L35)*(H35))-EXP((J35-L35)*(F35)))/(J35-L35))</f>
        <v>0.624957632687536</v>
      </c>
      <c r="P35" s="47" t="n">
        <f aca="false">IF(ABS(-L35)&lt;0.000000000001,(H35)-(0),(EXP((-L35)*(H35))-EXP((-L35)*(0)))/(-L35))</f>
        <v>6</v>
      </c>
      <c r="Q35" s="47" t="n">
        <f aca="false">IF(C35&gt;F35,"t0&gt;T1（未支援）",(M35+N35+O35)/P35)</f>
        <v>0.659505673291395</v>
      </c>
      <c r="R35" s="15" t="n">
        <f aca="false">IN_sh_V*IN_rg_V</f>
        <v>0</v>
      </c>
    </row>
    <row r="36" customFormat="false" ht="16.5" hidden="false" customHeight="true" outlineLevel="0" collapsed="false">
      <c r="A36" s="1" t="s">
        <v>303</v>
      </c>
      <c r="B36" s="1" t="s">
        <v>326</v>
      </c>
      <c r="C36" s="1" t="n">
        <f aca="false">MAX(0,IN_A-IN_sv_H_Lo)</f>
        <v>1.5</v>
      </c>
      <c r="D36" s="35" t="n">
        <f aca="false">IN_g_Lo</f>
        <v>-0.2</v>
      </c>
      <c r="E36" s="35" t="n">
        <f aca="false">IN_gpre_Lo</f>
        <v>-0.09</v>
      </c>
      <c r="F36" s="1" t="n">
        <f aca="false">IN_T1_Lo</f>
        <v>3</v>
      </c>
      <c r="G36" s="35" t="n">
        <f aca="false">IN_rho_Lo</f>
        <v>0.205722505372091</v>
      </c>
      <c r="H36" s="1" t="n">
        <f aca="false">IN_T_Lo</f>
        <v>6</v>
      </c>
      <c r="I36" s="35" t="n">
        <f aca="false">IN_WACC_Lo</f>
        <v>0.08</v>
      </c>
      <c r="J36" s="47" t="n">
        <f aca="false">LN(1+D36)</f>
        <v>-0.22314355131421</v>
      </c>
      <c r="K36" s="47" t="n">
        <f aca="false">LN(1+E36)</f>
        <v>-0.0943106794712413</v>
      </c>
      <c r="L36" s="47" t="n">
        <f aca="false">LN(1+I36)</f>
        <v>0.0769610411361284</v>
      </c>
      <c r="M36" s="47" t="n">
        <f aca="false">IF(C36&gt;0,EXP(-K36*C36)*IF(ABS(K36-L36)&lt;0.000000000001,(C36)-(0),(EXP((K36-L36)*(C36))-EXP((K36-L36)*(0)))/(K36-L36)),0)</f>
        <v>1.52382845499091</v>
      </c>
      <c r="N36" s="47" t="n">
        <f aca="false">EXP(-J36*C36)*IF(ABS(J36-L36)&lt;0.000000000001,(F36)-(C36),(EXP((J36-L36)*(F36))-EXP((J36-L36)*(C36)))/(J36-L36))</f>
        <v>1.07613323019401</v>
      </c>
      <c r="O36" s="47" t="n">
        <f aca="false">G36*EXP(-J36*C36)*IF(ABS(J36-L36)&lt;0.000000000001,(H36)-(F36),(EXP((J36-L36)*(H36))-EXP((J36-L36)*(F36)))/(J36-L36))</f>
        <v>0.231119165921548</v>
      </c>
      <c r="P36" s="47" t="n">
        <f aca="false">IF(ABS(-L36)&lt;0.000000000001,(H36)-(0),(EXP((-L36)*(H36))-EXP((-L36)*(0)))/(-L36))</f>
        <v>4.80542320708397</v>
      </c>
      <c r="Q36" s="47" t="n">
        <f aca="false">IF(C36&gt;F36,"t0&gt;T1（未支援）",(M36+N36+O36)/P36)</f>
        <v>0.589142876517724</v>
      </c>
      <c r="R36" s="15" t="n">
        <f aca="false">IN_sh_H*IN_rg_H</f>
        <v>2.81888551801847</v>
      </c>
    </row>
    <row r="37" customFormat="false" ht="16.5" hidden="false" customHeight="true" outlineLevel="0" collapsed="false">
      <c r="A37" s="1" t="s">
        <v>303</v>
      </c>
      <c r="B37" s="1" t="s">
        <v>327</v>
      </c>
      <c r="C37" s="1" t="n">
        <f aca="false">MAX(0,IN_A-IN_sv_G_Lo)</f>
        <v>0</v>
      </c>
      <c r="D37" s="35" t="n">
        <f aca="false">IN_g_Lo</f>
        <v>-0.2</v>
      </c>
      <c r="E37" s="35" t="n">
        <f aca="false">IN_gpre_Lo</f>
        <v>-0.09</v>
      </c>
      <c r="F37" s="1" t="n">
        <f aca="false">IN_T1_Lo</f>
        <v>3</v>
      </c>
      <c r="G37" s="35" t="n">
        <f aca="false">IN_rho_Lo</f>
        <v>0.205722505372091</v>
      </c>
      <c r="H37" s="1" t="n">
        <f aca="false">IN_T_Lo</f>
        <v>6</v>
      </c>
      <c r="I37" s="35" t="n">
        <f aca="false">IN_WACC_Lo</f>
        <v>0.08</v>
      </c>
      <c r="J37" s="47" t="n">
        <f aca="false">LN(1+D37)</f>
        <v>-0.22314355131421</v>
      </c>
      <c r="K37" s="47" t="n">
        <f aca="false">LN(1+E37)</f>
        <v>-0.0943106794712413</v>
      </c>
      <c r="L37" s="47" t="n">
        <f aca="false">LN(1+I37)</f>
        <v>0.0769610411361284</v>
      </c>
      <c r="M37" s="47" t="n">
        <f aca="false">IF(C37&gt;0,EXP(-K37*C37)*IF(ABS(K37-L37)&lt;0.000000000001,(C37)-(0),(EXP((K37-L37)*(C37))-EXP((K37-L37)*(0)))/(K37-L37)),0)</f>
        <v>0</v>
      </c>
      <c r="N37" s="47" t="n">
        <f aca="false">EXP(-J37*C37)*IF(ABS(J37-L37)&lt;0.000000000001,(F37)-(C37),(EXP((J37-L37)*(F37))-EXP((J37-L37)*(C37)))/(J37-L37))</f>
        <v>1.97783675268447</v>
      </c>
      <c r="O37" s="47" t="n">
        <f aca="false">G37*EXP(-J37*C37)*IF(ABS(J37-L37)&lt;0.000000000001,(H37)-(F37),(EXP((J37-L37)*(H37))-EXP((J37-L37)*(F37)))/(J37-L37))</f>
        <v>0.165375413089163</v>
      </c>
      <c r="P37" s="47" t="n">
        <f aca="false">IF(ABS(-L37)&lt;0.000000000001,(H37)-(0),(EXP((-L37)*(H37))-EXP((-L37)*(0)))/(-L37))</f>
        <v>4.80542320708397</v>
      </c>
      <c r="Q37" s="47" t="n">
        <f aca="false">IF(C37&gt;F37,"t0&gt;T1（未支援）",(M37+N37+O37)/P37)</f>
        <v>0.445998629759434</v>
      </c>
      <c r="R37" s="15" t="n">
        <f aca="false">IN_sh_G*IN_rg_G</f>
        <v>9.24654168303684</v>
      </c>
    </row>
    <row r="38" customFormat="false" ht="16.5" hidden="false" customHeight="true" outlineLevel="0" collapsed="false">
      <c r="A38" s="1" t="s">
        <v>303</v>
      </c>
      <c r="B38" s="1" t="s">
        <v>328</v>
      </c>
      <c r="C38" s="1" t="n">
        <f aca="false">MAX(0,IN_A-IN_sv_3_Lo)</f>
        <v>0</v>
      </c>
      <c r="D38" s="35" t="n">
        <f aca="false">IN_g_Lo</f>
        <v>-0.2</v>
      </c>
      <c r="E38" s="35" t="n">
        <f aca="false">IN_gpre_Lo</f>
        <v>-0.09</v>
      </c>
      <c r="F38" s="1" t="n">
        <f aca="false">IN_T1_Lo</f>
        <v>3</v>
      </c>
      <c r="G38" s="35" t="n">
        <f aca="false">IN_rho_Lo</f>
        <v>0.205722505372091</v>
      </c>
      <c r="H38" s="1" t="n">
        <f aca="false">IN_T_Lo</f>
        <v>6</v>
      </c>
      <c r="I38" s="35" t="n">
        <f aca="false">IN_WACC_Lo</f>
        <v>0.08</v>
      </c>
      <c r="J38" s="47" t="n">
        <f aca="false">LN(1+D38)</f>
        <v>-0.22314355131421</v>
      </c>
      <c r="K38" s="47" t="n">
        <f aca="false">LN(1+E38)</f>
        <v>-0.0943106794712413</v>
      </c>
      <c r="L38" s="47" t="n">
        <f aca="false">LN(1+I38)</f>
        <v>0.0769610411361284</v>
      </c>
      <c r="M38" s="47" t="n">
        <f aca="false">IF(C38&gt;0,EXP(-K38*C38)*IF(ABS(K38-L38)&lt;0.000000000001,(C38)-(0),(EXP((K38-L38)*(C38))-EXP((K38-L38)*(0)))/(K38-L38)),0)</f>
        <v>0</v>
      </c>
      <c r="N38" s="47" t="n">
        <f aca="false">EXP(-J38*C38)*IF(ABS(J38-L38)&lt;0.000000000001,(F38)-(C38),(EXP((J38-L38)*(F38))-EXP((J38-L38)*(C38)))/(J38-L38))</f>
        <v>1.97783675268447</v>
      </c>
      <c r="O38" s="47" t="n">
        <f aca="false">G38*EXP(-J38*C38)*IF(ABS(J38-L38)&lt;0.000000000001,(H38)-(F38),(EXP((J38-L38)*(H38))-EXP((J38-L38)*(F38)))/(J38-L38))</f>
        <v>0.165375413089163</v>
      </c>
      <c r="P38" s="47" t="n">
        <f aca="false">IF(ABS(-L38)&lt;0.000000000001,(H38)-(0),(EXP((-L38)*(H38))-EXP((-L38)*(0)))/(-L38))</f>
        <v>4.80542320708397</v>
      </c>
      <c r="Q38" s="47" t="n">
        <f aca="false">IF(C38&gt;F38,"t0&gt;T1（未支援）",(M38+N38+O38)/P38)</f>
        <v>0.445998629759434</v>
      </c>
      <c r="R38" s="15" t="n">
        <f aca="false">IN_sh_3*IN_rg_3</f>
        <v>0</v>
      </c>
    </row>
    <row r="39" customFormat="false" ht="16.5" hidden="false" customHeight="true" outlineLevel="0" collapsed="false">
      <c r="A39" s="1" t="s">
        <v>303</v>
      </c>
      <c r="B39" s="1" t="s">
        <v>329</v>
      </c>
      <c r="C39" s="1" t="n">
        <f aca="false">MAX(0,IN_A-IN_sv_V_Lo)</f>
        <v>0</v>
      </c>
      <c r="D39" s="35" t="n">
        <f aca="false">IN_g_Lo</f>
        <v>-0.2</v>
      </c>
      <c r="E39" s="35" t="n">
        <f aca="false">IN_gpre_Lo</f>
        <v>-0.09</v>
      </c>
      <c r="F39" s="1" t="n">
        <f aca="false">IN_T1_Lo</f>
        <v>3</v>
      </c>
      <c r="G39" s="35" t="n">
        <f aca="false">IN_rho_Lo</f>
        <v>0.205722505372091</v>
      </c>
      <c r="H39" s="1" t="n">
        <f aca="false">IN_T_Lo</f>
        <v>6</v>
      </c>
      <c r="I39" s="35" t="n">
        <f aca="false">IN_WACC_Lo</f>
        <v>0.08</v>
      </c>
      <c r="J39" s="47" t="n">
        <f aca="false">LN(1+D39)</f>
        <v>-0.22314355131421</v>
      </c>
      <c r="K39" s="47" t="n">
        <f aca="false">LN(1+E39)</f>
        <v>-0.0943106794712413</v>
      </c>
      <c r="L39" s="47" t="n">
        <f aca="false">LN(1+I39)</f>
        <v>0.0769610411361284</v>
      </c>
      <c r="M39" s="47" t="n">
        <f aca="false">IF(C39&gt;0,EXP(-K39*C39)*IF(ABS(K39-L39)&lt;0.000000000001,(C39)-(0),(EXP((K39-L39)*(C39))-EXP((K39-L39)*(0)))/(K39-L39)),0)</f>
        <v>0</v>
      </c>
      <c r="N39" s="47" t="n">
        <f aca="false">EXP(-J39*C39)*IF(ABS(J39-L39)&lt;0.000000000001,(F39)-(C39),(EXP((J39-L39)*(F39))-EXP((J39-L39)*(C39)))/(J39-L39))</f>
        <v>1.97783675268447</v>
      </c>
      <c r="O39" s="47" t="n">
        <f aca="false">G39*EXP(-J39*C39)*IF(ABS(J39-L39)&lt;0.000000000001,(H39)-(F39),(EXP((J39-L39)*(H39))-EXP((J39-L39)*(F39)))/(J39-L39))</f>
        <v>0.165375413089163</v>
      </c>
      <c r="P39" s="47" t="n">
        <f aca="false">IF(ABS(-L39)&lt;0.000000000001,(H39)-(0),(EXP((-L39)*(H39))-EXP((-L39)*(0)))/(-L39))</f>
        <v>4.80542320708397</v>
      </c>
      <c r="Q39" s="47" t="n">
        <f aca="false">IF(C39&gt;F39,"t0&gt;T1（未支援）",(M39+N39+O39)/P39)</f>
        <v>0.445998629759434</v>
      </c>
      <c r="R39" s="15" t="n">
        <f aca="false">IN_sh_V*IN_rg_V</f>
        <v>0</v>
      </c>
    </row>
    <row r="40" customFormat="false" ht="16.5" hidden="false" customHeight="true" outlineLevel="0" collapsed="false">
      <c r="A40" s="1" t="s">
        <v>306</v>
      </c>
      <c r="B40" s="1" t="s">
        <v>326</v>
      </c>
      <c r="C40" s="1" t="n">
        <f aca="false">MAX(0,IN_A-IN_sv_H_Hi)</f>
        <v>2.5</v>
      </c>
      <c r="D40" s="35" t="n">
        <f aca="false">IN_g_Hi</f>
        <v>0.05</v>
      </c>
      <c r="E40" s="35" t="n">
        <f aca="false">IN_gpre_Hi</f>
        <v>-0.3</v>
      </c>
      <c r="F40" s="1" t="n">
        <f aca="false">IN_T1_Hi</f>
        <v>5</v>
      </c>
      <c r="G40" s="35" t="n">
        <f aca="false">IN_rho_Hi</f>
        <v>0.7</v>
      </c>
      <c r="H40" s="1" t="n">
        <f aca="false">IN_T_Hi</f>
        <v>6</v>
      </c>
      <c r="I40" s="35" t="n">
        <f aca="false">IN_WACC_Hi</f>
        <v>0.13</v>
      </c>
      <c r="J40" s="47" t="n">
        <f aca="false">LN(1+D40)</f>
        <v>0.0487901641694321</v>
      </c>
      <c r="K40" s="47" t="n">
        <f aca="false">LN(1+E40)</f>
        <v>-0.356674943938732</v>
      </c>
      <c r="L40" s="47" t="n">
        <f aca="false">LN(1+I40)</f>
        <v>0.122217632724249</v>
      </c>
      <c r="M40" s="47" t="n">
        <f aca="false">IF(C40&gt;0,EXP(-K40*C40)*IF(ABS(K40-L40)&lt;0.000000000001,(C40)-(0),(EXP((K40-L40)*(C40))-EXP((K40-L40)*(0)))/(K40-L40)),0)</f>
        <v>3.55511802599755</v>
      </c>
      <c r="N40" s="47" t="n">
        <f aca="false">EXP(-J40*C40)*IF(ABS(J40-L40)&lt;0.000000000001,(F40)-(C40),(EXP((J40-L40)*(F40))-EXP((J40-L40)*(C40)))/(J40-L40))</f>
        <v>1.68264335254896</v>
      </c>
      <c r="O40" s="47" t="n">
        <f aca="false">G40*EXP(-J40*C40)*IF(ABS(J40-L40)&lt;0.000000000001,(H40)-(F40),(EXP((J40-L40)*(H40))-EXP((J40-L40)*(F40)))/(J40-L40))</f>
        <v>0.413839611609081</v>
      </c>
      <c r="P40" s="47" t="n">
        <f aca="false">IF(ABS(-L40)&lt;0.000000000001,(H40)-(0),(EXP((-L40)*(H40))-EXP((-L40)*(0)))/(-L40))</f>
        <v>4.25209898918088</v>
      </c>
      <c r="Q40" s="47" t="n">
        <f aca="false">IF(C40&gt;F40,"t0&gt;T1（未支援）",(M40+N40+O40)/P40)</f>
        <v>1.32913203679774</v>
      </c>
      <c r="R40" s="15" t="n">
        <f aca="false">IN_sh_H*IN_rg_H</f>
        <v>2.81888551801847</v>
      </c>
    </row>
    <row r="41" customFormat="false" ht="16.5" hidden="false" customHeight="true" outlineLevel="0" collapsed="false">
      <c r="A41" s="1" t="s">
        <v>306</v>
      </c>
      <c r="B41" s="1" t="s">
        <v>327</v>
      </c>
      <c r="C41" s="1" t="n">
        <f aca="false">MAX(0,IN_A-IN_sv_G_Hi)</f>
        <v>0.5</v>
      </c>
      <c r="D41" s="35" t="n">
        <f aca="false">IN_g_Hi</f>
        <v>0.05</v>
      </c>
      <c r="E41" s="35" t="n">
        <f aca="false">IN_gpre_Hi</f>
        <v>-0.3</v>
      </c>
      <c r="F41" s="1" t="n">
        <f aca="false">IN_T1_Hi</f>
        <v>5</v>
      </c>
      <c r="G41" s="35" t="n">
        <f aca="false">IN_rho_Hi</f>
        <v>0.7</v>
      </c>
      <c r="H41" s="1" t="n">
        <f aca="false">IN_T_Hi</f>
        <v>6</v>
      </c>
      <c r="I41" s="35" t="n">
        <f aca="false">IN_WACC_Hi</f>
        <v>0.13</v>
      </c>
      <c r="J41" s="47" t="n">
        <f aca="false">LN(1+D41)</f>
        <v>0.0487901641694321</v>
      </c>
      <c r="K41" s="47" t="n">
        <f aca="false">LN(1+E41)</f>
        <v>-0.356674943938732</v>
      </c>
      <c r="L41" s="47" t="n">
        <f aca="false">LN(1+I41)</f>
        <v>0.122217632724249</v>
      </c>
      <c r="M41" s="47" t="n">
        <f aca="false">IF(C41&gt;0,EXP(-K41*C41)*IF(ABS(K41-L41)&lt;0.000000000001,(C41)-(0),(EXP((K41-L41)*(C41))-EXP((K41-L41)*(0)))/(K41-L41)),0)</f>
        <v>0.531450586944272</v>
      </c>
      <c r="N41" s="47" t="n">
        <f aca="false">EXP(-J41*C41)*IF(ABS(J41-L41)&lt;0.000000000001,(F41)-(C41),(EXP((J41-L41)*(F41))-EXP((J41-L41)*(C41)))/(J41-L41))</f>
        <v>3.60492801006663</v>
      </c>
      <c r="O41" s="47" t="n">
        <f aca="false">G41*EXP(-J41*C41)*IF(ABS(J41-L41)&lt;0.000000000001,(H41)-(F41),(EXP((J41-L41)*(H41))-EXP((J41-L41)*(F41)))/(J41-L41))</f>
        <v>0.456258171799011</v>
      </c>
      <c r="P41" s="47" t="n">
        <f aca="false">IF(ABS(-L41)&lt;0.000000000001,(H41)-(0),(EXP((-L41)*(H41))-EXP((-L41)*(0)))/(-L41))</f>
        <v>4.25209898918088</v>
      </c>
      <c r="Q41" s="47" t="n">
        <f aca="false">IF(C41&gt;F41,"t0&gt;T1（未支援）",(M41+N41+O41)/P41)</f>
        <v>1.08008698303956</v>
      </c>
      <c r="R41" s="15" t="n">
        <f aca="false">IN_sh_G*IN_rg_G</f>
        <v>9.24654168303684</v>
      </c>
    </row>
    <row r="42" customFormat="false" ht="16.5" hidden="false" customHeight="true" outlineLevel="0" collapsed="false">
      <c r="A42" s="1" t="s">
        <v>306</v>
      </c>
      <c r="B42" s="1" t="s">
        <v>328</v>
      </c>
      <c r="C42" s="1" t="n">
        <f aca="false">MAX(0,IN_A-IN_sv_3_Hi)</f>
        <v>0</v>
      </c>
      <c r="D42" s="35" t="n">
        <f aca="false">IN_g_Hi</f>
        <v>0.05</v>
      </c>
      <c r="E42" s="35" t="n">
        <f aca="false">IN_gpre_Hi</f>
        <v>-0.3</v>
      </c>
      <c r="F42" s="1" t="n">
        <f aca="false">IN_T1_Hi</f>
        <v>5</v>
      </c>
      <c r="G42" s="35" t="n">
        <f aca="false">IN_rho_Hi</f>
        <v>0.7</v>
      </c>
      <c r="H42" s="1" t="n">
        <f aca="false">IN_T_Hi</f>
        <v>6</v>
      </c>
      <c r="I42" s="35" t="n">
        <f aca="false">IN_WACC_Hi</f>
        <v>0.13</v>
      </c>
      <c r="J42" s="47" t="n">
        <f aca="false">LN(1+D42)</f>
        <v>0.0487901641694321</v>
      </c>
      <c r="K42" s="47" t="n">
        <f aca="false">LN(1+E42)</f>
        <v>-0.356674943938732</v>
      </c>
      <c r="L42" s="47" t="n">
        <f aca="false">LN(1+I42)</f>
        <v>0.122217632724249</v>
      </c>
      <c r="M42" s="47" t="n">
        <f aca="false">IF(C42&gt;0,EXP(-K42*C42)*IF(ABS(K42-L42)&lt;0.000000000001,(C42)-(0),(EXP((K42-L42)*(C42))-EXP((K42-L42)*(0)))/(K42-L42)),0)</f>
        <v>0</v>
      </c>
      <c r="N42" s="47" t="n">
        <f aca="false">EXP(-J42*C42)*IF(ABS(J42-L42)&lt;0.000000000001,(F42)-(C42),(EXP((J42-L42)*(F42))-EXP((J42-L42)*(C42)))/(J42-L42))</f>
        <v>4.18488485124365</v>
      </c>
      <c r="O42" s="47" t="n">
        <f aca="false">G42*EXP(-J42*C42)*IF(ABS(J42-L42)&lt;0.000000000001,(H42)-(F42),(EXP((J42-L42)*(H42))-EXP((J42-L42)*(F42)))/(J42-L42))</f>
        <v>0.467525502299121</v>
      </c>
      <c r="P42" s="47" t="n">
        <f aca="false">IF(ABS(-L42)&lt;0.000000000001,(H42)-(0),(EXP((-L42)*(H42))-EXP((-L42)*(0)))/(-L42))</f>
        <v>4.25209898918088</v>
      </c>
      <c r="Q42" s="47" t="n">
        <f aca="false">IF(C42&gt;F42,"t0&gt;T1（未支援）",(M42+N42+O42)/P42)</f>
        <v>1.09414441323696</v>
      </c>
      <c r="R42" s="15" t="n">
        <f aca="false">IN_sh_3*IN_rg_3</f>
        <v>0</v>
      </c>
    </row>
    <row r="43" customFormat="false" ht="16.5" hidden="false" customHeight="true" outlineLevel="0" collapsed="false">
      <c r="A43" s="1" t="s">
        <v>306</v>
      </c>
      <c r="B43" s="1" t="s">
        <v>329</v>
      </c>
      <c r="C43" s="1" t="n">
        <f aca="false">MAX(0,IN_A-IN_sv_V_Hi)</f>
        <v>0</v>
      </c>
      <c r="D43" s="35" t="n">
        <f aca="false">IN_g_Hi</f>
        <v>0.05</v>
      </c>
      <c r="E43" s="35" t="n">
        <f aca="false">IN_gpre_Hi</f>
        <v>-0.3</v>
      </c>
      <c r="F43" s="1" t="n">
        <f aca="false">IN_T1_Hi</f>
        <v>5</v>
      </c>
      <c r="G43" s="35" t="n">
        <f aca="false">IN_rho_Hi</f>
        <v>0.7</v>
      </c>
      <c r="H43" s="1" t="n">
        <f aca="false">IN_T_Hi</f>
        <v>6</v>
      </c>
      <c r="I43" s="35" t="n">
        <f aca="false">IN_WACC_Hi</f>
        <v>0.13</v>
      </c>
      <c r="J43" s="47" t="n">
        <f aca="false">LN(1+D43)</f>
        <v>0.0487901641694321</v>
      </c>
      <c r="K43" s="47" t="n">
        <f aca="false">LN(1+E43)</f>
        <v>-0.356674943938732</v>
      </c>
      <c r="L43" s="47" t="n">
        <f aca="false">LN(1+I43)</f>
        <v>0.122217632724249</v>
      </c>
      <c r="M43" s="47" t="n">
        <f aca="false">IF(C43&gt;0,EXP(-K43*C43)*IF(ABS(K43-L43)&lt;0.000000000001,(C43)-(0),(EXP((K43-L43)*(C43))-EXP((K43-L43)*(0)))/(K43-L43)),0)</f>
        <v>0</v>
      </c>
      <c r="N43" s="47" t="n">
        <f aca="false">EXP(-J43*C43)*IF(ABS(J43-L43)&lt;0.000000000001,(F43)-(C43),(EXP((J43-L43)*(F43))-EXP((J43-L43)*(C43)))/(J43-L43))</f>
        <v>4.18488485124365</v>
      </c>
      <c r="O43" s="47" t="n">
        <f aca="false">G43*EXP(-J43*C43)*IF(ABS(J43-L43)&lt;0.000000000001,(H43)-(F43),(EXP((J43-L43)*(H43))-EXP((J43-L43)*(F43)))/(J43-L43))</f>
        <v>0.467525502299121</v>
      </c>
      <c r="P43" s="47" t="n">
        <f aca="false">IF(ABS(-L43)&lt;0.000000000001,(H43)-(0),(EXP((-L43)*(H43))-EXP((-L43)*(0)))/(-L43))</f>
        <v>4.25209898918088</v>
      </c>
      <c r="Q43" s="47" t="n">
        <f aca="false">IF(C43&gt;F43,"t0&gt;T1（未支援）",(M43+N43+O43)/P43)</f>
        <v>1.09414441323696</v>
      </c>
      <c r="R43" s="15" t="n">
        <f aca="false">IN_sh_V*IN_rg_V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18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6"/>
    <col collapsed="false" customWidth="true" hidden="false" outlineLevel="0" max="2" min="2" style="1" width="9"/>
    <col collapsed="false" customWidth="true" hidden="false" outlineLevel="0" max="3" min="3" style="1" width="11"/>
    <col collapsed="false" customWidth="true" hidden="false" outlineLevel="0" max="5" min="4" style="1" width="8"/>
    <col collapsed="false" customWidth="true" hidden="false" outlineLevel="0" max="6" min="6" style="1" width="6"/>
    <col collapsed="false" customWidth="true" hidden="false" outlineLevel="0" max="7" min="7" style="1" width="8"/>
    <col collapsed="false" customWidth="true" hidden="false" outlineLevel="0" max="8" min="8" style="1" width="6"/>
    <col collapsed="false" customWidth="true" hidden="false" outlineLevel="0" max="9" min="9" style="1" width="8"/>
    <col collapsed="false" customWidth="true" hidden="false" outlineLevel="0" max="12" min="10" style="1" width="10"/>
    <col collapsed="false" customWidth="true" hidden="false" outlineLevel="0" max="16" min="13" style="1" width="11"/>
    <col collapsed="false" customWidth="true" hidden="false" outlineLevel="0" max="17" min="17" style="1" width="10"/>
    <col collapsed="false" customWidth="true" hidden="false" outlineLevel="0" max="18" min="18" style="1" width="11"/>
  </cols>
  <sheetData>
    <row r="1" customFormat="false" ht="16.5" hidden="false" customHeight="true" outlineLevel="0" collapsed="false">
      <c r="A1" s="6" t="s">
        <v>330</v>
      </c>
    </row>
    <row r="3" customFormat="false" ht="16.5" hidden="false" customHeight="true" outlineLevel="0" collapsed="false">
      <c r="A3" s="46" t="s">
        <v>331</v>
      </c>
    </row>
    <row r="4" customFormat="false" ht="16.5" hidden="false" customHeight="true" outlineLevel="0" collapsed="false">
      <c r="A4" s="40" t="s">
        <v>311</v>
      </c>
      <c r="B4" s="9" t="s">
        <v>287</v>
      </c>
      <c r="C4" s="40" t="s">
        <v>332</v>
      </c>
      <c r="D4" s="9" t="s">
        <v>333</v>
      </c>
    </row>
    <row r="5" customFormat="false" ht="15" hidden="false" customHeight="true" outlineLevel="0" collapsed="false">
      <c r="A5" s="42" t="n">
        <v>-0.25</v>
      </c>
      <c r="B5" s="15" t="n">
        <f aca="false">IF(SUMPRODUCT(ISTEXT(Q23:Q26)*(R23:R26&gt;0))&gt;0,"含 t0&gt;T1 的世代",SUMPRODUCT(R23:R26,Q23:Q26)/SUM(R23:R26))</f>
        <v>0.596877303226729</v>
      </c>
      <c r="C5" s="15" t="n">
        <f aca="false">B5/LQ</f>
        <v>0.73955321945798</v>
      </c>
      <c r="D5" s="1" t="str">
        <f aca="false">IF(C5&gt;=1,"回本","未回本")</f>
        <v>未回本</v>
      </c>
    </row>
    <row r="6" customFormat="false" ht="15" hidden="false" customHeight="true" outlineLevel="0" collapsed="false">
      <c r="A6" s="42" t="n">
        <v>-0.225</v>
      </c>
      <c r="B6" s="15" t="n">
        <f aca="false">IF(SUMPRODUCT(ISTEXT(Q27:Q30)*(R27:R30&gt;0))&gt;0,"含 t0&gt;T1 的世代",SUMPRODUCT(R27:R30,Q27:Q30)/SUM(R27:R30))</f>
        <v>0.618804691875166</v>
      </c>
      <c r="C6" s="15" t="n">
        <f aca="false">B6/LQ</f>
        <v>0.766722071048736</v>
      </c>
      <c r="D6" s="1" t="str">
        <f aca="false">IF(C6&gt;=1,"回本","未回本")</f>
        <v>未回本</v>
      </c>
    </row>
    <row r="7" customFormat="false" ht="15" hidden="false" customHeight="true" outlineLevel="0" collapsed="false">
      <c r="A7" s="42" t="n">
        <v>-0.2</v>
      </c>
      <c r="B7" s="15" t="n">
        <f aca="false">IF(SUMPRODUCT(ISTEXT(Q31:Q34)*(R31:R34&gt;0))&gt;0,"含 t0&gt;T1 的世代",SUMPRODUCT(R31:R34,Q31:Q34)/SUM(R31:R34))</f>
        <v>0.641876331044367</v>
      </c>
      <c r="C7" s="15" t="n">
        <f aca="false">B7/LQ</f>
        <v>0.795308691671624</v>
      </c>
      <c r="D7" s="1" t="str">
        <f aca="false">IF(C7&gt;=1,"回本","未回本")</f>
        <v>未回本</v>
      </c>
    </row>
    <row r="8" customFormat="false" ht="15" hidden="false" customHeight="true" outlineLevel="0" collapsed="false">
      <c r="A8" s="42" t="n">
        <v>-0.175</v>
      </c>
      <c r="B8" s="15" t="n">
        <f aca="false">IF(SUMPRODUCT(ISTEXT(Q35:Q38)*(R35:R38&gt;0))&gt;0,"含 t0&gt;T1 的世代",SUMPRODUCT(R35:R38,Q35:Q38)/SUM(R35:R38))</f>
        <v>0.666153713647133</v>
      </c>
      <c r="C8" s="15" t="n">
        <f aca="false">B8/LQ</f>
        <v>0.825389273336947</v>
      </c>
      <c r="D8" s="1" t="str">
        <f aca="false">IF(C8&gt;=1,"回本","未回本")</f>
        <v>未回本</v>
      </c>
    </row>
    <row r="9" customFormat="false" ht="15" hidden="false" customHeight="true" outlineLevel="0" collapsed="false">
      <c r="A9" s="42" t="n">
        <v>-0.15</v>
      </c>
      <c r="B9" s="15" t="n">
        <f aca="false">IF(SUMPRODUCT(ISTEXT(Q39:Q42)*(R39:R42&gt;0))&gt;0,"含 t0&gt;T1 的世代",SUMPRODUCT(R39:R42,Q39:Q42)/SUM(R39:R42))</f>
        <v>0.691700787382857</v>
      </c>
      <c r="C9" s="15" t="n">
        <f aca="false">B9/LQ</f>
        <v>0.85704304962706</v>
      </c>
      <c r="D9" s="1" t="str">
        <f aca="false">IF(C9&gt;=1,"回本","未回本")</f>
        <v>未回本</v>
      </c>
    </row>
    <row r="10" customFormat="false" ht="15" hidden="false" customHeight="true" outlineLevel="0" collapsed="false">
      <c r="A10" s="42" t="n">
        <v>-0.125</v>
      </c>
      <c r="B10" s="15" t="n">
        <f aca="false">IF(SUMPRODUCT(ISTEXT(Q43:Q46)*(R43:R46&gt;0))&gt;0,"含 t0&gt;T1 的世代",SUMPRODUCT(R43:R46,Q43:Q46)/SUM(R43:R46))</f>
        <v>0.718584029345458</v>
      </c>
      <c r="C10" s="15" t="n">
        <f aca="false">B10/LQ</f>
        <v>0.890352388138392</v>
      </c>
      <c r="D10" s="1" t="str">
        <f aca="false">IF(C10&gt;=1,"回本","未回本")</f>
        <v>未回本</v>
      </c>
    </row>
    <row r="11" customFormat="false" ht="15" hidden="false" customHeight="true" outlineLevel="0" collapsed="false">
      <c r="A11" s="42" t="n">
        <v>-0.1</v>
      </c>
      <c r="B11" s="15" t="n">
        <f aca="false">IF(SUMPRODUCT(ISTEXT(Q47:Q50)*(R47:R50&gt;0))&gt;0,"含 t0&gt;T1 的世代",SUMPRODUCT(R47:R50,Q47:Q50)/SUM(R47:R50))</f>
        <v>0.746872519729263</v>
      </c>
      <c r="C11" s="15" t="n">
        <f aca="false">B11/LQ</f>
        <v>0.925402881805767</v>
      </c>
      <c r="D11" s="1" t="str">
        <f aca="false">IF(C11&gt;=1,"回本","未回本")</f>
        <v>未回本</v>
      </c>
    </row>
    <row r="12" customFormat="false" ht="15" hidden="false" customHeight="true" outlineLevel="0" collapsed="false">
      <c r="A12" s="42" t="n">
        <v>-0.075</v>
      </c>
      <c r="B12" s="15" t="n">
        <f aca="false">IF(SUMPRODUCT(ISTEXT(Q51:Q54)*(R51:R54&gt;0))&gt;0,"含 t0&gt;T1 的世代",SUMPRODUCT(R51:R54,Q51:Q54)/SUM(R51:R54))</f>
        <v>0.776638014817947</v>
      </c>
      <c r="C12" s="15" t="n">
        <f aca="false">B12/LQ</f>
        <v>0.962283439338435</v>
      </c>
      <c r="D12" s="1" t="str">
        <f aca="false">IF(C12&gt;=1,"回本","未回本")</f>
        <v>未回本</v>
      </c>
    </row>
    <row r="13" customFormat="false" ht="15" hidden="false" customHeight="true" outlineLevel="0" collapsed="false">
      <c r="A13" s="42" t="n">
        <v>-0.05</v>
      </c>
      <c r="B13" s="15" t="n">
        <f aca="false">IF(SUMPRODUCT(ISTEXT(Q55:Q58)*(R55:R58&gt;0))&gt;0,"含 t0&gt;T1 的世代",SUMPRODUCT(R55:R58,Q55:Q58)/SUM(R55:R58))</f>
        <v>0.807955019407669</v>
      </c>
      <c r="C13" s="15" t="n">
        <f aca="false">B13/LQ</f>
        <v>1.00108637495502</v>
      </c>
      <c r="D13" s="1" t="str">
        <f aca="false">IF(C13&gt;=1,"回本","未回本")</f>
        <v>回本</v>
      </c>
    </row>
    <row r="14" customFormat="false" ht="15" hidden="false" customHeight="true" outlineLevel="0" collapsed="false">
      <c r="A14" s="42" t="n">
        <v>-0.025</v>
      </c>
      <c r="B14" s="15" t="n">
        <f aca="false">IF(SUMPRODUCT(ISTEXT(Q59:Q62)*(R59:R62&gt;0))&gt;0,"含 t0&gt;T1 的世代",SUMPRODUCT(R59:R62,Q59:Q62)/SUM(R59:R62))</f>
        <v>0.840900858788436</v>
      </c>
      <c r="C14" s="15" t="n">
        <f aca="false">B14/LQ</f>
        <v>1.04190749757113</v>
      </c>
      <c r="D14" s="1" t="str">
        <f aca="false">IF(C14&gt;=1,"回本","未回本")</f>
        <v>回本</v>
      </c>
    </row>
    <row r="15" customFormat="false" ht="15" hidden="false" customHeight="true" outlineLevel="0" collapsed="false">
      <c r="A15" s="42" t="n">
        <v>0</v>
      </c>
      <c r="B15" s="15" t="n">
        <f aca="false">IF(SUMPRODUCT(ISTEXT(Q63:Q66)*(R63:R66&gt;0))&gt;0,"含 t0&gt;T1 的世代",SUMPRODUCT(R63:R66,Q63:Q66)/SUM(R63:R66))</f>
        <v>0.875555750385931</v>
      </c>
      <c r="C15" s="15" t="n">
        <f aca="false">B15/LQ</f>
        <v>1.08484619956624</v>
      </c>
      <c r="D15" s="1" t="str">
        <f aca="false">IF(C15&gt;=1,"回本","未回本")</f>
        <v>回本</v>
      </c>
    </row>
    <row r="16" customFormat="false" ht="15" hidden="false" customHeight="true" outlineLevel="0" collapsed="false">
      <c r="A16" s="42" t="n">
        <v>0.025</v>
      </c>
      <c r="B16" s="15" t="n">
        <f aca="false">IF(SUMPRODUCT(ISTEXT(Q67:Q70)*(R67:R70&gt;0))&gt;0,"含 t0&gt;T1 的世代",SUMPRODUCT(R67:R70,Q67:Q70)/SUM(R67:R70))</f>
        <v>0.91200287514852</v>
      </c>
      <c r="C16" s="15" t="n">
        <f aca="false">B16/LQ</f>
        <v>1.13000554523484</v>
      </c>
      <c r="D16" s="1" t="str">
        <f aca="false">IF(C16&gt;=1,"回本","未回本")</f>
        <v>回本</v>
      </c>
    </row>
    <row r="17" customFormat="false" ht="15" hidden="false" customHeight="true" outlineLevel="0" collapsed="false">
      <c r="A17" s="42" t="n">
        <v>0.05</v>
      </c>
      <c r="B17" s="15" t="n">
        <f aca="false">IF(SUMPRODUCT(ISTEXT(Q71:Q74)*(R71:R74&gt;0))&gt;0,"含 t0&gt;T1 的世代",SUMPRODUCT(R71:R74,Q71:Q74)/SUM(R71:R74))</f>
        <v>0.950328448749833</v>
      </c>
      <c r="C17" s="15" t="n">
        <f aca="false">B17/LQ</f>
        <v>1.17749235900913</v>
      </c>
      <c r="D17" s="1" t="str">
        <f aca="false">IF(C17&gt;=1,"回本","未回本")</f>
        <v>回本</v>
      </c>
    </row>
    <row r="18" customFormat="false" ht="16.5" hidden="false" customHeight="true" outlineLevel="0" collapsed="false">
      <c r="A18" s="46" t="s">
        <v>334</v>
      </c>
      <c r="B18" s="49" t="n">
        <f aca="false">IFERROR(INDEX(A5:A17,MATCH(1,C5:C17,1))+(1-INDEX(C5:C17,MATCH(1,C5:C17,1)))*(INDEX(A5:A17,MATCH(1,C5:C17,1)+1)-INDEX(A5:A17,MATCH(1,C5:C17,1)))/(INDEX(C5:C17,MATCH(1,C5:C17,1)+1)-INDEX(C5:C17,MATCH(1,C5:C17,1))),"格點內未跨過 1")</f>
        <v>-0.0506999309058455</v>
      </c>
    </row>
    <row r="19" customFormat="false" ht="16.5" hidden="false" customHeight="true" outlineLevel="0" collapsed="false">
      <c r="A19" s="46" t="s">
        <v>335</v>
      </c>
      <c r="B19" s="24" t="s">
        <v>336</v>
      </c>
      <c r="D19" s="1" t="s">
        <v>34</v>
      </c>
    </row>
    <row r="20" customFormat="false" ht="16.5" hidden="false" customHeight="true" outlineLevel="0" collapsed="false">
      <c r="A20" s="46" t="s">
        <v>337</v>
      </c>
      <c r="B20" s="24" t="s">
        <v>338</v>
      </c>
    </row>
    <row r="21" customFormat="false" ht="16.5" hidden="false" customHeight="true" outlineLevel="0" collapsed="false">
      <c r="A21" s="50" t="s">
        <v>339</v>
      </c>
    </row>
    <row r="22" customFormat="false" ht="48" hidden="false" customHeight="true" outlineLevel="0" collapsed="false">
      <c r="A22" s="9" t="s">
        <v>285</v>
      </c>
      <c r="B22" s="9" t="s">
        <v>309</v>
      </c>
      <c r="C22" s="40" t="s">
        <v>310</v>
      </c>
      <c r="D22" s="40" t="s">
        <v>311</v>
      </c>
      <c r="E22" s="40" t="s">
        <v>312</v>
      </c>
      <c r="F22" s="40" t="s">
        <v>313</v>
      </c>
      <c r="G22" s="40" t="s">
        <v>314</v>
      </c>
      <c r="H22" s="40" t="s">
        <v>315</v>
      </c>
      <c r="I22" s="9" t="s">
        <v>316</v>
      </c>
      <c r="J22" s="40" t="s">
        <v>317</v>
      </c>
      <c r="K22" s="40" t="s">
        <v>318</v>
      </c>
      <c r="L22" s="40" t="s">
        <v>319</v>
      </c>
      <c r="M22" s="9" t="s">
        <v>320</v>
      </c>
      <c r="N22" s="9" t="s">
        <v>321</v>
      </c>
      <c r="O22" s="9" t="s">
        <v>322</v>
      </c>
      <c r="P22" s="9" t="s">
        <v>323</v>
      </c>
      <c r="Q22" s="40" t="s">
        <v>324</v>
      </c>
      <c r="R22" s="40" t="s">
        <v>325</v>
      </c>
    </row>
    <row r="23" customFormat="false" ht="16.5" hidden="false" customHeight="true" outlineLevel="0" collapsed="false">
      <c r="A23" s="1" t="s">
        <v>340</v>
      </c>
      <c r="B23" s="1" t="s">
        <v>326</v>
      </c>
      <c r="C23" s="1" t="n">
        <f aca="false">MAX(0,IN_A-IN_sv_H)</f>
        <v>2</v>
      </c>
      <c r="D23" s="35" t="n">
        <f aca="false">$A$5</f>
        <v>-0.25</v>
      </c>
      <c r="E23" s="35" t="n">
        <f aca="false">IN_gpre</f>
        <v>-0.09</v>
      </c>
      <c r="F23" s="1" t="n">
        <f aca="false">IN_T1</f>
        <v>4</v>
      </c>
      <c r="G23" s="35" t="n">
        <f aca="false">IN_rho</f>
        <v>0.5</v>
      </c>
      <c r="H23" s="1" t="n">
        <f aca="false">IN_T</f>
        <v>6</v>
      </c>
      <c r="I23" s="35" t="n">
        <f aca="false">IN_WACC</f>
        <v>0.1</v>
      </c>
      <c r="J23" s="47" t="n">
        <f aca="false">LN(1+D23)</f>
        <v>-0.287682072451781</v>
      </c>
      <c r="K23" s="47" t="n">
        <f aca="false">LN(1+E23)</f>
        <v>-0.0943106794712413</v>
      </c>
      <c r="L23" s="47" t="n">
        <f aca="false">LN(1+I23)</f>
        <v>0.0953101798043249</v>
      </c>
      <c r="M23" s="47" t="n">
        <f aca="false">IF(C23&gt;0,EXP(-K23*C23)*IF(ABS(K23-L23)&lt;0.000000000001,(C23)-(0),(EXP((K23-L23)*(C23))-EXP((K23-L23)*(0)))/(K23-L23)),0)</f>
        <v>2.00999692560416</v>
      </c>
      <c r="N23" s="47" t="n">
        <f aca="false">EXP(-J23*C23)*IF(ABS(J23-L23)&lt;0.000000000001,(F23)-(C23),(EXP((J23-L23)*(F23))-EXP((J23-L23)*(C23)))/(J23-L23))</f>
        <v>1.15472626337399</v>
      </c>
      <c r="O23" s="47" t="n">
        <f aca="false">G23*EXP(-J23*C23)*IF(ABS(J23-L23)&lt;0.000000000001,(H23)-(F23),(EXP((J23-L23)*(H23))-EXP((J23-L23)*(F23)))/(J23-L23))</f>
        <v>0.268402282292509</v>
      </c>
      <c r="P23" s="47" t="n">
        <f aca="false">IF(ABS(-L23)&lt;0.000000000001,(H23)-(0),(EXP((-L23)*(H23))-EXP((-L23)*(0)))/(-L23))</f>
        <v>4.56956508570619</v>
      </c>
      <c r="Q23" s="47" t="n">
        <f aca="false">IF(C23&gt;F23,"t0&gt;T1（未支援）",(M23+N23+O23)/P23)</f>
        <v>0.751302455896653</v>
      </c>
      <c r="R23" s="15" t="n">
        <f aca="false">IN_sh_H*IN_rg_H</f>
        <v>2.81888551801847</v>
      </c>
    </row>
    <row r="24" customFormat="false" ht="16.5" hidden="false" customHeight="true" outlineLevel="0" collapsed="false">
      <c r="A24" s="1" t="s">
        <v>340</v>
      </c>
      <c r="B24" s="1" t="s">
        <v>327</v>
      </c>
      <c r="C24" s="1" t="n">
        <f aca="false">MAX(0,IN_A-IN_sv_G)</f>
        <v>0.5</v>
      </c>
      <c r="D24" s="35" t="n">
        <f aca="false">$A$5</f>
        <v>-0.25</v>
      </c>
      <c r="E24" s="35" t="n">
        <f aca="false">IN_gpre</f>
        <v>-0.09</v>
      </c>
      <c r="F24" s="1" t="n">
        <f aca="false">IN_T1</f>
        <v>4</v>
      </c>
      <c r="G24" s="35" t="n">
        <f aca="false">IN_rho</f>
        <v>0.5</v>
      </c>
      <c r="H24" s="1" t="n">
        <f aca="false">IN_T</f>
        <v>6</v>
      </c>
      <c r="I24" s="35" t="n">
        <f aca="false">IN_WACC</f>
        <v>0.1</v>
      </c>
      <c r="J24" s="47" t="n">
        <f aca="false">LN(1+D24)</f>
        <v>-0.287682072451781</v>
      </c>
      <c r="K24" s="47" t="n">
        <f aca="false">LN(1+E24)</f>
        <v>-0.0943106794712413</v>
      </c>
      <c r="L24" s="47" t="n">
        <f aca="false">LN(1+I24)</f>
        <v>0.0953101798043249</v>
      </c>
      <c r="M24" s="47" t="n">
        <f aca="false">IF(C24&gt;0,EXP(-K24*C24)*IF(ABS(K24-L24)&lt;0.000000000001,(C24)-(0),(EXP((K24-L24)*(C24))-EXP((K24-L24)*(0)))/(K24-L24)),0)</f>
        <v>0.500062323515398</v>
      </c>
      <c r="N24" s="47" t="n">
        <f aca="false">EXP(-J24*C24)*IF(ABS(J24-L24)&lt;0.000000000001,(F24)-(C24),(EXP((J24-L24)*(F24))-EXP((J24-L24)*(C24)))/(J24-L24))</f>
        <v>1.83794990109831</v>
      </c>
      <c r="O24" s="47" t="n">
        <f aca="false">G24*EXP(-J24*C24)*IF(ABS(J24-L24)&lt;0.000000000001,(H24)-(F24),(EXP((J24-L24)*(H24))-EXP((J24-L24)*(F24)))/(J24-L24))</f>
        <v>0.174332396174276</v>
      </c>
      <c r="P24" s="47" t="n">
        <f aca="false">IF(ABS(-L24)&lt;0.000000000001,(H24)-(0),(EXP((-L24)*(H24))-EXP((-L24)*(0)))/(-L24))</f>
        <v>4.56956508570619</v>
      </c>
      <c r="Q24" s="47" t="n">
        <f aca="false">IF(C24&gt;F24,"t0&gt;T1（未支援）",(M24+N24+O24)/P24)</f>
        <v>0.54979950469394</v>
      </c>
      <c r="R24" s="15" t="n">
        <f aca="false">IN_sh_G*IN_rg_G</f>
        <v>9.24654168303684</v>
      </c>
    </row>
    <row r="25" customFormat="false" ht="16.5" hidden="false" customHeight="true" outlineLevel="0" collapsed="false">
      <c r="A25" s="1" t="s">
        <v>340</v>
      </c>
      <c r="B25" s="1" t="s">
        <v>328</v>
      </c>
      <c r="C25" s="1" t="n">
        <f aca="false">MAX(0,IN_A-IN_sv_3)</f>
        <v>0</v>
      </c>
      <c r="D25" s="35" t="n">
        <f aca="false">$A$5</f>
        <v>-0.25</v>
      </c>
      <c r="E25" s="35" t="n">
        <f aca="false">IN_gpre</f>
        <v>-0.09</v>
      </c>
      <c r="F25" s="1" t="n">
        <f aca="false">IN_T1</f>
        <v>4</v>
      </c>
      <c r="G25" s="35" t="n">
        <f aca="false">IN_rho</f>
        <v>0.5</v>
      </c>
      <c r="H25" s="1" t="n">
        <f aca="false">IN_T</f>
        <v>6</v>
      </c>
      <c r="I25" s="35" t="n">
        <f aca="false">IN_WACC</f>
        <v>0.1</v>
      </c>
      <c r="J25" s="47" t="n">
        <f aca="false">LN(1+D25)</f>
        <v>-0.287682072451781</v>
      </c>
      <c r="K25" s="47" t="n">
        <f aca="false">LN(1+E25)</f>
        <v>-0.0943106794712413</v>
      </c>
      <c r="L25" s="47" t="n">
        <f aca="false">LN(1+I25)</f>
        <v>0.0953101798043249</v>
      </c>
      <c r="M25" s="47" t="n">
        <f aca="false">IF(C25&gt;0,EXP(-K25*C25)*IF(ABS(K25-L25)&lt;0.000000000001,(C25)-(0),(EXP((K25-L25)*(C25))-EXP((K25-L25)*(0)))/(K25-L25)),0)</f>
        <v>0</v>
      </c>
      <c r="N25" s="47" t="n">
        <f aca="false">EXP(-J25*C25)*IF(ABS(J25-L25)&lt;0.000000000001,(F25)-(C25),(EXP((J25-L25)*(F25))-EXP((J25-L25)*(C25)))/(J25-L25))</f>
        <v>2.04675230183041</v>
      </c>
      <c r="O25" s="47" t="n">
        <f aca="false">G25*EXP(-J25*C25)*IF(ABS(J25-L25)&lt;0.000000000001,(H25)-(F25),(EXP((J25-L25)*(H25))-EXP((J25-L25)*(F25)))/(J25-L25))</f>
        <v>0.150976283789536</v>
      </c>
      <c r="P25" s="47" t="n">
        <f aca="false">IF(ABS(-L25)&lt;0.000000000001,(H25)-(0),(EXP((-L25)*(H25))-EXP((-L25)*(0)))/(-L25))</f>
        <v>4.56956508570619</v>
      </c>
      <c r="Q25" s="47" t="n">
        <f aca="false">IF(C25&gt;F25,"t0&gt;T1（未支援）",(M25+N25+O25)/P25)</f>
        <v>0.480949181026994</v>
      </c>
      <c r="R25" s="15" t="n">
        <f aca="false">IN_sh_3*IN_rg_3</f>
        <v>0</v>
      </c>
    </row>
    <row r="26" customFormat="false" ht="16.5" hidden="false" customHeight="true" outlineLevel="0" collapsed="false">
      <c r="A26" s="1" t="s">
        <v>340</v>
      </c>
      <c r="B26" s="1" t="s">
        <v>329</v>
      </c>
      <c r="C26" s="1" t="n">
        <f aca="false">MAX(0,IN_A-IN_sv_V)</f>
        <v>0</v>
      </c>
      <c r="D26" s="35" t="n">
        <f aca="false">$A$5</f>
        <v>-0.25</v>
      </c>
      <c r="E26" s="35" t="n">
        <f aca="false">IN_gpre</f>
        <v>-0.09</v>
      </c>
      <c r="F26" s="1" t="n">
        <f aca="false">IN_T1</f>
        <v>4</v>
      </c>
      <c r="G26" s="35" t="n">
        <f aca="false">IN_rho</f>
        <v>0.5</v>
      </c>
      <c r="H26" s="1" t="n">
        <f aca="false">IN_T</f>
        <v>6</v>
      </c>
      <c r="I26" s="35" t="n">
        <f aca="false">IN_WACC</f>
        <v>0.1</v>
      </c>
      <c r="J26" s="47" t="n">
        <f aca="false">LN(1+D26)</f>
        <v>-0.287682072451781</v>
      </c>
      <c r="K26" s="47" t="n">
        <f aca="false">LN(1+E26)</f>
        <v>-0.0943106794712413</v>
      </c>
      <c r="L26" s="47" t="n">
        <f aca="false">LN(1+I26)</f>
        <v>0.0953101798043249</v>
      </c>
      <c r="M26" s="47" t="n">
        <f aca="false">IF(C26&gt;0,EXP(-K26*C26)*IF(ABS(K26-L26)&lt;0.000000000001,(C26)-(0),(EXP((K26-L26)*(C26))-EXP((K26-L26)*(0)))/(K26-L26)),0)</f>
        <v>0</v>
      </c>
      <c r="N26" s="47" t="n">
        <f aca="false">EXP(-J26*C26)*IF(ABS(J26-L26)&lt;0.000000000001,(F26)-(C26),(EXP((J26-L26)*(F26))-EXP((J26-L26)*(C26)))/(J26-L26))</f>
        <v>2.04675230183041</v>
      </c>
      <c r="O26" s="47" t="n">
        <f aca="false">G26*EXP(-J26*C26)*IF(ABS(J26-L26)&lt;0.000000000001,(H26)-(F26),(EXP((J26-L26)*(H26))-EXP((J26-L26)*(F26)))/(J26-L26))</f>
        <v>0.150976283789536</v>
      </c>
      <c r="P26" s="47" t="n">
        <f aca="false">IF(ABS(-L26)&lt;0.000000000001,(H26)-(0),(EXP((-L26)*(H26))-EXP((-L26)*(0)))/(-L26))</f>
        <v>4.56956508570619</v>
      </c>
      <c r="Q26" s="47" t="n">
        <f aca="false">IF(C26&gt;F26,"t0&gt;T1（未支援）",(M26+N26+O26)/P26)</f>
        <v>0.480949181026994</v>
      </c>
      <c r="R26" s="15" t="n">
        <f aca="false">IN_sh_V*IN_rg_V</f>
        <v>0</v>
      </c>
    </row>
    <row r="27" customFormat="false" ht="16.5" hidden="false" customHeight="true" outlineLevel="0" collapsed="false">
      <c r="A27" s="1" t="s">
        <v>341</v>
      </c>
      <c r="B27" s="1" t="s">
        <v>326</v>
      </c>
      <c r="C27" s="1" t="n">
        <f aca="false">MAX(0,IN_A-IN_sv_H)</f>
        <v>2</v>
      </c>
      <c r="D27" s="35" t="n">
        <f aca="false">$A$6</f>
        <v>-0.225</v>
      </c>
      <c r="E27" s="35" t="n">
        <f aca="false">IN_gpre</f>
        <v>-0.09</v>
      </c>
      <c r="F27" s="1" t="n">
        <f aca="false">IN_T1</f>
        <v>4</v>
      </c>
      <c r="G27" s="35" t="n">
        <f aca="false">IN_rho</f>
        <v>0.5</v>
      </c>
      <c r="H27" s="1" t="n">
        <f aca="false">IN_T</f>
        <v>6</v>
      </c>
      <c r="I27" s="35" t="n">
        <f aca="false">IN_WACC</f>
        <v>0.1</v>
      </c>
      <c r="J27" s="47" t="n">
        <f aca="false">LN(1+D27)</f>
        <v>-0.25489224962879</v>
      </c>
      <c r="K27" s="47" t="n">
        <f aca="false">LN(1+E27)</f>
        <v>-0.0943106794712413</v>
      </c>
      <c r="L27" s="47" t="n">
        <f aca="false">LN(1+I27)</f>
        <v>0.0953101798043249</v>
      </c>
      <c r="M27" s="47" t="n">
        <f aca="false">IF(C27&gt;0,EXP(-K27*C27)*IF(ABS(K27-L27)&lt;0.000000000001,(C27)-(0),(EXP((K27-L27)*(C27))-EXP((K27-L27)*(0)))/(K27-L27)),0)</f>
        <v>2.00999692560416</v>
      </c>
      <c r="N27" s="47" t="n">
        <f aca="false">EXP(-J27*C27)*IF(ABS(J27-L27)&lt;0.000000000001,(F27)-(C27),(EXP((J27-L27)*(F27))-EXP((J27-L27)*(C27)))/(J27-L27))</f>
        <v>1.1884878269886</v>
      </c>
      <c r="O27" s="47" t="n">
        <f aca="false">G27*EXP(-J27*C27)*IF(ABS(J27-L27)&lt;0.000000000001,(H27)-(F27),(EXP((J27-L27)*(H27))-EXP((J27-L27)*(F27)))/(J27-L27))</f>
        <v>0.294973347555796</v>
      </c>
      <c r="P27" s="47" t="n">
        <f aca="false">IF(ABS(-L27)&lt;0.000000000001,(H27)-(0),(EXP((-L27)*(H27))-EXP((-L27)*(0)))/(-L27))</f>
        <v>4.56956508570619</v>
      </c>
      <c r="Q27" s="47" t="n">
        <f aca="false">IF(C27&gt;F27,"t0&gt;T1（未支援）",(M27+N27+O27)/P27)</f>
        <v>0.764505600560598</v>
      </c>
      <c r="R27" s="15" t="n">
        <f aca="false">IN_sh_H*IN_rg_H</f>
        <v>2.81888551801847</v>
      </c>
    </row>
    <row r="28" customFormat="false" ht="16.5" hidden="false" customHeight="true" outlineLevel="0" collapsed="false">
      <c r="A28" s="1" t="s">
        <v>341</v>
      </c>
      <c r="B28" s="1" t="s">
        <v>327</v>
      </c>
      <c r="C28" s="1" t="n">
        <f aca="false">MAX(0,IN_A-IN_sv_G)</f>
        <v>0.5</v>
      </c>
      <c r="D28" s="35" t="n">
        <f aca="false">$A$6</f>
        <v>-0.225</v>
      </c>
      <c r="E28" s="35" t="n">
        <f aca="false">IN_gpre</f>
        <v>-0.09</v>
      </c>
      <c r="F28" s="1" t="n">
        <f aca="false">IN_T1</f>
        <v>4</v>
      </c>
      <c r="G28" s="35" t="n">
        <f aca="false">IN_rho</f>
        <v>0.5</v>
      </c>
      <c r="H28" s="1" t="n">
        <f aca="false">IN_T</f>
        <v>6</v>
      </c>
      <c r="I28" s="35" t="n">
        <f aca="false">IN_WACC</f>
        <v>0.1</v>
      </c>
      <c r="J28" s="47" t="n">
        <f aca="false">LN(1+D28)</f>
        <v>-0.25489224962879</v>
      </c>
      <c r="K28" s="47" t="n">
        <f aca="false">LN(1+E28)</f>
        <v>-0.0943106794712413</v>
      </c>
      <c r="L28" s="47" t="n">
        <f aca="false">LN(1+I28)</f>
        <v>0.0953101798043249</v>
      </c>
      <c r="M28" s="47" t="n">
        <f aca="false">IF(C28&gt;0,EXP(-K28*C28)*IF(ABS(K28-L28)&lt;0.000000000001,(C28)-(0),(EXP((K28-L28)*(C28))-EXP((K28-L28)*(0)))/(K28-L28)),0)</f>
        <v>0.500062323515398</v>
      </c>
      <c r="N28" s="47" t="n">
        <f aca="false">EXP(-J28*C28)*IF(ABS(J28-L28)&lt;0.000000000001,(F28)-(C28),(EXP((J28-L28)*(F28))-EXP((J28-L28)*(C28)))/(J28-L28))</f>
        <v>1.92338466914977</v>
      </c>
      <c r="O28" s="47" t="n">
        <f aca="false">G28*EXP(-J28*C28)*IF(ABS(J28-L28)&lt;0.000000000001,(H28)-(F28),(EXP((J28-L28)*(H28))-EXP((J28-L28)*(F28)))/(J28-L28))</f>
        <v>0.201249741242559</v>
      </c>
      <c r="P28" s="47" t="n">
        <f aca="false">IF(ABS(-L28)&lt;0.000000000001,(H28)-(0),(EXP((-L28)*(H28))-EXP((-L28)*(0)))/(-L28))</f>
        <v>4.56956508570619</v>
      </c>
      <c r="Q28" s="47" t="n">
        <f aca="false">IF(C28&gt;F28,"t0&gt;T1（未支援）",(M28+N28+O28)/P28)</f>
        <v>0.574386552041441</v>
      </c>
      <c r="R28" s="15" t="n">
        <f aca="false">IN_sh_G*IN_rg_G</f>
        <v>9.24654168303684</v>
      </c>
    </row>
    <row r="29" customFormat="false" ht="16.5" hidden="false" customHeight="true" outlineLevel="0" collapsed="false">
      <c r="A29" s="1" t="s">
        <v>341</v>
      </c>
      <c r="B29" s="1" t="s">
        <v>328</v>
      </c>
      <c r="C29" s="1" t="n">
        <f aca="false">MAX(0,IN_A-IN_sv_3)</f>
        <v>0</v>
      </c>
      <c r="D29" s="35" t="n">
        <f aca="false">$A$6</f>
        <v>-0.225</v>
      </c>
      <c r="E29" s="35" t="n">
        <f aca="false">IN_gpre</f>
        <v>-0.09</v>
      </c>
      <c r="F29" s="1" t="n">
        <f aca="false">IN_T1</f>
        <v>4</v>
      </c>
      <c r="G29" s="35" t="n">
        <f aca="false">IN_rho</f>
        <v>0.5</v>
      </c>
      <c r="H29" s="1" t="n">
        <f aca="false">IN_T</f>
        <v>6</v>
      </c>
      <c r="I29" s="35" t="n">
        <f aca="false">IN_WACC</f>
        <v>0.1</v>
      </c>
      <c r="J29" s="47" t="n">
        <f aca="false">LN(1+D29)</f>
        <v>-0.25489224962879</v>
      </c>
      <c r="K29" s="47" t="n">
        <f aca="false">LN(1+E29)</f>
        <v>-0.0943106794712413</v>
      </c>
      <c r="L29" s="47" t="n">
        <f aca="false">LN(1+I29)</f>
        <v>0.0953101798043249</v>
      </c>
      <c r="M29" s="47" t="n">
        <f aca="false">IF(C29&gt;0,EXP(-K29*C29)*IF(ABS(K29-L29)&lt;0.000000000001,(C29)-(0),(EXP((K29-L29)*(C29))-EXP((K29-L29)*(0)))/(K29-L29)),0)</f>
        <v>0</v>
      </c>
      <c r="N29" s="47" t="n">
        <f aca="false">EXP(-J29*C29)*IF(ABS(J29-L29)&lt;0.000000000001,(F29)-(C29),(EXP((J29-L29)*(F29))-EXP((J29-L29)*(C29)))/(J29-L29))</f>
        <v>2.15190577174123</v>
      </c>
      <c r="O29" s="47" t="n">
        <f aca="false">G29*EXP(-J29*C29)*IF(ABS(J29-L29)&lt;0.000000000001,(H29)-(F29),(EXP((J29-L29)*(H29))-EXP((J29-L29)*(F29)))/(J29-L29))</f>
        <v>0.1771683668757</v>
      </c>
      <c r="P29" s="47" t="n">
        <f aca="false">IF(ABS(-L29)&lt;0.000000000001,(H29)-(0),(EXP((-L29)*(H29))-EXP((-L29)*(0)))/(-L29))</f>
        <v>4.56956508570619</v>
      </c>
      <c r="Q29" s="47" t="n">
        <f aca="false">IF(C29&gt;F29,"t0&gt;T1（未支援）",(M29+N29+O29)/P29)</f>
        <v>0.509692737696718</v>
      </c>
      <c r="R29" s="15" t="n">
        <f aca="false">IN_sh_3*IN_rg_3</f>
        <v>0</v>
      </c>
    </row>
    <row r="30" customFormat="false" ht="16.5" hidden="false" customHeight="true" outlineLevel="0" collapsed="false">
      <c r="A30" s="1" t="s">
        <v>341</v>
      </c>
      <c r="B30" s="1" t="s">
        <v>329</v>
      </c>
      <c r="C30" s="1" t="n">
        <f aca="false">MAX(0,IN_A-IN_sv_V)</f>
        <v>0</v>
      </c>
      <c r="D30" s="35" t="n">
        <f aca="false">$A$6</f>
        <v>-0.225</v>
      </c>
      <c r="E30" s="35" t="n">
        <f aca="false">IN_gpre</f>
        <v>-0.09</v>
      </c>
      <c r="F30" s="1" t="n">
        <f aca="false">IN_T1</f>
        <v>4</v>
      </c>
      <c r="G30" s="35" t="n">
        <f aca="false">IN_rho</f>
        <v>0.5</v>
      </c>
      <c r="H30" s="1" t="n">
        <f aca="false">IN_T</f>
        <v>6</v>
      </c>
      <c r="I30" s="35" t="n">
        <f aca="false">IN_WACC</f>
        <v>0.1</v>
      </c>
      <c r="J30" s="47" t="n">
        <f aca="false">LN(1+D30)</f>
        <v>-0.25489224962879</v>
      </c>
      <c r="K30" s="47" t="n">
        <f aca="false">LN(1+E30)</f>
        <v>-0.0943106794712413</v>
      </c>
      <c r="L30" s="47" t="n">
        <f aca="false">LN(1+I30)</f>
        <v>0.0953101798043249</v>
      </c>
      <c r="M30" s="47" t="n">
        <f aca="false">IF(C30&gt;0,EXP(-K30*C30)*IF(ABS(K30-L30)&lt;0.000000000001,(C30)-(0),(EXP((K30-L30)*(C30))-EXP((K30-L30)*(0)))/(K30-L30)),0)</f>
        <v>0</v>
      </c>
      <c r="N30" s="47" t="n">
        <f aca="false">EXP(-J30*C30)*IF(ABS(J30-L30)&lt;0.000000000001,(F30)-(C30),(EXP((J30-L30)*(F30))-EXP((J30-L30)*(C30)))/(J30-L30))</f>
        <v>2.15190577174123</v>
      </c>
      <c r="O30" s="47" t="n">
        <f aca="false">G30*EXP(-J30*C30)*IF(ABS(J30-L30)&lt;0.000000000001,(H30)-(F30),(EXP((J30-L30)*(H30))-EXP((J30-L30)*(F30)))/(J30-L30))</f>
        <v>0.1771683668757</v>
      </c>
      <c r="P30" s="47" t="n">
        <f aca="false">IF(ABS(-L30)&lt;0.000000000001,(H30)-(0),(EXP((-L30)*(H30))-EXP((-L30)*(0)))/(-L30))</f>
        <v>4.56956508570619</v>
      </c>
      <c r="Q30" s="47" t="n">
        <f aca="false">IF(C30&gt;F30,"t0&gt;T1（未支援）",(M30+N30+O30)/P30)</f>
        <v>0.509692737696718</v>
      </c>
      <c r="R30" s="15" t="n">
        <f aca="false">IN_sh_V*IN_rg_V</f>
        <v>0</v>
      </c>
    </row>
    <row r="31" customFormat="false" ht="16.5" hidden="false" customHeight="true" outlineLevel="0" collapsed="false">
      <c r="A31" s="1" t="s">
        <v>342</v>
      </c>
      <c r="B31" s="1" t="s">
        <v>326</v>
      </c>
      <c r="C31" s="1" t="n">
        <f aca="false">MAX(0,IN_A-IN_sv_H)</f>
        <v>2</v>
      </c>
      <c r="D31" s="35" t="n">
        <f aca="false">$A$7</f>
        <v>-0.2</v>
      </c>
      <c r="E31" s="35" t="n">
        <f aca="false">IN_gpre</f>
        <v>-0.09</v>
      </c>
      <c r="F31" s="1" t="n">
        <f aca="false">IN_T1</f>
        <v>4</v>
      </c>
      <c r="G31" s="35" t="n">
        <f aca="false">IN_rho</f>
        <v>0.5</v>
      </c>
      <c r="H31" s="1" t="n">
        <f aca="false">IN_T</f>
        <v>6</v>
      </c>
      <c r="I31" s="35" t="n">
        <f aca="false">IN_WACC</f>
        <v>0.1</v>
      </c>
      <c r="J31" s="47" t="n">
        <f aca="false">LN(1+D31)</f>
        <v>-0.22314355131421</v>
      </c>
      <c r="K31" s="47" t="n">
        <f aca="false">LN(1+E31)</f>
        <v>-0.0943106794712413</v>
      </c>
      <c r="L31" s="47" t="n">
        <f aca="false">LN(1+I31)</f>
        <v>0.0953101798043249</v>
      </c>
      <c r="M31" s="47" t="n">
        <f aca="false">IF(C31&gt;0,EXP(-K31*C31)*IF(ABS(K31-L31)&lt;0.000000000001,(C31)-(0),(EXP((K31-L31)*(C31))-EXP((K31-L31)*(0)))/(K31-L31)),0)</f>
        <v>2.00999692560416</v>
      </c>
      <c r="N31" s="47" t="n">
        <f aca="false">EXP(-J31*C31)*IF(ABS(J31-L31)&lt;0.000000000001,(F31)-(C31),(EXP((J31-L31)*(F31))-EXP((J31-L31)*(C31)))/(J31-L31))</f>
        <v>1.22252506884015</v>
      </c>
      <c r="O31" s="47" t="n">
        <f aca="false">G31*EXP(-J31*C31)*IF(ABS(J31-L31)&lt;0.000000000001,(H31)-(F31),(EXP((J31-L31)*(H31))-EXP((J31-L31)*(F31)))/(J31-L31))</f>
        <v>0.323312414899875</v>
      </c>
      <c r="P31" s="47" t="n">
        <f aca="false">IF(ABS(-L31)&lt;0.000000000001,(H31)-(0),(EXP((-L31)*(H31))-EXP((-L31)*(0)))/(-L31))</f>
        <v>4.56956508570619</v>
      </c>
      <c r="Q31" s="47" t="n">
        <f aca="false">IF(C31&gt;F31,"t0&gt;T1（未支援）",(M31+N31+O31)/P31)</f>
        <v>0.778155982604778</v>
      </c>
      <c r="R31" s="15" t="n">
        <f aca="false">IN_sh_H*IN_rg_H</f>
        <v>2.81888551801847</v>
      </c>
    </row>
    <row r="32" customFormat="false" ht="16.5" hidden="false" customHeight="true" outlineLevel="0" collapsed="false">
      <c r="A32" s="1" t="s">
        <v>342</v>
      </c>
      <c r="B32" s="1" t="s">
        <v>327</v>
      </c>
      <c r="C32" s="1" t="n">
        <f aca="false">MAX(0,IN_A-IN_sv_G)</f>
        <v>0.5</v>
      </c>
      <c r="D32" s="35" t="n">
        <f aca="false">$A$7</f>
        <v>-0.2</v>
      </c>
      <c r="E32" s="35" t="n">
        <f aca="false">IN_gpre</f>
        <v>-0.09</v>
      </c>
      <c r="F32" s="1" t="n">
        <f aca="false">IN_T1</f>
        <v>4</v>
      </c>
      <c r="G32" s="35" t="n">
        <f aca="false">IN_rho</f>
        <v>0.5</v>
      </c>
      <c r="H32" s="1" t="n">
        <f aca="false">IN_T</f>
        <v>6</v>
      </c>
      <c r="I32" s="35" t="n">
        <f aca="false">IN_WACC</f>
        <v>0.1</v>
      </c>
      <c r="J32" s="47" t="n">
        <f aca="false">LN(1+D32)</f>
        <v>-0.22314355131421</v>
      </c>
      <c r="K32" s="47" t="n">
        <f aca="false">LN(1+E32)</f>
        <v>-0.0943106794712413</v>
      </c>
      <c r="L32" s="47" t="n">
        <f aca="false">LN(1+I32)</f>
        <v>0.0953101798043249</v>
      </c>
      <c r="M32" s="47" t="n">
        <f aca="false">IF(C32&gt;0,EXP(-K32*C32)*IF(ABS(K32-L32)&lt;0.000000000001,(C32)-(0),(EXP((K32-L32)*(C32))-EXP((K32-L32)*(0)))/(K32-L32)),0)</f>
        <v>0.500062323515398</v>
      </c>
      <c r="N32" s="47" t="n">
        <f aca="false">EXP(-J32*C32)*IF(ABS(J32-L32)&lt;0.000000000001,(F32)-(C32),(EXP((J32-L32)*(F32))-EXP((J32-L32)*(C32)))/(J32-L32))</f>
        <v>2.01184270685429</v>
      </c>
      <c r="O32" s="47" t="n">
        <f aca="false">G32*EXP(-J32*C32)*IF(ABS(J32-L32)&lt;0.000000000001,(H32)-(F32),(EXP((J32-L32)*(H32))-EXP((J32-L32)*(F32)))/(J32-L32))</f>
        <v>0.231343532059436</v>
      </c>
      <c r="P32" s="47" t="n">
        <f aca="false">IF(ABS(-L32)&lt;0.000000000001,(H32)-(0),(EXP((-L32)*(H32))-EXP((-L32)*(0)))/(-L32))</f>
        <v>4.56956508570619</v>
      </c>
      <c r="Q32" s="47" t="n">
        <f aca="false">IF(C32&gt;F32,"t0&gt;T1（未支援）",(M32+N32+O32)/P32)</f>
        <v>0.600330340191484</v>
      </c>
      <c r="R32" s="15" t="n">
        <f aca="false">IN_sh_G*IN_rg_G</f>
        <v>9.24654168303684</v>
      </c>
    </row>
    <row r="33" customFormat="false" ht="16.5" hidden="false" customHeight="true" outlineLevel="0" collapsed="false">
      <c r="A33" s="1" t="s">
        <v>342</v>
      </c>
      <c r="B33" s="1" t="s">
        <v>328</v>
      </c>
      <c r="C33" s="1" t="n">
        <f aca="false">MAX(0,IN_A-IN_sv_3)</f>
        <v>0</v>
      </c>
      <c r="D33" s="35" t="n">
        <f aca="false">$A$7</f>
        <v>-0.2</v>
      </c>
      <c r="E33" s="35" t="n">
        <f aca="false">IN_gpre</f>
        <v>-0.09</v>
      </c>
      <c r="F33" s="1" t="n">
        <f aca="false">IN_T1</f>
        <v>4</v>
      </c>
      <c r="G33" s="35" t="n">
        <f aca="false">IN_rho</f>
        <v>0.5</v>
      </c>
      <c r="H33" s="1" t="n">
        <f aca="false">IN_T</f>
        <v>6</v>
      </c>
      <c r="I33" s="35" t="n">
        <f aca="false">IN_WACC</f>
        <v>0.1</v>
      </c>
      <c r="J33" s="47" t="n">
        <f aca="false">LN(1+D33)</f>
        <v>-0.22314355131421</v>
      </c>
      <c r="K33" s="47" t="n">
        <f aca="false">LN(1+E33)</f>
        <v>-0.0943106794712413</v>
      </c>
      <c r="L33" s="47" t="n">
        <f aca="false">LN(1+I33)</f>
        <v>0.0953101798043249</v>
      </c>
      <c r="M33" s="47" t="n">
        <f aca="false">IF(C33&gt;0,EXP(-K33*C33)*IF(ABS(K33-L33)&lt;0.000000000001,(C33)-(0),(EXP((K33-L33)*(C33))-EXP((K33-L33)*(0)))/(K33-L33)),0)</f>
        <v>0</v>
      </c>
      <c r="N33" s="47" t="n">
        <f aca="false">EXP(-J33*C33)*IF(ABS(J33-L33)&lt;0.000000000001,(F33)-(C33),(EXP((J33-L33)*(F33))-EXP((J33-L33)*(C33)))/(J33-L33))</f>
        <v>2.26167137735428</v>
      </c>
      <c r="O33" s="47" t="n">
        <f aca="false">G33*EXP(-J33*C33)*IF(ABS(J33-L33)&lt;0.000000000001,(H33)-(F33),(EXP((J33-L33)*(H33))-EXP((J33-L33)*(F33)))/(J33-L33))</f>
        <v>0.20691994553592</v>
      </c>
      <c r="P33" s="47" t="n">
        <f aca="false">IF(ABS(-L33)&lt;0.000000000001,(H33)-(0),(EXP((-L33)*(H33))-EXP((-L33)*(0)))/(-L33))</f>
        <v>4.56956508570619</v>
      </c>
      <c r="Q33" s="47" t="n">
        <f aca="false">IF(C33&gt;F33,"t0&gt;T1（未支援）",(M33+N33+O33)/P33)</f>
        <v>0.540224567675394</v>
      </c>
      <c r="R33" s="15" t="n">
        <f aca="false">IN_sh_3*IN_rg_3</f>
        <v>0</v>
      </c>
    </row>
    <row r="34" customFormat="false" ht="16.5" hidden="false" customHeight="true" outlineLevel="0" collapsed="false">
      <c r="A34" s="1" t="s">
        <v>342</v>
      </c>
      <c r="B34" s="1" t="s">
        <v>329</v>
      </c>
      <c r="C34" s="1" t="n">
        <f aca="false">MAX(0,IN_A-IN_sv_V)</f>
        <v>0</v>
      </c>
      <c r="D34" s="35" t="n">
        <f aca="false">$A$7</f>
        <v>-0.2</v>
      </c>
      <c r="E34" s="35" t="n">
        <f aca="false">IN_gpre</f>
        <v>-0.09</v>
      </c>
      <c r="F34" s="1" t="n">
        <f aca="false">IN_T1</f>
        <v>4</v>
      </c>
      <c r="G34" s="35" t="n">
        <f aca="false">IN_rho</f>
        <v>0.5</v>
      </c>
      <c r="H34" s="1" t="n">
        <f aca="false">IN_T</f>
        <v>6</v>
      </c>
      <c r="I34" s="35" t="n">
        <f aca="false">IN_WACC</f>
        <v>0.1</v>
      </c>
      <c r="J34" s="47" t="n">
        <f aca="false">LN(1+D34)</f>
        <v>-0.22314355131421</v>
      </c>
      <c r="K34" s="47" t="n">
        <f aca="false">LN(1+E34)</f>
        <v>-0.0943106794712413</v>
      </c>
      <c r="L34" s="47" t="n">
        <f aca="false">LN(1+I34)</f>
        <v>0.0953101798043249</v>
      </c>
      <c r="M34" s="47" t="n">
        <f aca="false">IF(C34&gt;0,EXP(-K34*C34)*IF(ABS(K34-L34)&lt;0.000000000001,(C34)-(0),(EXP((K34-L34)*(C34))-EXP((K34-L34)*(0)))/(K34-L34)),0)</f>
        <v>0</v>
      </c>
      <c r="N34" s="47" t="n">
        <f aca="false">EXP(-J34*C34)*IF(ABS(J34-L34)&lt;0.000000000001,(F34)-(C34),(EXP((J34-L34)*(F34))-EXP((J34-L34)*(C34)))/(J34-L34))</f>
        <v>2.26167137735428</v>
      </c>
      <c r="O34" s="47" t="n">
        <f aca="false">G34*EXP(-J34*C34)*IF(ABS(J34-L34)&lt;0.000000000001,(H34)-(F34),(EXP((J34-L34)*(H34))-EXP((J34-L34)*(F34)))/(J34-L34))</f>
        <v>0.20691994553592</v>
      </c>
      <c r="P34" s="47" t="n">
        <f aca="false">IF(ABS(-L34)&lt;0.000000000001,(H34)-(0),(EXP((-L34)*(H34))-EXP((-L34)*(0)))/(-L34))</f>
        <v>4.56956508570619</v>
      </c>
      <c r="Q34" s="47" t="n">
        <f aca="false">IF(C34&gt;F34,"t0&gt;T1（未支援）",(M34+N34+O34)/P34)</f>
        <v>0.540224567675394</v>
      </c>
      <c r="R34" s="15" t="n">
        <f aca="false">IN_sh_V*IN_rg_V</f>
        <v>0</v>
      </c>
    </row>
    <row r="35" customFormat="false" ht="16.5" hidden="false" customHeight="true" outlineLevel="0" collapsed="false">
      <c r="A35" s="1" t="s">
        <v>343</v>
      </c>
      <c r="B35" s="1" t="s">
        <v>326</v>
      </c>
      <c r="C35" s="1" t="n">
        <f aca="false">MAX(0,IN_A-IN_sv_H)</f>
        <v>2</v>
      </c>
      <c r="D35" s="35" t="n">
        <f aca="false">$A$8</f>
        <v>-0.175</v>
      </c>
      <c r="E35" s="35" t="n">
        <f aca="false">IN_gpre</f>
        <v>-0.09</v>
      </c>
      <c r="F35" s="1" t="n">
        <f aca="false">IN_T1</f>
        <v>4</v>
      </c>
      <c r="G35" s="35" t="n">
        <f aca="false">IN_rho</f>
        <v>0.5</v>
      </c>
      <c r="H35" s="1" t="n">
        <f aca="false">IN_T</f>
        <v>6</v>
      </c>
      <c r="I35" s="35" t="n">
        <f aca="false">IN_WACC</f>
        <v>0.1</v>
      </c>
      <c r="J35" s="47" t="n">
        <f aca="false">LN(1+D35)</f>
        <v>-0.192371892647456</v>
      </c>
      <c r="K35" s="47" t="n">
        <f aca="false">LN(1+E35)</f>
        <v>-0.0943106794712413</v>
      </c>
      <c r="L35" s="47" t="n">
        <f aca="false">LN(1+I35)</f>
        <v>0.0953101798043249</v>
      </c>
      <c r="M35" s="47" t="n">
        <f aca="false">IF(C35&gt;0,EXP(-K35*C35)*IF(ABS(K35-L35)&lt;0.000000000001,(C35)-(0),(EXP((K35-L35)*(C35))-EXP((K35-L35)*(0)))/(K35-L35)),0)</f>
        <v>2.00999692560416</v>
      </c>
      <c r="N35" s="47" t="n">
        <f aca="false">EXP(-J35*C35)*IF(ABS(J35-L35)&lt;0.000000000001,(F35)-(C35),(EXP((J35-L35)*(F35))-EXP((J35-L35)*(C35)))/(J35-L35))</f>
        <v>1.25683969408448</v>
      </c>
      <c r="O35" s="47" t="n">
        <f aca="false">G35*EXP(-J35*C35)*IF(ABS(J35-L35)&lt;0.000000000001,(H35)-(F35),(EXP((J35-L35)*(H35))-EXP((J35-L35)*(F35)))/(J35-L35))</f>
        <v>0.353486163961259</v>
      </c>
      <c r="P35" s="47" t="n">
        <f aca="false">IF(ABS(-L35)&lt;0.000000000001,(H35)-(0),(EXP((-L35)*(H35))-EXP((-L35)*(0)))/(-L35))</f>
        <v>4.56956508570619</v>
      </c>
      <c r="Q35" s="47" t="n">
        <f aca="false">IF(C35&gt;F35,"t0&gt;T1（未支援）",(M35+N35+O35)/P35)</f>
        <v>0.792268567302921</v>
      </c>
      <c r="R35" s="15" t="n">
        <f aca="false">IN_sh_H*IN_rg_H</f>
        <v>2.81888551801847</v>
      </c>
    </row>
    <row r="36" customFormat="false" ht="16.5" hidden="false" customHeight="true" outlineLevel="0" collapsed="false">
      <c r="A36" s="1" t="s">
        <v>343</v>
      </c>
      <c r="B36" s="1" t="s">
        <v>327</v>
      </c>
      <c r="C36" s="1" t="n">
        <f aca="false">MAX(0,IN_A-IN_sv_G)</f>
        <v>0.5</v>
      </c>
      <c r="D36" s="35" t="n">
        <f aca="false">$A$8</f>
        <v>-0.175</v>
      </c>
      <c r="E36" s="35" t="n">
        <f aca="false">IN_gpre</f>
        <v>-0.09</v>
      </c>
      <c r="F36" s="1" t="n">
        <f aca="false">IN_T1</f>
        <v>4</v>
      </c>
      <c r="G36" s="35" t="n">
        <f aca="false">IN_rho</f>
        <v>0.5</v>
      </c>
      <c r="H36" s="1" t="n">
        <f aca="false">IN_T</f>
        <v>6</v>
      </c>
      <c r="I36" s="35" t="n">
        <f aca="false">IN_WACC</f>
        <v>0.1</v>
      </c>
      <c r="J36" s="47" t="n">
        <f aca="false">LN(1+D36)</f>
        <v>-0.192371892647456</v>
      </c>
      <c r="K36" s="47" t="n">
        <f aca="false">LN(1+E36)</f>
        <v>-0.0943106794712413</v>
      </c>
      <c r="L36" s="47" t="n">
        <f aca="false">LN(1+I36)</f>
        <v>0.0953101798043249</v>
      </c>
      <c r="M36" s="47" t="n">
        <f aca="false">IF(C36&gt;0,EXP(-K36*C36)*IF(ABS(K36-L36)&lt;0.000000000001,(C36)-(0),(EXP((K36-L36)*(C36))-EXP((K36-L36)*(0)))/(K36-L36)),0)</f>
        <v>0.500062323515398</v>
      </c>
      <c r="N36" s="47" t="n">
        <f aca="false">EXP(-J36*C36)*IF(ABS(J36-L36)&lt;0.000000000001,(F36)-(C36),(EXP((J36-L36)*(F36))-EXP((J36-L36)*(C36)))/(J36-L36))</f>
        <v>2.10340104886968</v>
      </c>
      <c r="O36" s="47" t="n">
        <f aca="false">G36*EXP(-J36*C36)*IF(ABS(J36-L36)&lt;0.000000000001,(H36)-(F36),(EXP((J36-L36)*(H36))-EXP((J36-L36)*(F36)))/(J36-L36))</f>
        <v>0.264882546097752</v>
      </c>
      <c r="P36" s="47" t="n">
        <f aca="false">IF(ABS(-L36)&lt;0.000000000001,(H36)-(0),(EXP((-L36)*(H36))-EXP((-L36)*(0)))/(-L36))</f>
        <v>4.56956508570619</v>
      </c>
      <c r="Q36" s="47" t="n">
        <f aca="false">IF(C36&gt;F36,"t0&gt;T1（未支援）",(M36+N36+O36)/P36)</f>
        <v>0.627706546396537</v>
      </c>
      <c r="R36" s="15" t="n">
        <f aca="false">IN_sh_G*IN_rg_G</f>
        <v>9.24654168303684</v>
      </c>
    </row>
    <row r="37" customFormat="false" ht="16.5" hidden="false" customHeight="true" outlineLevel="0" collapsed="false">
      <c r="A37" s="1" t="s">
        <v>343</v>
      </c>
      <c r="B37" s="1" t="s">
        <v>328</v>
      </c>
      <c r="C37" s="1" t="n">
        <f aca="false">MAX(0,IN_A-IN_sv_3)</f>
        <v>0</v>
      </c>
      <c r="D37" s="35" t="n">
        <f aca="false">$A$8</f>
        <v>-0.175</v>
      </c>
      <c r="E37" s="35" t="n">
        <f aca="false">IN_gpre</f>
        <v>-0.09</v>
      </c>
      <c r="F37" s="1" t="n">
        <f aca="false">IN_T1</f>
        <v>4</v>
      </c>
      <c r="G37" s="35" t="n">
        <f aca="false">IN_rho</f>
        <v>0.5</v>
      </c>
      <c r="H37" s="1" t="n">
        <f aca="false">IN_T</f>
        <v>6</v>
      </c>
      <c r="I37" s="35" t="n">
        <f aca="false">IN_WACC</f>
        <v>0.1</v>
      </c>
      <c r="J37" s="47" t="n">
        <f aca="false">LN(1+D37)</f>
        <v>-0.192371892647456</v>
      </c>
      <c r="K37" s="47" t="n">
        <f aca="false">LN(1+E37)</f>
        <v>-0.0943106794712413</v>
      </c>
      <c r="L37" s="47" t="n">
        <f aca="false">LN(1+I37)</f>
        <v>0.0953101798043249</v>
      </c>
      <c r="M37" s="47" t="n">
        <f aca="false">IF(C37&gt;0,EXP(-K37*C37)*IF(ABS(K37-L37)&lt;0.000000000001,(C37)-(0),(EXP((K37-L37)*(C37))-EXP((K37-L37)*(0)))/(K37-L37)),0)</f>
        <v>0</v>
      </c>
      <c r="N37" s="47" t="n">
        <f aca="false">EXP(-J37*C37)*IF(ABS(J37-L37)&lt;0.000000000001,(F37)-(C37),(EXP((J37-L37)*(F37))-EXP((J37-L37)*(C37)))/(J37-L37))</f>
        <v>2.37621254662846</v>
      </c>
      <c r="O37" s="47" t="n">
        <f aca="false">G37*EXP(-J37*C37)*IF(ABS(J37-L37)&lt;0.000000000001,(H37)-(F37),(EXP((J37-L37)*(H37))-EXP((J37-L37)*(F37)))/(J37-L37))</f>
        <v>0.240591520346132</v>
      </c>
      <c r="P37" s="47" t="n">
        <f aca="false">IF(ABS(-L37)&lt;0.000000000001,(H37)-(0),(EXP((-L37)*(H37))-EXP((-L37)*(0)))/(-L37))</f>
        <v>4.56956508570619</v>
      </c>
      <c r="Q37" s="47" t="n">
        <f aca="false">IF(C37&gt;F37,"t0&gt;T1（未支援）",(M37+N37+O37)/P37)</f>
        <v>0.572659327068144</v>
      </c>
      <c r="R37" s="15" t="n">
        <f aca="false">IN_sh_3*IN_rg_3</f>
        <v>0</v>
      </c>
    </row>
    <row r="38" customFormat="false" ht="16.5" hidden="false" customHeight="true" outlineLevel="0" collapsed="false">
      <c r="A38" s="1" t="s">
        <v>343</v>
      </c>
      <c r="B38" s="1" t="s">
        <v>329</v>
      </c>
      <c r="C38" s="1" t="n">
        <f aca="false">MAX(0,IN_A-IN_sv_V)</f>
        <v>0</v>
      </c>
      <c r="D38" s="35" t="n">
        <f aca="false">$A$8</f>
        <v>-0.175</v>
      </c>
      <c r="E38" s="35" t="n">
        <f aca="false">IN_gpre</f>
        <v>-0.09</v>
      </c>
      <c r="F38" s="1" t="n">
        <f aca="false">IN_T1</f>
        <v>4</v>
      </c>
      <c r="G38" s="35" t="n">
        <f aca="false">IN_rho</f>
        <v>0.5</v>
      </c>
      <c r="H38" s="1" t="n">
        <f aca="false">IN_T</f>
        <v>6</v>
      </c>
      <c r="I38" s="35" t="n">
        <f aca="false">IN_WACC</f>
        <v>0.1</v>
      </c>
      <c r="J38" s="47" t="n">
        <f aca="false">LN(1+D38)</f>
        <v>-0.192371892647456</v>
      </c>
      <c r="K38" s="47" t="n">
        <f aca="false">LN(1+E38)</f>
        <v>-0.0943106794712413</v>
      </c>
      <c r="L38" s="47" t="n">
        <f aca="false">LN(1+I38)</f>
        <v>0.0953101798043249</v>
      </c>
      <c r="M38" s="47" t="n">
        <f aca="false">IF(C38&gt;0,EXP(-K38*C38)*IF(ABS(K38-L38)&lt;0.000000000001,(C38)-(0),(EXP((K38-L38)*(C38))-EXP((K38-L38)*(0)))/(K38-L38)),0)</f>
        <v>0</v>
      </c>
      <c r="N38" s="47" t="n">
        <f aca="false">EXP(-J38*C38)*IF(ABS(J38-L38)&lt;0.000000000001,(F38)-(C38),(EXP((J38-L38)*(F38))-EXP((J38-L38)*(C38)))/(J38-L38))</f>
        <v>2.37621254662846</v>
      </c>
      <c r="O38" s="47" t="n">
        <f aca="false">G38*EXP(-J38*C38)*IF(ABS(J38-L38)&lt;0.000000000001,(H38)-(F38),(EXP((J38-L38)*(H38))-EXP((J38-L38)*(F38)))/(J38-L38))</f>
        <v>0.240591520346132</v>
      </c>
      <c r="P38" s="47" t="n">
        <f aca="false">IF(ABS(-L38)&lt;0.000000000001,(H38)-(0),(EXP((-L38)*(H38))-EXP((-L38)*(0)))/(-L38))</f>
        <v>4.56956508570619</v>
      </c>
      <c r="Q38" s="47" t="n">
        <f aca="false">IF(C38&gt;F38,"t0&gt;T1（未支援）",(M38+N38+O38)/P38)</f>
        <v>0.572659327068144</v>
      </c>
      <c r="R38" s="15" t="n">
        <f aca="false">IN_sh_V*IN_rg_V</f>
        <v>0</v>
      </c>
    </row>
    <row r="39" customFormat="false" ht="16.5" hidden="false" customHeight="true" outlineLevel="0" collapsed="false">
      <c r="A39" s="1" t="s">
        <v>344</v>
      </c>
      <c r="B39" s="1" t="s">
        <v>326</v>
      </c>
      <c r="C39" s="1" t="n">
        <f aca="false">MAX(0,IN_A-IN_sv_H)</f>
        <v>2</v>
      </c>
      <c r="D39" s="35" t="n">
        <f aca="false">$A$9</f>
        <v>-0.15</v>
      </c>
      <c r="E39" s="35" t="n">
        <f aca="false">IN_gpre</f>
        <v>-0.09</v>
      </c>
      <c r="F39" s="1" t="n">
        <f aca="false">IN_T1</f>
        <v>4</v>
      </c>
      <c r="G39" s="35" t="n">
        <f aca="false">IN_rho</f>
        <v>0.5</v>
      </c>
      <c r="H39" s="1" t="n">
        <f aca="false">IN_T</f>
        <v>6</v>
      </c>
      <c r="I39" s="35" t="n">
        <f aca="false">IN_WACC</f>
        <v>0.1</v>
      </c>
      <c r="J39" s="47" t="n">
        <f aca="false">LN(1+D39)</f>
        <v>-0.162518929497775</v>
      </c>
      <c r="K39" s="47" t="n">
        <f aca="false">LN(1+E39)</f>
        <v>-0.0943106794712413</v>
      </c>
      <c r="L39" s="47" t="n">
        <f aca="false">LN(1+I39)</f>
        <v>0.0953101798043249</v>
      </c>
      <c r="M39" s="47" t="n">
        <f aca="false">IF(C39&gt;0,EXP(-K39*C39)*IF(ABS(K39-L39)&lt;0.000000000001,(C39)-(0),(EXP((K39-L39)*(C39))-EXP((K39-L39)*(0)))/(K39-L39)),0)</f>
        <v>2.00999692560416</v>
      </c>
      <c r="N39" s="47" t="n">
        <f aca="false">EXP(-J39*C39)*IF(ABS(J39-L39)&lt;0.000000000001,(F39)-(C39),(EXP((J39-L39)*(F39))-EXP((J39-L39)*(C39)))/(J39-L39))</f>
        <v>1.29143315272571</v>
      </c>
      <c r="O39" s="47" t="n">
        <f aca="false">G39*EXP(-J39*C39)*IF(ABS(J39-L39)&lt;0.000000000001,(H39)-(F39),(EXP((J39-L39)*(H39))-EXP((J39-L39)*(F39)))/(J39-L39))</f>
        <v>0.385562170596828</v>
      </c>
      <c r="P39" s="47" t="n">
        <f aca="false">IF(ABS(-L39)&lt;0.000000000001,(H39)-(0),(EXP((-L39)*(H39))-EXP((-L39)*(0)))/(-L39))</f>
        <v>4.56956508570619</v>
      </c>
      <c r="Q39" s="47" t="n">
        <f aca="false">IF(C39&gt;F39,"t0&gt;T1（未支援）",(M39+N39+O39)/P39)</f>
        <v>0.806858460219721</v>
      </c>
      <c r="R39" s="15" t="n">
        <f aca="false">IN_sh_H*IN_rg_H</f>
        <v>2.81888551801847</v>
      </c>
    </row>
    <row r="40" customFormat="false" ht="16.5" hidden="false" customHeight="true" outlineLevel="0" collapsed="false">
      <c r="A40" s="1" t="s">
        <v>344</v>
      </c>
      <c r="B40" s="1" t="s">
        <v>327</v>
      </c>
      <c r="C40" s="1" t="n">
        <f aca="false">MAX(0,IN_A-IN_sv_G)</f>
        <v>0.5</v>
      </c>
      <c r="D40" s="35" t="n">
        <f aca="false">$A$9</f>
        <v>-0.15</v>
      </c>
      <c r="E40" s="35" t="n">
        <f aca="false">IN_gpre</f>
        <v>-0.09</v>
      </c>
      <c r="F40" s="1" t="n">
        <f aca="false">IN_T1</f>
        <v>4</v>
      </c>
      <c r="G40" s="35" t="n">
        <f aca="false">IN_rho</f>
        <v>0.5</v>
      </c>
      <c r="H40" s="1" t="n">
        <f aca="false">IN_T</f>
        <v>6</v>
      </c>
      <c r="I40" s="35" t="n">
        <f aca="false">IN_WACC</f>
        <v>0.1</v>
      </c>
      <c r="J40" s="47" t="n">
        <f aca="false">LN(1+D40)</f>
        <v>-0.162518929497775</v>
      </c>
      <c r="K40" s="47" t="n">
        <f aca="false">LN(1+E40)</f>
        <v>-0.0943106794712413</v>
      </c>
      <c r="L40" s="47" t="n">
        <f aca="false">LN(1+I40)</f>
        <v>0.0953101798043249</v>
      </c>
      <c r="M40" s="47" t="n">
        <f aca="false">IF(C40&gt;0,EXP(-K40*C40)*IF(ABS(K40-L40)&lt;0.000000000001,(C40)-(0),(EXP((K40-L40)*(C40))-EXP((K40-L40)*(0)))/(K40-L40)),0)</f>
        <v>0.500062323515398</v>
      </c>
      <c r="N40" s="47" t="n">
        <f aca="false">EXP(-J40*C40)*IF(ABS(J40-L40)&lt;0.000000000001,(F40)-(C40),(EXP((J40-L40)*(F40))-EXP((J40-L40)*(C40)))/(J40-L40))</f>
        <v>2.19813658855212</v>
      </c>
      <c r="O40" s="47" t="n">
        <f aca="false">G40*EXP(-J40*C40)*IF(ABS(J40-L40)&lt;0.000000000001,(H40)-(F40),(EXP((J40-L40)*(H40))-EXP((J40-L40)*(F40)))/(J40-L40))</f>
        <v>0.302150143693763</v>
      </c>
      <c r="P40" s="47" t="n">
        <f aca="false">IF(ABS(-L40)&lt;0.000000000001,(H40)-(0),(EXP((-L40)*(H40))-EXP((-L40)*(0)))/(-L40))</f>
        <v>4.56956508570619</v>
      </c>
      <c r="Q40" s="47" t="n">
        <f aca="false">IF(C40&gt;F40,"t0&gt;T1（未支援）",(M40+N40+O40)/P40)</f>
        <v>0.656594008288997</v>
      </c>
      <c r="R40" s="15" t="n">
        <f aca="false">IN_sh_G*IN_rg_G</f>
        <v>9.24654168303684</v>
      </c>
    </row>
    <row r="41" customFormat="false" ht="16.5" hidden="false" customHeight="true" outlineLevel="0" collapsed="false">
      <c r="A41" s="1" t="s">
        <v>344</v>
      </c>
      <c r="B41" s="1" t="s">
        <v>328</v>
      </c>
      <c r="C41" s="1" t="n">
        <f aca="false">MAX(0,IN_A-IN_sv_3)</f>
        <v>0</v>
      </c>
      <c r="D41" s="35" t="n">
        <f aca="false">$A$9</f>
        <v>-0.15</v>
      </c>
      <c r="E41" s="35" t="n">
        <f aca="false">IN_gpre</f>
        <v>-0.09</v>
      </c>
      <c r="F41" s="1" t="n">
        <f aca="false">IN_T1</f>
        <v>4</v>
      </c>
      <c r="G41" s="35" t="n">
        <f aca="false">IN_rho</f>
        <v>0.5</v>
      </c>
      <c r="H41" s="1" t="n">
        <f aca="false">IN_T</f>
        <v>6</v>
      </c>
      <c r="I41" s="35" t="n">
        <f aca="false">IN_WACC</f>
        <v>0.1</v>
      </c>
      <c r="J41" s="47" t="n">
        <f aca="false">LN(1+D41)</f>
        <v>-0.162518929497775</v>
      </c>
      <c r="K41" s="47" t="n">
        <f aca="false">LN(1+E41)</f>
        <v>-0.0943106794712413</v>
      </c>
      <c r="L41" s="47" t="n">
        <f aca="false">LN(1+I41)</f>
        <v>0.0953101798043249</v>
      </c>
      <c r="M41" s="47" t="n">
        <f aca="false">IF(C41&gt;0,EXP(-K41*C41)*IF(ABS(K41-L41)&lt;0.000000000001,(C41)-(0),(EXP((K41-L41)*(C41))-EXP((K41-L41)*(0)))/(K41-L41)),0)</f>
        <v>0</v>
      </c>
      <c r="N41" s="47" t="n">
        <f aca="false">EXP(-J41*C41)*IF(ABS(J41-L41)&lt;0.000000000001,(F41)-(C41),(EXP((J41-L41)*(F41))-EXP((J41-L41)*(C41)))/(J41-L41))</f>
        <v>2.49569456764243</v>
      </c>
      <c r="O41" s="47" t="n">
        <f aca="false">G41*EXP(-J41*C41)*IF(ABS(J41-L41)&lt;0.000000000001,(H41)-(F41),(EXP((J41-L41)*(H41))-EXP((J41-L41)*(F41)))/(J41-L41))</f>
        <v>0.278568668256208</v>
      </c>
      <c r="P41" s="47" t="n">
        <f aca="false">IF(ABS(-L41)&lt;0.000000000001,(H41)-(0),(EXP((-L41)*(H41))-EXP((-L41)*(0)))/(-L41))</f>
        <v>4.56956508570619</v>
      </c>
      <c r="Q41" s="47" t="n">
        <f aca="false">IF(C41&gt;F41,"t0&gt;T1（未支援）",(M41+N41+O41)/P41)</f>
        <v>0.607117566741014</v>
      </c>
      <c r="R41" s="15" t="n">
        <f aca="false">IN_sh_3*IN_rg_3</f>
        <v>0</v>
      </c>
    </row>
    <row r="42" customFormat="false" ht="16.5" hidden="false" customHeight="true" outlineLevel="0" collapsed="false">
      <c r="A42" s="1" t="s">
        <v>344</v>
      </c>
      <c r="B42" s="1" t="s">
        <v>329</v>
      </c>
      <c r="C42" s="1" t="n">
        <f aca="false">MAX(0,IN_A-IN_sv_V)</f>
        <v>0</v>
      </c>
      <c r="D42" s="35" t="n">
        <f aca="false">$A$9</f>
        <v>-0.15</v>
      </c>
      <c r="E42" s="35" t="n">
        <f aca="false">IN_gpre</f>
        <v>-0.09</v>
      </c>
      <c r="F42" s="1" t="n">
        <f aca="false">IN_T1</f>
        <v>4</v>
      </c>
      <c r="G42" s="35" t="n">
        <f aca="false">IN_rho</f>
        <v>0.5</v>
      </c>
      <c r="H42" s="1" t="n">
        <f aca="false">IN_T</f>
        <v>6</v>
      </c>
      <c r="I42" s="35" t="n">
        <f aca="false">IN_WACC</f>
        <v>0.1</v>
      </c>
      <c r="J42" s="47" t="n">
        <f aca="false">LN(1+D42)</f>
        <v>-0.162518929497775</v>
      </c>
      <c r="K42" s="47" t="n">
        <f aca="false">LN(1+E42)</f>
        <v>-0.0943106794712413</v>
      </c>
      <c r="L42" s="47" t="n">
        <f aca="false">LN(1+I42)</f>
        <v>0.0953101798043249</v>
      </c>
      <c r="M42" s="47" t="n">
        <f aca="false">IF(C42&gt;0,EXP(-K42*C42)*IF(ABS(K42-L42)&lt;0.000000000001,(C42)-(0),(EXP((K42-L42)*(C42))-EXP((K42-L42)*(0)))/(K42-L42)),0)</f>
        <v>0</v>
      </c>
      <c r="N42" s="47" t="n">
        <f aca="false">EXP(-J42*C42)*IF(ABS(J42-L42)&lt;0.000000000001,(F42)-(C42),(EXP((J42-L42)*(F42))-EXP((J42-L42)*(C42)))/(J42-L42))</f>
        <v>2.49569456764243</v>
      </c>
      <c r="O42" s="47" t="n">
        <f aca="false">G42*EXP(-J42*C42)*IF(ABS(J42-L42)&lt;0.000000000001,(H42)-(F42),(EXP((J42-L42)*(H42))-EXP((J42-L42)*(F42)))/(J42-L42))</f>
        <v>0.278568668256208</v>
      </c>
      <c r="P42" s="47" t="n">
        <f aca="false">IF(ABS(-L42)&lt;0.000000000001,(H42)-(0),(EXP((-L42)*(H42))-EXP((-L42)*(0)))/(-L42))</f>
        <v>4.56956508570619</v>
      </c>
      <c r="Q42" s="47" t="n">
        <f aca="false">IF(C42&gt;F42,"t0&gt;T1（未支援）",(M42+N42+O42)/P42)</f>
        <v>0.607117566741014</v>
      </c>
      <c r="R42" s="15" t="n">
        <f aca="false">IN_sh_V*IN_rg_V</f>
        <v>0</v>
      </c>
    </row>
    <row r="43" customFormat="false" ht="16.5" hidden="false" customHeight="true" outlineLevel="0" collapsed="false">
      <c r="A43" s="1" t="s">
        <v>345</v>
      </c>
      <c r="B43" s="1" t="s">
        <v>326</v>
      </c>
      <c r="C43" s="1" t="n">
        <f aca="false">MAX(0,IN_A-IN_sv_H)</f>
        <v>2</v>
      </c>
      <c r="D43" s="35" t="n">
        <f aca="false">$A$10</f>
        <v>-0.125</v>
      </c>
      <c r="E43" s="35" t="n">
        <f aca="false">IN_gpre</f>
        <v>-0.09</v>
      </c>
      <c r="F43" s="1" t="n">
        <f aca="false">IN_T1</f>
        <v>4</v>
      </c>
      <c r="G43" s="35" t="n">
        <f aca="false">IN_rho</f>
        <v>0.5</v>
      </c>
      <c r="H43" s="1" t="n">
        <f aca="false">IN_T</f>
        <v>6</v>
      </c>
      <c r="I43" s="35" t="n">
        <f aca="false">IN_WACC</f>
        <v>0.1</v>
      </c>
      <c r="J43" s="47" t="n">
        <f aca="false">LN(1+D43)</f>
        <v>-0.133531392624523</v>
      </c>
      <c r="K43" s="47" t="n">
        <f aca="false">LN(1+E43)</f>
        <v>-0.0943106794712413</v>
      </c>
      <c r="L43" s="47" t="n">
        <f aca="false">LN(1+I43)</f>
        <v>0.0953101798043249</v>
      </c>
      <c r="M43" s="47" t="n">
        <f aca="false">IF(C43&gt;0,EXP(-K43*C43)*IF(ABS(K43-L43)&lt;0.000000000001,(C43)-(0),(EXP((K43-L43)*(C43))-EXP((K43-L43)*(0)))/(K43-L43)),0)</f>
        <v>2.00999692560416</v>
      </c>
      <c r="N43" s="47" t="n">
        <f aca="false">EXP(-J43*C43)*IF(ABS(J43-L43)&lt;0.000000000001,(F43)-(C43),(EXP((J43-L43)*(F43))-EXP((J43-L43)*(C43)))/(J43-L43))</f>
        <v>1.32630667149529</v>
      </c>
      <c r="O43" s="47" t="n">
        <f aca="false">G43*EXP(-J43*C43)*IF(ABS(J43-L43)&lt;0.000000000001,(H43)-(F43),(EXP((J43-L43)*(H43))-EXP((J43-L43)*(F43)))/(J43-L43))</f>
        <v>0.419608903042802</v>
      </c>
      <c r="P43" s="47" t="n">
        <f aca="false">IF(ABS(-L43)&lt;0.000000000001,(H43)-(0),(EXP((-L43)*(H43))-EXP((-L43)*(0)))/(-L43))</f>
        <v>4.56956508570619</v>
      </c>
      <c r="Q43" s="47" t="n">
        <f aca="false">IF(C43&gt;F43,"t0&gt;T1（未支援）",(M43+N43+O43)/P43)</f>
        <v>0.821940913346637</v>
      </c>
      <c r="R43" s="15" t="n">
        <f aca="false">IN_sh_H*IN_rg_H</f>
        <v>2.81888551801847</v>
      </c>
    </row>
    <row r="44" customFormat="false" ht="16.5" hidden="false" customHeight="true" outlineLevel="0" collapsed="false">
      <c r="A44" s="1" t="s">
        <v>345</v>
      </c>
      <c r="B44" s="1" t="s">
        <v>327</v>
      </c>
      <c r="C44" s="1" t="n">
        <f aca="false">MAX(0,IN_A-IN_sv_G)</f>
        <v>0.5</v>
      </c>
      <c r="D44" s="35" t="n">
        <f aca="false">$A$10</f>
        <v>-0.125</v>
      </c>
      <c r="E44" s="35" t="n">
        <f aca="false">IN_gpre</f>
        <v>-0.09</v>
      </c>
      <c r="F44" s="1" t="n">
        <f aca="false">IN_T1</f>
        <v>4</v>
      </c>
      <c r="G44" s="35" t="n">
        <f aca="false">IN_rho</f>
        <v>0.5</v>
      </c>
      <c r="H44" s="1" t="n">
        <f aca="false">IN_T</f>
        <v>6</v>
      </c>
      <c r="I44" s="35" t="n">
        <f aca="false">IN_WACC</f>
        <v>0.1</v>
      </c>
      <c r="J44" s="47" t="n">
        <f aca="false">LN(1+D44)</f>
        <v>-0.133531392624523</v>
      </c>
      <c r="K44" s="47" t="n">
        <f aca="false">LN(1+E44)</f>
        <v>-0.0943106794712413</v>
      </c>
      <c r="L44" s="47" t="n">
        <f aca="false">LN(1+I44)</f>
        <v>0.0953101798043249</v>
      </c>
      <c r="M44" s="47" t="n">
        <f aca="false">IF(C44&gt;0,EXP(-K44*C44)*IF(ABS(K44-L44)&lt;0.000000000001,(C44)-(0),(EXP((K44-L44)*(C44))-EXP((K44-L44)*(0)))/(K44-L44)),0)</f>
        <v>0.500062323515398</v>
      </c>
      <c r="N44" s="47" t="n">
        <f aca="false">EXP(-J44*C44)*IF(ABS(J44-L44)&lt;0.000000000001,(F44)-(C44),(EXP((J44-L44)*(F44))-EXP((J44-L44)*(C44)))/(J44-L44))</f>
        <v>2.29612611789736</v>
      </c>
      <c r="O44" s="47" t="n">
        <f aca="false">G44*EXP(-J44*C44)*IF(ABS(J44-L44)&lt;0.000000000001,(H44)-(F44),(EXP((J44-L44)*(H44))-EXP((J44-L44)*(F44)))/(J44-L44))</f>
        <v>0.343444664418234</v>
      </c>
      <c r="P44" s="47" t="n">
        <f aca="false">IF(ABS(-L44)&lt;0.000000000001,(H44)-(0),(EXP((-L44)*(H44))-EXP((-L44)*(0)))/(-L44))</f>
        <v>4.56956508570619</v>
      </c>
      <c r="Q44" s="47" t="n">
        <f aca="false">IF(C44&gt;F44,"t0&gt;T1（未支援）",(M44+N44+O44)/P44)</f>
        <v>0.687074819363424</v>
      </c>
      <c r="R44" s="15" t="n">
        <f aca="false">IN_sh_G*IN_rg_G</f>
        <v>9.24654168303684</v>
      </c>
    </row>
    <row r="45" customFormat="false" ht="16.5" hidden="false" customHeight="true" outlineLevel="0" collapsed="false">
      <c r="A45" s="1" t="s">
        <v>345</v>
      </c>
      <c r="B45" s="1" t="s">
        <v>328</v>
      </c>
      <c r="C45" s="1" t="n">
        <f aca="false">MAX(0,IN_A-IN_sv_3)</f>
        <v>0</v>
      </c>
      <c r="D45" s="35" t="n">
        <f aca="false">$A$10</f>
        <v>-0.125</v>
      </c>
      <c r="E45" s="35" t="n">
        <f aca="false">IN_gpre</f>
        <v>-0.09</v>
      </c>
      <c r="F45" s="1" t="n">
        <f aca="false">IN_T1</f>
        <v>4</v>
      </c>
      <c r="G45" s="35" t="n">
        <f aca="false">IN_rho</f>
        <v>0.5</v>
      </c>
      <c r="H45" s="1" t="n">
        <f aca="false">IN_T</f>
        <v>6</v>
      </c>
      <c r="I45" s="35" t="n">
        <f aca="false">IN_WACC</f>
        <v>0.1</v>
      </c>
      <c r="J45" s="47" t="n">
        <f aca="false">LN(1+D45)</f>
        <v>-0.133531392624523</v>
      </c>
      <c r="K45" s="47" t="n">
        <f aca="false">LN(1+E45)</f>
        <v>-0.0943106794712413</v>
      </c>
      <c r="L45" s="47" t="n">
        <f aca="false">LN(1+I45)</f>
        <v>0.0953101798043249</v>
      </c>
      <c r="M45" s="47" t="n">
        <f aca="false">IF(C45&gt;0,EXP(-K45*C45)*IF(ABS(K45-L45)&lt;0.000000000001,(C45)-(0),(EXP((K45-L45)*(C45))-EXP((K45-L45)*(0)))/(K45-L45)),0)</f>
        <v>0</v>
      </c>
      <c r="N45" s="47" t="n">
        <f aca="false">EXP(-J45*C45)*IF(ABS(J45-L45)&lt;0.000000000001,(F45)-(C45),(EXP((J45-L45)*(F45))-EXP((J45-L45)*(C45)))/(J45-L45))</f>
        <v>2.62028461787288</v>
      </c>
      <c r="O45" s="47" t="n">
        <f aca="false">G45*EXP(-J45*C45)*IF(ABS(J45-L45)&lt;0.000000000001,(H45)-(F45),(EXP((J45-L45)*(H45))-EXP((J45-L45)*(F45)))/(J45-L45))</f>
        <v>0.321263066392146</v>
      </c>
      <c r="P45" s="47" t="n">
        <f aca="false">IF(ABS(-L45)&lt;0.000000000001,(H45)-(0),(EXP((-L45)*(H45))-EXP((-L45)*(0)))/(-L45))</f>
        <v>4.56956508570619</v>
      </c>
      <c r="Q45" s="47" t="n">
        <f aca="false">IF(C45&gt;F45,"t0&gt;T1（未支援）",(M45+N45+O45)/P45)</f>
        <v>0.643725962776266</v>
      </c>
      <c r="R45" s="15" t="n">
        <f aca="false">IN_sh_3*IN_rg_3</f>
        <v>0</v>
      </c>
    </row>
    <row r="46" customFormat="false" ht="16.5" hidden="false" customHeight="true" outlineLevel="0" collapsed="false">
      <c r="A46" s="1" t="s">
        <v>345</v>
      </c>
      <c r="B46" s="1" t="s">
        <v>329</v>
      </c>
      <c r="C46" s="1" t="n">
        <f aca="false">MAX(0,IN_A-IN_sv_V)</f>
        <v>0</v>
      </c>
      <c r="D46" s="35" t="n">
        <f aca="false">$A$10</f>
        <v>-0.125</v>
      </c>
      <c r="E46" s="35" t="n">
        <f aca="false">IN_gpre</f>
        <v>-0.09</v>
      </c>
      <c r="F46" s="1" t="n">
        <f aca="false">IN_T1</f>
        <v>4</v>
      </c>
      <c r="G46" s="35" t="n">
        <f aca="false">IN_rho</f>
        <v>0.5</v>
      </c>
      <c r="H46" s="1" t="n">
        <f aca="false">IN_T</f>
        <v>6</v>
      </c>
      <c r="I46" s="35" t="n">
        <f aca="false">IN_WACC</f>
        <v>0.1</v>
      </c>
      <c r="J46" s="47" t="n">
        <f aca="false">LN(1+D46)</f>
        <v>-0.133531392624523</v>
      </c>
      <c r="K46" s="47" t="n">
        <f aca="false">LN(1+E46)</f>
        <v>-0.0943106794712413</v>
      </c>
      <c r="L46" s="47" t="n">
        <f aca="false">LN(1+I46)</f>
        <v>0.0953101798043249</v>
      </c>
      <c r="M46" s="47" t="n">
        <f aca="false">IF(C46&gt;0,EXP(-K46*C46)*IF(ABS(K46-L46)&lt;0.000000000001,(C46)-(0),(EXP((K46-L46)*(C46))-EXP((K46-L46)*(0)))/(K46-L46)),0)</f>
        <v>0</v>
      </c>
      <c r="N46" s="47" t="n">
        <f aca="false">EXP(-J46*C46)*IF(ABS(J46-L46)&lt;0.000000000001,(F46)-(C46),(EXP((J46-L46)*(F46))-EXP((J46-L46)*(C46)))/(J46-L46))</f>
        <v>2.62028461787288</v>
      </c>
      <c r="O46" s="47" t="n">
        <f aca="false">G46*EXP(-J46*C46)*IF(ABS(J46-L46)&lt;0.000000000001,(H46)-(F46),(EXP((J46-L46)*(H46))-EXP((J46-L46)*(F46)))/(J46-L46))</f>
        <v>0.321263066392146</v>
      </c>
      <c r="P46" s="47" t="n">
        <f aca="false">IF(ABS(-L46)&lt;0.000000000001,(H46)-(0),(EXP((-L46)*(H46))-EXP((-L46)*(0)))/(-L46))</f>
        <v>4.56956508570619</v>
      </c>
      <c r="Q46" s="47" t="n">
        <f aca="false">IF(C46&gt;F46,"t0&gt;T1（未支援）",(M46+N46+O46)/P46)</f>
        <v>0.643725962776266</v>
      </c>
      <c r="R46" s="15" t="n">
        <f aca="false">IN_sh_V*IN_rg_V</f>
        <v>0</v>
      </c>
    </row>
    <row r="47" customFormat="false" ht="16.5" hidden="false" customHeight="true" outlineLevel="0" collapsed="false">
      <c r="A47" s="1" t="s">
        <v>346</v>
      </c>
      <c r="B47" s="1" t="s">
        <v>326</v>
      </c>
      <c r="C47" s="1" t="n">
        <f aca="false">MAX(0,IN_A-IN_sv_H)</f>
        <v>2</v>
      </c>
      <c r="D47" s="35" t="n">
        <f aca="false">$A$11</f>
        <v>-0.1</v>
      </c>
      <c r="E47" s="35" t="n">
        <f aca="false">IN_gpre</f>
        <v>-0.09</v>
      </c>
      <c r="F47" s="1" t="n">
        <f aca="false">IN_T1</f>
        <v>4</v>
      </c>
      <c r="G47" s="35" t="n">
        <f aca="false">IN_rho</f>
        <v>0.5</v>
      </c>
      <c r="H47" s="1" t="n">
        <f aca="false">IN_T</f>
        <v>6</v>
      </c>
      <c r="I47" s="35" t="n">
        <f aca="false">IN_WACC</f>
        <v>0.1</v>
      </c>
      <c r="J47" s="47" t="n">
        <f aca="false">LN(1+D47)</f>
        <v>-0.105360515657826</v>
      </c>
      <c r="K47" s="47" t="n">
        <f aca="false">LN(1+E47)</f>
        <v>-0.0943106794712413</v>
      </c>
      <c r="L47" s="47" t="n">
        <f aca="false">LN(1+I47)</f>
        <v>0.0953101798043249</v>
      </c>
      <c r="M47" s="47" t="n">
        <f aca="false">IF(C47&gt;0,EXP(-K47*C47)*IF(ABS(K47-L47)&lt;0.000000000001,(C47)-(0),(EXP((K47-L47)*(C47))-EXP((K47-L47)*(0)))/(K47-L47)),0)</f>
        <v>2.00999692560416</v>
      </c>
      <c r="N47" s="47" t="n">
        <f aca="false">EXP(-J47*C47)*IF(ABS(J47-L47)&lt;0.000000000001,(F47)-(C47),(EXP((J47-L47)*(F47))-EXP((J47-L47)*(C47)))/(J47-L47))</f>
        <v>1.36146128121412</v>
      </c>
      <c r="O47" s="47" t="n">
        <f aca="false">G47*EXP(-J47*C47)*IF(ABS(J47-L47)&lt;0.000000000001,(H47)-(F47),(EXP((J47-L47)*(H47))-EXP((J47-L47)*(F47)))/(J47-L47))</f>
        <v>0.455695718092328</v>
      </c>
      <c r="P47" s="47" t="n">
        <f aca="false">IF(ABS(-L47)&lt;0.000000000001,(H47)-(0),(EXP((-L47)*(H47))-EXP((-L47)*(0)))/(-L47))</f>
        <v>4.56956508570619</v>
      </c>
      <c r="Q47" s="47" t="n">
        <f aca="false">IF(C47&gt;F47,"t0&gt;T1（未支援）",(M47+N47+O47)/P47)</f>
        <v>0.837531330253314</v>
      </c>
      <c r="R47" s="15" t="n">
        <f aca="false">IN_sh_H*IN_rg_H</f>
        <v>2.81888551801847</v>
      </c>
    </row>
    <row r="48" customFormat="false" ht="16.5" hidden="false" customHeight="true" outlineLevel="0" collapsed="false">
      <c r="A48" s="1" t="s">
        <v>346</v>
      </c>
      <c r="B48" s="1" t="s">
        <v>327</v>
      </c>
      <c r="C48" s="1" t="n">
        <f aca="false">MAX(0,IN_A-IN_sv_G)</f>
        <v>0.5</v>
      </c>
      <c r="D48" s="35" t="n">
        <f aca="false">$A$11</f>
        <v>-0.1</v>
      </c>
      <c r="E48" s="35" t="n">
        <f aca="false">IN_gpre</f>
        <v>-0.09</v>
      </c>
      <c r="F48" s="1" t="n">
        <f aca="false">IN_T1</f>
        <v>4</v>
      </c>
      <c r="G48" s="35" t="n">
        <f aca="false">IN_rho</f>
        <v>0.5</v>
      </c>
      <c r="H48" s="1" t="n">
        <f aca="false">IN_T</f>
        <v>6</v>
      </c>
      <c r="I48" s="35" t="n">
        <f aca="false">IN_WACC</f>
        <v>0.1</v>
      </c>
      <c r="J48" s="47" t="n">
        <f aca="false">LN(1+D48)</f>
        <v>-0.105360515657826</v>
      </c>
      <c r="K48" s="47" t="n">
        <f aca="false">LN(1+E48)</f>
        <v>-0.0943106794712413</v>
      </c>
      <c r="L48" s="47" t="n">
        <f aca="false">LN(1+I48)</f>
        <v>0.0953101798043249</v>
      </c>
      <c r="M48" s="47" t="n">
        <f aca="false">IF(C48&gt;0,EXP(-K48*C48)*IF(ABS(K48-L48)&lt;0.000000000001,(C48)-(0),(EXP((K48-L48)*(C48))-EXP((K48-L48)*(0)))/(K48-L48)),0)</f>
        <v>0.500062323515398</v>
      </c>
      <c r="N48" s="47" t="n">
        <f aca="false">EXP(-J48*C48)*IF(ABS(J48-L48)&lt;0.000000000001,(F48)-(C48),(EXP((J48-L48)*(F48))-EXP((J48-L48)*(C48)))/(J48-L48))</f>
        <v>2.39744636184955</v>
      </c>
      <c r="O48" s="47" t="n">
        <f aca="false">G48*EXP(-J48*C48)*IF(ABS(J48-L48)&lt;0.000000000001,(H48)-(F48),(EXP((J48-L48)*(H48))-EXP((J48-L48)*(F48)))/(J48-L48))</f>
        <v>0.389079825072595</v>
      </c>
      <c r="P48" s="47" t="n">
        <f aca="false">IF(ABS(-L48)&lt;0.000000000001,(H48)-(0),(EXP((-L48)*(H48))-EXP((-L48)*(0)))/(-L48))</f>
        <v>4.56956508570619</v>
      </c>
      <c r="Q48" s="47" t="n">
        <f aca="false">IF(C48&gt;F48,"t0&gt;T1（未支援）",(M48+N48+O48)/P48)</f>
        <v>0.719234423581829</v>
      </c>
      <c r="R48" s="15" t="n">
        <f aca="false">IN_sh_G*IN_rg_G</f>
        <v>9.24654168303684</v>
      </c>
    </row>
    <row r="49" customFormat="false" ht="16.5" hidden="false" customHeight="true" outlineLevel="0" collapsed="false">
      <c r="A49" s="1" t="s">
        <v>346</v>
      </c>
      <c r="B49" s="1" t="s">
        <v>328</v>
      </c>
      <c r="C49" s="1" t="n">
        <f aca="false">MAX(0,IN_A-IN_sv_3)</f>
        <v>0</v>
      </c>
      <c r="D49" s="35" t="n">
        <f aca="false">$A$11</f>
        <v>-0.1</v>
      </c>
      <c r="E49" s="35" t="n">
        <f aca="false">IN_gpre</f>
        <v>-0.09</v>
      </c>
      <c r="F49" s="1" t="n">
        <f aca="false">IN_T1</f>
        <v>4</v>
      </c>
      <c r="G49" s="35" t="n">
        <f aca="false">IN_rho</f>
        <v>0.5</v>
      </c>
      <c r="H49" s="1" t="n">
        <f aca="false">IN_T</f>
        <v>6</v>
      </c>
      <c r="I49" s="35" t="n">
        <f aca="false">IN_WACC</f>
        <v>0.1</v>
      </c>
      <c r="J49" s="47" t="n">
        <f aca="false">LN(1+D49)</f>
        <v>-0.105360515657826</v>
      </c>
      <c r="K49" s="47" t="n">
        <f aca="false">LN(1+E49)</f>
        <v>-0.0943106794712413</v>
      </c>
      <c r="L49" s="47" t="n">
        <f aca="false">LN(1+I49)</f>
        <v>0.0953101798043249</v>
      </c>
      <c r="M49" s="47" t="n">
        <f aca="false">IF(C49&gt;0,EXP(-K49*C49)*IF(ABS(K49-L49)&lt;0.000000000001,(C49)-(0),(EXP((K49-L49)*(C49))-EXP((K49-L49)*(0)))/(K49-L49)),0)</f>
        <v>0</v>
      </c>
      <c r="N49" s="47" t="n">
        <f aca="false">EXP(-J49*C49)*IF(ABS(J49-L49)&lt;0.000000000001,(F49)-(C49),(EXP((J49-L49)*(F49))-EXP((J49-L49)*(C49)))/(J49-L49))</f>
        <v>2.75015178805252</v>
      </c>
      <c r="O49" s="47" t="n">
        <f aca="false">G49*EXP(-J49*C49)*IF(ABS(J49-L49)&lt;0.000000000001,(H49)-(F49),(EXP((J49-L49)*(H49))-EXP((J49-L49)*(F49)))/(J49-L49))</f>
        <v>0.369113531654786</v>
      </c>
      <c r="P49" s="47" t="n">
        <f aca="false">IF(ABS(-L49)&lt;0.000000000001,(H49)-(0),(EXP((-L49)*(H49))-EXP((-L49)*(0)))/(-L49))</f>
        <v>4.56956508570619</v>
      </c>
      <c r="Q49" s="47" t="n">
        <f aca="false">IF(C49&gt;F49,"t0&gt;T1（未支援）",(M49+N49+O49)/P49)</f>
        <v>0.682617549198392</v>
      </c>
      <c r="R49" s="15" t="n">
        <f aca="false">IN_sh_3*IN_rg_3</f>
        <v>0</v>
      </c>
    </row>
    <row r="50" customFormat="false" ht="16.5" hidden="false" customHeight="true" outlineLevel="0" collapsed="false">
      <c r="A50" s="1" t="s">
        <v>346</v>
      </c>
      <c r="B50" s="1" t="s">
        <v>329</v>
      </c>
      <c r="C50" s="1" t="n">
        <f aca="false">MAX(0,IN_A-IN_sv_V)</f>
        <v>0</v>
      </c>
      <c r="D50" s="35" t="n">
        <f aca="false">$A$11</f>
        <v>-0.1</v>
      </c>
      <c r="E50" s="35" t="n">
        <f aca="false">IN_gpre</f>
        <v>-0.09</v>
      </c>
      <c r="F50" s="1" t="n">
        <f aca="false">IN_T1</f>
        <v>4</v>
      </c>
      <c r="G50" s="35" t="n">
        <f aca="false">IN_rho</f>
        <v>0.5</v>
      </c>
      <c r="H50" s="1" t="n">
        <f aca="false">IN_T</f>
        <v>6</v>
      </c>
      <c r="I50" s="35" t="n">
        <f aca="false">IN_WACC</f>
        <v>0.1</v>
      </c>
      <c r="J50" s="47" t="n">
        <f aca="false">LN(1+D50)</f>
        <v>-0.105360515657826</v>
      </c>
      <c r="K50" s="47" t="n">
        <f aca="false">LN(1+E50)</f>
        <v>-0.0943106794712413</v>
      </c>
      <c r="L50" s="47" t="n">
        <f aca="false">LN(1+I50)</f>
        <v>0.0953101798043249</v>
      </c>
      <c r="M50" s="47" t="n">
        <f aca="false">IF(C50&gt;0,EXP(-K50*C50)*IF(ABS(K50-L50)&lt;0.000000000001,(C50)-(0),(EXP((K50-L50)*(C50))-EXP((K50-L50)*(0)))/(K50-L50)),0)</f>
        <v>0</v>
      </c>
      <c r="N50" s="47" t="n">
        <f aca="false">EXP(-J50*C50)*IF(ABS(J50-L50)&lt;0.000000000001,(F50)-(C50),(EXP((J50-L50)*(F50))-EXP((J50-L50)*(C50)))/(J50-L50))</f>
        <v>2.75015178805252</v>
      </c>
      <c r="O50" s="47" t="n">
        <f aca="false">G50*EXP(-J50*C50)*IF(ABS(J50-L50)&lt;0.000000000001,(H50)-(F50),(EXP((J50-L50)*(H50))-EXP((J50-L50)*(F50)))/(J50-L50))</f>
        <v>0.369113531654786</v>
      </c>
      <c r="P50" s="47" t="n">
        <f aca="false">IF(ABS(-L50)&lt;0.000000000001,(H50)-(0),(EXP((-L50)*(H50))-EXP((-L50)*(0)))/(-L50))</f>
        <v>4.56956508570619</v>
      </c>
      <c r="Q50" s="47" t="n">
        <f aca="false">IF(C50&gt;F50,"t0&gt;T1（未支援）",(M50+N50+O50)/P50)</f>
        <v>0.682617549198392</v>
      </c>
      <c r="R50" s="15" t="n">
        <f aca="false">IN_sh_V*IN_rg_V</f>
        <v>0</v>
      </c>
    </row>
    <row r="51" customFormat="false" ht="16.5" hidden="false" customHeight="true" outlineLevel="0" collapsed="false">
      <c r="A51" s="1" t="s">
        <v>347</v>
      </c>
      <c r="B51" s="1" t="s">
        <v>326</v>
      </c>
      <c r="C51" s="1" t="n">
        <f aca="false">MAX(0,IN_A-IN_sv_H)</f>
        <v>2</v>
      </c>
      <c r="D51" s="35" t="n">
        <f aca="false">$A$12</f>
        <v>-0.075</v>
      </c>
      <c r="E51" s="35" t="n">
        <f aca="false">IN_gpre</f>
        <v>-0.09</v>
      </c>
      <c r="F51" s="1" t="n">
        <f aca="false">IN_T1</f>
        <v>4</v>
      </c>
      <c r="G51" s="35" t="n">
        <f aca="false">IN_rho</f>
        <v>0.5</v>
      </c>
      <c r="H51" s="1" t="n">
        <f aca="false">IN_T</f>
        <v>6</v>
      </c>
      <c r="I51" s="35" t="n">
        <f aca="false">IN_WACC</f>
        <v>0.1</v>
      </c>
      <c r="J51" s="47" t="n">
        <f aca="false">LN(1+D51)</f>
        <v>-0.0779615414697118</v>
      </c>
      <c r="K51" s="47" t="n">
        <f aca="false">LN(1+E51)</f>
        <v>-0.0943106794712413</v>
      </c>
      <c r="L51" s="47" t="n">
        <f aca="false">LN(1+I51)</f>
        <v>0.0953101798043249</v>
      </c>
      <c r="M51" s="47" t="n">
        <f aca="false">IF(C51&gt;0,EXP(-K51*C51)*IF(ABS(K51-L51)&lt;0.000000000001,(C51)-(0),(EXP((K51-L51)*(C51))-EXP((K51-L51)*(0)))/(K51-L51)),0)</f>
        <v>2.00999692560416</v>
      </c>
      <c r="N51" s="47" t="n">
        <f aca="false">EXP(-J51*C51)*IF(ABS(J51-L51)&lt;0.000000000001,(F51)-(C51),(EXP((J51-L51)*(F51))-EXP((J51-L51)*(C51)))/(J51-L51))</f>
        <v>1.39689784037059</v>
      </c>
      <c r="O51" s="47" t="n">
        <f aca="false">G51*EXP(-J51*C51)*IF(ABS(J51-L51)&lt;0.000000000001,(H51)-(F51),(EXP((J51-L51)*(H51))-EXP((J51-L51)*(F51)))/(J51-L51))</f>
        <v>0.493892857300449</v>
      </c>
      <c r="P51" s="47" t="n">
        <f aca="false">IF(ABS(-L51)&lt;0.000000000001,(H51)-(0),(EXP((-L51)*(H51))-EXP((-L51)*(0)))/(-L51))</f>
        <v>4.56956508570619</v>
      </c>
      <c r="Q51" s="47" t="n">
        <f aca="false">IF(C51&gt;F51,"t0&gt;T1（未支援）",(M51+N51+O51)/P51)</f>
        <v>0.853645270416881</v>
      </c>
      <c r="R51" s="15" t="n">
        <f aca="false">IN_sh_H*IN_rg_H</f>
        <v>2.81888551801847</v>
      </c>
    </row>
    <row r="52" customFormat="false" ht="16.5" hidden="false" customHeight="true" outlineLevel="0" collapsed="false">
      <c r="A52" s="1" t="s">
        <v>347</v>
      </c>
      <c r="B52" s="1" t="s">
        <v>327</v>
      </c>
      <c r="C52" s="1" t="n">
        <f aca="false">MAX(0,IN_A-IN_sv_G)</f>
        <v>0.5</v>
      </c>
      <c r="D52" s="35" t="n">
        <f aca="false">$A$12</f>
        <v>-0.075</v>
      </c>
      <c r="E52" s="35" t="n">
        <f aca="false">IN_gpre</f>
        <v>-0.09</v>
      </c>
      <c r="F52" s="1" t="n">
        <f aca="false">IN_T1</f>
        <v>4</v>
      </c>
      <c r="G52" s="35" t="n">
        <f aca="false">IN_rho</f>
        <v>0.5</v>
      </c>
      <c r="H52" s="1" t="n">
        <f aca="false">IN_T</f>
        <v>6</v>
      </c>
      <c r="I52" s="35" t="n">
        <f aca="false">IN_WACC</f>
        <v>0.1</v>
      </c>
      <c r="J52" s="47" t="n">
        <f aca="false">LN(1+D52)</f>
        <v>-0.0779615414697118</v>
      </c>
      <c r="K52" s="47" t="n">
        <f aca="false">LN(1+E52)</f>
        <v>-0.0943106794712413</v>
      </c>
      <c r="L52" s="47" t="n">
        <f aca="false">LN(1+I52)</f>
        <v>0.0953101798043249</v>
      </c>
      <c r="M52" s="47" t="n">
        <f aca="false">IF(C52&gt;0,EXP(-K52*C52)*IF(ABS(K52-L52)&lt;0.000000000001,(C52)-(0),(EXP((K52-L52)*(C52))-EXP((K52-L52)*(0)))/(K52-L52)),0)</f>
        <v>0.500062323515398</v>
      </c>
      <c r="N52" s="47" t="n">
        <f aca="false">EXP(-J52*C52)*IF(ABS(J52-L52)&lt;0.000000000001,(F52)-(C52),(EXP((J52-L52)*(F52))-EXP((J52-L52)*(C52)))/(J52-L52))</f>
        <v>2.50217400787418</v>
      </c>
      <c r="O52" s="47" t="n">
        <f aca="false">G52*EXP(-J52*C52)*IF(ABS(J52-L52)&lt;0.000000000001,(H52)-(F52),(EXP((J52-L52)*(H52))-EXP((J52-L52)*(F52)))/(J52-L52))</f>
        <v>0.43938511929143</v>
      </c>
      <c r="P52" s="47" t="n">
        <f aca="false">IF(ABS(-L52)&lt;0.000000000001,(H52)-(0),(EXP((-L52)*(H52))-EXP((-L52)*(0)))/(-L52))</f>
        <v>4.56956508570619</v>
      </c>
      <c r="Q52" s="47" t="n">
        <f aca="false">IF(C52&gt;F52,"t0&gt;T1（未支援）",(M52+N52+O52)/P52)</f>
        <v>0.753161709294075</v>
      </c>
      <c r="R52" s="15" t="n">
        <f aca="false">IN_sh_G*IN_rg_G</f>
        <v>9.24654168303684</v>
      </c>
    </row>
    <row r="53" customFormat="false" ht="16.5" hidden="false" customHeight="true" outlineLevel="0" collapsed="false">
      <c r="A53" s="1" t="s">
        <v>347</v>
      </c>
      <c r="B53" s="1" t="s">
        <v>328</v>
      </c>
      <c r="C53" s="1" t="n">
        <f aca="false">MAX(0,IN_A-IN_sv_3)</f>
        <v>0</v>
      </c>
      <c r="D53" s="35" t="n">
        <f aca="false">$A$12</f>
        <v>-0.075</v>
      </c>
      <c r="E53" s="35" t="n">
        <f aca="false">IN_gpre</f>
        <v>-0.09</v>
      </c>
      <c r="F53" s="1" t="n">
        <f aca="false">IN_T1</f>
        <v>4</v>
      </c>
      <c r="G53" s="35" t="n">
        <f aca="false">IN_rho</f>
        <v>0.5</v>
      </c>
      <c r="H53" s="1" t="n">
        <f aca="false">IN_T</f>
        <v>6</v>
      </c>
      <c r="I53" s="35" t="n">
        <f aca="false">IN_WACC</f>
        <v>0.1</v>
      </c>
      <c r="J53" s="47" t="n">
        <f aca="false">LN(1+D53)</f>
        <v>-0.0779615414697118</v>
      </c>
      <c r="K53" s="47" t="n">
        <f aca="false">LN(1+E53)</f>
        <v>-0.0943106794712413</v>
      </c>
      <c r="L53" s="47" t="n">
        <f aca="false">LN(1+I53)</f>
        <v>0.0953101798043249</v>
      </c>
      <c r="M53" s="47" t="n">
        <f aca="false">IF(C53&gt;0,EXP(-K53*C53)*IF(ABS(K53-L53)&lt;0.000000000001,(C53)-(0),(EXP((K53-L53)*(C53))-EXP((K53-L53)*(0)))/(K53-L53)),0)</f>
        <v>0</v>
      </c>
      <c r="N53" s="47" t="n">
        <f aca="false">EXP(-J53*C53)*IF(ABS(J53-L53)&lt;0.000000000001,(F53)-(C53),(EXP((J53-L53)*(F53))-EXP((J53-L53)*(C53)))/(J53-L53))</f>
        <v>2.8854671015155</v>
      </c>
      <c r="O53" s="47" t="n">
        <f aca="false">G53*EXP(-J53*C53)*IF(ABS(J53-L53)&lt;0.000000000001,(H53)-(F53),(EXP((J53-L53)*(H53))-EXP((J53-L53)*(F53)))/(J53-L53))</f>
        <v>0.422587076027697</v>
      </c>
      <c r="P53" s="47" t="n">
        <f aca="false">IF(ABS(-L53)&lt;0.000000000001,(H53)-(0),(EXP((-L53)*(H53))-EXP((-L53)*(0)))/(-L53))</f>
        <v>4.56956508570619</v>
      </c>
      <c r="Q53" s="47" t="n">
        <f aca="false">IF(C53&gt;F53,"t0&gt;T1（未支援）",(M53+N53+O53)/P53)</f>
        <v>0.723931953150409</v>
      </c>
      <c r="R53" s="15" t="n">
        <f aca="false">IN_sh_3*IN_rg_3</f>
        <v>0</v>
      </c>
    </row>
    <row r="54" customFormat="false" ht="16.5" hidden="false" customHeight="true" outlineLevel="0" collapsed="false">
      <c r="A54" s="1" t="s">
        <v>347</v>
      </c>
      <c r="B54" s="1" t="s">
        <v>329</v>
      </c>
      <c r="C54" s="1" t="n">
        <f aca="false">MAX(0,IN_A-IN_sv_V)</f>
        <v>0</v>
      </c>
      <c r="D54" s="35" t="n">
        <f aca="false">$A$12</f>
        <v>-0.075</v>
      </c>
      <c r="E54" s="35" t="n">
        <f aca="false">IN_gpre</f>
        <v>-0.09</v>
      </c>
      <c r="F54" s="1" t="n">
        <f aca="false">IN_T1</f>
        <v>4</v>
      </c>
      <c r="G54" s="35" t="n">
        <f aca="false">IN_rho</f>
        <v>0.5</v>
      </c>
      <c r="H54" s="1" t="n">
        <f aca="false">IN_T</f>
        <v>6</v>
      </c>
      <c r="I54" s="35" t="n">
        <f aca="false">IN_WACC</f>
        <v>0.1</v>
      </c>
      <c r="J54" s="47" t="n">
        <f aca="false">LN(1+D54)</f>
        <v>-0.0779615414697118</v>
      </c>
      <c r="K54" s="47" t="n">
        <f aca="false">LN(1+E54)</f>
        <v>-0.0943106794712413</v>
      </c>
      <c r="L54" s="47" t="n">
        <f aca="false">LN(1+I54)</f>
        <v>0.0953101798043249</v>
      </c>
      <c r="M54" s="47" t="n">
        <f aca="false">IF(C54&gt;0,EXP(-K54*C54)*IF(ABS(K54-L54)&lt;0.000000000001,(C54)-(0),(EXP((K54-L54)*(C54))-EXP((K54-L54)*(0)))/(K54-L54)),0)</f>
        <v>0</v>
      </c>
      <c r="N54" s="47" t="n">
        <f aca="false">EXP(-J54*C54)*IF(ABS(J54-L54)&lt;0.000000000001,(F54)-(C54),(EXP((J54-L54)*(F54))-EXP((J54-L54)*(C54)))/(J54-L54))</f>
        <v>2.8854671015155</v>
      </c>
      <c r="O54" s="47" t="n">
        <f aca="false">G54*EXP(-J54*C54)*IF(ABS(J54-L54)&lt;0.000000000001,(H54)-(F54),(EXP((J54-L54)*(H54))-EXP((J54-L54)*(F54)))/(J54-L54))</f>
        <v>0.422587076027697</v>
      </c>
      <c r="P54" s="47" t="n">
        <f aca="false">IF(ABS(-L54)&lt;0.000000000001,(H54)-(0),(EXP((-L54)*(H54))-EXP((-L54)*(0)))/(-L54))</f>
        <v>4.56956508570619</v>
      </c>
      <c r="Q54" s="47" t="n">
        <f aca="false">IF(C54&gt;F54,"t0&gt;T1（未支援）",(M54+N54+O54)/P54)</f>
        <v>0.723931953150409</v>
      </c>
      <c r="R54" s="15" t="n">
        <f aca="false">IN_sh_V*IN_rg_V</f>
        <v>0</v>
      </c>
    </row>
    <row r="55" customFormat="false" ht="16.5" hidden="false" customHeight="true" outlineLevel="0" collapsed="false">
      <c r="A55" s="1" t="s">
        <v>348</v>
      </c>
      <c r="B55" s="1" t="s">
        <v>326</v>
      </c>
      <c r="C55" s="1" t="n">
        <f aca="false">MAX(0,IN_A-IN_sv_H)</f>
        <v>2</v>
      </c>
      <c r="D55" s="35" t="n">
        <f aca="false">$A$13</f>
        <v>-0.05</v>
      </c>
      <c r="E55" s="35" t="n">
        <f aca="false">IN_gpre</f>
        <v>-0.09</v>
      </c>
      <c r="F55" s="1" t="n">
        <f aca="false">IN_T1</f>
        <v>4</v>
      </c>
      <c r="G55" s="35" t="n">
        <f aca="false">IN_rho</f>
        <v>0.5</v>
      </c>
      <c r="H55" s="1" t="n">
        <f aca="false">IN_T</f>
        <v>6</v>
      </c>
      <c r="I55" s="35" t="n">
        <f aca="false">IN_WACC</f>
        <v>0.1</v>
      </c>
      <c r="J55" s="47" t="n">
        <f aca="false">LN(1+D55)</f>
        <v>-0.0512932943875506</v>
      </c>
      <c r="K55" s="47" t="n">
        <f aca="false">LN(1+E55)</f>
        <v>-0.0943106794712413</v>
      </c>
      <c r="L55" s="47" t="n">
        <f aca="false">LN(1+I55)</f>
        <v>0.0953101798043249</v>
      </c>
      <c r="M55" s="47" t="n">
        <f aca="false">IF(C55&gt;0,EXP(-K55*C55)*IF(ABS(K55-L55)&lt;0.000000000001,(C55)-(0),(EXP((K55-L55)*(C55))-EXP((K55-L55)*(0)))/(K55-L55)),0)</f>
        <v>2.00999692560416</v>
      </c>
      <c r="N55" s="47" t="n">
        <f aca="false">EXP(-J55*C55)*IF(ABS(J55-L55)&lt;0.000000000001,(F55)-(C55),(EXP((J55-L55)*(F55))-EXP((J55-L55)*(C55)))/(J55-L55))</f>
        <v>1.43261705551313</v>
      </c>
      <c r="O55" s="47" t="n">
        <f aca="false">G55*EXP(-J55*C55)*IF(ABS(J55-L55)&lt;0.000000000001,(H55)-(F55),(EXP((J55-L55)*(H55))-EXP((J55-L55)*(F55)))/(J55-L55))</f>
        <v>0.534271443223387</v>
      </c>
      <c r="P55" s="47" t="n">
        <f aca="false">IF(ABS(-L55)&lt;0.000000000001,(H55)-(0),(EXP((-L55)*(H55))-EXP((-L55)*(0)))/(-L55))</f>
        <v>4.56956508570619</v>
      </c>
      <c r="Q55" s="47" t="n">
        <f aca="false">IF(C55&gt;F55,"t0&gt;T1（未支援）",(M55+N55+O55)/P55)</f>
        <v>0.870298452861641</v>
      </c>
      <c r="R55" s="15" t="n">
        <f aca="false">IN_sh_H*IN_rg_H</f>
        <v>2.81888551801847</v>
      </c>
    </row>
    <row r="56" customFormat="false" ht="16.5" hidden="false" customHeight="true" outlineLevel="0" collapsed="false">
      <c r="A56" s="1" t="s">
        <v>348</v>
      </c>
      <c r="B56" s="1" t="s">
        <v>327</v>
      </c>
      <c r="C56" s="1" t="n">
        <f aca="false">MAX(0,IN_A-IN_sv_G)</f>
        <v>0.5</v>
      </c>
      <c r="D56" s="35" t="n">
        <f aca="false">$A$13</f>
        <v>-0.05</v>
      </c>
      <c r="E56" s="35" t="n">
        <f aca="false">IN_gpre</f>
        <v>-0.09</v>
      </c>
      <c r="F56" s="1" t="n">
        <f aca="false">IN_T1</f>
        <v>4</v>
      </c>
      <c r="G56" s="35" t="n">
        <f aca="false">IN_rho</f>
        <v>0.5</v>
      </c>
      <c r="H56" s="1" t="n">
        <f aca="false">IN_T</f>
        <v>6</v>
      </c>
      <c r="I56" s="35" t="n">
        <f aca="false">IN_WACC</f>
        <v>0.1</v>
      </c>
      <c r="J56" s="47" t="n">
        <f aca="false">LN(1+D56)</f>
        <v>-0.0512932943875506</v>
      </c>
      <c r="K56" s="47" t="n">
        <f aca="false">LN(1+E56)</f>
        <v>-0.0943106794712413</v>
      </c>
      <c r="L56" s="47" t="n">
        <f aca="false">LN(1+I56)</f>
        <v>0.0953101798043249</v>
      </c>
      <c r="M56" s="47" t="n">
        <f aca="false">IF(C56&gt;0,EXP(-K56*C56)*IF(ABS(K56-L56)&lt;0.000000000001,(C56)-(0),(EXP((K56-L56)*(C56))-EXP((K56-L56)*(0)))/(K56-L56)),0)</f>
        <v>0.500062323515398</v>
      </c>
      <c r="N56" s="47" t="n">
        <f aca="false">EXP(-J56*C56)*IF(ABS(J56-L56)&lt;0.000000000001,(F56)-(C56),(EXP((J56-L56)*(F56))-EXP((J56-L56)*(C56)))/(J56-L56))</f>
        <v>2.61038573152967</v>
      </c>
      <c r="O56" s="47" t="n">
        <f aca="false">G56*EXP(-J56*C56)*IF(ABS(J56-L56)&lt;0.000000000001,(H56)-(F56),(EXP((J56-L56)*(H56))-EXP((J56-L56)*(F56)))/(J56-L56))</f>
        <v>0.49470621873325</v>
      </c>
      <c r="P56" s="47" t="n">
        <f aca="false">IF(ABS(-L56)&lt;0.000000000001,(H56)-(0),(EXP((-L56)*(H56))-EXP((-L56)*(0)))/(-L56))</f>
        <v>4.56956508570619</v>
      </c>
      <c r="Q56" s="47" t="n">
        <f aca="false">IF(C56&gt;F56,"t0&gt;T1（未支援）",(M56+N56+O56)/P56)</f>
        <v>0.788949102630227</v>
      </c>
      <c r="R56" s="15" t="n">
        <f aca="false">IN_sh_G*IN_rg_G</f>
        <v>9.24654168303684</v>
      </c>
    </row>
    <row r="57" customFormat="false" ht="16.5" hidden="false" customHeight="true" outlineLevel="0" collapsed="false">
      <c r="A57" s="1" t="s">
        <v>348</v>
      </c>
      <c r="B57" s="1" t="s">
        <v>328</v>
      </c>
      <c r="C57" s="1" t="n">
        <f aca="false">MAX(0,IN_A-IN_sv_3)</f>
        <v>0</v>
      </c>
      <c r="D57" s="35" t="n">
        <f aca="false">$A$13</f>
        <v>-0.05</v>
      </c>
      <c r="E57" s="35" t="n">
        <f aca="false">IN_gpre</f>
        <v>-0.09</v>
      </c>
      <c r="F57" s="1" t="n">
        <f aca="false">IN_T1</f>
        <v>4</v>
      </c>
      <c r="G57" s="35" t="n">
        <f aca="false">IN_rho</f>
        <v>0.5</v>
      </c>
      <c r="H57" s="1" t="n">
        <f aca="false">IN_T</f>
        <v>6</v>
      </c>
      <c r="I57" s="35" t="n">
        <f aca="false">IN_WACC</f>
        <v>0.1</v>
      </c>
      <c r="J57" s="47" t="n">
        <f aca="false">LN(1+D57)</f>
        <v>-0.0512932943875506</v>
      </c>
      <c r="K57" s="47" t="n">
        <f aca="false">LN(1+E57)</f>
        <v>-0.0943106794712413</v>
      </c>
      <c r="L57" s="47" t="n">
        <f aca="false">LN(1+I57)</f>
        <v>0.0953101798043249</v>
      </c>
      <c r="M57" s="47" t="n">
        <f aca="false">IF(C57&gt;0,EXP(-K57*C57)*IF(ABS(K57-L57)&lt;0.000000000001,(C57)-(0),(EXP((K57-L57)*(C57))-EXP((K57-L57)*(0)))/(K57-L57)),0)</f>
        <v>0</v>
      </c>
      <c r="N57" s="47" t="n">
        <f aca="false">EXP(-J57*C57)*IF(ABS(J57-L57)&lt;0.000000000001,(F57)-(C57),(EXP((J57-L57)*(F57))-EXP((J57-L57)*(C57)))/(J57-L57))</f>
        <v>3.02640352977148</v>
      </c>
      <c r="O57" s="47" t="n">
        <f aca="false">G57*EXP(-J57*C57)*IF(ABS(J57-L57)&lt;0.000000000001,(H57)-(F57),(EXP((J57-L57)*(H57))-EXP((J57-L57)*(F57)))/(J57-L57))</f>
        <v>0.482179977509107</v>
      </c>
      <c r="P57" s="47" t="n">
        <f aca="false">IF(ABS(-L57)&lt;0.000000000001,(H57)-(0),(EXP((-L57)*(H57))-EXP((-L57)*(0)))/(-L57))</f>
        <v>4.56956508570619</v>
      </c>
      <c r="Q57" s="47" t="n">
        <f aca="false">IF(C57&gt;F57,"t0&gt;T1（未支援）",(M57+N57+O57)/P57)</f>
        <v>0.767815632663948</v>
      </c>
      <c r="R57" s="15" t="n">
        <f aca="false">IN_sh_3*IN_rg_3</f>
        <v>0</v>
      </c>
    </row>
    <row r="58" customFormat="false" ht="16.5" hidden="false" customHeight="true" outlineLevel="0" collapsed="false">
      <c r="A58" s="1" t="s">
        <v>348</v>
      </c>
      <c r="B58" s="1" t="s">
        <v>329</v>
      </c>
      <c r="C58" s="1" t="n">
        <f aca="false">MAX(0,IN_A-IN_sv_V)</f>
        <v>0</v>
      </c>
      <c r="D58" s="35" t="n">
        <f aca="false">$A$13</f>
        <v>-0.05</v>
      </c>
      <c r="E58" s="35" t="n">
        <f aca="false">IN_gpre</f>
        <v>-0.09</v>
      </c>
      <c r="F58" s="1" t="n">
        <f aca="false">IN_T1</f>
        <v>4</v>
      </c>
      <c r="G58" s="35" t="n">
        <f aca="false">IN_rho</f>
        <v>0.5</v>
      </c>
      <c r="H58" s="1" t="n">
        <f aca="false">IN_T</f>
        <v>6</v>
      </c>
      <c r="I58" s="35" t="n">
        <f aca="false">IN_WACC</f>
        <v>0.1</v>
      </c>
      <c r="J58" s="47" t="n">
        <f aca="false">LN(1+D58)</f>
        <v>-0.0512932943875506</v>
      </c>
      <c r="K58" s="47" t="n">
        <f aca="false">LN(1+E58)</f>
        <v>-0.0943106794712413</v>
      </c>
      <c r="L58" s="47" t="n">
        <f aca="false">LN(1+I58)</f>
        <v>0.0953101798043249</v>
      </c>
      <c r="M58" s="47" t="n">
        <f aca="false">IF(C58&gt;0,EXP(-K58*C58)*IF(ABS(K58-L58)&lt;0.000000000001,(C58)-(0),(EXP((K58-L58)*(C58))-EXP((K58-L58)*(0)))/(K58-L58)),0)</f>
        <v>0</v>
      </c>
      <c r="N58" s="47" t="n">
        <f aca="false">EXP(-J58*C58)*IF(ABS(J58-L58)&lt;0.000000000001,(F58)-(C58),(EXP((J58-L58)*(F58))-EXP((J58-L58)*(C58)))/(J58-L58))</f>
        <v>3.02640352977148</v>
      </c>
      <c r="O58" s="47" t="n">
        <f aca="false">G58*EXP(-J58*C58)*IF(ABS(J58-L58)&lt;0.000000000001,(H58)-(F58),(EXP((J58-L58)*(H58))-EXP((J58-L58)*(F58)))/(J58-L58))</f>
        <v>0.482179977509107</v>
      </c>
      <c r="P58" s="47" t="n">
        <f aca="false">IF(ABS(-L58)&lt;0.000000000001,(H58)-(0),(EXP((-L58)*(H58))-EXP((-L58)*(0)))/(-L58))</f>
        <v>4.56956508570619</v>
      </c>
      <c r="Q58" s="47" t="n">
        <f aca="false">IF(C58&gt;F58,"t0&gt;T1（未支援）",(M58+N58+O58)/P58)</f>
        <v>0.767815632663948</v>
      </c>
      <c r="R58" s="15" t="n">
        <f aca="false">IN_sh_V*IN_rg_V</f>
        <v>0</v>
      </c>
    </row>
    <row r="59" customFormat="false" ht="16.5" hidden="false" customHeight="true" outlineLevel="0" collapsed="false">
      <c r="A59" s="1" t="s">
        <v>349</v>
      </c>
      <c r="B59" s="1" t="s">
        <v>326</v>
      </c>
      <c r="C59" s="1" t="n">
        <f aca="false">MAX(0,IN_A-IN_sv_H)</f>
        <v>2</v>
      </c>
      <c r="D59" s="35" t="n">
        <f aca="false">$A$14</f>
        <v>-0.025</v>
      </c>
      <c r="E59" s="35" t="n">
        <f aca="false">IN_gpre</f>
        <v>-0.09</v>
      </c>
      <c r="F59" s="1" t="n">
        <f aca="false">IN_T1</f>
        <v>4</v>
      </c>
      <c r="G59" s="35" t="n">
        <f aca="false">IN_rho</f>
        <v>0.5</v>
      </c>
      <c r="H59" s="1" t="n">
        <f aca="false">IN_T</f>
        <v>6</v>
      </c>
      <c r="I59" s="35" t="n">
        <f aca="false">IN_WACC</f>
        <v>0.1</v>
      </c>
      <c r="J59" s="47" t="n">
        <f aca="false">LN(1+D59)</f>
        <v>-0.0253178079842899</v>
      </c>
      <c r="K59" s="47" t="n">
        <f aca="false">LN(1+E59)</f>
        <v>-0.0943106794712413</v>
      </c>
      <c r="L59" s="47" t="n">
        <f aca="false">LN(1+I59)</f>
        <v>0.0953101798043249</v>
      </c>
      <c r="M59" s="47" t="n">
        <f aca="false">IF(C59&gt;0,EXP(-K59*C59)*IF(ABS(K59-L59)&lt;0.000000000001,(C59)-(0),(EXP((K59-L59)*(C59))-EXP((K59-L59)*(0)))/(K59-L59)),0)</f>
        <v>2.00999692560416</v>
      </c>
      <c r="N59" s="47" t="n">
        <f aca="false">EXP(-J59*C59)*IF(ABS(J59-L59)&lt;0.000000000001,(F59)-(C59),(EXP((J59-L59)*(F59))-EXP((J59-L59)*(C59)))/(J59-L59))</f>
        <v>1.46861949894878</v>
      </c>
      <c r="O59" s="47" t="n">
        <f aca="false">G59*EXP(-J59*C59)*IF(ABS(J59-L59)&lt;0.000000000001,(H59)-(F59),(EXP((J59-L59)*(H59))-EXP((J59-L59)*(F59)))/(J59-L59))</f>
        <v>0.576903475697597</v>
      </c>
      <c r="P59" s="47" t="n">
        <f aca="false">IF(ABS(-L59)&lt;0.000000000001,(H59)-(0),(EXP((-L59)*(H59))-EXP((-L59)*(0)))/(-L59))</f>
        <v>4.56956508570619</v>
      </c>
      <c r="Q59" s="47" t="n">
        <f aca="false">IF(C59&gt;F59,"t0&gt;T1（未支援）",(M59+N59+O59)/P59)</f>
        <v>0.887506759217937</v>
      </c>
      <c r="R59" s="15" t="n">
        <f aca="false">IN_sh_H*IN_rg_H</f>
        <v>2.81888551801847</v>
      </c>
    </row>
    <row r="60" customFormat="false" ht="16.5" hidden="false" customHeight="true" outlineLevel="0" collapsed="false">
      <c r="A60" s="1" t="s">
        <v>349</v>
      </c>
      <c r="B60" s="1" t="s">
        <v>327</v>
      </c>
      <c r="C60" s="1" t="n">
        <f aca="false">MAX(0,IN_A-IN_sv_G)</f>
        <v>0.5</v>
      </c>
      <c r="D60" s="35" t="n">
        <f aca="false">$A$14</f>
        <v>-0.025</v>
      </c>
      <c r="E60" s="35" t="n">
        <f aca="false">IN_gpre</f>
        <v>-0.09</v>
      </c>
      <c r="F60" s="1" t="n">
        <f aca="false">IN_T1</f>
        <v>4</v>
      </c>
      <c r="G60" s="35" t="n">
        <f aca="false">IN_rho</f>
        <v>0.5</v>
      </c>
      <c r="H60" s="1" t="n">
        <f aca="false">IN_T</f>
        <v>6</v>
      </c>
      <c r="I60" s="35" t="n">
        <f aca="false">IN_WACC</f>
        <v>0.1</v>
      </c>
      <c r="J60" s="47" t="n">
        <f aca="false">LN(1+D60)</f>
        <v>-0.0253178079842899</v>
      </c>
      <c r="K60" s="47" t="n">
        <f aca="false">LN(1+E60)</f>
        <v>-0.0943106794712413</v>
      </c>
      <c r="L60" s="47" t="n">
        <f aca="false">LN(1+I60)</f>
        <v>0.0953101798043249</v>
      </c>
      <c r="M60" s="47" t="n">
        <f aca="false">IF(C60&gt;0,EXP(-K60*C60)*IF(ABS(K60-L60)&lt;0.000000000001,(C60)-(0),(EXP((K60-L60)*(C60))-EXP((K60-L60)*(0)))/(K60-L60)),0)</f>
        <v>0.500062323515398</v>
      </c>
      <c r="N60" s="47" t="n">
        <f aca="false">EXP(-J60*C60)*IF(ABS(J60-L60)&lt;0.000000000001,(F60)-(C60),(EXP((J60-L60)*(F60))-EXP((J60-L60)*(C60)))/(J60-L60))</f>
        <v>2.72215821864322</v>
      </c>
      <c r="O60" s="47" t="n">
        <f aca="false">G60*EXP(-J60*C60)*IF(ABS(J60-L60)&lt;0.000000000001,(H60)-(F60),(EXP((J60-L60)*(H60))-EXP((J60-L60)*(F60)))/(J60-L60))</f>
        <v>0.555405375842063</v>
      </c>
      <c r="P60" s="47" t="n">
        <f aca="false">IF(ABS(-L60)&lt;0.000000000001,(H60)-(0),(EXP((-L60)*(H60))-EXP((-L60)*(0)))/(-L60))</f>
        <v>4.56956508570619</v>
      </c>
      <c r="Q60" s="47" t="n">
        <f aca="false">IF(C60&gt;F60,"t0&gt;T1（未支援）",(M60+N60+O60)/P60)</f>
        <v>0.826692660493505</v>
      </c>
      <c r="R60" s="15" t="n">
        <f aca="false">IN_sh_G*IN_rg_G</f>
        <v>9.24654168303684</v>
      </c>
    </row>
    <row r="61" customFormat="false" ht="16.5" hidden="false" customHeight="true" outlineLevel="0" collapsed="false">
      <c r="A61" s="1" t="s">
        <v>349</v>
      </c>
      <c r="B61" s="1" t="s">
        <v>328</v>
      </c>
      <c r="C61" s="1" t="n">
        <f aca="false">MAX(0,IN_A-IN_sv_3)</f>
        <v>0</v>
      </c>
      <c r="D61" s="35" t="n">
        <f aca="false">$A$14</f>
        <v>-0.025</v>
      </c>
      <c r="E61" s="35" t="n">
        <f aca="false">IN_gpre</f>
        <v>-0.09</v>
      </c>
      <c r="F61" s="1" t="n">
        <f aca="false">IN_T1</f>
        <v>4</v>
      </c>
      <c r="G61" s="35" t="n">
        <f aca="false">IN_rho</f>
        <v>0.5</v>
      </c>
      <c r="H61" s="1" t="n">
        <f aca="false">IN_T</f>
        <v>6</v>
      </c>
      <c r="I61" s="35" t="n">
        <f aca="false">IN_WACC</f>
        <v>0.1</v>
      </c>
      <c r="J61" s="47" t="n">
        <f aca="false">LN(1+D61)</f>
        <v>-0.0253178079842899</v>
      </c>
      <c r="K61" s="47" t="n">
        <f aca="false">LN(1+E61)</f>
        <v>-0.0943106794712413</v>
      </c>
      <c r="L61" s="47" t="n">
        <f aca="false">LN(1+I61)</f>
        <v>0.0953101798043249</v>
      </c>
      <c r="M61" s="47" t="n">
        <f aca="false">IF(C61&gt;0,EXP(-K61*C61)*IF(ABS(K61-L61)&lt;0.000000000001,(C61)-(0),(EXP((K61-L61)*(C61))-EXP((K61-L61)*(0)))/(K61-L61)),0)</f>
        <v>0</v>
      </c>
      <c r="N61" s="47" t="n">
        <f aca="false">EXP(-J61*C61)*IF(ABS(J61-L61)&lt;0.000000000001,(F61)-(C61),(EXP((J61-L61)*(F61))-EXP((J61-L61)*(C61)))/(J61-L61))</f>
        <v>3.17313600491621</v>
      </c>
      <c r="O61" s="47" t="n">
        <f aca="false">G61*EXP(-J61*C61)*IF(ABS(J61-L61)&lt;0.000000000001,(H61)-(F61),(EXP((J61-L61)*(H61))-EXP((J61-L61)*(F61)))/(J61-L61))</f>
        <v>0.548418866585028</v>
      </c>
      <c r="P61" s="47" t="n">
        <f aca="false">IF(ABS(-L61)&lt;0.000000000001,(H61)-(0),(EXP((-L61)*(H61))-EXP((-L61)*(0)))/(-L61))</f>
        <v>4.56956508570619</v>
      </c>
      <c r="Q61" s="47" t="n">
        <f aca="false">IF(C61&gt;F61,"t0&gt;T1（未支援）",(M61+N61+O61)/P61)</f>
        <v>0.814422117138113</v>
      </c>
      <c r="R61" s="15" t="n">
        <f aca="false">IN_sh_3*IN_rg_3</f>
        <v>0</v>
      </c>
    </row>
    <row r="62" customFormat="false" ht="16.5" hidden="false" customHeight="true" outlineLevel="0" collapsed="false">
      <c r="A62" s="1" t="s">
        <v>349</v>
      </c>
      <c r="B62" s="1" t="s">
        <v>329</v>
      </c>
      <c r="C62" s="1" t="n">
        <f aca="false">MAX(0,IN_A-IN_sv_V)</f>
        <v>0</v>
      </c>
      <c r="D62" s="35" t="n">
        <f aca="false">$A$14</f>
        <v>-0.025</v>
      </c>
      <c r="E62" s="35" t="n">
        <f aca="false">IN_gpre</f>
        <v>-0.09</v>
      </c>
      <c r="F62" s="1" t="n">
        <f aca="false">IN_T1</f>
        <v>4</v>
      </c>
      <c r="G62" s="35" t="n">
        <f aca="false">IN_rho</f>
        <v>0.5</v>
      </c>
      <c r="H62" s="1" t="n">
        <f aca="false">IN_T</f>
        <v>6</v>
      </c>
      <c r="I62" s="35" t="n">
        <f aca="false">IN_WACC</f>
        <v>0.1</v>
      </c>
      <c r="J62" s="47" t="n">
        <f aca="false">LN(1+D62)</f>
        <v>-0.0253178079842899</v>
      </c>
      <c r="K62" s="47" t="n">
        <f aca="false">LN(1+E62)</f>
        <v>-0.0943106794712413</v>
      </c>
      <c r="L62" s="47" t="n">
        <f aca="false">LN(1+I62)</f>
        <v>0.0953101798043249</v>
      </c>
      <c r="M62" s="47" t="n">
        <f aca="false">IF(C62&gt;0,EXP(-K62*C62)*IF(ABS(K62-L62)&lt;0.000000000001,(C62)-(0),(EXP((K62-L62)*(C62))-EXP((K62-L62)*(0)))/(K62-L62)),0)</f>
        <v>0</v>
      </c>
      <c r="N62" s="47" t="n">
        <f aca="false">EXP(-J62*C62)*IF(ABS(J62-L62)&lt;0.000000000001,(F62)-(C62),(EXP((J62-L62)*(F62))-EXP((J62-L62)*(C62)))/(J62-L62))</f>
        <v>3.17313600491621</v>
      </c>
      <c r="O62" s="47" t="n">
        <f aca="false">G62*EXP(-J62*C62)*IF(ABS(J62-L62)&lt;0.000000000001,(H62)-(F62),(EXP((J62-L62)*(H62))-EXP((J62-L62)*(F62)))/(J62-L62))</f>
        <v>0.548418866585028</v>
      </c>
      <c r="P62" s="47" t="n">
        <f aca="false">IF(ABS(-L62)&lt;0.000000000001,(H62)-(0),(EXP((-L62)*(H62))-EXP((-L62)*(0)))/(-L62))</f>
        <v>4.56956508570619</v>
      </c>
      <c r="Q62" s="47" t="n">
        <f aca="false">IF(C62&gt;F62,"t0&gt;T1（未支援）",(M62+N62+O62)/P62)</f>
        <v>0.814422117138113</v>
      </c>
      <c r="R62" s="15" t="n">
        <f aca="false">IN_sh_V*IN_rg_V</f>
        <v>0</v>
      </c>
    </row>
    <row r="63" customFormat="false" ht="16.5" hidden="false" customHeight="true" outlineLevel="0" collapsed="false">
      <c r="A63" s="1" t="s">
        <v>350</v>
      </c>
      <c r="B63" s="1" t="s">
        <v>326</v>
      </c>
      <c r="C63" s="1" t="n">
        <f aca="false">MAX(0,IN_A-IN_sv_H)</f>
        <v>2</v>
      </c>
      <c r="D63" s="35" t="n">
        <f aca="false">$A$15</f>
        <v>0</v>
      </c>
      <c r="E63" s="35" t="n">
        <f aca="false">IN_gpre</f>
        <v>-0.09</v>
      </c>
      <c r="F63" s="1" t="n">
        <f aca="false">IN_T1</f>
        <v>4</v>
      </c>
      <c r="G63" s="35" t="n">
        <f aca="false">IN_rho</f>
        <v>0.5</v>
      </c>
      <c r="H63" s="1" t="n">
        <f aca="false">IN_T</f>
        <v>6</v>
      </c>
      <c r="I63" s="35" t="n">
        <f aca="false">IN_WACC</f>
        <v>0.1</v>
      </c>
      <c r="J63" s="47" t="n">
        <f aca="false">LN(1+D63)</f>
        <v>0</v>
      </c>
      <c r="K63" s="47" t="n">
        <f aca="false">LN(1+E63)</f>
        <v>-0.0943106794712413</v>
      </c>
      <c r="L63" s="47" t="n">
        <f aca="false">LN(1+I63)</f>
        <v>0.0953101798043249</v>
      </c>
      <c r="M63" s="47" t="n">
        <f aca="false">IF(C63&gt;0,EXP(-K63*C63)*IF(ABS(K63-L63)&lt;0.000000000001,(C63)-(0),(EXP((K63-L63)*(C63))-EXP((K63-L63)*(0)))/(K63-L63)),0)</f>
        <v>2.00999692560416</v>
      </c>
      <c r="N63" s="47" t="n">
        <f aca="false">EXP(-J63*C63)*IF(ABS(J63-L63)&lt;0.000000000001,(F63)-(C63),(EXP((J63-L63)*(F63))-EXP((J63-L63)*(C63)))/(J63-L63))</f>
        <v>1.50490562415408</v>
      </c>
      <c r="O63" s="47" t="n">
        <f aca="false">G63*EXP(-J63*C63)*IF(ABS(J63-L63)&lt;0.000000000001,(H63)-(F63),(EXP((J63-L63)*(H63))-EXP((J63-L63)*(F63)))/(J63-L63))</f>
        <v>0.621861828162842</v>
      </c>
      <c r="P63" s="47" t="n">
        <f aca="false">IF(ABS(-L63)&lt;0.000000000001,(H63)-(0),(EXP((-L63)*(H63))-EXP((-L63)*(0)))/(-L63))</f>
        <v>4.56956508570619</v>
      </c>
      <c r="Q63" s="47" t="n">
        <f aca="false">IF(C63&gt;F63,"t0&gt;T1（未支援）",(M63+N63+O63)/P63)</f>
        <v>0.905286236289984</v>
      </c>
      <c r="R63" s="15" t="n">
        <f aca="false">IN_sh_H*IN_rg_H</f>
        <v>2.81888551801847</v>
      </c>
    </row>
    <row r="64" customFormat="false" ht="16.5" hidden="false" customHeight="true" outlineLevel="0" collapsed="false">
      <c r="A64" s="1" t="s">
        <v>350</v>
      </c>
      <c r="B64" s="1" t="s">
        <v>327</v>
      </c>
      <c r="C64" s="1" t="n">
        <f aca="false">MAX(0,IN_A-IN_sv_G)</f>
        <v>0.5</v>
      </c>
      <c r="D64" s="35" t="n">
        <f aca="false">$A$15</f>
        <v>0</v>
      </c>
      <c r="E64" s="35" t="n">
        <f aca="false">IN_gpre</f>
        <v>-0.09</v>
      </c>
      <c r="F64" s="1" t="n">
        <f aca="false">IN_T1</f>
        <v>4</v>
      </c>
      <c r="G64" s="35" t="n">
        <f aca="false">IN_rho</f>
        <v>0.5</v>
      </c>
      <c r="H64" s="1" t="n">
        <f aca="false">IN_T</f>
        <v>6</v>
      </c>
      <c r="I64" s="35" t="n">
        <f aca="false">IN_WACC</f>
        <v>0.1</v>
      </c>
      <c r="J64" s="47" t="n">
        <f aca="false">LN(1+D64)</f>
        <v>0</v>
      </c>
      <c r="K64" s="47" t="n">
        <f aca="false">LN(1+E64)</f>
        <v>-0.0943106794712413</v>
      </c>
      <c r="L64" s="47" t="n">
        <f aca="false">LN(1+I64)</f>
        <v>0.0953101798043249</v>
      </c>
      <c r="M64" s="47" t="n">
        <f aca="false">IF(C64&gt;0,EXP(-K64*C64)*IF(ABS(K64-L64)&lt;0.000000000001,(C64)-(0),(EXP((K64-L64)*(C64))-EXP((K64-L64)*(0)))/(K64-L64)),0)</f>
        <v>0.500062323515398</v>
      </c>
      <c r="N64" s="47" t="n">
        <f aca="false">EXP(-J64*C64)*IF(ABS(J64-L64)&lt;0.000000000001,(F64)-(C64),(EXP((J64-L64)*(F64))-EXP((J64-L64)*(C64)))/(J64-L64))</f>
        <v>2.83756818459228</v>
      </c>
      <c r="O64" s="47" t="n">
        <f aca="false">G64*EXP(-J64*C64)*IF(ABS(J64-L64)&lt;0.000000000001,(H64)-(F64),(EXP((J64-L64)*(H64))-EXP((J64-L64)*(F64)))/(J64-L64))</f>
        <v>0.621861828162842</v>
      </c>
      <c r="P64" s="47" t="n">
        <f aca="false">IF(ABS(-L64)&lt;0.000000000001,(H64)-(0),(EXP((-L64)*(H64))-EXP((-L64)*(0)))/(-L64))</f>
        <v>4.56956508570619</v>
      </c>
      <c r="Q64" s="47" t="n">
        <f aca="false">IF(C64&gt;F64,"t0&gt;T1（未支援）",(M64+N64+O64)/P64)</f>
        <v>0.86649216325991</v>
      </c>
      <c r="R64" s="15" t="n">
        <f aca="false">IN_sh_G*IN_rg_G</f>
        <v>9.24654168303684</v>
      </c>
    </row>
    <row r="65" customFormat="false" ht="16.5" hidden="false" customHeight="true" outlineLevel="0" collapsed="false">
      <c r="A65" s="1" t="s">
        <v>350</v>
      </c>
      <c r="B65" s="1" t="s">
        <v>328</v>
      </c>
      <c r="C65" s="1" t="n">
        <f aca="false">MAX(0,IN_A-IN_sv_3)</f>
        <v>0</v>
      </c>
      <c r="D65" s="35" t="n">
        <f aca="false">$A$15</f>
        <v>0</v>
      </c>
      <c r="E65" s="35" t="n">
        <f aca="false">IN_gpre</f>
        <v>-0.09</v>
      </c>
      <c r="F65" s="1" t="n">
        <f aca="false">IN_T1</f>
        <v>4</v>
      </c>
      <c r="G65" s="35" t="n">
        <f aca="false">IN_rho</f>
        <v>0.5</v>
      </c>
      <c r="H65" s="1" t="n">
        <f aca="false">IN_T</f>
        <v>6</v>
      </c>
      <c r="I65" s="35" t="n">
        <f aca="false">IN_WACC</f>
        <v>0.1</v>
      </c>
      <c r="J65" s="47" t="n">
        <f aca="false">LN(1+D65)</f>
        <v>0</v>
      </c>
      <c r="K65" s="47" t="n">
        <f aca="false">LN(1+E65)</f>
        <v>-0.0943106794712413</v>
      </c>
      <c r="L65" s="47" t="n">
        <f aca="false">LN(1+I65)</f>
        <v>0.0953101798043249</v>
      </c>
      <c r="M65" s="47" t="n">
        <f aca="false">IF(C65&gt;0,EXP(-K65*C65)*IF(ABS(K65-L65)&lt;0.000000000001,(C65)-(0),(EXP((K65-L65)*(C65))-EXP((K65-L65)*(0)))/(K65-L65)),0)</f>
        <v>0</v>
      </c>
      <c r="N65" s="47" t="n">
        <f aca="false">EXP(-J65*C65)*IF(ABS(J65-L65)&lt;0.000000000001,(F65)-(C65),(EXP((J65-L65)*(F65))-EXP((J65-L65)*(C65)))/(J65-L65))</f>
        <v>3.32584142938051</v>
      </c>
      <c r="O65" s="47" t="n">
        <f aca="false">G65*EXP(-J65*C65)*IF(ABS(J65-L65)&lt;0.000000000001,(H65)-(F65),(EXP((J65-L65)*(H65))-EXP((J65-L65)*(F65)))/(J65-L65))</f>
        <v>0.621861828162842</v>
      </c>
      <c r="P65" s="47" t="n">
        <f aca="false">IF(ABS(-L65)&lt;0.000000000001,(H65)-(0),(EXP((-L65)*(H65))-EXP((-L65)*(0)))/(-L65))</f>
        <v>4.56956508570619</v>
      </c>
      <c r="Q65" s="47" t="n">
        <f aca="false">IF(C65&gt;F65,"t0&gt;T1（未支援）",(M65+N65+O65)/P65)</f>
        <v>0.863912250619199</v>
      </c>
      <c r="R65" s="15" t="n">
        <f aca="false">IN_sh_3*IN_rg_3</f>
        <v>0</v>
      </c>
    </row>
    <row r="66" customFormat="false" ht="16.5" hidden="false" customHeight="true" outlineLevel="0" collapsed="false">
      <c r="A66" s="1" t="s">
        <v>350</v>
      </c>
      <c r="B66" s="1" t="s">
        <v>329</v>
      </c>
      <c r="C66" s="1" t="n">
        <f aca="false">MAX(0,IN_A-IN_sv_V)</f>
        <v>0</v>
      </c>
      <c r="D66" s="35" t="n">
        <f aca="false">$A$15</f>
        <v>0</v>
      </c>
      <c r="E66" s="35" t="n">
        <f aca="false">IN_gpre</f>
        <v>-0.09</v>
      </c>
      <c r="F66" s="1" t="n">
        <f aca="false">IN_T1</f>
        <v>4</v>
      </c>
      <c r="G66" s="35" t="n">
        <f aca="false">IN_rho</f>
        <v>0.5</v>
      </c>
      <c r="H66" s="1" t="n">
        <f aca="false">IN_T</f>
        <v>6</v>
      </c>
      <c r="I66" s="35" t="n">
        <f aca="false">IN_WACC</f>
        <v>0.1</v>
      </c>
      <c r="J66" s="47" t="n">
        <f aca="false">LN(1+D66)</f>
        <v>0</v>
      </c>
      <c r="K66" s="47" t="n">
        <f aca="false">LN(1+E66)</f>
        <v>-0.0943106794712413</v>
      </c>
      <c r="L66" s="47" t="n">
        <f aca="false">LN(1+I66)</f>
        <v>0.0953101798043249</v>
      </c>
      <c r="M66" s="47" t="n">
        <f aca="false">IF(C66&gt;0,EXP(-K66*C66)*IF(ABS(K66-L66)&lt;0.000000000001,(C66)-(0),(EXP((K66-L66)*(C66))-EXP((K66-L66)*(0)))/(K66-L66)),0)</f>
        <v>0</v>
      </c>
      <c r="N66" s="47" t="n">
        <f aca="false">EXP(-J66*C66)*IF(ABS(J66-L66)&lt;0.000000000001,(F66)-(C66),(EXP((J66-L66)*(F66))-EXP((J66-L66)*(C66)))/(J66-L66))</f>
        <v>3.32584142938051</v>
      </c>
      <c r="O66" s="47" t="n">
        <f aca="false">G66*EXP(-J66*C66)*IF(ABS(J66-L66)&lt;0.000000000001,(H66)-(F66),(EXP((J66-L66)*(H66))-EXP((J66-L66)*(F66)))/(J66-L66))</f>
        <v>0.621861828162842</v>
      </c>
      <c r="P66" s="47" t="n">
        <f aca="false">IF(ABS(-L66)&lt;0.000000000001,(H66)-(0),(EXP((-L66)*(H66))-EXP((-L66)*(0)))/(-L66))</f>
        <v>4.56956508570619</v>
      </c>
      <c r="Q66" s="47" t="n">
        <f aca="false">IF(C66&gt;F66,"t0&gt;T1（未支援）",(M66+N66+O66)/P66)</f>
        <v>0.863912250619199</v>
      </c>
      <c r="R66" s="15" t="n">
        <f aca="false">IN_sh_V*IN_rg_V</f>
        <v>0</v>
      </c>
    </row>
    <row r="67" customFormat="false" ht="16.5" hidden="false" customHeight="true" outlineLevel="0" collapsed="false">
      <c r="A67" s="1" t="s">
        <v>351</v>
      </c>
      <c r="B67" s="1" t="s">
        <v>326</v>
      </c>
      <c r="C67" s="1" t="n">
        <f aca="false">MAX(0,IN_A-IN_sv_H)</f>
        <v>2</v>
      </c>
      <c r="D67" s="35" t="n">
        <f aca="false">$A$16</f>
        <v>0.025</v>
      </c>
      <c r="E67" s="35" t="n">
        <f aca="false">IN_gpre</f>
        <v>-0.09</v>
      </c>
      <c r="F67" s="1" t="n">
        <f aca="false">IN_T1</f>
        <v>4</v>
      </c>
      <c r="G67" s="35" t="n">
        <f aca="false">IN_rho</f>
        <v>0.5</v>
      </c>
      <c r="H67" s="1" t="n">
        <f aca="false">IN_T</f>
        <v>6</v>
      </c>
      <c r="I67" s="35" t="n">
        <f aca="false">IN_WACC</f>
        <v>0.1</v>
      </c>
      <c r="J67" s="47" t="n">
        <f aca="false">LN(1+D67)</f>
        <v>0.0246926125903714</v>
      </c>
      <c r="K67" s="47" t="n">
        <f aca="false">LN(1+E67)</f>
        <v>-0.0943106794712413</v>
      </c>
      <c r="L67" s="47" t="n">
        <f aca="false">LN(1+I67)</f>
        <v>0.0953101798043249</v>
      </c>
      <c r="M67" s="47" t="n">
        <f aca="false">IF(C67&gt;0,EXP(-K67*C67)*IF(ABS(K67-L67)&lt;0.000000000001,(C67)-(0),(EXP((K67-L67)*(C67))-EXP((K67-L67)*(0)))/(K67-L67)),0)</f>
        <v>2.00999692560416</v>
      </c>
      <c r="N67" s="47" t="n">
        <f aca="false">EXP(-J67*C67)*IF(ABS(J67-L67)&lt;0.000000000001,(F67)-(C67),(EXP((J67-L67)*(F67))-EXP((J67-L67)*(C67)))/(J67-L67))</f>
        <v>1.54147577923499</v>
      </c>
      <c r="O67" s="47" t="n">
        <f aca="false">G67*EXP(-J67*C67)*IF(ABS(J67-L67)&lt;0.000000000001,(H67)-(F67),(EXP((J67-L67)*(H67))-EXP((J67-L67)*(F67)))/(J67-L67))</f>
        <v>0.669220244032546</v>
      </c>
      <c r="P67" s="47" t="n">
        <f aca="false">IF(ABS(-L67)&lt;0.000000000001,(H67)-(0),(EXP((-L67)*(H67))-EXP((-L67)*(0)))/(-L67))</f>
        <v>4.56956508570619</v>
      </c>
      <c r="Q67" s="47" t="n">
        <f aca="false">IF(C67&gt;F67,"t0&gt;T1（未支援）",(M67+N67+O67)/P67)</f>
        <v>0.923653098207139</v>
      </c>
      <c r="R67" s="15" t="n">
        <f aca="false">IN_sh_H*IN_rg_H</f>
        <v>2.81888551801847</v>
      </c>
    </row>
    <row r="68" customFormat="false" ht="16.5" hidden="false" customHeight="true" outlineLevel="0" collapsed="false">
      <c r="A68" s="1" t="s">
        <v>351</v>
      </c>
      <c r="B68" s="1" t="s">
        <v>327</v>
      </c>
      <c r="C68" s="1" t="n">
        <f aca="false">MAX(0,IN_A-IN_sv_G)</f>
        <v>0.5</v>
      </c>
      <c r="D68" s="35" t="n">
        <f aca="false">$A$16</f>
        <v>0.025</v>
      </c>
      <c r="E68" s="35" t="n">
        <f aca="false">IN_gpre</f>
        <v>-0.09</v>
      </c>
      <c r="F68" s="1" t="n">
        <f aca="false">IN_T1</f>
        <v>4</v>
      </c>
      <c r="G68" s="35" t="n">
        <f aca="false">IN_rho</f>
        <v>0.5</v>
      </c>
      <c r="H68" s="1" t="n">
        <f aca="false">IN_T</f>
        <v>6</v>
      </c>
      <c r="I68" s="35" t="n">
        <f aca="false">IN_WACC</f>
        <v>0.1</v>
      </c>
      <c r="J68" s="47" t="n">
        <f aca="false">LN(1+D68)</f>
        <v>0.0246926125903714</v>
      </c>
      <c r="K68" s="47" t="n">
        <f aca="false">LN(1+E68)</f>
        <v>-0.0943106794712413</v>
      </c>
      <c r="L68" s="47" t="n">
        <f aca="false">LN(1+I68)</f>
        <v>0.0953101798043249</v>
      </c>
      <c r="M68" s="47" t="n">
        <f aca="false">IF(C68&gt;0,EXP(-K68*C68)*IF(ABS(K68-L68)&lt;0.000000000001,(C68)-(0),(EXP((K68-L68)*(C68))-EXP((K68-L68)*(0)))/(K68-L68)),0)</f>
        <v>0.500062323515398</v>
      </c>
      <c r="N68" s="47" t="n">
        <f aca="false">EXP(-J68*C68)*IF(ABS(J68-L68)&lt;0.000000000001,(F68)-(C68),(EXP((J68-L68)*(F68))-EXP((J68-L68)*(C68)))/(J68-L68))</f>
        <v>2.95669239110934</v>
      </c>
      <c r="O68" s="47" t="n">
        <f aca="false">G68*EXP(-J68*C68)*IF(ABS(J68-L68)&lt;0.000000000001,(H68)-(F68),(EXP((J68-L68)*(H68))-EXP((J68-L68)*(F68)))/(J68-L68))</f>
        <v>0.694472204194474</v>
      </c>
      <c r="P68" s="47" t="n">
        <f aca="false">IF(ABS(-L68)&lt;0.000000000001,(H68)-(0),(EXP((-L68)*(H68))-EXP((-L68)*(0)))/(-L68))</f>
        <v>4.56956508570619</v>
      </c>
      <c r="Q68" s="47" t="n">
        <f aca="false">IF(C68&gt;F68,"t0&gt;T1（未支援）",(M68+N68+O68)/P68)</f>
        <v>0.908451207272315</v>
      </c>
      <c r="R68" s="15" t="n">
        <f aca="false">IN_sh_G*IN_rg_G</f>
        <v>9.24654168303684</v>
      </c>
    </row>
    <row r="69" customFormat="false" ht="16.5" hidden="false" customHeight="true" outlineLevel="0" collapsed="false">
      <c r="A69" s="1" t="s">
        <v>351</v>
      </c>
      <c r="B69" s="1" t="s">
        <v>328</v>
      </c>
      <c r="C69" s="1" t="n">
        <f aca="false">MAX(0,IN_A-IN_sv_3)</f>
        <v>0</v>
      </c>
      <c r="D69" s="35" t="n">
        <f aca="false">$A$16</f>
        <v>0.025</v>
      </c>
      <c r="E69" s="35" t="n">
        <f aca="false">IN_gpre</f>
        <v>-0.09</v>
      </c>
      <c r="F69" s="1" t="n">
        <f aca="false">IN_T1</f>
        <v>4</v>
      </c>
      <c r="G69" s="35" t="n">
        <f aca="false">IN_rho</f>
        <v>0.5</v>
      </c>
      <c r="H69" s="1" t="n">
        <f aca="false">IN_T</f>
        <v>6</v>
      </c>
      <c r="I69" s="35" t="n">
        <f aca="false">IN_WACC</f>
        <v>0.1</v>
      </c>
      <c r="J69" s="47" t="n">
        <f aca="false">LN(1+D69)</f>
        <v>0.0246926125903714</v>
      </c>
      <c r="K69" s="47" t="n">
        <f aca="false">LN(1+E69)</f>
        <v>-0.0943106794712413</v>
      </c>
      <c r="L69" s="47" t="n">
        <f aca="false">LN(1+I69)</f>
        <v>0.0953101798043249</v>
      </c>
      <c r="M69" s="47" t="n">
        <f aca="false">IF(C69&gt;0,EXP(-K69*C69)*IF(ABS(K69-L69)&lt;0.000000000001,(C69)-(0),(EXP((K69-L69)*(C69))-EXP((K69-L69)*(0)))/(K69-L69)),0)</f>
        <v>0</v>
      </c>
      <c r="N69" s="47" t="n">
        <f aca="false">EXP(-J69*C69)*IF(ABS(J69-L69)&lt;0.000000000001,(F69)-(C69),(EXP((J69-L69)*(F69))-EXP((J69-L69)*(C69)))/(J69-L69))</f>
        <v>3.4846986834331</v>
      </c>
      <c r="O69" s="47" t="n">
        <f aca="false">G69*EXP(-J69*C69)*IF(ABS(J69-L69)&lt;0.000000000001,(H69)-(F69),(EXP((J69-L69)*(H69))-EXP((J69-L69)*(F69)))/(J69-L69))</f>
        <v>0.703099518886694</v>
      </c>
      <c r="P69" s="47" t="n">
        <f aca="false">IF(ABS(-L69)&lt;0.000000000001,(H69)-(0),(EXP((-L69)*(H69))-EXP((-L69)*(0)))/(-L69))</f>
        <v>4.56956508570619</v>
      </c>
      <c r="Q69" s="47" t="n">
        <f aca="false">IF(C69&gt;F69,"t0&gt;T1（未支援）",(M69+N69+O69)/P69)</f>
        <v>0.91645443795503</v>
      </c>
      <c r="R69" s="15" t="n">
        <f aca="false">IN_sh_3*IN_rg_3</f>
        <v>0</v>
      </c>
    </row>
    <row r="70" customFormat="false" ht="16.5" hidden="false" customHeight="true" outlineLevel="0" collapsed="false">
      <c r="A70" s="1" t="s">
        <v>351</v>
      </c>
      <c r="B70" s="1" t="s">
        <v>329</v>
      </c>
      <c r="C70" s="1" t="n">
        <f aca="false">MAX(0,IN_A-IN_sv_V)</f>
        <v>0</v>
      </c>
      <c r="D70" s="35" t="n">
        <f aca="false">$A$16</f>
        <v>0.025</v>
      </c>
      <c r="E70" s="35" t="n">
        <f aca="false">IN_gpre</f>
        <v>-0.09</v>
      </c>
      <c r="F70" s="1" t="n">
        <f aca="false">IN_T1</f>
        <v>4</v>
      </c>
      <c r="G70" s="35" t="n">
        <f aca="false">IN_rho</f>
        <v>0.5</v>
      </c>
      <c r="H70" s="1" t="n">
        <f aca="false">IN_T</f>
        <v>6</v>
      </c>
      <c r="I70" s="35" t="n">
        <f aca="false">IN_WACC</f>
        <v>0.1</v>
      </c>
      <c r="J70" s="47" t="n">
        <f aca="false">LN(1+D70)</f>
        <v>0.0246926125903714</v>
      </c>
      <c r="K70" s="47" t="n">
        <f aca="false">LN(1+E70)</f>
        <v>-0.0943106794712413</v>
      </c>
      <c r="L70" s="47" t="n">
        <f aca="false">LN(1+I70)</f>
        <v>0.0953101798043249</v>
      </c>
      <c r="M70" s="47" t="n">
        <f aca="false">IF(C70&gt;0,EXP(-K70*C70)*IF(ABS(K70-L70)&lt;0.000000000001,(C70)-(0),(EXP((K70-L70)*(C70))-EXP((K70-L70)*(0)))/(K70-L70)),0)</f>
        <v>0</v>
      </c>
      <c r="N70" s="47" t="n">
        <f aca="false">EXP(-J70*C70)*IF(ABS(J70-L70)&lt;0.000000000001,(F70)-(C70),(EXP((J70-L70)*(F70))-EXP((J70-L70)*(C70)))/(J70-L70))</f>
        <v>3.4846986834331</v>
      </c>
      <c r="O70" s="47" t="n">
        <f aca="false">G70*EXP(-J70*C70)*IF(ABS(J70-L70)&lt;0.000000000001,(H70)-(F70),(EXP((J70-L70)*(H70))-EXP((J70-L70)*(F70)))/(J70-L70))</f>
        <v>0.703099518886694</v>
      </c>
      <c r="P70" s="47" t="n">
        <f aca="false">IF(ABS(-L70)&lt;0.000000000001,(H70)-(0),(EXP((-L70)*(H70))-EXP((-L70)*(0)))/(-L70))</f>
        <v>4.56956508570619</v>
      </c>
      <c r="Q70" s="47" t="n">
        <f aca="false">IF(C70&gt;F70,"t0&gt;T1（未支援）",(M70+N70+O70)/P70)</f>
        <v>0.91645443795503</v>
      </c>
      <c r="R70" s="15" t="n">
        <f aca="false">IN_sh_V*IN_rg_V</f>
        <v>0</v>
      </c>
    </row>
    <row r="71" customFormat="false" ht="16.5" hidden="false" customHeight="true" outlineLevel="0" collapsed="false">
      <c r="A71" s="1" t="s">
        <v>352</v>
      </c>
      <c r="B71" s="1" t="s">
        <v>326</v>
      </c>
      <c r="C71" s="1" t="n">
        <f aca="false">MAX(0,IN_A-IN_sv_H)</f>
        <v>2</v>
      </c>
      <c r="D71" s="35" t="n">
        <f aca="false">$A$17</f>
        <v>0.05</v>
      </c>
      <c r="E71" s="35" t="n">
        <f aca="false">IN_gpre</f>
        <v>-0.09</v>
      </c>
      <c r="F71" s="1" t="n">
        <f aca="false">IN_T1</f>
        <v>4</v>
      </c>
      <c r="G71" s="35" t="n">
        <f aca="false">IN_rho</f>
        <v>0.5</v>
      </c>
      <c r="H71" s="1" t="n">
        <f aca="false">IN_T</f>
        <v>6</v>
      </c>
      <c r="I71" s="35" t="n">
        <f aca="false">IN_WACC</f>
        <v>0.1</v>
      </c>
      <c r="J71" s="47" t="n">
        <f aca="false">LN(1+D71)</f>
        <v>0.0487901641694321</v>
      </c>
      <c r="K71" s="47" t="n">
        <f aca="false">LN(1+E71)</f>
        <v>-0.0943106794712413</v>
      </c>
      <c r="L71" s="47" t="n">
        <f aca="false">LN(1+I71)</f>
        <v>0.0953101798043249</v>
      </c>
      <c r="M71" s="47" t="n">
        <f aca="false">IF(C71&gt;0,EXP(-K71*C71)*IF(ABS(K71-L71)&lt;0.000000000001,(C71)-(0),(EXP((K71-L71)*(C71))-EXP((K71-L71)*(0)))/(K71-L71)),0)</f>
        <v>2.00999692560416</v>
      </c>
      <c r="N71" s="47" t="n">
        <f aca="false">EXP(-J71*C71)*IF(ABS(J71-L71)&lt;0.000000000001,(F71)-(C71),(EXP((J71-L71)*(F71))-EXP((J71-L71)*(C71)))/(J71-L71))</f>
        <v>1.57833021871714</v>
      </c>
      <c r="O71" s="47" t="n">
        <f aca="false">G71*EXP(-J71*C71)*IF(ABS(J71-L71)&lt;0.000000000001,(H71)-(F71),(EXP((J71-L71)*(H71))-EXP((J71-L71)*(F71)))/(J71-L71))</f>
        <v>0.719053333113902</v>
      </c>
      <c r="P71" s="47" t="n">
        <f aca="false">IF(ABS(-L71)&lt;0.000000000001,(H71)-(0),(EXP((-L71)*(H71))-EXP((-L71)*(0)))/(-L71))</f>
        <v>4.56956508570619</v>
      </c>
      <c r="Q71" s="47" t="n">
        <f aca="false">IF(C71&gt;F71,"t0&gt;T1（未支援）",(M71+N71+O71)/P71)</f>
        <v>0.942623728220631</v>
      </c>
      <c r="R71" s="15" t="n">
        <f aca="false">IN_sh_H*IN_rg_H</f>
        <v>2.81888551801847</v>
      </c>
    </row>
    <row r="72" customFormat="false" ht="16.5" hidden="false" customHeight="true" outlineLevel="0" collapsed="false">
      <c r="A72" s="1" t="s">
        <v>352</v>
      </c>
      <c r="B72" s="1" t="s">
        <v>327</v>
      </c>
      <c r="C72" s="1" t="n">
        <f aca="false">MAX(0,IN_A-IN_sv_G)</f>
        <v>0.5</v>
      </c>
      <c r="D72" s="35" t="n">
        <f aca="false">$A$17</f>
        <v>0.05</v>
      </c>
      <c r="E72" s="35" t="n">
        <f aca="false">IN_gpre</f>
        <v>-0.09</v>
      </c>
      <c r="F72" s="1" t="n">
        <f aca="false">IN_T1</f>
        <v>4</v>
      </c>
      <c r="G72" s="35" t="n">
        <f aca="false">IN_rho</f>
        <v>0.5</v>
      </c>
      <c r="H72" s="1" t="n">
        <f aca="false">IN_T</f>
        <v>6</v>
      </c>
      <c r="I72" s="35" t="n">
        <f aca="false">IN_WACC</f>
        <v>0.1</v>
      </c>
      <c r="J72" s="47" t="n">
        <f aca="false">LN(1+D72)</f>
        <v>0.0487901641694321</v>
      </c>
      <c r="K72" s="47" t="n">
        <f aca="false">LN(1+E72)</f>
        <v>-0.0943106794712413</v>
      </c>
      <c r="L72" s="47" t="n">
        <f aca="false">LN(1+I72)</f>
        <v>0.0953101798043249</v>
      </c>
      <c r="M72" s="47" t="n">
        <f aca="false">IF(C72&gt;0,EXP(-K72*C72)*IF(ABS(K72-L72)&lt;0.000000000001,(C72)-(0),(EXP((K72-L72)*(C72))-EXP((K72-L72)*(0)))/(K72-L72)),0)</f>
        <v>0.500062323515398</v>
      </c>
      <c r="N72" s="47" t="n">
        <f aca="false">EXP(-J72*C72)*IF(ABS(J72-L72)&lt;0.000000000001,(F72)-(C72),(EXP((J72-L72)*(F72))-EXP((J72-L72)*(C72)))/(J72-L72))</f>
        <v>3.07960766095951</v>
      </c>
      <c r="O72" s="47" t="n">
        <f aca="false">G72*EXP(-J72*C72)*IF(ABS(J72-L72)&lt;0.000000000001,(H72)-(F72),(EXP((J72-L72)*(H72))-EXP((J72-L72)*(F72)))/(J72-L72))</f>
        <v>0.773650930764317</v>
      </c>
      <c r="P72" s="47" t="n">
        <f aca="false">IF(ABS(-L72)&lt;0.000000000001,(H72)-(0),(EXP((-L72)*(H72))-EXP((-L72)*(0)))/(-L72))</f>
        <v>4.56956508570619</v>
      </c>
      <c r="Q72" s="47" t="n">
        <f aca="false">IF(C72&gt;F72,"t0&gt;T1（未支援）",(M72+N72+O72)/P72)</f>
        <v>0.952677297202004</v>
      </c>
      <c r="R72" s="15" t="n">
        <f aca="false">IN_sh_G*IN_rg_G</f>
        <v>9.24654168303684</v>
      </c>
    </row>
    <row r="73" customFormat="false" ht="16.5" hidden="false" customHeight="true" outlineLevel="0" collapsed="false">
      <c r="A73" s="1" t="s">
        <v>352</v>
      </c>
      <c r="B73" s="1" t="s">
        <v>328</v>
      </c>
      <c r="C73" s="1" t="n">
        <f aca="false">MAX(0,IN_A-IN_sv_3)</f>
        <v>0</v>
      </c>
      <c r="D73" s="35" t="n">
        <f aca="false">$A$17</f>
        <v>0.05</v>
      </c>
      <c r="E73" s="35" t="n">
        <f aca="false">IN_gpre</f>
        <v>-0.09</v>
      </c>
      <c r="F73" s="1" t="n">
        <f aca="false">IN_T1</f>
        <v>4</v>
      </c>
      <c r="G73" s="35" t="n">
        <f aca="false">IN_rho</f>
        <v>0.5</v>
      </c>
      <c r="H73" s="1" t="n">
        <f aca="false">IN_T</f>
        <v>6</v>
      </c>
      <c r="I73" s="35" t="n">
        <f aca="false">IN_WACC</f>
        <v>0.1</v>
      </c>
      <c r="J73" s="47" t="n">
        <f aca="false">LN(1+D73)</f>
        <v>0.0487901641694321</v>
      </c>
      <c r="K73" s="47" t="n">
        <f aca="false">LN(1+E73)</f>
        <v>-0.0943106794712413</v>
      </c>
      <c r="L73" s="47" t="n">
        <f aca="false">LN(1+I73)</f>
        <v>0.0953101798043249</v>
      </c>
      <c r="M73" s="47" t="n">
        <f aca="false">IF(C73&gt;0,EXP(-K73*C73)*IF(ABS(K73-L73)&lt;0.000000000001,(C73)-(0),(EXP((K73-L73)*(C73))-EXP((K73-L73)*(0)))/(K73-L73)),0)</f>
        <v>0</v>
      </c>
      <c r="N73" s="47" t="n">
        <f aca="false">EXP(-J73*C73)*IF(ABS(J73-L73)&lt;0.000000000001,(F73)-(C73),(EXP((J73-L73)*(F73))-EXP((J73-L73)*(C73)))/(J73-L73))</f>
        <v>3.64988863078338</v>
      </c>
      <c r="O73" s="47" t="n">
        <f aca="false">G73*EXP(-J73*C73)*IF(ABS(J73-L73)&lt;0.000000000001,(H73)-(F73),(EXP((J73-L73)*(H73))-EXP((J73-L73)*(F73)))/(J73-L73))</f>
        <v>0.792756299758077</v>
      </c>
      <c r="P73" s="47" t="n">
        <f aca="false">IF(ABS(-L73)&lt;0.000000000001,(H73)-(0),(EXP((-L73)*(H73))-EXP((-L73)*(0)))/(-L73))</f>
        <v>4.56956508570619</v>
      </c>
      <c r="Q73" s="47" t="n">
        <f aca="false">IF(C73&gt;F73,"t0&gt;T1（未支援）",(M73+N73+O73)/P73)</f>
        <v>0.972224893882845</v>
      </c>
      <c r="R73" s="15" t="n">
        <f aca="false">IN_sh_3*IN_rg_3</f>
        <v>0</v>
      </c>
    </row>
    <row r="74" customFormat="false" ht="16.5" hidden="false" customHeight="true" outlineLevel="0" collapsed="false">
      <c r="A74" s="1" t="s">
        <v>352</v>
      </c>
      <c r="B74" s="1" t="s">
        <v>329</v>
      </c>
      <c r="C74" s="1" t="n">
        <f aca="false">MAX(0,IN_A-IN_sv_V)</f>
        <v>0</v>
      </c>
      <c r="D74" s="35" t="n">
        <f aca="false">$A$17</f>
        <v>0.05</v>
      </c>
      <c r="E74" s="35" t="n">
        <f aca="false">IN_gpre</f>
        <v>-0.09</v>
      </c>
      <c r="F74" s="1" t="n">
        <f aca="false">IN_T1</f>
        <v>4</v>
      </c>
      <c r="G74" s="35" t="n">
        <f aca="false">IN_rho</f>
        <v>0.5</v>
      </c>
      <c r="H74" s="1" t="n">
        <f aca="false">IN_T</f>
        <v>6</v>
      </c>
      <c r="I74" s="35" t="n">
        <f aca="false">IN_WACC</f>
        <v>0.1</v>
      </c>
      <c r="J74" s="47" t="n">
        <f aca="false">LN(1+D74)</f>
        <v>0.0487901641694321</v>
      </c>
      <c r="K74" s="47" t="n">
        <f aca="false">LN(1+E74)</f>
        <v>-0.0943106794712413</v>
      </c>
      <c r="L74" s="47" t="n">
        <f aca="false">LN(1+I74)</f>
        <v>0.0953101798043249</v>
      </c>
      <c r="M74" s="47" t="n">
        <f aca="false">IF(C74&gt;0,EXP(-K74*C74)*IF(ABS(K74-L74)&lt;0.000000000001,(C74)-(0),(EXP((K74-L74)*(C74))-EXP((K74-L74)*(0)))/(K74-L74)),0)</f>
        <v>0</v>
      </c>
      <c r="N74" s="47" t="n">
        <f aca="false">EXP(-J74*C74)*IF(ABS(J74-L74)&lt;0.000000000001,(F74)-(C74),(EXP((J74-L74)*(F74))-EXP((J74-L74)*(C74)))/(J74-L74))</f>
        <v>3.64988863078338</v>
      </c>
      <c r="O74" s="47" t="n">
        <f aca="false">G74*EXP(-J74*C74)*IF(ABS(J74-L74)&lt;0.000000000001,(H74)-(F74),(EXP((J74-L74)*(H74))-EXP((J74-L74)*(F74)))/(J74-L74))</f>
        <v>0.792756299758077</v>
      </c>
      <c r="P74" s="47" t="n">
        <f aca="false">IF(ABS(-L74)&lt;0.000000000001,(H74)-(0),(EXP((-L74)*(H74))-EXP((-L74)*(0)))/(-L74))</f>
        <v>4.56956508570619</v>
      </c>
      <c r="Q74" s="47" t="n">
        <f aca="false">IF(C74&gt;F74,"t0&gt;T1（未支援）",(M74+N74+O74)/P74)</f>
        <v>0.972224893882845</v>
      </c>
      <c r="R74" s="15" t="n">
        <f aca="false">IN_sh_V*IN_rg_V</f>
        <v>0</v>
      </c>
    </row>
    <row r="78" customFormat="false" ht="16.5" hidden="false" customHeight="true" outlineLevel="0" collapsed="false">
      <c r="A78" s="46" t="s">
        <v>353</v>
      </c>
    </row>
    <row r="79" customFormat="false" ht="16.5" hidden="false" customHeight="true" outlineLevel="0" collapsed="false">
      <c r="A79" s="40" t="s">
        <v>314</v>
      </c>
      <c r="B79" s="9" t="s">
        <v>287</v>
      </c>
      <c r="C79" s="40" t="s">
        <v>332</v>
      </c>
      <c r="D79" s="9" t="s">
        <v>333</v>
      </c>
    </row>
    <row r="80" customFormat="false" ht="15" hidden="false" customHeight="true" outlineLevel="0" collapsed="false">
      <c r="A80" s="51" t="n">
        <v>0.1</v>
      </c>
      <c r="B80" s="15" t="n">
        <f aca="false">IF(SUMPRODUCT(ISTEXT(Q95:Q98)*(R95:R98&gt;0))&gt;0,"含 t0&gt;T1 的世代",SUMPRODUCT(R95:R98,Q95:Q98)/SUM(R95:R98))</f>
        <v>0.684519427858613</v>
      </c>
      <c r="C80" s="15" t="n">
        <f aca="false">B80/LQ</f>
        <v>0.84814507758569</v>
      </c>
      <c r="D80" s="1" t="str">
        <f aca="false">IF(C80&gt;=1,"回本","未回本")</f>
        <v>未回本</v>
      </c>
    </row>
    <row r="81" customFormat="false" ht="15" hidden="false" customHeight="true" outlineLevel="0" collapsed="false">
      <c r="A81" s="51" t="n">
        <v>0.2</v>
      </c>
      <c r="B81" s="15" t="n">
        <f aca="false">IF(SUMPRODUCT(ISTEXT(Q99:Q102)*(R99:R102&gt;0))&gt;0,"含 t0&gt;T1 的世代",SUMPRODUCT(R99:R102,Q99:Q102)/SUM(R99:R102))</f>
        <v>0.703038912712459</v>
      </c>
      <c r="C81" s="15" t="n">
        <f aca="false">B81/LQ</f>
        <v>0.871091409390105</v>
      </c>
      <c r="D81" s="1" t="str">
        <f aca="false">IF(C81&gt;=1,"回本","未回本")</f>
        <v>未回本</v>
      </c>
    </row>
    <row r="82" customFormat="false" ht="15" hidden="false" customHeight="true" outlineLevel="0" collapsed="false">
      <c r="A82" s="51" t="n">
        <v>0.3</v>
      </c>
      <c r="B82" s="15" t="n">
        <f aca="false">IF(SUMPRODUCT(ISTEXT(Q103:Q106)*(R103:R106&gt;0))&gt;0,"含 t0&gt;T1 的世代",SUMPRODUCT(R103:R106,Q103:Q106)/SUM(R103:R106))</f>
        <v>0.721558397566304</v>
      </c>
      <c r="C82" s="15" t="n">
        <f aca="false">B82/LQ</f>
        <v>0.89403774119452</v>
      </c>
      <c r="D82" s="1" t="str">
        <f aca="false">IF(C82&gt;=1,"回本","未回本")</f>
        <v>未回本</v>
      </c>
    </row>
    <row r="83" customFormat="false" ht="15" hidden="false" customHeight="true" outlineLevel="0" collapsed="false">
      <c r="A83" s="51" t="n">
        <v>0.4</v>
      </c>
      <c r="B83" s="15" t="n">
        <f aca="false">IF(SUMPRODUCT(ISTEXT(Q107:Q110)*(R107:R110&gt;0))&gt;0,"含 t0&gt;T1 的世代",SUMPRODUCT(R107:R110,Q107:Q110)/SUM(R107:R110))</f>
        <v>0.74007788242015</v>
      </c>
      <c r="C83" s="15" t="n">
        <f aca="false">B83/LQ</f>
        <v>0.916984072998935</v>
      </c>
      <c r="D83" s="1" t="str">
        <f aca="false">IF(C83&gt;=1,"回本","未回本")</f>
        <v>未回本</v>
      </c>
    </row>
    <row r="84" customFormat="false" ht="15" hidden="false" customHeight="true" outlineLevel="0" collapsed="false">
      <c r="A84" s="51" t="n">
        <v>0.5</v>
      </c>
      <c r="B84" s="15" t="n">
        <f aca="false">IF(SUMPRODUCT(ISTEXT(Q111:Q114)*(R111:R114&gt;0))&gt;0,"含 t0&gt;T1 的世代",SUMPRODUCT(R111:R114,Q111:Q114)/SUM(R111:R114))</f>
        <v>0.758597367273996</v>
      </c>
      <c r="C84" s="15" t="n">
        <f aca="false">B84/LQ</f>
        <v>0.93993040480335</v>
      </c>
      <c r="D84" s="1" t="str">
        <f aca="false">IF(C84&gt;=1,"回本","未回本")</f>
        <v>未回本</v>
      </c>
    </row>
    <row r="85" customFormat="false" ht="15" hidden="false" customHeight="true" outlineLevel="0" collapsed="false">
      <c r="A85" s="51" t="n">
        <v>0.6</v>
      </c>
      <c r="B85" s="15" t="n">
        <f aca="false">IF(SUMPRODUCT(ISTEXT(Q115:Q118)*(R115:R118&gt;0))&gt;0,"含 t0&gt;T1 的世代",SUMPRODUCT(R115:R118,Q115:Q118)/SUM(R115:R118))</f>
        <v>0.777116852127842</v>
      </c>
      <c r="C85" s="15" t="n">
        <f aca="false">B85/LQ</f>
        <v>0.962876736607765</v>
      </c>
      <c r="D85" s="1" t="str">
        <f aca="false">IF(C85&gt;=1,"回本","未回本")</f>
        <v>未回本</v>
      </c>
    </row>
    <row r="86" customFormat="false" ht="15" hidden="false" customHeight="true" outlineLevel="0" collapsed="false">
      <c r="A86" s="51" t="n">
        <v>0.7</v>
      </c>
      <c r="B86" s="15" t="n">
        <f aca="false">IF(SUMPRODUCT(ISTEXT(Q119:Q122)*(R119:R122&gt;0))&gt;0,"含 t0&gt;T1 的世代",SUMPRODUCT(R119:R122,Q119:Q122)/SUM(R119:R122))</f>
        <v>0.795636336981688</v>
      </c>
      <c r="C86" s="15" t="n">
        <f aca="false">B86/LQ</f>
        <v>0.98582306841218</v>
      </c>
      <c r="D86" s="1" t="str">
        <f aca="false">IF(C86&gt;=1,"回本","未回本")</f>
        <v>未回本</v>
      </c>
    </row>
    <row r="87" customFormat="false" ht="15" hidden="false" customHeight="true" outlineLevel="0" collapsed="false">
      <c r="A87" s="51" t="n">
        <v>0.8</v>
      </c>
      <c r="B87" s="15" t="n">
        <f aca="false">IF(SUMPRODUCT(ISTEXT(Q123:Q126)*(R123:R126&gt;0))&gt;0,"含 t0&gt;T1 的世代",SUMPRODUCT(R123:R126,Q123:Q126)/SUM(R123:R126))</f>
        <v>0.814155821835534</v>
      </c>
      <c r="C87" s="15" t="n">
        <f aca="false">B87/LQ</f>
        <v>1.0087694002166</v>
      </c>
      <c r="D87" s="1" t="str">
        <f aca="false">IF(C87&gt;=1,"回本","未回本")</f>
        <v>回本</v>
      </c>
    </row>
    <row r="88" customFormat="false" ht="15" hidden="false" customHeight="true" outlineLevel="0" collapsed="false">
      <c r="A88" s="51" t="n">
        <v>0.9</v>
      </c>
      <c r="B88" s="15" t="n">
        <f aca="false">IF(SUMPRODUCT(ISTEXT(Q127:Q130)*(R127:R130&gt;0))&gt;0,"含 t0&gt;T1 的世代",SUMPRODUCT(R127:R130,Q127:Q130)/SUM(R127:R130))</f>
        <v>0.83267530668938</v>
      </c>
      <c r="C88" s="15" t="n">
        <f aca="false">B88/LQ</f>
        <v>1.03171573202101</v>
      </c>
      <c r="D88" s="1" t="str">
        <f aca="false">IF(C88&gt;=1,"回本","未回本")</f>
        <v>回本</v>
      </c>
    </row>
    <row r="89" customFormat="false" ht="15" hidden="false" customHeight="true" outlineLevel="0" collapsed="false">
      <c r="A89" s="51" t="n">
        <v>1</v>
      </c>
      <c r="B89" s="15" t="n">
        <f aca="false">IF(SUMPRODUCT(ISTEXT(Q131:Q134)*(R131:R134&gt;0))&gt;0,"含 t0&gt;T1 的世代",SUMPRODUCT(R131:R134,Q131:Q134)/SUM(R131:R134))</f>
        <v>0.851194791543225</v>
      </c>
      <c r="C89" s="15" t="n">
        <f aca="false">B89/LQ</f>
        <v>1.05466206382543</v>
      </c>
      <c r="D89" s="1" t="str">
        <f aca="false">IF(C89&gt;=1,"回本","未回本")</f>
        <v>回本</v>
      </c>
    </row>
    <row r="90" customFormat="false" ht="16.5" hidden="false" customHeight="true" outlineLevel="0" collapsed="false">
      <c r="A90" s="46" t="s">
        <v>354</v>
      </c>
      <c r="B90" s="52" t="n">
        <f aca="false">IFERROR(INDEX(A80:A89,MATCH(1,C80:C89,1))+(1-INDEX(C80:C89,MATCH(1,C80:C89,1)))*(INDEX(A80:A89,MATCH(1,C80:C89,1)+1)-INDEX(A80:A89,MATCH(1,C80:C89,1)))/(INDEX(C80:C89,MATCH(1,C80:C89,1)+1)-INDEX(C80:C89,MATCH(1,C80:C89,1))),"格點內未跨過 1")</f>
        <v>0.761782997424852</v>
      </c>
    </row>
    <row r="93" customFormat="false" ht="16.5" hidden="false" customHeight="true" outlineLevel="0" collapsed="false">
      <c r="A93" s="50" t="s">
        <v>355</v>
      </c>
    </row>
    <row r="94" customFormat="false" ht="48" hidden="false" customHeight="true" outlineLevel="0" collapsed="false">
      <c r="A94" s="9" t="s">
        <v>285</v>
      </c>
      <c r="B94" s="9" t="s">
        <v>309</v>
      </c>
      <c r="C94" s="40" t="s">
        <v>310</v>
      </c>
      <c r="D94" s="40" t="s">
        <v>311</v>
      </c>
      <c r="E94" s="40" t="s">
        <v>312</v>
      </c>
      <c r="F94" s="40" t="s">
        <v>313</v>
      </c>
      <c r="G94" s="40" t="s">
        <v>314</v>
      </c>
      <c r="H94" s="40" t="s">
        <v>315</v>
      </c>
      <c r="I94" s="9" t="s">
        <v>316</v>
      </c>
      <c r="J94" s="40" t="s">
        <v>317</v>
      </c>
      <c r="K94" s="40" t="s">
        <v>318</v>
      </c>
      <c r="L94" s="40" t="s">
        <v>319</v>
      </c>
      <c r="M94" s="9" t="s">
        <v>320</v>
      </c>
      <c r="N94" s="9" t="s">
        <v>321</v>
      </c>
      <c r="O94" s="9" t="s">
        <v>322</v>
      </c>
      <c r="P94" s="9" t="s">
        <v>323</v>
      </c>
      <c r="Q94" s="40" t="s">
        <v>324</v>
      </c>
      <c r="R94" s="40" t="s">
        <v>325</v>
      </c>
    </row>
    <row r="95" customFormat="false" ht="16.5" hidden="false" customHeight="true" outlineLevel="0" collapsed="false">
      <c r="A95" s="1" t="s">
        <v>356</v>
      </c>
      <c r="B95" s="1" t="s">
        <v>326</v>
      </c>
      <c r="C95" s="1" t="n">
        <f aca="false">MAX(0,IN_A-IN_sv_H)</f>
        <v>2</v>
      </c>
      <c r="D95" s="35" t="n">
        <f aca="false">IN_g</f>
        <v>-0.09</v>
      </c>
      <c r="E95" s="35" t="n">
        <f aca="false">IN_gpre</f>
        <v>-0.09</v>
      </c>
      <c r="F95" s="1" t="n">
        <f aca="false">IN_T1</f>
        <v>4</v>
      </c>
      <c r="G95" s="35" t="n">
        <f aca="false">$A$80</f>
        <v>0.1</v>
      </c>
      <c r="H95" s="1" t="n">
        <f aca="false">IN_T</f>
        <v>6</v>
      </c>
      <c r="I95" s="35" t="n">
        <f aca="false">IN_WACC</f>
        <v>0.1</v>
      </c>
      <c r="J95" s="47" t="n">
        <f aca="false">LN(1+D95)</f>
        <v>-0.0943106794712413</v>
      </c>
      <c r="K95" s="47" t="n">
        <f aca="false">LN(1+E95)</f>
        <v>-0.0943106794712413</v>
      </c>
      <c r="L95" s="47" t="n">
        <f aca="false">LN(1+I95)</f>
        <v>0.0953101798043249</v>
      </c>
      <c r="M95" s="47" t="n">
        <f aca="false">IF(C95&gt;0,EXP(-K95*C95)*IF(ABS(K95-L95)&lt;0.000000000001,(C95)-(0),(EXP((K95-L95)*(C95))-EXP((K95-L95)*(0)))/(K95-L95)),0)</f>
        <v>2.00999692560416</v>
      </c>
      <c r="N95" s="47" t="n">
        <f aca="false">EXP(-J95*C95)*IF(ABS(J95-L95)&lt;0.000000000001,(F95)-(C95),(EXP((J95-L95)*(F95))-EXP((J95-L95)*(C95)))/(J95-L95))</f>
        <v>1.37560202817587</v>
      </c>
      <c r="O95" s="47" t="n">
        <f aca="false">G95*EXP(-J95*C95)*IF(ABS(J95-L95)&lt;0.000000000001,(H95)-(F95),(EXP((J95-L95)*(H95))-EXP((J95-L95)*(F95)))/(J95-L95))</f>
        <v>0.0941434743415239</v>
      </c>
      <c r="P95" s="47" t="n">
        <f aca="false">IF(ABS(-L95)&lt;0.000000000001,(H95)-(0),(EXP((-L95)*(H95))-EXP((-L95)*(0)))/(-L95))</f>
        <v>4.56956508570619</v>
      </c>
      <c r="Q95" s="47" t="n">
        <f aca="false">IF(C95&gt;F95,"t0&gt;T1（未支援）",(M95+N95+O95)/P95)</f>
        <v>0.76150407376981</v>
      </c>
      <c r="R95" s="15" t="n">
        <f aca="false">IN_sh_H*IN_rg_H</f>
        <v>2.81888551801847</v>
      </c>
    </row>
    <row r="96" customFormat="false" ht="16.5" hidden="false" customHeight="true" outlineLevel="0" collapsed="false">
      <c r="A96" s="1" t="s">
        <v>356</v>
      </c>
      <c r="B96" s="1" t="s">
        <v>327</v>
      </c>
      <c r="C96" s="1" t="n">
        <f aca="false">MAX(0,IN_A-IN_sv_G)</f>
        <v>0.5</v>
      </c>
      <c r="D96" s="35" t="n">
        <f aca="false">IN_g</f>
        <v>-0.09</v>
      </c>
      <c r="E96" s="35" t="n">
        <f aca="false">IN_gpre</f>
        <v>-0.09</v>
      </c>
      <c r="F96" s="1" t="n">
        <f aca="false">IN_T1</f>
        <v>4</v>
      </c>
      <c r="G96" s="35" t="n">
        <f aca="false">$A$80</f>
        <v>0.1</v>
      </c>
      <c r="H96" s="1" t="n">
        <f aca="false">IN_T</f>
        <v>6</v>
      </c>
      <c r="I96" s="35" t="n">
        <f aca="false">IN_WACC</f>
        <v>0.1</v>
      </c>
      <c r="J96" s="47" t="n">
        <f aca="false">LN(1+D96)</f>
        <v>-0.0943106794712413</v>
      </c>
      <c r="K96" s="47" t="n">
        <f aca="false">LN(1+E96)</f>
        <v>-0.0943106794712413</v>
      </c>
      <c r="L96" s="47" t="n">
        <f aca="false">LN(1+I96)</f>
        <v>0.0953101798043249</v>
      </c>
      <c r="M96" s="47" t="n">
        <f aca="false">IF(C96&gt;0,EXP(-K96*C96)*IF(ABS(K96-L96)&lt;0.000000000001,(C96)-(0),(EXP((K96-L96)*(C96))-EXP((K96-L96)*(0)))/(K96-L96)),0)</f>
        <v>0.500062323515398</v>
      </c>
      <c r="N96" s="47" t="n">
        <f aca="false">EXP(-J96*C96)*IF(ABS(J96-L96)&lt;0.000000000001,(F96)-(C96),(EXP((J96-L96)*(F96))-EXP((J96-L96)*(C96)))/(J96-L96))</f>
        <v>2.43892423816575</v>
      </c>
      <c r="O96" s="47" t="n">
        <f aca="false">G96*EXP(-J96*C96)*IF(ABS(J96-L96)&lt;0.000000000001,(H96)-(F96),(EXP((J96-L96)*(H96))-EXP((J96-L96)*(F96)))/(J96-L96))</f>
        <v>0.0817245071660928</v>
      </c>
      <c r="P96" s="47" t="n">
        <f aca="false">IF(ABS(-L96)&lt;0.000000000001,(H96)-(0),(EXP((-L96)*(H96))-EXP((-L96)*(0)))/(-L96))</f>
        <v>4.56956508570619</v>
      </c>
      <c r="Q96" s="47" t="n">
        <f aca="false">IF(C96&gt;F96,"t0&gt;T1（未支援）",(M96+N96+O96)/P96)</f>
        <v>0.661050015087028</v>
      </c>
      <c r="R96" s="15" t="n">
        <f aca="false">IN_sh_G*IN_rg_G</f>
        <v>9.24654168303684</v>
      </c>
    </row>
    <row r="97" customFormat="false" ht="16.5" hidden="false" customHeight="true" outlineLevel="0" collapsed="false">
      <c r="A97" s="1" t="s">
        <v>356</v>
      </c>
      <c r="B97" s="1" t="s">
        <v>328</v>
      </c>
      <c r="C97" s="1" t="n">
        <f aca="false">MAX(0,IN_A-IN_sv_3)</f>
        <v>0</v>
      </c>
      <c r="D97" s="35" t="n">
        <f aca="false">IN_g</f>
        <v>-0.09</v>
      </c>
      <c r="E97" s="35" t="n">
        <f aca="false">IN_gpre</f>
        <v>-0.09</v>
      </c>
      <c r="F97" s="1" t="n">
        <f aca="false">IN_T1</f>
        <v>4</v>
      </c>
      <c r="G97" s="35" t="n">
        <f aca="false">$A$80</f>
        <v>0.1</v>
      </c>
      <c r="H97" s="1" t="n">
        <f aca="false">IN_T</f>
        <v>6</v>
      </c>
      <c r="I97" s="35" t="n">
        <f aca="false">IN_WACC</f>
        <v>0.1</v>
      </c>
      <c r="J97" s="47" t="n">
        <f aca="false">LN(1+D97)</f>
        <v>-0.0943106794712413</v>
      </c>
      <c r="K97" s="47" t="n">
        <f aca="false">LN(1+E97)</f>
        <v>-0.0943106794712413</v>
      </c>
      <c r="L97" s="47" t="n">
        <f aca="false">LN(1+I97)</f>
        <v>0.0953101798043249</v>
      </c>
      <c r="M97" s="47" t="n">
        <f aca="false">IF(C97&gt;0,EXP(-K97*C97)*IF(ABS(K97-L97)&lt;0.000000000001,(C97)-(0),(EXP((K97-L97)*(C97))-EXP((K97-L97)*(0)))/(K97-L97)),0)</f>
        <v>0</v>
      </c>
      <c r="N97" s="47" t="n">
        <f aca="false">EXP(-J97*C97)*IF(ABS(J97-L97)&lt;0.000000000001,(F97)-(C97),(EXP((J97-L97)*(F97))-EXP((J97-L97)*(C97)))/(J97-L97))</f>
        <v>2.80361449362525</v>
      </c>
      <c r="O97" s="47" t="n">
        <f aca="false">G97*EXP(-J97*C97)*IF(ABS(J97-L97)&lt;0.000000000001,(H97)-(F97),(EXP((J97-L97)*(H97))-EXP((J97-L97)*(F97)))/(J97-L97))</f>
        <v>0.077960211102216</v>
      </c>
      <c r="P97" s="47" t="n">
        <f aca="false">IF(ABS(-L97)&lt;0.000000000001,(H97)-(0),(EXP((-L97)*(H97))-EXP((-L97)*(0)))/(-L97))</f>
        <v>4.56956508570619</v>
      </c>
      <c r="Q97" s="47" t="n">
        <f aca="false">IF(C97&gt;F97,"t0&gt;T1（未支援）",(M97+N97+O97)/P97)</f>
        <v>0.63060152348878</v>
      </c>
      <c r="R97" s="15" t="n">
        <f aca="false">IN_sh_3*IN_rg_3</f>
        <v>0</v>
      </c>
    </row>
    <row r="98" customFormat="false" ht="16.5" hidden="false" customHeight="true" outlineLevel="0" collapsed="false">
      <c r="A98" s="1" t="s">
        <v>356</v>
      </c>
      <c r="B98" s="1" t="s">
        <v>329</v>
      </c>
      <c r="C98" s="1" t="n">
        <f aca="false">MAX(0,IN_A-IN_sv_V)</f>
        <v>0</v>
      </c>
      <c r="D98" s="35" t="n">
        <f aca="false">IN_g</f>
        <v>-0.09</v>
      </c>
      <c r="E98" s="35" t="n">
        <f aca="false">IN_gpre</f>
        <v>-0.09</v>
      </c>
      <c r="F98" s="1" t="n">
        <f aca="false">IN_T1</f>
        <v>4</v>
      </c>
      <c r="G98" s="35" t="n">
        <f aca="false">$A$80</f>
        <v>0.1</v>
      </c>
      <c r="H98" s="1" t="n">
        <f aca="false">IN_T</f>
        <v>6</v>
      </c>
      <c r="I98" s="35" t="n">
        <f aca="false">IN_WACC</f>
        <v>0.1</v>
      </c>
      <c r="J98" s="47" t="n">
        <f aca="false">LN(1+D98)</f>
        <v>-0.0943106794712413</v>
      </c>
      <c r="K98" s="47" t="n">
        <f aca="false">LN(1+E98)</f>
        <v>-0.0943106794712413</v>
      </c>
      <c r="L98" s="47" t="n">
        <f aca="false">LN(1+I98)</f>
        <v>0.0953101798043249</v>
      </c>
      <c r="M98" s="47" t="n">
        <f aca="false">IF(C98&gt;0,EXP(-K98*C98)*IF(ABS(K98-L98)&lt;0.000000000001,(C98)-(0),(EXP((K98-L98)*(C98))-EXP((K98-L98)*(0)))/(K98-L98)),0)</f>
        <v>0</v>
      </c>
      <c r="N98" s="47" t="n">
        <f aca="false">EXP(-J98*C98)*IF(ABS(J98-L98)&lt;0.000000000001,(F98)-(C98),(EXP((J98-L98)*(F98))-EXP((J98-L98)*(C98)))/(J98-L98))</f>
        <v>2.80361449362525</v>
      </c>
      <c r="O98" s="47" t="n">
        <f aca="false">G98*EXP(-J98*C98)*IF(ABS(J98-L98)&lt;0.000000000001,(H98)-(F98),(EXP((J98-L98)*(H98))-EXP((J98-L98)*(F98)))/(J98-L98))</f>
        <v>0.077960211102216</v>
      </c>
      <c r="P98" s="47" t="n">
        <f aca="false">IF(ABS(-L98)&lt;0.000000000001,(H98)-(0),(EXP((-L98)*(H98))-EXP((-L98)*(0)))/(-L98))</f>
        <v>4.56956508570619</v>
      </c>
      <c r="Q98" s="47" t="n">
        <f aca="false">IF(C98&gt;F98,"t0&gt;T1（未支援）",(M98+N98+O98)/P98)</f>
        <v>0.63060152348878</v>
      </c>
      <c r="R98" s="15" t="n">
        <f aca="false">IN_sh_V*IN_rg_V</f>
        <v>0</v>
      </c>
    </row>
    <row r="99" customFormat="false" ht="16.5" hidden="false" customHeight="true" outlineLevel="0" collapsed="false">
      <c r="A99" s="1" t="s">
        <v>357</v>
      </c>
      <c r="B99" s="1" t="s">
        <v>326</v>
      </c>
      <c r="C99" s="1" t="n">
        <f aca="false">MAX(0,IN_A-IN_sv_H)</f>
        <v>2</v>
      </c>
      <c r="D99" s="35" t="n">
        <f aca="false">IN_g</f>
        <v>-0.09</v>
      </c>
      <c r="E99" s="35" t="n">
        <f aca="false">IN_gpre</f>
        <v>-0.09</v>
      </c>
      <c r="F99" s="1" t="n">
        <f aca="false">IN_T1</f>
        <v>4</v>
      </c>
      <c r="G99" s="35" t="n">
        <f aca="false">$A$81</f>
        <v>0.2</v>
      </c>
      <c r="H99" s="1" t="n">
        <f aca="false">IN_T</f>
        <v>6</v>
      </c>
      <c r="I99" s="35" t="n">
        <f aca="false">IN_WACC</f>
        <v>0.1</v>
      </c>
      <c r="J99" s="47" t="n">
        <f aca="false">LN(1+D99)</f>
        <v>-0.0943106794712413</v>
      </c>
      <c r="K99" s="47" t="n">
        <f aca="false">LN(1+E99)</f>
        <v>-0.0943106794712413</v>
      </c>
      <c r="L99" s="47" t="n">
        <f aca="false">LN(1+I99)</f>
        <v>0.0953101798043249</v>
      </c>
      <c r="M99" s="47" t="n">
        <f aca="false">IF(C99&gt;0,EXP(-K99*C99)*IF(ABS(K99-L99)&lt;0.000000000001,(C99)-(0),(EXP((K99-L99)*(C99))-EXP((K99-L99)*(0)))/(K99-L99)),0)</f>
        <v>2.00999692560416</v>
      </c>
      <c r="N99" s="47" t="n">
        <f aca="false">EXP(-J99*C99)*IF(ABS(J99-L99)&lt;0.000000000001,(F99)-(C99),(EXP((J99-L99)*(F99))-EXP((J99-L99)*(C99)))/(J99-L99))</f>
        <v>1.37560202817587</v>
      </c>
      <c r="O99" s="47" t="n">
        <f aca="false">G99*EXP(-J99*C99)*IF(ABS(J99-L99)&lt;0.000000000001,(H99)-(F99),(EXP((J99-L99)*(H99))-EXP((J99-L99)*(F99)))/(J99-L99))</f>
        <v>0.188286948683048</v>
      </c>
      <c r="P99" s="47" t="n">
        <f aca="false">IF(ABS(-L99)&lt;0.000000000001,(H99)-(0),(EXP((-L99)*(H99))-EXP((-L99)*(0)))/(-L99))</f>
        <v>4.56956508570619</v>
      </c>
      <c r="Q99" s="47" t="n">
        <f aca="false">IF(C99&gt;F99,"t0&gt;T1（未支援）",(M99+N99+O99)/P99)</f>
        <v>0.782106357045303</v>
      </c>
      <c r="R99" s="15" t="n">
        <f aca="false">IN_sh_H*IN_rg_H</f>
        <v>2.81888551801847</v>
      </c>
    </row>
    <row r="100" customFormat="false" ht="16.5" hidden="false" customHeight="true" outlineLevel="0" collapsed="false">
      <c r="A100" s="1" t="s">
        <v>357</v>
      </c>
      <c r="B100" s="1" t="s">
        <v>327</v>
      </c>
      <c r="C100" s="1" t="n">
        <f aca="false">MAX(0,IN_A-IN_sv_G)</f>
        <v>0.5</v>
      </c>
      <c r="D100" s="35" t="n">
        <f aca="false">IN_g</f>
        <v>-0.09</v>
      </c>
      <c r="E100" s="35" t="n">
        <f aca="false">IN_gpre</f>
        <v>-0.09</v>
      </c>
      <c r="F100" s="1" t="n">
        <f aca="false">IN_T1</f>
        <v>4</v>
      </c>
      <c r="G100" s="35" t="n">
        <f aca="false">$A$81</f>
        <v>0.2</v>
      </c>
      <c r="H100" s="1" t="n">
        <f aca="false">IN_T</f>
        <v>6</v>
      </c>
      <c r="I100" s="35" t="n">
        <f aca="false">IN_WACC</f>
        <v>0.1</v>
      </c>
      <c r="J100" s="47" t="n">
        <f aca="false">LN(1+D100)</f>
        <v>-0.0943106794712413</v>
      </c>
      <c r="K100" s="47" t="n">
        <f aca="false">LN(1+E100)</f>
        <v>-0.0943106794712413</v>
      </c>
      <c r="L100" s="47" t="n">
        <f aca="false">LN(1+I100)</f>
        <v>0.0953101798043249</v>
      </c>
      <c r="M100" s="47" t="n">
        <f aca="false">IF(C100&gt;0,EXP(-K100*C100)*IF(ABS(K100-L100)&lt;0.000000000001,(C100)-(0),(EXP((K100-L100)*(C100))-EXP((K100-L100)*(0)))/(K100-L100)),0)</f>
        <v>0.500062323515398</v>
      </c>
      <c r="N100" s="47" t="n">
        <f aca="false">EXP(-J100*C100)*IF(ABS(J100-L100)&lt;0.000000000001,(F100)-(C100),(EXP((J100-L100)*(F100))-EXP((J100-L100)*(C100)))/(J100-L100))</f>
        <v>2.43892423816575</v>
      </c>
      <c r="O100" s="47" t="n">
        <f aca="false">G100*EXP(-J100*C100)*IF(ABS(J100-L100)&lt;0.000000000001,(H100)-(F100),(EXP((J100-L100)*(H100))-EXP((J100-L100)*(F100)))/(J100-L100))</f>
        <v>0.163449014332186</v>
      </c>
      <c r="P100" s="47" t="n">
        <f aca="false">IF(ABS(-L100)&lt;0.000000000001,(H100)-(0),(EXP((-L100)*(H100))-EXP((-L100)*(0)))/(-L100))</f>
        <v>4.56956508570619</v>
      </c>
      <c r="Q100" s="47" t="n">
        <f aca="false">IF(C100&gt;F100,"t0&gt;T1（未支援）",(M100+N100+O100)/P100)</f>
        <v>0.678934541433251</v>
      </c>
      <c r="R100" s="15" t="n">
        <f aca="false">IN_sh_G*IN_rg_G</f>
        <v>9.24654168303684</v>
      </c>
    </row>
    <row r="101" customFormat="false" ht="16.5" hidden="false" customHeight="true" outlineLevel="0" collapsed="false">
      <c r="A101" s="1" t="s">
        <v>357</v>
      </c>
      <c r="B101" s="1" t="s">
        <v>328</v>
      </c>
      <c r="C101" s="1" t="n">
        <f aca="false">MAX(0,IN_A-IN_sv_3)</f>
        <v>0</v>
      </c>
      <c r="D101" s="35" t="n">
        <f aca="false">IN_g</f>
        <v>-0.09</v>
      </c>
      <c r="E101" s="35" t="n">
        <f aca="false">IN_gpre</f>
        <v>-0.09</v>
      </c>
      <c r="F101" s="1" t="n">
        <f aca="false">IN_T1</f>
        <v>4</v>
      </c>
      <c r="G101" s="35" t="n">
        <f aca="false">$A$81</f>
        <v>0.2</v>
      </c>
      <c r="H101" s="1" t="n">
        <f aca="false">IN_T</f>
        <v>6</v>
      </c>
      <c r="I101" s="35" t="n">
        <f aca="false">IN_WACC</f>
        <v>0.1</v>
      </c>
      <c r="J101" s="47" t="n">
        <f aca="false">LN(1+D101)</f>
        <v>-0.0943106794712413</v>
      </c>
      <c r="K101" s="47" t="n">
        <f aca="false">LN(1+E101)</f>
        <v>-0.0943106794712413</v>
      </c>
      <c r="L101" s="47" t="n">
        <f aca="false">LN(1+I101)</f>
        <v>0.0953101798043249</v>
      </c>
      <c r="M101" s="47" t="n">
        <f aca="false">IF(C101&gt;0,EXP(-K101*C101)*IF(ABS(K101-L101)&lt;0.000000000001,(C101)-(0),(EXP((K101-L101)*(C101))-EXP((K101-L101)*(0)))/(K101-L101)),0)</f>
        <v>0</v>
      </c>
      <c r="N101" s="47" t="n">
        <f aca="false">EXP(-J101*C101)*IF(ABS(J101-L101)&lt;0.000000000001,(F101)-(C101),(EXP((J101-L101)*(F101))-EXP((J101-L101)*(C101)))/(J101-L101))</f>
        <v>2.80361449362525</v>
      </c>
      <c r="O101" s="47" t="n">
        <f aca="false">G101*EXP(-J101*C101)*IF(ABS(J101-L101)&lt;0.000000000001,(H101)-(F101),(EXP((J101-L101)*(H101))-EXP((J101-L101)*(F101)))/(J101-L101))</f>
        <v>0.155920422204432</v>
      </c>
      <c r="P101" s="47" t="n">
        <f aca="false">IF(ABS(-L101)&lt;0.000000000001,(H101)-(0),(EXP((-L101)*(H101))-EXP((-L101)*(0)))/(-L101))</f>
        <v>4.56956508570619</v>
      </c>
      <c r="Q101" s="47" t="n">
        <f aca="false">IF(C101&gt;F101,"t0&gt;T1（未支援）",(M101+N101+O101)/P101)</f>
        <v>0.647662274269216</v>
      </c>
      <c r="R101" s="15" t="n">
        <f aca="false">IN_sh_3*IN_rg_3</f>
        <v>0</v>
      </c>
    </row>
    <row r="102" customFormat="false" ht="16.5" hidden="false" customHeight="true" outlineLevel="0" collapsed="false">
      <c r="A102" s="1" t="s">
        <v>357</v>
      </c>
      <c r="B102" s="1" t="s">
        <v>329</v>
      </c>
      <c r="C102" s="1" t="n">
        <f aca="false">MAX(0,IN_A-IN_sv_V)</f>
        <v>0</v>
      </c>
      <c r="D102" s="35" t="n">
        <f aca="false">IN_g</f>
        <v>-0.09</v>
      </c>
      <c r="E102" s="35" t="n">
        <f aca="false">IN_gpre</f>
        <v>-0.09</v>
      </c>
      <c r="F102" s="1" t="n">
        <f aca="false">IN_T1</f>
        <v>4</v>
      </c>
      <c r="G102" s="35" t="n">
        <f aca="false">$A$81</f>
        <v>0.2</v>
      </c>
      <c r="H102" s="1" t="n">
        <f aca="false">IN_T</f>
        <v>6</v>
      </c>
      <c r="I102" s="35" t="n">
        <f aca="false">IN_WACC</f>
        <v>0.1</v>
      </c>
      <c r="J102" s="47" t="n">
        <f aca="false">LN(1+D102)</f>
        <v>-0.0943106794712413</v>
      </c>
      <c r="K102" s="47" t="n">
        <f aca="false">LN(1+E102)</f>
        <v>-0.0943106794712413</v>
      </c>
      <c r="L102" s="47" t="n">
        <f aca="false">LN(1+I102)</f>
        <v>0.0953101798043249</v>
      </c>
      <c r="M102" s="47" t="n">
        <f aca="false">IF(C102&gt;0,EXP(-K102*C102)*IF(ABS(K102-L102)&lt;0.000000000001,(C102)-(0),(EXP((K102-L102)*(C102))-EXP((K102-L102)*(0)))/(K102-L102)),0)</f>
        <v>0</v>
      </c>
      <c r="N102" s="47" t="n">
        <f aca="false">EXP(-J102*C102)*IF(ABS(J102-L102)&lt;0.000000000001,(F102)-(C102),(EXP((J102-L102)*(F102))-EXP((J102-L102)*(C102)))/(J102-L102))</f>
        <v>2.80361449362525</v>
      </c>
      <c r="O102" s="47" t="n">
        <f aca="false">G102*EXP(-J102*C102)*IF(ABS(J102-L102)&lt;0.000000000001,(H102)-(F102),(EXP((J102-L102)*(H102))-EXP((J102-L102)*(F102)))/(J102-L102))</f>
        <v>0.155920422204432</v>
      </c>
      <c r="P102" s="47" t="n">
        <f aca="false">IF(ABS(-L102)&lt;0.000000000001,(H102)-(0),(EXP((-L102)*(H102))-EXP((-L102)*(0)))/(-L102))</f>
        <v>4.56956508570619</v>
      </c>
      <c r="Q102" s="47" t="n">
        <f aca="false">IF(C102&gt;F102,"t0&gt;T1（未支援）",(M102+N102+O102)/P102)</f>
        <v>0.647662274269216</v>
      </c>
      <c r="R102" s="15" t="n">
        <f aca="false">IN_sh_V*IN_rg_V</f>
        <v>0</v>
      </c>
    </row>
    <row r="103" customFormat="false" ht="16.5" hidden="false" customHeight="true" outlineLevel="0" collapsed="false">
      <c r="A103" s="1" t="s">
        <v>358</v>
      </c>
      <c r="B103" s="1" t="s">
        <v>326</v>
      </c>
      <c r="C103" s="1" t="n">
        <f aca="false">MAX(0,IN_A-IN_sv_H)</f>
        <v>2</v>
      </c>
      <c r="D103" s="35" t="n">
        <f aca="false">IN_g</f>
        <v>-0.09</v>
      </c>
      <c r="E103" s="35" t="n">
        <f aca="false">IN_gpre</f>
        <v>-0.09</v>
      </c>
      <c r="F103" s="1" t="n">
        <f aca="false">IN_T1</f>
        <v>4</v>
      </c>
      <c r="G103" s="35" t="n">
        <f aca="false">$A$82</f>
        <v>0.3</v>
      </c>
      <c r="H103" s="1" t="n">
        <f aca="false">IN_T</f>
        <v>6</v>
      </c>
      <c r="I103" s="35" t="n">
        <f aca="false">IN_WACC</f>
        <v>0.1</v>
      </c>
      <c r="J103" s="47" t="n">
        <f aca="false">LN(1+D103)</f>
        <v>-0.0943106794712413</v>
      </c>
      <c r="K103" s="47" t="n">
        <f aca="false">LN(1+E103)</f>
        <v>-0.0943106794712413</v>
      </c>
      <c r="L103" s="47" t="n">
        <f aca="false">LN(1+I103)</f>
        <v>0.0953101798043249</v>
      </c>
      <c r="M103" s="47" t="n">
        <f aca="false">IF(C103&gt;0,EXP(-K103*C103)*IF(ABS(K103-L103)&lt;0.000000000001,(C103)-(0),(EXP((K103-L103)*(C103))-EXP((K103-L103)*(0)))/(K103-L103)),0)</f>
        <v>2.00999692560416</v>
      </c>
      <c r="N103" s="47" t="n">
        <f aca="false">EXP(-J103*C103)*IF(ABS(J103-L103)&lt;0.000000000001,(F103)-(C103),(EXP((J103-L103)*(F103))-EXP((J103-L103)*(C103)))/(J103-L103))</f>
        <v>1.37560202817587</v>
      </c>
      <c r="O103" s="47" t="n">
        <f aca="false">G103*EXP(-J103*C103)*IF(ABS(J103-L103)&lt;0.000000000001,(H103)-(F103),(EXP((J103-L103)*(H103))-EXP((J103-L103)*(F103)))/(J103-L103))</f>
        <v>0.282430423024572</v>
      </c>
      <c r="P103" s="47" t="n">
        <f aca="false">IF(ABS(-L103)&lt;0.000000000001,(H103)-(0),(EXP((-L103)*(H103))-EXP((-L103)*(0)))/(-L103))</f>
        <v>4.56956508570619</v>
      </c>
      <c r="Q103" s="47" t="n">
        <f aca="false">IF(C103&gt;F103,"t0&gt;T1（未支援）",(M103+N103+O103)/P103)</f>
        <v>0.802708640320797</v>
      </c>
      <c r="R103" s="15" t="n">
        <f aca="false">IN_sh_H*IN_rg_H</f>
        <v>2.81888551801847</v>
      </c>
    </row>
    <row r="104" customFormat="false" ht="16.5" hidden="false" customHeight="true" outlineLevel="0" collapsed="false">
      <c r="A104" s="1" t="s">
        <v>358</v>
      </c>
      <c r="B104" s="1" t="s">
        <v>327</v>
      </c>
      <c r="C104" s="1" t="n">
        <f aca="false">MAX(0,IN_A-IN_sv_G)</f>
        <v>0.5</v>
      </c>
      <c r="D104" s="35" t="n">
        <f aca="false">IN_g</f>
        <v>-0.09</v>
      </c>
      <c r="E104" s="35" t="n">
        <f aca="false">IN_gpre</f>
        <v>-0.09</v>
      </c>
      <c r="F104" s="1" t="n">
        <f aca="false">IN_T1</f>
        <v>4</v>
      </c>
      <c r="G104" s="35" t="n">
        <f aca="false">$A$82</f>
        <v>0.3</v>
      </c>
      <c r="H104" s="1" t="n">
        <f aca="false">IN_T</f>
        <v>6</v>
      </c>
      <c r="I104" s="35" t="n">
        <f aca="false">IN_WACC</f>
        <v>0.1</v>
      </c>
      <c r="J104" s="47" t="n">
        <f aca="false">LN(1+D104)</f>
        <v>-0.0943106794712413</v>
      </c>
      <c r="K104" s="47" t="n">
        <f aca="false">LN(1+E104)</f>
        <v>-0.0943106794712413</v>
      </c>
      <c r="L104" s="47" t="n">
        <f aca="false">LN(1+I104)</f>
        <v>0.0953101798043249</v>
      </c>
      <c r="M104" s="47" t="n">
        <f aca="false">IF(C104&gt;0,EXP(-K104*C104)*IF(ABS(K104-L104)&lt;0.000000000001,(C104)-(0),(EXP((K104-L104)*(C104))-EXP((K104-L104)*(0)))/(K104-L104)),0)</f>
        <v>0.500062323515398</v>
      </c>
      <c r="N104" s="47" t="n">
        <f aca="false">EXP(-J104*C104)*IF(ABS(J104-L104)&lt;0.000000000001,(F104)-(C104),(EXP((J104-L104)*(F104))-EXP((J104-L104)*(C104)))/(J104-L104))</f>
        <v>2.43892423816575</v>
      </c>
      <c r="O104" s="47" t="n">
        <f aca="false">G104*EXP(-J104*C104)*IF(ABS(J104-L104)&lt;0.000000000001,(H104)-(F104),(EXP((J104-L104)*(H104))-EXP((J104-L104)*(F104)))/(J104-L104))</f>
        <v>0.245173521498278</v>
      </c>
      <c r="P104" s="47" t="n">
        <f aca="false">IF(ABS(-L104)&lt;0.000000000001,(H104)-(0),(EXP((-L104)*(H104))-EXP((-L104)*(0)))/(-L104))</f>
        <v>4.56956508570619</v>
      </c>
      <c r="Q104" s="47" t="n">
        <f aca="false">IF(C104&gt;F104,"t0&gt;T1（未支援）",(M104+N104+O104)/P104)</f>
        <v>0.696819067779474</v>
      </c>
      <c r="R104" s="15" t="n">
        <f aca="false">IN_sh_G*IN_rg_G</f>
        <v>9.24654168303684</v>
      </c>
    </row>
    <row r="105" customFormat="false" ht="16.5" hidden="false" customHeight="true" outlineLevel="0" collapsed="false">
      <c r="A105" s="1" t="s">
        <v>358</v>
      </c>
      <c r="B105" s="1" t="s">
        <v>328</v>
      </c>
      <c r="C105" s="1" t="n">
        <f aca="false">MAX(0,IN_A-IN_sv_3)</f>
        <v>0</v>
      </c>
      <c r="D105" s="35" t="n">
        <f aca="false">IN_g</f>
        <v>-0.09</v>
      </c>
      <c r="E105" s="35" t="n">
        <f aca="false">IN_gpre</f>
        <v>-0.09</v>
      </c>
      <c r="F105" s="1" t="n">
        <f aca="false">IN_T1</f>
        <v>4</v>
      </c>
      <c r="G105" s="35" t="n">
        <f aca="false">$A$82</f>
        <v>0.3</v>
      </c>
      <c r="H105" s="1" t="n">
        <f aca="false">IN_T</f>
        <v>6</v>
      </c>
      <c r="I105" s="35" t="n">
        <f aca="false">IN_WACC</f>
        <v>0.1</v>
      </c>
      <c r="J105" s="47" t="n">
        <f aca="false">LN(1+D105)</f>
        <v>-0.0943106794712413</v>
      </c>
      <c r="K105" s="47" t="n">
        <f aca="false">LN(1+E105)</f>
        <v>-0.0943106794712413</v>
      </c>
      <c r="L105" s="47" t="n">
        <f aca="false">LN(1+I105)</f>
        <v>0.0953101798043249</v>
      </c>
      <c r="M105" s="47" t="n">
        <f aca="false">IF(C105&gt;0,EXP(-K105*C105)*IF(ABS(K105-L105)&lt;0.000000000001,(C105)-(0),(EXP((K105-L105)*(C105))-EXP((K105-L105)*(0)))/(K105-L105)),0)</f>
        <v>0</v>
      </c>
      <c r="N105" s="47" t="n">
        <f aca="false">EXP(-J105*C105)*IF(ABS(J105-L105)&lt;0.000000000001,(F105)-(C105),(EXP((J105-L105)*(F105))-EXP((J105-L105)*(C105)))/(J105-L105))</f>
        <v>2.80361449362525</v>
      </c>
      <c r="O105" s="47" t="n">
        <f aca="false">G105*EXP(-J105*C105)*IF(ABS(J105-L105)&lt;0.000000000001,(H105)-(F105),(EXP((J105-L105)*(H105))-EXP((J105-L105)*(F105)))/(J105-L105))</f>
        <v>0.233880633306648</v>
      </c>
      <c r="P105" s="47" t="n">
        <f aca="false">IF(ABS(-L105)&lt;0.000000000001,(H105)-(0),(EXP((-L105)*(H105))-EXP((-L105)*(0)))/(-L105))</f>
        <v>4.56956508570619</v>
      </c>
      <c r="Q105" s="47" t="n">
        <f aca="false">IF(C105&gt;F105,"t0&gt;T1（未支援）",(M105+N105+O105)/P105)</f>
        <v>0.664723025049652</v>
      </c>
      <c r="R105" s="15" t="n">
        <f aca="false">IN_sh_3*IN_rg_3</f>
        <v>0</v>
      </c>
    </row>
    <row r="106" customFormat="false" ht="16.5" hidden="false" customHeight="true" outlineLevel="0" collapsed="false">
      <c r="A106" s="1" t="s">
        <v>358</v>
      </c>
      <c r="B106" s="1" t="s">
        <v>329</v>
      </c>
      <c r="C106" s="1" t="n">
        <f aca="false">MAX(0,IN_A-IN_sv_V)</f>
        <v>0</v>
      </c>
      <c r="D106" s="35" t="n">
        <f aca="false">IN_g</f>
        <v>-0.09</v>
      </c>
      <c r="E106" s="35" t="n">
        <f aca="false">IN_gpre</f>
        <v>-0.09</v>
      </c>
      <c r="F106" s="1" t="n">
        <f aca="false">IN_T1</f>
        <v>4</v>
      </c>
      <c r="G106" s="35" t="n">
        <f aca="false">$A$82</f>
        <v>0.3</v>
      </c>
      <c r="H106" s="1" t="n">
        <f aca="false">IN_T</f>
        <v>6</v>
      </c>
      <c r="I106" s="35" t="n">
        <f aca="false">IN_WACC</f>
        <v>0.1</v>
      </c>
      <c r="J106" s="47" t="n">
        <f aca="false">LN(1+D106)</f>
        <v>-0.0943106794712413</v>
      </c>
      <c r="K106" s="47" t="n">
        <f aca="false">LN(1+E106)</f>
        <v>-0.0943106794712413</v>
      </c>
      <c r="L106" s="47" t="n">
        <f aca="false">LN(1+I106)</f>
        <v>0.0953101798043249</v>
      </c>
      <c r="M106" s="47" t="n">
        <f aca="false">IF(C106&gt;0,EXP(-K106*C106)*IF(ABS(K106-L106)&lt;0.000000000001,(C106)-(0),(EXP((K106-L106)*(C106))-EXP((K106-L106)*(0)))/(K106-L106)),0)</f>
        <v>0</v>
      </c>
      <c r="N106" s="47" t="n">
        <f aca="false">EXP(-J106*C106)*IF(ABS(J106-L106)&lt;0.000000000001,(F106)-(C106),(EXP((J106-L106)*(F106))-EXP((J106-L106)*(C106)))/(J106-L106))</f>
        <v>2.80361449362525</v>
      </c>
      <c r="O106" s="47" t="n">
        <f aca="false">G106*EXP(-J106*C106)*IF(ABS(J106-L106)&lt;0.000000000001,(H106)-(F106),(EXP((J106-L106)*(H106))-EXP((J106-L106)*(F106)))/(J106-L106))</f>
        <v>0.233880633306648</v>
      </c>
      <c r="P106" s="47" t="n">
        <f aca="false">IF(ABS(-L106)&lt;0.000000000001,(H106)-(0),(EXP((-L106)*(H106))-EXP((-L106)*(0)))/(-L106))</f>
        <v>4.56956508570619</v>
      </c>
      <c r="Q106" s="47" t="n">
        <f aca="false">IF(C106&gt;F106,"t0&gt;T1（未支援）",(M106+N106+O106)/P106)</f>
        <v>0.664723025049652</v>
      </c>
      <c r="R106" s="15" t="n">
        <f aca="false">IN_sh_V*IN_rg_V</f>
        <v>0</v>
      </c>
    </row>
    <row r="107" customFormat="false" ht="16.5" hidden="false" customHeight="true" outlineLevel="0" collapsed="false">
      <c r="A107" s="1" t="s">
        <v>359</v>
      </c>
      <c r="B107" s="1" t="s">
        <v>326</v>
      </c>
      <c r="C107" s="1" t="n">
        <f aca="false">MAX(0,IN_A-IN_sv_H)</f>
        <v>2</v>
      </c>
      <c r="D107" s="35" t="n">
        <f aca="false">IN_g</f>
        <v>-0.09</v>
      </c>
      <c r="E107" s="35" t="n">
        <f aca="false">IN_gpre</f>
        <v>-0.09</v>
      </c>
      <c r="F107" s="1" t="n">
        <f aca="false">IN_T1</f>
        <v>4</v>
      </c>
      <c r="G107" s="35" t="n">
        <f aca="false">$A$83</f>
        <v>0.4</v>
      </c>
      <c r="H107" s="1" t="n">
        <f aca="false">IN_T</f>
        <v>6</v>
      </c>
      <c r="I107" s="35" t="n">
        <f aca="false">IN_WACC</f>
        <v>0.1</v>
      </c>
      <c r="J107" s="47" t="n">
        <f aca="false">LN(1+D107)</f>
        <v>-0.0943106794712413</v>
      </c>
      <c r="K107" s="47" t="n">
        <f aca="false">LN(1+E107)</f>
        <v>-0.0943106794712413</v>
      </c>
      <c r="L107" s="47" t="n">
        <f aca="false">LN(1+I107)</f>
        <v>0.0953101798043249</v>
      </c>
      <c r="M107" s="47" t="n">
        <f aca="false">IF(C107&gt;0,EXP(-K107*C107)*IF(ABS(K107-L107)&lt;0.000000000001,(C107)-(0),(EXP((K107-L107)*(C107))-EXP((K107-L107)*(0)))/(K107-L107)),0)</f>
        <v>2.00999692560416</v>
      </c>
      <c r="N107" s="47" t="n">
        <f aca="false">EXP(-J107*C107)*IF(ABS(J107-L107)&lt;0.000000000001,(F107)-(C107),(EXP((J107-L107)*(F107))-EXP((J107-L107)*(C107)))/(J107-L107))</f>
        <v>1.37560202817587</v>
      </c>
      <c r="O107" s="47" t="n">
        <f aca="false">G107*EXP(-J107*C107)*IF(ABS(J107-L107)&lt;0.000000000001,(H107)-(F107),(EXP((J107-L107)*(H107))-EXP((J107-L107)*(F107)))/(J107-L107))</f>
        <v>0.376573897366096</v>
      </c>
      <c r="P107" s="47" t="n">
        <f aca="false">IF(ABS(-L107)&lt;0.000000000001,(H107)-(0),(EXP((-L107)*(H107))-EXP((-L107)*(0)))/(-L107))</f>
        <v>4.56956508570619</v>
      </c>
      <c r="Q107" s="47" t="n">
        <f aca="false">IF(C107&gt;F107,"t0&gt;T1（未支援）",(M107+N107+O107)/P107)</f>
        <v>0.82331092359629</v>
      </c>
      <c r="R107" s="15" t="n">
        <f aca="false">IN_sh_H*IN_rg_H</f>
        <v>2.81888551801847</v>
      </c>
    </row>
    <row r="108" customFormat="false" ht="16.5" hidden="false" customHeight="true" outlineLevel="0" collapsed="false">
      <c r="A108" s="1" t="s">
        <v>359</v>
      </c>
      <c r="B108" s="1" t="s">
        <v>327</v>
      </c>
      <c r="C108" s="1" t="n">
        <f aca="false">MAX(0,IN_A-IN_sv_G)</f>
        <v>0.5</v>
      </c>
      <c r="D108" s="35" t="n">
        <f aca="false">IN_g</f>
        <v>-0.09</v>
      </c>
      <c r="E108" s="35" t="n">
        <f aca="false">IN_gpre</f>
        <v>-0.09</v>
      </c>
      <c r="F108" s="1" t="n">
        <f aca="false">IN_T1</f>
        <v>4</v>
      </c>
      <c r="G108" s="35" t="n">
        <f aca="false">$A$83</f>
        <v>0.4</v>
      </c>
      <c r="H108" s="1" t="n">
        <f aca="false">IN_T</f>
        <v>6</v>
      </c>
      <c r="I108" s="35" t="n">
        <f aca="false">IN_WACC</f>
        <v>0.1</v>
      </c>
      <c r="J108" s="47" t="n">
        <f aca="false">LN(1+D108)</f>
        <v>-0.0943106794712413</v>
      </c>
      <c r="K108" s="47" t="n">
        <f aca="false">LN(1+E108)</f>
        <v>-0.0943106794712413</v>
      </c>
      <c r="L108" s="47" t="n">
        <f aca="false">LN(1+I108)</f>
        <v>0.0953101798043249</v>
      </c>
      <c r="M108" s="47" t="n">
        <f aca="false">IF(C108&gt;0,EXP(-K108*C108)*IF(ABS(K108-L108)&lt;0.000000000001,(C108)-(0),(EXP((K108-L108)*(C108))-EXP((K108-L108)*(0)))/(K108-L108)),0)</f>
        <v>0.500062323515398</v>
      </c>
      <c r="N108" s="47" t="n">
        <f aca="false">EXP(-J108*C108)*IF(ABS(J108-L108)&lt;0.000000000001,(F108)-(C108),(EXP((J108-L108)*(F108))-EXP((J108-L108)*(C108)))/(J108-L108))</f>
        <v>2.43892423816575</v>
      </c>
      <c r="O108" s="47" t="n">
        <f aca="false">G108*EXP(-J108*C108)*IF(ABS(J108-L108)&lt;0.000000000001,(H108)-(F108),(EXP((J108-L108)*(H108))-EXP((J108-L108)*(F108)))/(J108-L108))</f>
        <v>0.326898028664371</v>
      </c>
      <c r="P108" s="47" t="n">
        <f aca="false">IF(ABS(-L108)&lt;0.000000000001,(H108)-(0),(EXP((-L108)*(H108))-EXP((-L108)*(0)))/(-L108))</f>
        <v>4.56956508570619</v>
      </c>
      <c r="Q108" s="47" t="n">
        <f aca="false">IF(C108&gt;F108,"t0&gt;T1（未支援）",(M108+N108+O108)/P108)</f>
        <v>0.714703594125697</v>
      </c>
      <c r="R108" s="15" t="n">
        <f aca="false">IN_sh_G*IN_rg_G</f>
        <v>9.24654168303684</v>
      </c>
    </row>
    <row r="109" customFormat="false" ht="16.5" hidden="false" customHeight="true" outlineLevel="0" collapsed="false">
      <c r="A109" s="1" t="s">
        <v>359</v>
      </c>
      <c r="B109" s="1" t="s">
        <v>328</v>
      </c>
      <c r="C109" s="1" t="n">
        <f aca="false">MAX(0,IN_A-IN_sv_3)</f>
        <v>0</v>
      </c>
      <c r="D109" s="35" t="n">
        <f aca="false">IN_g</f>
        <v>-0.09</v>
      </c>
      <c r="E109" s="35" t="n">
        <f aca="false">IN_gpre</f>
        <v>-0.09</v>
      </c>
      <c r="F109" s="1" t="n">
        <f aca="false">IN_T1</f>
        <v>4</v>
      </c>
      <c r="G109" s="35" t="n">
        <f aca="false">$A$83</f>
        <v>0.4</v>
      </c>
      <c r="H109" s="1" t="n">
        <f aca="false">IN_T</f>
        <v>6</v>
      </c>
      <c r="I109" s="35" t="n">
        <f aca="false">IN_WACC</f>
        <v>0.1</v>
      </c>
      <c r="J109" s="47" t="n">
        <f aca="false">LN(1+D109)</f>
        <v>-0.0943106794712413</v>
      </c>
      <c r="K109" s="47" t="n">
        <f aca="false">LN(1+E109)</f>
        <v>-0.0943106794712413</v>
      </c>
      <c r="L109" s="47" t="n">
        <f aca="false">LN(1+I109)</f>
        <v>0.0953101798043249</v>
      </c>
      <c r="M109" s="47" t="n">
        <f aca="false">IF(C109&gt;0,EXP(-K109*C109)*IF(ABS(K109-L109)&lt;0.000000000001,(C109)-(0),(EXP((K109-L109)*(C109))-EXP((K109-L109)*(0)))/(K109-L109)),0)</f>
        <v>0</v>
      </c>
      <c r="N109" s="47" t="n">
        <f aca="false">EXP(-J109*C109)*IF(ABS(J109-L109)&lt;0.000000000001,(F109)-(C109),(EXP((J109-L109)*(F109))-EXP((J109-L109)*(C109)))/(J109-L109))</f>
        <v>2.80361449362525</v>
      </c>
      <c r="O109" s="47" t="n">
        <f aca="false">G109*EXP(-J109*C109)*IF(ABS(J109-L109)&lt;0.000000000001,(H109)-(F109),(EXP((J109-L109)*(H109))-EXP((J109-L109)*(F109)))/(J109-L109))</f>
        <v>0.311840844408864</v>
      </c>
      <c r="P109" s="47" t="n">
        <f aca="false">IF(ABS(-L109)&lt;0.000000000001,(H109)-(0),(EXP((-L109)*(H109))-EXP((-L109)*(0)))/(-L109))</f>
        <v>4.56956508570619</v>
      </c>
      <c r="Q109" s="47" t="n">
        <f aca="false">IF(C109&gt;F109,"t0&gt;T1（未支援）",(M109+N109+O109)/P109)</f>
        <v>0.681783775830088</v>
      </c>
      <c r="R109" s="15" t="n">
        <f aca="false">IN_sh_3*IN_rg_3</f>
        <v>0</v>
      </c>
    </row>
    <row r="110" customFormat="false" ht="16.5" hidden="false" customHeight="true" outlineLevel="0" collapsed="false">
      <c r="A110" s="1" t="s">
        <v>359</v>
      </c>
      <c r="B110" s="1" t="s">
        <v>329</v>
      </c>
      <c r="C110" s="1" t="n">
        <f aca="false">MAX(0,IN_A-IN_sv_V)</f>
        <v>0</v>
      </c>
      <c r="D110" s="35" t="n">
        <f aca="false">IN_g</f>
        <v>-0.09</v>
      </c>
      <c r="E110" s="35" t="n">
        <f aca="false">IN_gpre</f>
        <v>-0.09</v>
      </c>
      <c r="F110" s="1" t="n">
        <f aca="false">IN_T1</f>
        <v>4</v>
      </c>
      <c r="G110" s="35" t="n">
        <f aca="false">$A$83</f>
        <v>0.4</v>
      </c>
      <c r="H110" s="1" t="n">
        <f aca="false">IN_T</f>
        <v>6</v>
      </c>
      <c r="I110" s="35" t="n">
        <f aca="false">IN_WACC</f>
        <v>0.1</v>
      </c>
      <c r="J110" s="47" t="n">
        <f aca="false">LN(1+D110)</f>
        <v>-0.0943106794712413</v>
      </c>
      <c r="K110" s="47" t="n">
        <f aca="false">LN(1+E110)</f>
        <v>-0.0943106794712413</v>
      </c>
      <c r="L110" s="47" t="n">
        <f aca="false">LN(1+I110)</f>
        <v>0.0953101798043249</v>
      </c>
      <c r="M110" s="47" t="n">
        <f aca="false">IF(C110&gt;0,EXP(-K110*C110)*IF(ABS(K110-L110)&lt;0.000000000001,(C110)-(0),(EXP((K110-L110)*(C110))-EXP((K110-L110)*(0)))/(K110-L110)),0)</f>
        <v>0</v>
      </c>
      <c r="N110" s="47" t="n">
        <f aca="false">EXP(-J110*C110)*IF(ABS(J110-L110)&lt;0.000000000001,(F110)-(C110),(EXP((J110-L110)*(F110))-EXP((J110-L110)*(C110)))/(J110-L110))</f>
        <v>2.80361449362525</v>
      </c>
      <c r="O110" s="47" t="n">
        <f aca="false">G110*EXP(-J110*C110)*IF(ABS(J110-L110)&lt;0.000000000001,(H110)-(F110),(EXP((J110-L110)*(H110))-EXP((J110-L110)*(F110)))/(J110-L110))</f>
        <v>0.311840844408864</v>
      </c>
      <c r="P110" s="47" t="n">
        <f aca="false">IF(ABS(-L110)&lt;0.000000000001,(H110)-(0),(EXP((-L110)*(H110))-EXP((-L110)*(0)))/(-L110))</f>
        <v>4.56956508570619</v>
      </c>
      <c r="Q110" s="47" t="n">
        <f aca="false">IF(C110&gt;F110,"t0&gt;T1（未支援）",(M110+N110+O110)/P110)</f>
        <v>0.681783775830088</v>
      </c>
      <c r="R110" s="15" t="n">
        <f aca="false">IN_sh_V*IN_rg_V</f>
        <v>0</v>
      </c>
    </row>
    <row r="111" customFormat="false" ht="16.5" hidden="false" customHeight="true" outlineLevel="0" collapsed="false">
      <c r="A111" s="1" t="s">
        <v>360</v>
      </c>
      <c r="B111" s="1" t="s">
        <v>326</v>
      </c>
      <c r="C111" s="1" t="n">
        <f aca="false">MAX(0,IN_A-IN_sv_H)</f>
        <v>2</v>
      </c>
      <c r="D111" s="35" t="n">
        <f aca="false">IN_g</f>
        <v>-0.09</v>
      </c>
      <c r="E111" s="35" t="n">
        <f aca="false">IN_gpre</f>
        <v>-0.09</v>
      </c>
      <c r="F111" s="1" t="n">
        <f aca="false">IN_T1</f>
        <v>4</v>
      </c>
      <c r="G111" s="35" t="n">
        <f aca="false">$A$84</f>
        <v>0.5</v>
      </c>
      <c r="H111" s="1" t="n">
        <f aca="false">IN_T</f>
        <v>6</v>
      </c>
      <c r="I111" s="35" t="n">
        <f aca="false">IN_WACC</f>
        <v>0.1</v>
      </c>
      <c r="J111" s="47" t="n">
        <f aca="false">LN(1+D111)</f>
        <v>-0.0943106794712413</v>
      </c>
      <c r="K111" s="47" t="n">
        <f aca="false">LN(1+E111)</f>
        <v>-0.0943106794712413</v>
      </c>
      <c r="L111" s="47" t="n">
        <f aca="false">LN(1+I111)</f>
        <v>0.0953101798043249</v>
      </c>
      <c r="M111" s="47" t="n">
        <f aca="false">IF(C111&gt;0,EXP(-K111*C111)*IF(ABS(K111-L111)&lt;0.000000000001,(C111)-(0),(EXP((K111-L111)*(C111))-EXP((K111-L111)*(0)))/(K111-L111)),0)</f>
        <v>2.00999692560416</v>
      </c>
      <c r="N111" s="47" t="n">
        <f aca="false">EXP(-J111*C111)*IF(ABS(J111-L111)&lt;0.000000000001,(F111)-(C111),(EXP((J111-L111)*(F111))-EXP((J111-L111)*(C111)))/(J111-L111))</f>
        <v>1.37560202817587</v>
      </c>
      <c r="O111" s="47" t="n">
        <f aca="false">G111*EXP(-J111*C111)*IF(ABS(J111-L111)&lt;0.000000000001,(H111)-(F111),(EXP((J111-L111)*(H111))-EXP((J111-L111)*(F111)))/(J111-L111))</f>
        <v>0.47071737170762</v>
      </c>
      <c r="P111" s="47" t="n">
        <f aca="false">IF(ABS(-L111)&lt;0.000000000001,(H111)-(0),(EXP((-L111)*(H111))-EXP((-L111)*(0)))/(-L111))</f>
        <v>4.56956508570619</v>
      </c>
      <c r="Q111" s="47" t="n">
        <f aca="false">IF(C111&gt;F111,"t0&gt;T1（未支援）",(M111+N111+O111)/P111)</f>
        <v>0.843913206871784</v>
      </c>
      <c r="R111" s="15" t="n">
        <f aca="false">IN_sh_H*IN_rg_H</f>
        <v>2.81888551801847</v>
      </c>
    </row>
    <row r="112" customFormat="false" ht="16.5" hidden="false" customHeight="true" outlineLevel="0" collapsed="false">
      <c r="A112" s="1" t="s">
        <v>360</v>
      </c>
      <c r="B112" s="1" t="s">
        <v>327</v>
      </c>
      <c r="C112" s="1" t="n">
        <f aca="false">MAX(0,IN_A-IN_sv_G)</f>
        <v>0.5</v>
      </c>
      <c r="D112" s="35" t="n">
        <f aca="false">IN_g</f>
        <v>-0.09</v>
      </c>
      <c r="E112" s="35" t="n">
        <f aca="false">IN_gpre</f>
        <v>-0.09</v>
      </c>
      <c r="F112" s="1" t="n">
        <f aca="false">IN_T1</f>
        <v>4</v>
      </c>
      <c r="G112" s="35" t="n">
        <f aca="false">$A$84</f>
        <v>0.5</v>
      </c>
      <c r="H112" s="1" t="n">
        <f aca="false">IN_T</f>
        <v>6</v>
      </c>
      <c r="I112" s="35" t="n">
        <f aca="false">IN_WACC</f>
        <v>0.1</v>
      </c>
      <c r="J112" s="47" t="n">
        <f aca="false">LN(1+D112)</f>
        <v>-0.0943106794712413</v>
      </c>
      <c r="K112" s="47" t="n">
        <f aca="false">LN(1+E112)</f>
        <v>-0.0943106794712413</v>
      </c>
      <c r="L112" s="47" t="n">
        <f aca="false">LN(1+I112)</f>
        <v>0.0953101798043249</v>
      </c>
      <c r="M112" s="47" t="n">
        <f aca="false">IF(C112&gt;0,EXP(-K112*C112)*IF(ABS(K112-L112)&lt;0.000000000001,(C112)-(0),(EXP((K112-L112)*(C112))-EXP((K112-L112)*(0)))/(K112-L112)),0)</f>
        <v>0.500062323515398</v>
      </c>
      <c r="N112" s="47" t="n">
        <f aca="false">EXP(-J112*C112)*IF(ABS(J112-L112)&lt;0.000000000001,(F112)-(C112),(EXP((J112-L112)*(F112))-EXP((J112-L112)*(C112)))/(J112-L112))</f>
        <v>2.43892423816575</v>
      </c>
      <c r="O112" s="47" t="n">
        <f aca="false">G112*EXP(-J112*C112)*IF(ABS(J112-L112)&lt;0.000000000001,(H112)-(F112),(EXP((J112-L112)*(H112))-EXP((J112-L112)*(F112)))/(J112-L112))</f>
        <v>0.408622535830464</v>
      </c>
      <c r="P112" s="47" t="n">
        <f aca="false">IF(ABS(-L112)&lt;0.000000000001,(H112)-(0),(EXP((-L112)*(H112))-EXP((-L112)*(0)))/(-L112))</f>
        <v>4.56956508570619</v>
      </c>
      <c r="Q112" s="47" t="n">
        <f aca="false">IF(C112&gt;F112,"t0&gt;T1（未支援）",(M112+N112+O112)/P112)</f>
        <v>0.73258812047192</v>
      </c>
      <c r="R112" s="15" t="n">
        <f aca="false">IN_sh_G*IN_rg_G</f>
        <v>9.24654168303684</v>
      </c>
    </row>
    <row r="113" customFormat="false" ht="16.5" hidden="false" customHeight="true" outlineLevel="0" collapsed="false">
      <c r="A113" s="1" t="s">
        <v>360</v>
      </c>
      <c r="B113" s="1" t="s">
        <v>328</v>
      </c>
      <c r="C113" s="1" t="n">
        <f aca="false">MAX(0,IN_A-IN_sv_3)</f>
        <v>0</v>
      </c>
      <c r="D113" s="35" t="n">
        <f aca="false">IN_g</f>
        <v>-0.09</v>
      </c>
      <c r="E113" s="35" t="n">
        <f aca="false">IN_gpre</f>
        <v>-0.09</v>
      </c>
      <c r="F113" s="1" t="n">
        <f aca="false">IN_T1</f>
        <v>4</v>
      </c>
      <c r="G113" s="35" t="n">
        <f aca="false">$A$84</f>
        <v>0.5</v>
      </c>
      <c r="H113" s="1" t="n">
        <f aca="false">IN_T</f>
        <v>6</v>
      </c>
      <c r="I113" s="35" t="n">
        <f aca="false">IN_WACC</f>
        <v>0.1</v>
      </c>
      <c r="J113" s="47" t="n">
        <f aca="false">LN(1+D113)</f>
        <v>-0.0943106794712413</v>
      </c>
      <c r="K113" s="47" t="n">
        <f aca="false">LN(1+E113)</f>
        <v>-0.0943106794712413</v>
      </c>
      <c r="L113" s="47" t="n">
        <f aca="false">LN(1+I113)</f>
        <v>0.0953101798043249</v>
      </c>
      <c r="M113" s="47" t="n">
        <f aca="false">IF(C113&gt;0,EXP(-K113*C113)*IF(ABS(K113-L113)&lt;0.000000000001,(C113)-(0),(EXP((K113-L113)*(C113))-EXP((K113-L113)*(0)))/(K113-L113)),0)</f>
        <v>0</v>
      </c>
      <c r="N113" s="47" t="n">
        <f aca="false">EXP(-J113*C113)*IF(ABS(J113-L113)&lt;0.000000000001,(F113)-(C113),(EXP((J113-L113)*(F113))-EXP((J113-L113)*(C113)))/(J113-L113))</f>
        <v>2.80361449362525</v>
      </c>
      <c r="O113" s="47" t="n">
        <f aca="false">G113*EXP(-J113*C113)*IF(ABS(J113-L113)&lt;0.000000000001,(H113)-(F113),(EXP((J113-L113)*(H113))-EXP((J113-L113)*(F113)))/(J113-L113))</f>
        <v>0.38980105551108</v>
      </c>
      <c r="P113" s="47" t="n">
        <f aca="false">IF(ABS(-L113)&lt;0.000000000001,(H113)-(0),(EXP((-L113)*(H113))-EXP((-L113)*(0)))/(-L113))</f>
        <v>4.56956508570619</v>
      </c>
      <c r="Q113" s="47" t="n">
        <f aca="false">IF(C113&gt;F113,"t0&gt;T1（未支援）",(M113+N113+O113)/P113)</f>
        <v>0.698844526610524</v>
      </c>
      <c r="R113" s="15" t="n">
        <f aca="false">IN_sh_3*IN_rg_3</f>
        <v>0</v>
      </c>
    </row>
    <row r="114" customFormat="false" ht="16.5" hidden="false" customHeight="true" outlineLevel="0" collapsed="false">
      <c r="A114" s="1" t="s">
        <v>360</v>
      </c>
      <c r="B114" s="1" t="s">
        <v>329</v>
      </c>
      <c r="C114" s="1" t="n">
        <f aca="false">MAX(0,IN_A-IN_sv_V)</f>
        <v>0</v>
      </c>
      <c r="D114" s="35" t="n">
        <f aca="false">IN_g</f>
        <v>-0.09</v>
      </c>
      <c r="E114" s="35" t="n">
        <f aca="false">IN_gpre</f>
        <v>-0.09</v>
      </c>
      <c r="F114" s="1" t="n">
        <f aca="false">IN_T1</f>
        <v>4</v>
      </c>
      <c r="G114" s="35" t="n">
        <f aca="false">$A$84</f>
        <v>0.5</v>
      </c>
      <c r="H114" s="1" t="n">
        <f aca="false">IN_T</f>
        <v>6</v>
      </c>
      <c r="I114" s="35" t="n">
        <f aca="false">IN_WACC</f>
        <v>0.1</v>
      </c>
      <c r="J114" s="47" t="n">
        <f aca="false">LN(1+D114)</f>
        <v>-0.0943106794712413</v>
      </c>
      <c r="K114" s="47" t="n">
        <f aca="false">LN(1+E114)</f>
        <v>-0.0943106794712413</v>
      </c>
      <c r="L114" s="47" t="n">
        <f aca="false">LN(1+I114)</f>
        <v>0.0953101798043249</v>
      </c>
      <c r="M114" s="47" t="n">
        <f aca="false">IF(C114&gt;0,EXP(-K114*C114)*IF(ABS(K114-L114)&lt;0.000000000001,(C114)-(0),(EXP((K114-L114)*(C114))-EXP((K114-L114)*(0)))/(K114-L114)),0)</f>
        <v>0</v>
      </c>
      <c r="N114" s="47" t="n">
        <f aca="false">EXP(-J114*C114)*IF(ABS(J114-L114)&lt;0.000000000001,(F114)-(C114),(EXP((J114-L114)*(F114))-EXP((J114-L114)*(C114)))/(J114-L114))</f>
        <v>2.80361449362525</v>
      </c>
      <c r="O114" s="47" t="n">
        <f aca="false">G114*EXP(-J114*C114)*IF(ABS(J114-L114)&lt;0.000000000001,(H114)-(F114),(EXP((J114-L114)*(H114))-EXP((J114-L114)*(F114)))/(J114-L114))</f>
        <v>0.38980105551108</v>
      </c>
      <c r="P114" s="47" t="n">
        <f aca="false">IF(ABS(-L114)&lt;0.000000000001,(H114)-(0),(EXP((-L114)*(H114))-EXP((-L114)*(0)))/(-L114))</f>
        <v>4.56956508570619</v>
      </c>
      <c r="Q114" s="47" t="n">
        <f aca="false">IF(C114&gt;F114,"t0&gt;T1（未支援）",(M114+N114+O114)/P114)</f>
        <v>0.698844526610524</v>
      </c>
      <c r="R114" s="15" t="n">
        <f aca="false">IN_sh_V*IN_rg_V</f>
        <v>0</v>
      </c>
    </row>
    <row r="115" customFormat="false" ht="16.5" hidden="false" customHeight="true" outlineLevel="0" collapsed="false">
      <c r="A115" s="1" t="s">
        <v>361</v>
      </c>
      <c r="B115" s="1" t="s">
        <v>326</v>
      </c>
      <c r="C115" s="1" t="n">
        <f aca="false">MAX(0,IN_A-IN_sv_H)</f>
        <v>2</v>
      </c>
      <c r="D115" s="35" t="n">
        <f aca="false">IN_g</f>
        <v>-0.09</v>
      </c>
      <c r="E115" s="35" t="n">
        <f aca="false">IN_gpre</f>
        <v>-0.09</v>
      </c>
      <c r="F115" s="1" t="n">
        <f aca="false">IN_T1</f>
        <v>4</v>
      </c>
      <c r="G115" s="35" t="n">
        <f aca="false">$A$85</f>
        <v>0.6</v>
      </c>
      <c r="H115" s="1" t="n">
        <f aca="false">IN_T</f>
        <v>6</v>
      </c>
      <c r="I115" s="35" t="n">
        <f aca="false">IN_WACC</f>
        <v>0.1</v>
      </c>
      <c r="J115" s="47" t="n">
        <f aca="false">LN(1+D115)</f>
        <v>-0.0943106794712413</v>
      </c>
      <c r="K115" s="47" t="n">
        <f aca="false">LN(1+E115)</f>
        <v>-0.0943106794712413</v>
      </c>
      <c r="L115" s="47" t="n">
        <f aca="false">LN(1+I115)</f>
        <v>0.0953101798043249</v>
      </c>
      <c r="M115" s="47" t="n">
        <f aca="false">IF(C115&gt;0,EXP(-K115*C115)*IF(ABS(K115-L115)&lt;0.000000000001,(C115)-(0),(EXP((K115-L115)*(C115))-EXP((K115-L115)*(0)))/(K115-L115)),0)</f>
        <v>2.00999692560416</v>
      </c>
      <c r="N115" s="47" t="n">
        <f aca="false">EXP(-J115*C115)*IF(ABS(J115-L115)&lt;0.000000000001,(F115)-(C115),(EXP((J115-L115)*(F115))-EXP((J115-L115)*(C115)))/(J115-L115))</f>
        <v>1.37560202817587</v>
      </c>
      <c r="O115" s="47" t="n">
        <f aca="false">G115*EXP(-J115*C115)*IF(ABS(J115-L115)&lt;0.000000000001,(H115)-(F115),(EXP((J115-L115)*(H115))-EXP((J115-L115)*(F115)))/(J115-L115))</f>
        <v>0.564860846049144</v>
      </c>
      <c r="P115" s="47" t="n">
        <f aca="false">IF(ABS(-L115)&lt;0.000000000001,(H115)-(0),(EXP((-L115)*(H115))-EXP((-L115)*(0)))/(-L115))</f>
        <v>4.56956508570619</v>
      </c>
      <c r="Q115" s="47" t="n">
        <f aca="false">IF(C115&gt;F115,"t0&gt;T1（未支援）",(M115+N115+O115)/P115)</f>
        <v>0.864515490147278</v>
      </c>
      <c r="R115" s="15" t="n">
        <f aca="false">IN_sh_H*IN_rg_H</f>
        <v>2.81888551801847</v>
      </c>
    </row>
    <row r="116" customFormat="false" ht="16.5" hidden="false" customHeight="true" outlineLevel="0" collapsed="false">
      <c r="A116" s="1" t="s">
        <v>361</v>
      </c>
      <c r="B116" s="1" t="s">
        <v>327</v>
      </c>
      <c r="C116" s="1" t="n">
        <f aca="false">MAX(0,IN_A-IN_sv_G)</f>
        <v>0.5</v>
      </c>
      <c r="D116" s="35" t="n">
        <f aca="false">IN_g</f>
        <v>-0.09</v>
      </c>
      <c r="E116" s="35" t="n">
        <f aca="false">IN_gpre</f>
        <v>-0.09</v>
      </c>
      <c r="F116" s="1" t="n">
        <f aca="false">IN_T1</f>
        <v>4</v>
      </c>
      <c r="G116" s="35" t="n">
        <f aca="false">$A$85</f>
        <v>0.6</v>
      </c>
      <c r="H116" s="1" t="n">
        <f aca="false">IN_T</f>
        <v>6</v>
      </c>
      <c r="I116" s="35" t="n">
        <f aca="false">IN_WACC</f>
        <v>0.1</v>
      </c>
      <c r="J116" s="47" t="n">
        <f aca="false">LN(1+D116)</f>
        <v>-0.0943106794712413</v>
      </c>
      <c r="K116" s="47" t="n">
        <f aca="false">LN(1+E116)</f>
        <v>-0.0943106794712413</v>
      </c>
      <c r="L116" s="47" t="n">
        <f aca="false">LN(1+I116)</f>
        <v>0.0953101798043249</v>
      </c>
      <c r="M116" s="47" t="n">
        <f aca="false">IF(C116&gt;0,EXP(-K116*C116)*IF(ABS(K116-L116)&lt;0.000000000001,(C116)-(0),(EXP((K116-L116)*(C116))-EXP((K116-L116)*(0)))/(K116-L116)),0)</f>
        <v>0.500062323515398</v>
      </c>
      <c r="N116" s="47" t="n">
        <f aca="false">EXP(-J116*C116)*IF(ABS(J116-L116)&lt;0.000000000001,(F116)-(C116),(EXP((J116-L116)*(F116))-EXP((J116-L116)*(C116)))/(J116-L116))</f>
        <v>2.43892423816575</v>
      </c>
      <c r="O116" s="47" t="n">
        <f aca="false">G116*EXP(-J116*C116)*IF(ABS(J116-L116)&lt;0.000000000001,(H116)-(F116),(EXP((J116-L116)*(H116))-EXP((J116-L116)*(F116)))/(J116-L116))</f>
        <v>0.490347042996557</v>
      </c>
      <c r="P116" s="47" t="n">
        <f aca="false">IF(ABS(-L116)&lt;0.000000000001,(H116)-(0),(EXP((-L116)*(H116))-EXP((-L116)*(0)))/(-L116))</f>
        <v>4.56956508570619</v>
      </c>
      <c r="Q116" s="47" t="n">
        <f aca="false">IF(C116&gt;F116,"t0&gt;T1（未支援）",(M116+N116+O116)/P116)</f>
        <v>0.750472646818143</v>
      </c>
      <c r="R116" s="15" t="n">
        <f aca="false">IN_sh_G*IN_rg_G</f>
        <v>9.24654168303684</v>
      </c>
    </row>
    <row r="117" customFormat="false" ht="16.5" hidden="false" customHeight="true" outlineLevel="0" collapsed="false">
      <c r="A117" s="1" t="s">
        <v>361</v>
      </c>
      <c r="B117" s="1" t="s">
        <v>328</v>
      </c>
      <c r="C117" s="1" t="n">
        <f aca="false">MAX(0,IN_A-IN_sv_3)</f>
        <v>0</v>
      </c>
      <c r="D117" s="35" t="n">
        <f aca="false">IN_g</f>
        <v>-0.09</v>
      </c>
      <c r="E117" s="35" t="n">
        <f aca="false">IN_gpre</f>
        <v>-0.09</v>
      </c>
      <c r="F117" s="1" t="n">
        <f aca="false">IN_T1</f>
        <v>4</v>
      </c>
      <c r="G117" s="35" t="n">
        <f aca="false">$A$85</f>
        <v>0.6</v>
      </c>
      <c r="H117" s="1" t="n">
        <f aca="false">IN_T</f>
        <v>6</v>
      </c>
      <c r="I117" s="35" t="n">
        <f aca="false">IN_WACC</f>
        <v>0.1</v>
      </c>
      <c r="J117" s="47" t="n">
        <f aca="false">LN(1+D117)</f>
        <v>-0.0943106794712413</v>
      </c>
      <c r="K117" s="47" t="n">
        <f aca="false">LN(1+E117)</f>
        <v>-0.0943106794712413</v>
      </c>
      <c r="L117" s="47" t="n">
        <f aca="false">LN(1+I117)</f>
        <v>0.0953101798043249</v>
      </c>
      <c r="M117" s="47" t="n">
        <f aca="false">IF(C117&gt;0,EXP(-K117*C117)*IF(ABS(K117-L117)&lt;0.000000000001,(C117)-(0),(EXP((K117-L117)*(C117))-EXP((K117-L117)*(0)))/(K117-L117)),0)</f>
        <v>0</v>
      </c>
      <c r="N117" s="47" t="n">
        <f aca="false">EXP(-J117*C117)*IF(ABS(J117-L117)&lt;0.000000000001,(F117)-(C117),(EXP((J117-L117)*(F117))-EXP((J117-L117)*(C117)))/(J117-L117))</f>
        <v>2.80361449362525</v>
      </c>
      <c r="O117" s="47" t="n">
        <f aca="false">G117*EXP(-J117*C117)*IF(ABS(J117-L117)&lt;0.000000000001,(H117)-(F117),(EXP((J117-L117)*(H117))-EXP((J117-L117)*(F117)))/(J117-L117))</f>
        <v>0.467761266613296</v>
      </c>
      <c r="P117" s="47" t="n">
        <f aca="false">IF(ABS(-L117)&lt;0.000000000001,(H117)-(0),(EXP((-L117)*(H117))-EXP((-L117)*(0)))/(-L117))</f>
        <v>4.56956508570619</v>
      </c>
      <c r="Q117" s="47" t="n">
        <f aca="false">IF(C117&gt;F117,"t0&gt;T1（未支援）",(M117+N117+O117)/P117)</f>
        <v>0.715905277390961</v>
      </c>
      <c r="R117" s="15" t="n">
        <f aca="false">IN_sh_3*IN_rg_3</f>
        <v>0</v>
      </c>
    </row>
    <row r="118" customFormat="false" ht="16.5" hidden="false" customHeight="true" outlineLevel="0" collapsed="false">
      <c r="A118" s="1" t="s">
        <v>361</v>
      </c>
      <c r="B118" s="1" t="s">
        <v>329</v>
      </c>
      <c r="C118" s="1" t="n">
        <f aca="false">MAX(0,IN_A-IN_sv_V)</f>
        <v>0</v>
      </c>
      <c r="D118" s="35" t="n">
        <f aca="false">IN_g</f>
        <v>-0.09</v>
      </c>
      <c r="E118" s="35" t="n">
        <f aca="false">IN_gpre</f>
        <v>-0.09</v>
      </c>
      <c r="F118" s="1" t="n">
        <f aca="false">IN_T1</f>
        <v>4</v>
      </c>
      <c r="G118" s="35" t="n">
        <f aca="false">$A$85</f>
        <v>0.6</v>
      </c>
      <c r="H118" s="1" t="n">
        <f aca="false">IN_T</f>
        <v>6</v>
      </c>
      <c r="I118" s="35" t="n">
        <f aca="false">IN_WACC</f>
        <v>0.1</v>
      </c>
      <c r="J118" s="47" t="n">
        <f aca="false">LN(1+D118)</f>
        <v>-0.0943106794712413</v>
      </c>
      <c r="K118" s="47" t="n">
        <f aca="false">LN(1+E118)</f>
        <v>-0.0943106794712413</v>
      </c>
      <c r="L118" s="47" t="n">
        <f aca="false">LN(1+I118)</f>
        <v>0.0953101798043249</v>
      </c>
      <c r="M118" s="47" t="n">
        <f aca="false">IF(C118&gt;0,EXP(-K118*C118)*IF(ABS(K118-L118)&lt;0.000000000001,(C118)-(0),(EXP((K118-L118)*(C118))-EXP((K118-L118)*(0)))/(K118-L118)),0)</f>
        <v>0</v>
      </c>
      <c r="N118" s="47" t="n">
        <f aca="false">EXP(-J118*C118)*IF(ABS(J118-L118)&lt;0.000000000001,(F118)-(C118),(EXP((J118-L118)*(F118))-EXP((J118-L118)*(C118)))/(J118-L118))</f>
        <v>2.80361449362525</v>
      </c>
      <c r="O118" s="47" t="n">
        <f aca="false">G118*EXP(-J118*C118)*IF(ABS(J118-L118)&lt;0.000000000001,(H118)-(F118),(EXP((J118-L118)*(H118))-EXP((J118-L118)*(F118)))/(J118-L118))</f>
        <v>0.467761266613296</v>
      </c>
      <c r="P118" s="47" t="n">
        <f aca="false">IF(ABS(-L118)&lt;0.000000000001,(H118)-(0),(EXP((-L118)*(H118))-EXP((-L118)*(0)))/(-L118))</f>
        <v>4.56956508570619</v>
      </c>
      <c r="Q118" s="47" t="n">
        <f aca="false">IF(C118&gt;F118,"t0&gt;T1（未支援）",(M118+N118+O118)/P118)</f>
        <v>0.715905277390961</v>
      </c>
      <c r="R118" s="15" t="n">
        <f aca="false">IN_sh_V*IN_rg_V</f>
        <v>0</v>
      </c>
    </row>
    <row r="119" customFormat="false" ht="16.5" hidden="false" customHeight="true" outlineLevel="0" collapsed="false">
      <c r="A119" s="1" t="s">
        <v>362</v>
      </c>
      <c r="B119" s="1" t="s">
        <v>326</v>
      </c>
      <c r="C119" s="1" t="n">
        <f aca="false">MAX(0,IN_A-IN_sv_H)</f>
        <v>2</v>
      </c>
      <c r="D119" s="35" t="n">
        <f aca="false">IN_g</f>
        <v>-0.09</v>
      </c>
      <c r="E119" s="35" t="n">
        <f aca="false">IN_gpre</f>
        <v>-0.09</v>
      </c>
      <c r="F119" s="1" t="n">
        <f aca="false">IN_T1</f>
        <v>4</v>
      </c>
      <c r="G119" s="35" t="n">
        <f aca="false">$A$86</f>
        <v>0.7</v>
      </c>
      <c r="H119" s="1" t="n">
        <f aca="false">IN_T</f>
        <v>6</v>
      </c>
      <c r="I119" s="35" t="n">
        <f aca="false">IN_WACC</f>
        <v>0.1</v>
      </c>
      <c r="J119" s="47" t="n">
        <f aca="false">LN(1+D119)</f>
        <v>-0.0943106794712413</v>
      </c>
      <c r="K119" s="47" t="n">
        <f aca="false">LN(1+E119)</f>
        <v>-0.0943106794712413</v>
      </c>
      <c r="L119" s="47" t="n">
        <f aca="false">LN(1+I119)</f>
        <v>0.0953101798043249</v>
      </c>
      <c r="M119" s="47" t="n">
        <f aca="false">IF(C119&gt;0,EXP(-K119*C119)*IF(ABS(K119-L119)&lt;0.000000000001,(C119)-(0),(EXP((K119-L119)*(C119))-EXP((K119-L119)*(0)))/(K119-L119)),0)</f>
        <v>2.00999692560416</v>
      </c>
      <c r="N119" s="47" t="n">
        <f aca="false">EXP(-J119*C119)*IF(ABS(J119-L119)&lt;0.000000000001,(F119)-(C119),(EXP((J119-L119)*(F119))-EXP((J119-L119)*(C119)))/(J119-L119))</f>
        <v>1.37560202817587</v>
      </c>
      <c r="O119" s="47" t="n">
        <f aca="false">G119*EXP(-J119*C119)*IF(ABS(J119-L119)&lt;0.000000000001,(H119)-(F119),(EXP((J119-L119)*(H119))-EXP((J119-L119)*(F119)))/(J119-L119))</f>
        <v>0.659004320390668</v>
      </c>
      <c r="P119" s="47" t="n">
        <f aca="false">IF(ABS(-L119)&lt;0.000000000001,(H119)-(0),(EXP((-L119)*(H119))-EXP((-L119)*(0)))/(-L119))</f>
        <v>4.56956508570619</v>
      </c>
      <c r="Q119" s="47" t="n">
        <f aca="false">IF(C119&gt;F119,"t0&gt;T1（未支援）",(M119+N119+O119)/P119)</f>
        <v>0.885117773422771</v>
      </c>
      <c r="R119" s="15" t="n">
        <f aca="false">IN_sh_H*IN_rg_H</f>
        <v>2.81888551801847</v>
      </c>
    </row>
    <row r="120" customFormat="false" ht="16.5" hidden="false" customHeight="true" outlineLevel="0" collapsed="false">
      <c r="A120" s="1" t="s">
        <v>362</v>
      </c>
      <c r="B120" s="1" t="s">
        <v>327</v>
      </c>
      <c r="C120" s="1" t="n">
        <f aca="false">MAX(0,IN_A-IN_sv_G)</f>
        <v>0.5</v>
      </c>
      <c r="D120" s="35" t="n">
        <f aca="false">IN_g</f>
        <v>-0.09</v>
      </c>
      <c r="E120" s="35" t="n">
        <f aca="false">IN_gpre</f>
        <v>-0.09</v>
      </c>
      <c r="F120" s="1" t="n">
        <f aca="false">IN_T1</f>
        <v>4</v>
      </c>
      <c r="G120" s="35" t="n">
        <f aca="false">$A$86</f>
        <v>0.7</v>
      </c>
      <c r="H120" s="1" t="n">
        <f aca="false">IN_T</f>
        <v>6</v>
      </c>
      <c r="I120" s="35" t="n">
        <f aca="false">IN_WACC</f>
        <v>0.1</v>
      </c>
      <c r="J120" s="47" t="n">
        <f aca="false">LN(1+D120)</f>
        <v>-0.0943106794712413</v>
      </c>
      <c r="K120" s="47" t="n">
        <f aca="false">LN(1+E120)</f>
        <v>-0.0943106794712413</v>
      </c>
      <c r="L120" s="47" t="n">
        <f aca="false">LN(1+I120)</f>
        <v>0.0953101798043249</v>
      </c>
      <c r="M120" s="47" t="n">
        <f aca="false">IF(C120&gt;0,EXP(-K120*C120)*IF(ABS(K120-L120)&lt;0.000000000001,(C120)-(0),(EXP((K120-L120)*(C120))-EXP((K120-L120)*(0)))/(K120-L120)),0)</f>
        <v>0.500062323515398</v>
      </c>
      <c r="N120" s="47" t="n">
        <f aca="false">EXP(-J120*C120)*IF(ABS(J120-L120)&lt;0.000000000001,(F120)-(C120),(EXP((J120-L120)*(F120))-EXP((J120-L120)*(C120)))/(J120-L120))</f>
        <v>2.43892423816575</v>
      </c>
      <c r="O120" s="47" t="n">
        <f aca="false">G120*EXP(-J120*C120)*IF(ABS(J120-L120)&lt;0.000000000001,(H120)-(F120),(EXP((J120-L120)*(H120))-EXP((J120-L120)*(F120)))/(J120-L120))</f>
        <v>0.572071550162649</v>
      </c>
      <c r="P120" s="47" t="n">
        <f aca="false">IF(ABS(-L120)&lt;0.000000000001,(H120)-(0),(EXP((-L120)*(H120))-EXP((-L120)*(0)))/(-L120))</f>
        <v>4.56956508570619</v>
      </c>
      <c r="Q120" s="47" t="n">
        <f aca="false">IF(C120&gt;F120,"t0&gt;T1（未支援）",(M120+N120+O120)/P120)</f>
        <v>0.768357173164366</v>
      </c>
      <c r="R120" s="15" t="n">
        <f aca="false">IN_sh_G*IN_rg_G</f>
        <v>9.24654168303684</v>
      </c>
    </row>
    <row r="121" customFormat="false" ht="16.5" hidden="false" customHeight="true" outlineLevel="0" collapsed="false">
      <c r="A121" s="1" t="s">
        <v>362</v>
      </c>
      <c r="B121" s="1" t="s">
        <v>328</v>
      </c>
      <c r="C121" s="1" t="n">
        <f aca="false">MAX(0,IN_A-IN_sv_3)</f>
        <v>0</v>
      </c>
      <c r="D121" s="35" t="n">
        <f aca="false">IN_g</f>
        <v>-0.09</v>
      </c>
      <c r="E121" s="35" t="n">
        <f aca="false">IN_gpre</f>
        <v>-0.09</v>
      </c>
      <c r="F121" s="1" t="n">
        <f aca="false">IN_T1</f>
        <v>4</v>
      </c>
      <c r="G121" s="35" t="n">
        <f aca="false">$A$86</f>
        <v>0.7</v>
      </c>
      <c r="H121" s="1" t="n">
        <f aca="false">IN_T</f>
        <v>6</v>
      </c>
      <c r="I121" s="35" t="n">
        <f aca="false">IN_WACC</f>
        <v>0.1</v>
      </c>
      <c r="J121" s="47" t="n">
        <f aca="false">LN(1+D121)</f>
        <v>-0.0943106794712413</v>
      </c>
      <c r="K121" s="47" t="n">
        <f aca="false">LN(1+E121)</f>
        <v>-0.0943106794712413</v>
      </c>
      <c r="L121" s="47" t="n">
        <f aca="false">LN(1+I121)</f>
        <v>0.0953101798043249</v>
      </c>
      <c r="M121" s="47" t="n">
        <f aca="false">IF(C121&gt;0,EXP(-K121*C121)*IF(ABS(K121-L121)&lt;0.000000000001,(C121)-(0),(EXP((K121-L121)*(C121))-EXP((K121-L121)*(0)))/(K121-L121)),0)</f>
        <v>0</v>
      </c>
      <c r="N121" s="47" t="n">
        <f aca="false">EXP(-J121*C121)*IF(ABS(J121-L121)&lt;0.000000000001,(F121)-(C121),(EXP((J121-L121)*(F121))-EXP((J121-L121)*(C121)))/(J121-L121))</f>
        <v>2.80361449362525</v>
      </c>
      <c r="O121" s="47" t="n">
        <f aca="false">G121*EXP(-J121*C121)*IF(ABS(J121-L121)&lt;0.000000000001,(H121)-(F121),(EXP((J121-L121)*(H121))-EXP((J121-L121)*(F121)))/(J121-L121))</f>
        <v>0.545721477715512</v>
      </c>
      <c r="P121" s="47" t="n">
        <f aca="false">IF(ABS(-L121)&lt;0.000000000001,(H121)-(0),(EXP((-L121)*(H121))-EXP((-L121)*(0)))/(-L121))</f>
        <v>4.56956508570619</v>
      </c>
      <c r="Q121" s="47" t="n">
        <f aca="false">IF(C121&gt;F121,"t0&gt;T1（未支援）",(M121+N121+O121)/P121)</f>
        <v>0.732966028171397</v>
      </c>
      <c r="R121" s="15" t="n">
        <f aca="false">IN_sh_3*IN_rg_3</f>
        <v>0</v>
      </c>
    </row>
    <row r="122" customFormat="false" ht="16.5" hidden="false" customHeight="true" outlineLevel="0" collapsed="false">
      <c r="A122" s="1" t="s">
        <v>362</v>
      </c>
      <c r="B122" s="1" t="s">
        <v>329</v>
      </c>
      <c r="C122" s="1" t="n">
        <f aca="false">MAX(0,IN_A-IN_sv_V)</f>
        <v>0</v>
      </c>
      <c r="D122" s="35" t="n">
        <f aca="false">IN_g</f>
        <v>-0.09</v>
      </c>
      <c r="E122" s="35" t="n">
        <f aca="false">IN_gpre</f>
        <v>-0.09</v>
      </c>
      <c r="F122" s="1" t="n">
        <f aca="false">IN_T1</f>
        <v>4</v>
      </c>
      <c r="G122" s="35" t="n">
        <f aca="false">$A$86</f>
        <v>0.7</v>
      </c>
      <c r="H122" s="1" t="n">
        <f aca="false">IN_T</f>
        <v>6</v>
      </c>
      <c r="I122" s="35" t="n">
        <f aca="false">IN_WACC</f>
        <v>0.1</v>
      </c>
      <c r="J122" s="47" t="n">
        <f aca="false">LN(1+D122)</f>
        <v>-0.0943106794712413</v>
      </c>
      <c r="K122" s="47" t="n">
        <f aca="false">LN(1+E122)</f>
        <v>-0.0943106794712413</v>
      </c>
      <c r="L122" s="47" t="n">
        <f aca="false">LN(1+I122)</f>
        <v>0.0953101798043249</v>
      </c>
      <c r="M122" s="47" t="n">
        <f aca="false">IF(C122&gt;0,EXP(-K122*C122)*IF(ABS(K122-L122)&lt;0.000000000001,(C122)-(0),(EXP((K122-L122)*(C122))-EXP((K122-L122)*(0)))/(K122-L122)),0)</f>
        <v>0</v>
      </c>
      <c r="N122" s="47" t="n">
        <f aca="false">EXP(-J122*C122)*IF(ABS(J122-L122)&lt;0.000000000001,(F122)-(C122),(EXP((J122-L122)*(F122))-EXP((J122-L122)*(C122)))/(J122-L122))</f>
        <v>2.80361449362525</v>
      </c>
      <c r="O122" s="47" t="n">
        <f aca="false">G122*EXP(-J122*C122)*IF(ABS(J122-L122)&lt;0.000000000001,(H122)-(F122),(EXP((J122-L122)*(H122))-EXP((J122-L122)*(F122)))/(J122-L122))</f>
        <v>0.545721477715512</v>
      </c>
      <c r="P122" s="47" t="n">
        <f aca="false">IF(ABS(-L122)&lt;0.000000000001,(H122)-(0),(EXP((-L122)*(H122))-EXP((-L122)*(0)))/(-L122))</f>
        <v>4.56956508570619</v>
      </c>
      <c r="Q122" s="47" t="n">
        <f aca="false">IF(C122&gt;F122,"t0&gt;T1（未支援）",(M122+N122+O122)/P122)</f>
        <v>0.732966028171397</v>
      </c>
      <c r="R122" s="15" t="n">
        <f aca="false">IN_sh_V*IN_rg_V</f>
        <v>0</v>
      </c>
    </row>
    <row r="123" customFormat="false" ht="16.5" hidden="false" customHeight="true" outlineLevel="0" collapsed="false">
      <c r="A123" s="1" t="s">
        <v>363</v>
      </c>
      <c r="B123" s="1" t="s">
        <v>326</v>
      </c>
      <c r="C123" s="1" t="n">
        <f aca="false">MAX(0,IN_A-IN_sv_H)</f>
        <v>2</v>
      </c>
      <c r="D123" s="35" t="n">
        <f aca="false">IN_g</f>
        <v>-0.09</v>
      </c>
      <c r="E123" s="35" t="n">
        <f aca="false">IN_gpre</f>
        <v>-0.09</v>
      </c>
      <c r="F123" s="1" t="n">
        <f aca="false">IN_T1</f>
        <v>4</v>
      </c>
      <c r="G123" s="35" t="n">
        <f aca="false">$A$87</f>
        <v>0.8</v>
      </c>
      <c r="H123" s="1" t="n">
        <f aca="false">IN_T</f>
        <v>6</v>
      </c>
      <c r="I123" s="35" t="n">
        <f aca="false">IN_WACC</f>
        <v>0.1</v>
      </c>
      <c r="J123" s="47" t="n">
        <f aca="false">LN(1+D123)</f>
        <v>-0.0943106794712413</v>
      </c>
      <c r="K123" s="47" t="n">
        <f aca="false">LN(1+E123)</f>
        <v>-0.0943106794712413</v>
      </c>
      <c r="L123" s="47" t="n">
        <f aca="false">LN(1+I123)</f>
        <v>0.0953101798043249</v>
      </c>
      <c r="M123" s="47" t="n">
        <f aca="false">IF(C123&gt;0,EXP(-K123*C123)*IF(ABS(K123-L123)&lt;0.000000000001,(C123)-(0),(EXP((K123-L123)*(C123))-EXP((K123-L123)*(0)))/(K123-L123)),0)</f>
        <v>2.00999692560416</v>
      </c>
      <c r="N123" s="47" t="n">
        <f aca="false">EXP(-J123*C123)*IF(ABS(J123-L123)&lt;0.000000000001,(F123)-(C123),(EXP((J123-L123)*(F123))-EXP((J123-L123)*(C123)))/(J123-L123))</f>
        <v>1.37560202817587</v>
      </c>
      <c r="O123" s="47" t="n">
        <f aca="false">G123*EXP(-J123*C123)*IF(ABS(J123-L123)&lt;0.000000000001,(H123)-(F123),(EXP((J123-L123)*(H123))-EXP((J123-L123)*(F123)))/(J123-L123))</f>
        <v>0.753147794732192</v>
      </c>
      <c r="P123" s="47" t="n">
        <f aca="false">IF(ABS(-L123)&lt;0.000000000001,(H123)-(0),(EXP((-L123)*(H123))-EXP((-L123)*(0)))/(-L123))</f>
        <v>4.56956508570619</v>
      </c>
      <c r="Q123" s="47" t="n">
        <f aca="false">IF(C123&gt;F123,"t0&gt;T1（未支援）",(M123+N123+O123)/P123)</f>
        <v>0.905720056698265</v>
      </c>
      <c r="R123" s="15" t="n">
        <f aca="false">IN_sh_H*IN_rg_H</f>
        <v>2.81888551801847</v>
      </c>
    </row>
    <row r="124" customFormat="false" ht="16.5" hidden="false" customHeight="true" outlineLevel="0" collapsed="false">
      <c r="A124" s="1" t="s">
        <v>363</v>
      </c>
      <c r="B124" s="1" t="s">
        <v>327</v>
      </c>
      <c r="C124" s="1" t="n">
        <f aca="false">MAX(0,IN_A-IN_sv_G)</f>
        <v>0.5</v>
      </c>
      <c r="D124" s="35" t="n">
        <f aca="false">IN_g</f>
        <v>-0.09</v>
      </c>
      <c r="E124" s="35" t="n">
        <f aca="false">IN_gpre</f>
        <v>-0.09</v>
      </c>
      <c r="F124" s="1" t="n">
        <f aca="false">IN_T1</f>
        <v>4</v>
      </c>
      <c r="G124" s="35" t="n">
        <f aca="false">$A$87</f>
        <v>0.8</v>
      </c>
      <c r="H124" s="1" t="n">
        <f aca="false">IN_T</f>
        <v>6</v>
      </c>
      <c r="I124" s="35" t="n">
        <f aca="false">IN_WACC</f>
        <v>0.1</v>
      </c>
      <c r="J124" s="47" t="n">
        <f aca="false">LN(1+D124)</f>
        <v>-0.0943106794712413</v>
      </c>
      <c r="K124" s="47" t="n">
        <f aca="false">LN(1+E124)</f>
        <v>-0.0943106794712413</v>
      </c>
      <c r="L124" s="47" t="n">
        <f aca="false">LN(1+I124)</f>
        <v>0.0953101798043249</v>
      </c>
      <c r="M124" s="47" t="n">
        <f aca="false">IF(C124&gt;0,EXP(-K124*C124)*IF(ABS(K124-L124)&lt;0.000000000001,(C124)-(0),(EXP((K124-L124)*(C124))-EXP((K124-L124)*(0)))/(K124-L124)),0)</f>
        <v>0.500062323515398</v>
      </c>
      <c r="N124" s="47" t="n">
        <f aca="false">EXP(-J124*C124)*IF(ABS(J124-L124)&lt;0.000000000001,(F124)-(C124),(EXP((J124-L124)*(F124))-EXP((J124-L124)*(C124)))/(J124-L124))</f>
        <v>2.43892423816575</v>
      </c>
      <c r="O124" s="47" t="n">
        <f aca="false">G124*EXP(-J124*C124)*IF(ABS(J124-L124)&lt;0.000000000001,(H124)-(F124),(EXP((J124-L124)*(H124))-EXP((J124-L124)*(F124)))/(J124-L124))</f>
        <v>0.653796057328742</v>
      </c>
      <c r="P124" s="47" t="n">
        <f aca="false">IF(ABS(-L124)&lt;0.000000000001,(H124)-(0),(EXP((-L124)*(H124))-EXP((-L124)*(0)))/(-L124))</f>
        <v>4.56956508570619</v>
      </c>
      <c r="Q124" s="47" t="n">
        <f aca="false">IF(C124&gt;F124,"t0&gt;T1（未支援）",(M124+N124+O124)/P124)</f>
        <v>0.786241699510589</v>
      </c>
      <c r="R124" s="15" t="n">
        <f aca="false">IN_sh_G*IN_rg_G</f>
        <v>9.24654168303684</v>
      </c>
    </row>
    <row r="125" customFormat="false" ht="16.5" hidden="false" customHeight="true" outlineLevel="0" collapsed="false">
      <c r="A125" s="1" t="s">
        <v>363</v>
      </c>
      <c r="B125" s="1" t="s">
        <v>328</v>
      </c>
      <c r="C125" s="1" t="n">
        <f aca="false">MAX(0,IN_A-IN_sv_3)</f>
        <v>0</v>
      </c>
      <c r="D125" s="35" t="n">
        <f aca="false">IN_g</f>
        <v>-0.09</v>
      </c>
      <c r="E125" s="35" t="n">
        <f aca="false">IN_gpre</f>
        <v>-0.09</v>
      </c>
      <c r="F125" s="1" t="n">
        <f aca="false">IN_T1</f>
        <v>4</v>
      </c>
      <c r="G125" s="35" t="n">
        <f aca="false">$A$87</f>
        <v>0.8</v>
      </c>
      <c r="H125" s="1" t="n">
        <f aca="false">IN_T</f>
        <v>6</v>
      </c>
      <c r="I125" s="35" t="n">
        <f aca="false">IN_WACC</f>
        <v>0.1</v>
      </c>
      <c r="J125" s="47" t="n">
        <f aca="false">LN(1+D125)</f>
        <v>-0.0943106794712413</v>
      </c>
      <c r="K125" s="47" t="n">
        <f aca="false">LN(1+E125)</f>
        <v>-0.0943106794712413</v>
      </c>
      <c r="L125" s="47" t="n">
        <f aca="false">LN(1+I125)</f>
        <v>0.0953101798043249</v>
      </c>
      <c r="M125" s="47" t="n">
        <f aca="false">IF(C125&gt;0,EXP(-K125*C125)*IF(ABS(K125-L125)&lt;0.000000000001,(C125)-(0),(EXP((K125-L125)*(C125))-EXP((K125-L125)*(0)))/(K125-L125)),0)</f>
        <v>0</v>
      </c>
      <c r="N125" s="47" t="n">
        <f aca="false">EXP(-J125*C125)*IF(ABS(J125-L125)&lt;0.000000000001,(F125)-(C125),(EXP((J125-L125)*(F125))-EXP((J125-L125)*(C125)))/(J125-L125))</f>
        <v>2.80361449362525</v>
      </c>
      <c r="O125" s="47" t="n">
        <f aca="false">G125*EXP(-J125*C125)*IF(ABS(J125-L125)&lt;0.000000000001,(H125)-(F125),(EXP((J125-L125)*(H125))-EXP((J125-L125)*(F125)))/(J125-L125))</f>
        <v>0.623681688817728</v>
      </c>
      <c r="P125" s="47" t="n">
        <f aca="false">IF(ABS(-L125)&lt;0.000000000001,(H125)-(0),(EXP((-L125)*(H125))-EXP((-L125)*(0)))/(-L125))</f>
        <v>4.56956508570619</v>
      </c>
      <c r="Q125" s="47" t="n">
        <f aca="false">IF(C125&gt;F125,"t0&gt;T1（未支援）",(M125+N125+O125)/P125)</f>
        <v>0.750026778951833</v>
      </c>
      <c r="R125" s="15" t="n">
        <f aca="false">IN_sh_3*IN_rg_3</f>
        <v>0</v>
      </c>
    </row>
    <row r="126" customFormat="false" ht="16.5" hidden="false" customHeight="true" outlineLevel="0" collapsed="false">
      <c r="A126" s="1" t="s">
        <v>363</v>
      </c>
      <c r="B126" s="1" t="s">
        <v>329</v>
      </c>
      <c r="C126" s="1" t="n">
        <f aca="false">MAX(0,IN_A-IN_sv_V)</f>
        <v>0</v>
      </c>
      <c r="D126" s="35" t="n">
        <f aca="false">IN_g</f>
        <v>-0.09</v>
      </c>
      <c r="E126" s="35" t="n">
        <f aca="false">IN_gpre</f>
        <v>-0.09</v>
      </c>
      <c r="F126" s="1" t="n">
        <f aca="false">IN_T1</f>
        <v>4</v>
      </c>
      <c r="G126" s="35" t="n">
        <f aca="false">$A$87</f>
        <v>0.8</v>
      </c>
      <c r="H126" s="1" t="n">
        <f aca="false">IN_T</f>
        <v>6</v>
      </c>
      <c r="I126" s="35" t="n">
        <f aca="false">IN_WACC</f>
        <v>0.1</v>
      </c>
      <c r="J126" s="47" t="n">
        <f aca="false">LN(1+D126)</f>
        <v>-0.0943106794712413</v>
      </c>
      <c r="K126" s="47" t="n">
        <f aca="false">LN(1+E126)</f>
        <v>-0.0943106794712413</v>
      </c>
      <c r="L126" s="47" t="n">
        <f aca="false">LN(1+I126)</f>
        <v>0.0953101798043249</v>
      </c>
      <c r="M126" s="47" t="n">
        <f aca="false">IF(C126&gt;0,EXP(-K126*C126)*IF(ABS(K126-L126)&lt;0.000000000001,(C126)-(0),(EXP((K126-L126)*(C126))-EXP((K126-L126)*(0)))/(K126-L126)),0)</f>
        <v>0</v>
      </c>
      <c r="N126" s="47" t="n">
        <f aca="false">EXP(-J126*C126)*IF(ABS(J126-L126)&lt;0.000000000001,(F126)-(C126),(EXP((J126-L126)*(F126))-EXP((J126-L126)*(C126)))/(J126-L126))</f>
        <v>2.80361449362525</v>
      </c>
      <c r="O126" s="47" t="n">
        <f aca="false">G126*EXP(-J126*C126)*IF(ABS(J126-L126)&lt;0.000000000001,(H126)-(F126),(EXP((J126-L126)*(H126))-EXP((J126-L126)*(F126)))/(J126-L126))</f>
        <v>0.623681688817728</v>
      </c>
      <c r="P126" s="47" t="n">
        <f aca="false">IF(ABS(-L126)&lt;0.000000000001,(H126)-(0),(EXP((-L126)*(H126))-EXP((-L126)*(0)))/(-L126))</f>
        <v>4.56956508570619</v>
      </c>
      <c r="Q126" s="47" t="n">
        <f aca="false">IF(C126&gt;F126,"t0&gt;T1（未支援）",(M126+N126+O126)/P126)</f>
        <v>0.750026778951833</v>
      </c>
      <c r="R126" s="15" t="n">
        <f aca="false">IN_sh_V*IN_rg_V</f>
        <v>0</v>
      </c>
    </row>
    <row r="127" customFormat="false" ht="16.5" hidden="false" customHeight="true" outlineLevel="0" collapsed="false">
      <c r="A127" s="1" t="s">
        <v>364</v>
      </c>
      <c r="B127" s="1" t="s">
        <v>326</v>
      </c>
      <c r="C127" s="1" t="n">
        <f aca="false">MAX(0,IN_A-IN_sv_H)</f>
        <v>2</v>
      </c>
      <c r="D127" s="35" t="n">
        <f aca="false">IN_g</f>
        <v>-0.09</v>
      </c>
      <c r="E127" s="35" t="n">
        <f aca="false">IN_gpre</f>
        <v>-0.09</v>
      </c>
      <c r="F127" s="1" t="n">
        <f aca="false">IN_T1</f>
        <v>4</v>
      </c>
      <c r="G127" s="35" t="n">
        <f aca="false">$A$88</f>
        <v>0.9</v>
      </c>
      <c r="H127" s="1" t="n">
        <f aca="false">IN_T</f>
        <v>6</v>
      </c>
      <c r="I127" s="35" t="n">
        <f aca="false">IN_WACC</f>
        <v>0.1</v>
      </c>
      <c r="J127" s="47" t="n">
        <f aca="false">LN(1+D127)</f>
        <v>-0.0943106794712413</v>
      </c>
      <c r="K127" s="47" t="n">
        <f aca="false">LN(1+E127)</f>
        <v>-0.0943106794712413</v>
      </c>
      <c r="L127" s="47" t="n">
        <f aca="false">LN(1+I127)</f>
        <v>0.0953101798043249</v>
      </c>
      <c r="M127" s="47" t="n">
        <f aca="false">IF(C127&gt;0,EXP(-K127*C127)*IF(ABS(K127-L127)&lt;0.000000000001,(C127)-(0),(EXP((K127-L127)*(C127))-EXP((K127-L127)*(0)))/(K127-L127)),0)</f>
        <v>2.00999692560416</v>
      </c>
      <c r="N127" s="47" t="n">
        <f aca="false">EXP(-J127*C127)*IF(ABS(J127-L127)&lt;0.000000000001,(F127)-(C127),(EXP((J127-L127)*(F127))-EXP((J127-L127)*(C127)))/(J127-L127))</f>
        <v>1.37560202817587</v>
      </c>
      <c r="O127" s="47" t="n">
        <f aca="false">G127*EXP(-J127*C127)*IF(ABS(J127-L127)&lt;0.000000000001,(H127)-(F127),(EXP((J127-L127)*(H127))-EXP((J127-L127)*(F127)))/(J127-L127))</f>
        <v>0.847291269073715</v>
      </c>
      <c r="P127" s="47" t="n">
        <f aca="false">IF(ABS(-L127)&lt;0.000000000001,(H127)-(0),(EXP((-L127)*(H127))-EXP((-L127)*(0)))/(-L127))</f>
        <v>4.56956508570619</v>
      </c>
      <c r="Q127" s="47" t="n">
        <f aca="false">IF(C127&gt;F127,"t0&gt;T1（未支援）",(M127+N127+O127)/P127)</f>
        <v>0.926322339973758</v>
      </c>
      <c r="R127" s="15" t="n">
        <f aca="false">IN_sh_H*IN_rg_H</f>
        <v>2.81888551801847</v>
      </c>
    </row>
    <row r="128" customFormat="false" ht="16.5" hidden="false" customHeight="true" outlineLevel="0" collapsed="false">
      <c r="A128" s="1" t="s">
        <v>364</v>
      </c>
      <c r="B128" s="1" t="s">
        <v>327</v>
      </c>
      <c r="C128" s="1" t="n">
        <f aca="false">MAX(0,IN_A-IN_sv_G)</f>
        <v>0.5</v>
      </c>
      <c r="D128" s="35" t="n">
        <f aca="false">IN_g</f>
        <v>-0.09</v>
      </c>
      <c r="E128" s="35" t="n">
        <f aca="false">IN_gpre</f>
        <v>-0.09</v>
      </c>
      <c r="F128" s="1" t="n">
        <f aca="false">IN_T1</f>
        <v>4</v>
      </c>
      <c r="G128" s="35" t="n">
        <f aca="false">$A$88</f>
        <v>0.9</v>
      </c>
      <c r="H128" s="1" t="n">
        <f aca="false">IN_T</f>
        <v>6</v>
      </c>
      <c r="I128" s="35" t="n">
        <f aca="false">IN_WACC</f>
        <v>0.1</v>
      </c>
      <c r="J128" s="47" t="n">
        <f aca="false">LN(1+D128)</f>
        <v>-0.0943106794712413</v>
      </c>
      <c r="K128" s="47" t="n">
        <f aca="false">LN(1+E128)</f>
        <v>-0.0943106794712413</v>
      </c>
      <c r="L128" s="47" t="n">
        <f aca="false">LN(1+I128)</f>
        <v>0.0953101798043249</v>
      </c>
      <c r="M128" s="47" t="n">
        <f aca="false">IF(C128&gt;0,EXP(-K128*C128)*IF(ABS(K128-L128)&lt;0.000000000001,(C128)-(0),(EXP((K128-L128)*(C128))-EXP((K128-L128)*(0)))/(K128-L128)),0)</f>
        <v>0.500062323515398</v>
      </c>
      <c r="N128" s="47" t="n">
        <f aca="false">EXP(-J128*C128)*IF(ABS(J128-L128)&lt;0.000000000001,(F128)-(C128),(EXP((J128-L128)*(F128))-EXP((J128-L128)*(C128)))/(J128-L128))</f>
        <v>2.43892423816575</v>
      </c>
      <c r="O128" s="47" t="n">
        <f aca="false">G128*EXP(-J128*C128)*IF(ABS(J128-L128)&lt;0.000000000001,(H128)-(F128),(EXP((J128-L128)*(H128))-EXP((J128-L128)*(F128)))/(J128-L128))</f>
        <v>0.735520564494835</v>
      </c>
      <c r="P128" s="47" t="n">
        <f aca="false">IF(ABS(-L128)&lt;0.000000000001,(H128)-(0),(EXP((-L128)*(H128))-EXP((-L128)*(0)))/(-L128))</f>
        <v>4.56956508570619</v>
      </c>
      <c r="Q128" s="47" t="n">
        <f aca="false">IF(C128&gt;F128,"t0&gt;T1（未支援）",(M128+N128+O128)/P128)</f>
        <v>0.804126225856812</v>
      </c>
      <c r="R128" s="15" t="n">
        <f aca="false">IN_sh_G*IN_rg_G</f>
        <v>9.24654168303684</v>
      </c>
    </row>
    <row r="129" customFormat="false" ht="16.5" hidden="false" customHeight="true" outlineLevel="0" collapsed="false">
      <c r="A129" s="1" t="s">
        <v>364</v>
      </c>
      <c r="B129" s="1" t="s">
        <v>328</v>
      </c>
      <c r="C129" s="1" t="n">
        <f aca="false">MAX(0,IN_A-IN_sv_3)</f>
        <v>0</v>
      </c>
      <c r="D129" s="35" t="n">
        <f aca="false">IN_g</f>
        <v>-0.09</v>
      </c>
      <c r="E129" s="35" t="n">
        <f aca="false">IN_gpre</f>
        <v>-0.09</v>
      </c>
      <c r="F129" s="1" t="n">
        <f aca="false">IN_T1</f>
        <v>4</v>
      </c>
      <c r="G129" s="35" t="n">
        <f aca="false">$A$88</f>
        <v>0.9</v>
      </c>
      <c r="H129" s="1" t="n">
        <f aca="false">IN_T</f>
        <v>6</v>
      </c>
      <c r="I129" s="35" t="n">
        <f aca="false">IN_WACC</f>
        <v>0.1</v>
      </c>
      <c r="J129" s="47" t="n">
        <f aca="false">LN(1+D129)</f>
        <v>-0.0943106794712413</v>
      </c>
      <c r="K129" s="47" t="n">
        <f aca="false">LN(1+E129)</f>
        <v>-0.0943106794712413</v>
      </c>
      <c r="L129" s="47" t="n">
        <f aca="false">LN(1+I129)</f>
        <v>0.0953101798043249</v>
      </c>
      <c r="M129" s="47" t="n">
        <f aca="false">IF(C129&gt;0,EXP(-K129*C129)*IF(ABS(K129-L129)&lt;0.000000000001,(C129)-(0),(EXP((K129-L129)*(C129))-EXP((K129-L129)*(0)))/(K129-L129)),0)</f>
        <v>0</v>
      </c>
      <c r="N129" s="47" t="n">
        <f aca="false">EXP(-J129*C129)*IF(ABS(J129-L129)&lt;0.000000000001,(F129)-(C129),(EXP((J129-L129)*(F129))-EXP((J129-L129)*(C129)))/(J129-L129))</f>
        <v>2.80361449362525</v>
      </c>
      <c r="O129" s="47" t="n">
        <f aca="false">G129*EXP(-J129*C129)*IF(ABS(J129-L129)&lt;0.000000000001,(H129)-(F129),(EXP((J129-L129)*(H129))-EXP((J129-L129)*(F129)))/(J129-L129))</f>
        <v>0.701641899919944</v>
      </c>
      <c r="P129" s="47" t="n">
        <f aca="false">IF(ABS(-L129)&lt;0.000000000001,(H129)-(0),(EXP((-L129)*(H129))-EXP((-L129)*(0)))/(-L129))</f>
        <v>4.56956508570619</v>
      </c>
      <c r="Q129" s="47" t="n">
        <f aca="false">IF(C129&gt;F129,"t0&gt;T1（未支援）",(M129+N129+O129)/P129)</f>
        <v>0.767087529732269</v>
      </c>
      <c r="R129" s="15" t="n">
        <f aca="false">IN_sh_3*IN_rg_3</f>
        <v>0</v>
      </c>
    </row>
    <row r="130" customFormat="false" ht="16.5" hidden="false" customHeight="true" outlineLevel="0" collapsed="false">
      <c r="A130" s="1" t="s">
        <v>364</v>
      </c>
      <c r="B130" s="1" t="s">
        <v>329</v>
      </c>
      <c r="C130" s="1" t="n">
        <f aca="false">MAX(0,IN_A-IN_sv_V)</f>
        <v>0</v>
      </c>
      <c r="D130" s="35" t="n">
        <f aca="false">IN_g</f>
        <v>-0.09</v>
      </c>
      <c r="E130" s="35" t="n">
        <f aca="false">IN_gpre</f>
        <v>-0.09</v>
      </c>
      <c r="F130" s="1" t="n">
        <f aca="false">IN_T1</f>
        <v>4</v>
      </c>
      <c r="G130" s="35" t="n">
        <f aca="false">$A$88</f>
        <v>0.9</v>
      </c>
      <c r="H130" s="1" t="n">
        <f aca="false">IN_T</f>
        <v>6</v>
      </c>
      <c r="I130" s="35" t="n">
        <f aca="false">IN_WACC</f>
        <v>0.1</v>
      </c>
      <c r="J130" s="47" t="n">
        <f aca="false">LN(1+D130)</f>
        <v>-0.0943106794712413</v>
      </c>
      <c r="K130" s="47" t="n">
        <f aca="false">LN(1+E130)</f>
        <v>-0.0943106794712413</v>
      </c>
      <c r="L130" s="47" t="n">
        <f aca="false">LN(1+I130)</f>
        <v>0.0953101798043249</v>
      </c>
      <c r="M130" s="47" t="n">
        <f aca="false">IF(C130&gt;0,EXP(-K130*C130)*IF(ABS(K130-L130)&lt;0.000000000001,(C130)-(0),(EXP((K130-L130)*(C130))-EXP((K130-L130)*(0)))/(K130-L130)),0)</f>
        <v>0</v>
      </c>
      <c r="N130" s="47" t="n">
        <f aca="false">EXP(-J130*C130)*IF(ABS(J130-L130)&lt;0.000000000001,(F130)-(C130),(EXP((J130-L130)*(F130))-EXP((J130-L130)*(C130)))/(J130-L130))</f>
        <v>2.80361449362525</v>
      </c>
      <c r="O130" s="47" t="n">
        <f aca="false">G130*EXP(-J130*C130)*IF(ABS(J130-L130)&lt;0.000000000001,(H130)-(F130),(EXP((J130-L130)*(H130))-EXP((J130-L130)*(F130)))/(J130-L130))</f>
        <v>0.701641899919944</v>
      </c>
      <c r="P130" s="47" t="n">
        <f aca="false">IF(ABS(-L130)&lt;0.000000000001,(H130)-(0),(EXP((-L130)*(H130))-EXP((-L130)*(0)))/(-L130))</f>
        <v>4.56956508570619</v>
      </c>
      <c r="Q130" s="47" t="n">
        <f aca="false">IF(C130&gt;F130,"t0&gt;T1（未支援）",(M130+N130+O130)/P130)</f>
        <v>0.767087529732269</v>
      </c>
      <c r="R130" s="15" t="n">
        <f aca="false">IN_sh_V*IN_rg_V</f>
        <v>0</v>
      </c>
    </row>
    <row r="131" customFormat="false" ht="16.5" hidden="false" customHeight="true" outlineLevel="0" collapsed="false">
      <c r="A131" s="1" t="s">
        <v>365</v>
      </c>
      <c r="B131" s="1" t="s">
        <v>326</v>
      </c>
      <c r="C131" s="1" t="n">
        <f aca="false">MAX(0,IN_A-IN_sv_H)</f>
        <v>2</v>
      </c>
      <c r="D131" s="35" t="n">
        <f aca="false">IN_g</f>
        <v>-0.09</v>
      </c>
      <c r="E131" s="35" t="n">
        <f aca="false">IN_gpre</f>
        <v>-0.09</v>
      </c>
      <c r="F131" s="1" t="n">
        <f aca="false">IN_T1</f>
        <v>4</v>
      </c>
      <c r="G131" s="35" t="n">
        <f aca="false">$A$89</f>
        <v>1</v>
      </c>
      <c r="H131" s="1" t="n">
        <f aca="false">IN_T</f>
        <v>6</v>
      </c>
      <c r="I131" s="35" t="n">
        <f aca="false">IN_WACC</f>
        <v>0.1</v>
      </c>
      <c r="J131" s="47" t="n">
        <f aca="false">LN(1+D131)</f>
        <v>-0.0943106794712413</v>
      </c>
      <c r="K131" s="47" t="n">
        <f aca="false">LN(1+E131)</f>
        <v>-0.0943106794712413</v>
      </c>
      <c r="L131" s="47" t="n">
        <f aca="false">LN(1+I131)</f>
        <v>0.0953101798043249</v>
      </c>
      <c r="M131" s="47" t="n">
        <f aca="false">IF(C131&gt;0,EXP(-K131*C131)*IF(ABS(K131-L131)&lt;0.000000000001,(C131)-(0),(EXP((K131-L131)*(C131))-EXP((K131-L131)*(0)))/(K131-L131)),0)</f>
        <v>2.00999692560416</v>
      </c>
      <c r="N131" s="47" t="n">
        <f aca="false">EXP(-J131*C131)*IF(ABS(J131-L131)&lt;0.000000000001,(F131)-(C131),(EXP((J131-L131)*(F131))-EXP((J131-L131)*(C131)))/(J131-L131))</f>
        <v>1.37560202817587</v>
      </c>
      <c r="O131" s="47" t="n">
        <f aca="false">G131*EXP(-J131*C131)*IF(ABS(J131-L131)&lt;0.000000000001,(H131)-(F131),(EXP((J131-L131)*(H131))-EXP((J131-L131)*(F131)))/(J131-L131))</f>
        <v>0.941434743415239</v>
      </c>
      <c r="P131" s="47" t="n">
        <f aca="false">IF(ABS(-L131)&lt;0.000000000001,(H131)-(0),(EXP((-L131)*(H131))-EXP((-L131)*(0)))/(-L131))</f>
        <v>4.56956508570619</v>
      </c>
      <c r="Q131" s="47" t="n">
        <f aca="false">IF(C131&gt;F131,"t0&gt;T1（未支援）",(M131+N131+O131)/P131)</f>
        <v>0.946924623249252</v>
      </c>
      <c r="R131" s="15" t="n">
        <f aca="false">IN_sh_H*IN_rg_H</f>
        <v>2.81888551801847</v>
      </c>
    </row>
    <row r="132" customFormat="false" ht="16.5" hidden="false" customHeight="true" outlineLevel="0" collapsed="false">
      <c r="A132" s="1" t="s">
        <v>365</v>
      </c>
      <c r="B132" s="1" t="s">
        <v>327</v>
      </c>
      <c r="C132" s="1" t="n">
        <f aca="false">MAX(0,IN_A-IN_sv_G)</f>
        <v>0.5</v>
      </c>
      <c r="D132" s="35" t="n">
        <f aca="false">IN_g</f>
        <v>-0.09</v>
      </c>
      <c r="E132" s="35" t="n">
        <f aca="false">IN_gpre</f>
        <v>-0.09</v>
      </c>
      <c r="F132" s="1" t="n">
        <f aca="false">IN_T1</f>
        <v>4</v>
      </c>
      <c r="G132" s="35" t="n">
        <f aca="false">$A$89</f>
        <v>1</v>
      </c>
      <c r="H132" s="1" t="n">
        <f aca="false">IN_T</f>
        <v>6</v>
      </c>
      <c r="I132" s="35" t="n">
        <f aca="false">IN_WACC</f>
        <v>0.1</v>
      </c>
      <c r="J132" s="47" t="n">
        <f aca="false">LN(1+D132)</f>
        <v>-0.0943106794712413</v>
      </c>
      <c r="K132" s="47" t="n">
        <f aca="false">LN(1+E132)</f>
        <v>-0.0943106794712413</v>
      </c>
      <c r="L132" s="47" t="n">
        <f aca="false">LN(1+I132)</f>
        <v>0.0953101798043249</v>
      </c>
      <c r="M132" s="47" t="n">
        <f aca="false">IF(C132&gt;0,EXP(-K132*C132)*IF(ABS(K132-L132)&lt;0.000000000001,(C132)-(0),(EXP((K132-L132)*(C132))-EXP((K132-L132)*(0)))/(K132-L132)),0)</f>
        <v>0.500062323515398</v>
      </c>
      <c r="N132" s="47" t="n">
        <f aca="false">EXP(-J132*C132)*IF(ABS(J132-L132)&lt;0.000000000001,(F132)-(C132),(EXP((J132-L132)*(F132))-EXP((J132-L132)*(C132)))/(J132-L132))</f>
        <v>2.43892423816575</v>
      </c>
      <c r="O132" s="47" t="n">
        <f aca="false">G132*EXP(-J132*C132)*IF(ABS(J132-L132)&lt;0.000000000001,(H132)-(F132),(EXP((J132-L132)*(H132))-EXP((J132-L132)*(F132)))/(J132-L132))</f>
        <v>0.817245071660928</v>
      </c>
      <c r="P132" s="47" t="n">
        <f aca="false">IF(ABS(-L132)&lt;0.000000000001,(H132)-(0),(EXP((-L132)*(H132))-EXP((-L132)*(0)))/(-L132))</f>
        <v>4.56956508570619</v>
      </c>
      <c r="Q132" s="47" t="n">
        <f aca="false">IF(C132&gt;F132,"t0&gt;T1（未支援）",(M132+N132+O132)/P132)</f>
        <v>0.822010752203034</v>
      </c>
      <c r="R132" s="15" t="n">
        <f aca="false">IN_sh_G*IN_rg_G</f>
        <v>9.24654168303684</v>
      </c>
    </row>
    <row r="133" customFormat="false" ht="16.5" hidden="false" customHeight="true" outlineLevel="0" collapsed="false">
      <c r="A133" s="1" t="s">
        <v>365</v>
      </c>
      <c r="B133" s="1" t="s">
        <v>328</v>
      </c>
      <c r="C133" s="1" t="n">
        <f aca="false">MAX(0,IN_A-IN_sv_3)</f>
        <v>0</v>
      </c>
      <c r="D133" s="35" t="n">
        <f aca="false">IN_g</f>
        <v>-0.09</v>
      </c>
      <c r="E133" s="35" t="n">
        <f aca="false">IN_gpre</f>
        <v>-0.09</v>
      </c>
      <c r="F133" s="1" t="n">
        <f aca="false">IN_T1</f>
        <v>4</v>
      </c>
      <c r="G133" s="35" t="n">
        <f aca="false">$A$89</f>
        <v>1</v>
      </c>
      <c r="H133" s="1" t="n">
        <f aca="false">IN_T</f>
        <v>6</v>
      </c>
      <c r="I133" s="35" t="n">
        <f aca="false">IN_WACC</f>
        <v>0.1</v>
      </c>
      <c r="J133" s="47" t="n">
        <f aca="false">LN(1+D133)</f>
        <v>-0.0943106794712413</v>
      </c>
      <c r="K133" s="47" t="n">
        <f aca="false">LN(1+E133)</f>
        <v>-0.0943106794712413</v>
      </c>
      <c r="L133" s="47" t="n">
        <f aca="false">LN(1+I133)</f>
        <v>0.0953101798043249</v>
      </c>
      <c r="M133" s="47" t="n">
        <f aca="false">IF(C133&gt;0,EXP(-K133*C133)*IF(ABS(K133-L133)&lt;0.000000000001,(C133)-(0),(EXP((K133-L133)*(C133))-EXP((K133-L133)*(0)))/(K133-L133)),0)</f>
        <v>0</v>
      </c>
      <c r="N133" s="47" t="n">
        <f aca="false">EXP(-J133*C133)*IF(ABS(J133-L133)&lt;0.000000000001,(F133)-(C133),(EXP((J133-L133)*(F133))-EXP((J133-L133)*(C133)))/(J133-L133))</f>
        <v>2.80361449362525</v>
      </c>
      <c r="O133" s="47" t="n">
        <f aca="false">G133*EXP(-J133*C133)*IF(ABS(J133-L133)&lt;0.000000000001,(H133)-(F133),(EXP((J133-L133)*(H133))-EXP((J133-L133)*(F133)))/(J133-L133))</f>
        <v>0.77960211102216</v>
      </c>
      <c r="P133" s="47" t="n">
        <f aca="false">IF(ABS(-L133)&lt;0.000000000001,(H133)-(0),(EXP((-L133)*(H133))-EXP((-L133)*(0)))/(-L133))</f>
        <v>4.56956508570619</v>
      </c>
      <c r="Q133" s="47" t="n">
        <f aca="false">IF(C133&gt;F133,"t0&gt;T1（未支援）",(M133+N133+O133)/P133)</f>
        <v>0.784148280512706</v>
      </c>
      <c r="R133" s="15" t="n">
        <f aca="false">IN_sh_3*IN_rg_3</f>
        <v>0</v>
      </c>
    </row>
    <row r="134" customFormat="false" ht="16.5" hidden="false" customHeight="true" outlineLevel="0" collapsed="false">
      <c r="A134" s="1" t="s">
        <v>365</v>
      </c>
      <c r="B134" s="1" t="s">
        <v>329</v>
      </c>
      <c r="C134" s="1" t="n">
        <f aca="false">MAX(0,IN_A-IN_sv_V)</f>
        <v>0</v>
      </c>
      <c r="D134" s="35" t="n">
        <f aca="false">IN_g</f>
        <v>-0.09</v>
      </c>
      <c r="E134" s="35" t="n">
        <f aca="false">IN_gpre</f>
        <v>-0.09</v>
      </c>
      <c r="F134" s="1" t="n">
        <f aca="false">IN_T1</f>
        <v>4</v>
      </c>
      <c r="G134" s="35" t="n">
        <f aca="false">$A$89</f>
        <v>1</v>
      </c>
      <c r="H134" s="1" t="n">
        <f aca="false">IN_T</f>
        <v>6</v>
      </c>
      <c r="I134" s="35" t="n">
        <f aca="false">IN_WACC</f>
        <v>0.1</v>
      </c>
      <c r="J134" s="47" t="n">
        <f aca="false">LN(1+D134)</f>
        <v>-0.0943106794712413</v>
      </c>
      <c r="K134" s="47" t="n">
        <f aca="false">LN(1+E134)</f>
        <v>-0.0943106794712413</v>
      </c>
      <c r="L134" s="47" t="n">
        <f aca="false">LN(1+I134)</f>
        <v>0.0953101798043249</v>
      </c>
      <c r="M134" s="47" t="n">
        <f aca="false">IF(C134&gt;0,EXP(-K134*C134)*IF(ABS(K134-L134)&lt;0.000000000001,(C134)-(0),(EXP((K134-L134)*(C134))-EXP((K134-L134)*(0)))/(K134-L134)),0)</f>
        <v>0</v>
      </c>
      <c r="N134" s="47" t="n">
        <f aca="false">EXP(-J134*C134)*IF(ABS(J134-L134)&lt;0.000000000001,(F134)-(C134),(EXP((J134-L134)*(F134))-EXP((J134-L134)*(C134)))/(J134-L134))</f>
        <v>2.80361449362525</v>
      </c>
      <c r="O134" s="47" t="n">
        <f aca="false">G134*EXP(-J134*C134)*IF(ABS(J134-L134)&lt;0.000000000001,(H134)-(F134),(EXP((J134-L134)*(H134))-EXP((J134-L134)*(F134)))/(J134-L134))</f>
        <v>0.77960211102216</v>
      </c>
      <c r="P134" s="47" t="n">
        <f aca="false">IF(ABS(-L134)&lt;0.000000000001,(H134)-(0),(EXP((-L134)*(H134))-EXP((-L134)*(0)))/(-L134))</f>
        <v>4.56956508570619</v>
      </c>
      <c r="Q134" s="47" t="n">
        <f aca="false">IF(C134&gt;F134,"t0&gt;T1（未支援）",(M134+N134+O134)/P134)</f>
        <v>0.784148280512706</v>
      </c>
      <c r="R134" s="15" t="n">
        <f aca="false">IN_sh_V*IN_rg_V</f>
        <v>0</v>
      </c>
    </row>
    <row r="138" customFormat="false" ht="16.5" hidden="false" customHeight="true" outlineLevel="0" collapsed="false">
      <c r="A138" s="46" t="s">
        <v>366</v>
      </c>
    </row>
    <row r="139" customFormat="false" ht="16.5" hidden="false" customHeight="true" outlineLevel="0" collapsed="false">
      <c r="A139" s="40" t="s">
        <v>313</v>
      </c>
      <c r="B139" s="9" t="s">
        <v>287</v>
      </c>
      <c r="C139" s="40" t="s">
        <v>332</v>
      </c>
      <c r="D139" s="9" t="s">
        <v>333</v>
      </c>
    </row>
    <row r="140" customFormat="false" ht="15" hidden="false" customHeight="true" outlineLevel="0" collapsed="false">
      <c r="A140" s="53" t="n">
        <v>2</v>
      </c>
      <c r="B140" s="15" t="n">
        <f aca="false">IF(SUMPRODUCT(ISTEXT(Q154:Q157)*(R154:R157&gt;0))&gt;0,"含 t0&gt;T1 的世代",SUMPRODUCT(R154:R157,Q154:Q157)/SUM(R154:R157))</f>
        <v>0.623296216005107</v>
      </c>
      <c r="C140" s="15" t="n">
        <f aca="false">B140/LQ</f>
        <v>0.772287236808288</v>
      </c>
      <c r="D140" s="1" t="str">
        <f aca="false">IF(C140&gt;=1,"回本","未回本")</f>
        <v>未回本</v>
      </c>
    </row>
    <row r="141" customFormat="false" ht="15" hidden="false" customHeight="true" outlineLevel="0" collapsed="false">
      <c r="A141" s="53" t="n">
        <v>2.5</v>
      </c>
      <c r="B141" s="15" t="n">
        <f aca="false">IF(SUMPRODUCT(ISTEXT(Q158:Q161)*(R158:R161&gt;0))&gt;0,"含 t0&gt;T1 的世代",SUMPRODUCT(R158:R161,Q158:Q161)/SUM(R158:R161))</f>
        <v>0.662072674766542</v>
      </c>
      <c r="C141" s="15" t="n">
        <f aca="false">B141/LQ</f>
        <v>0.820332714096784</v>
      </c>
      <c r="D141" s="1" t="str">
        <f aca="false">IF(C141&gt;=1,"回本","未回本")</f>
        <v>未回本</v>
      </c>
    </row>
    <row r="142" customFormat="false" ht="15" hidden="false" customHeight="true" outlineLevel="0" collapsed="false">
      <c r="A142" s="53" t="n">
        <v>3</v>
      </c>
      <c r="B142" s="15" t="n">
        <f aca="false">IF(SUMPRODUCT(ISTEXT(Q162:Q165)*(R162:R165&gt;0))&gt;0,"含 t0&gt;T1 的世代",SUMPRODUCT(R162:R165,Q162:Q165)/SUM(R162:R165))</f>
        <v>0.697341622172161</v>
      </c>
      <c r="C142" s="15" t="n">
        <f aca="false">B142/LQ</f>
        <v>0.864032254119018</v>
      </c>
      <c r="D142" s="1" t="str">
        <f aca="false">IF(C142&gt;=1,"回本","未回本")</f>
        <v>未回本</v>
      </c>
    </row>
    <row r="143" customFormat="false" ht="15" hidden="false" customHeight="true" outlineLevel="0" collapsed="false">
      <c r="A143" s="53" t="n">
        <v>3.5</v>
      </c>
      <c r="B143" s="15" t="n">
        <f aca="false">IF(SUMPRODUCT(ISTEXT(Q166:Q169)*(R166:R169&gt;0))&gt;0,"含 t0&gt;T1 的世代",SUMPRODUCT(R166:R169,Q166:Q169)/SUM(R166:R169))</f>
        <v>0.729420328965712</v>
      </c>
      <c r="C143" s="15" t="n">
        <f aca="false">B143/LQ</f>
        <v>0.903778967148593</v>
      </c>
      <c r="D143" s="1" t="str">
        <f aca="false">IF(C143&gt;=1,"回本","未回本")</f>
        <v>未回本</v>
      </c>
    </row>
    <row r="144" customFormat="false" ht="15" hidden="false" customHeight="true" outlineLevel="0" collapsed="false">
      <c r="A144" s="53" t="n">
        <v>4</v>
      </c>
      <c r="B144" s="15" t="n">
        <f aca="false">IF(SUMPRODUCT(ISTEXT(Q170:Q173)*(R170:R173&gt;0))&gt;0,"含 t0&gt;T1 的世代",SUMPRODUCT(R170:R173,Q170:Q173)/SUM(R170:R173))</f>
        <v>0.758597367273996</v>
      </c>
      <c r="C144" s="15" t="n">
        <f aca="false">B144/LQ</f>
        <v>0.93993040480335</v>
      </c>
      <c r="D144" s="1" t="str">
        <f aca="false">IF(C144&gt;=1,"回本","未回本")</f>
        <v>未回本</v>
      </c>
    </row>
    <row r="145" customFormat="false" ht="15" hidden="false" customHeight="true" outlineLevel="0" collapsed="false">
      <c r="A145" s="53" t="n">
        <v>4.5</v>
      </c>
      <c r="B145" s="15" t="n">
        <f aca="false">IF(SUMPRODUCT(ISTEXT(Q174:Q177)*(R174:R177&gt;0))&gt;0,"含 t0&gt;T1 的世代",SUMPRODUCT(R174:R177,Q174:Q177)/SUM(R174:R177))</f>
        <v>0.785135206530479</v>
      </c>
      <c r="C145" s="15" t="n">
        <f aca="false">B145/LQ</f>
        <v>0.972811776491453</v>
      </c>
      <c r="D145" s="1" t="str">
        <f aca="false">IF(C145&gt;=1,"回本","未回本")</f>
        <v>未回本</v>
      </c>
    </row>
    <row r="146" customFormat="false" ht="15" hidden="false" customHeight="true" outlineLevel="0" collapsed="false">
      <c r="A146" s="53" t="n">
        <v>5</v>
      </c>
      <c r="B146" s="15" t="n">
        <f aca="false">IF(SUMPRODUCT(ISTEXT(Q178:Q181)*(R178:R181&gt;0))&gt;0,"含 t0&gt;T1 的世代",SUMPRODUCT(R178:R181,Q178:Q181)/SUM(R178:R181))</f>
        <v>0.809272574585515</v>
      </c>
      <c r="C146" s="15" t="n">
        <f aca="false">B146/LQ</f>
        <v>1.00271887491493</v>
      </c>
      <c r="D146" s="1" t="str">
        <f aca="false">IF(C146&gt;=1,"回本","未回本")</f>
        <v>回本</v>
      </c>
    </row>
    <row r="147" customFormat="false" ht="15" hidden="false" customHeight="true" outlineLevel="0" collapsed="false">
      <c r="A147" s="53" t="n">
        <v>5.5</v>
      </c>
      <c r="B147" s="15" t="n">
        <f aca="false">IF(SUMPRODUCT(ISTEXT(Q182:Q185)*(R182:R185&gt;0))&gt;0,"含 t0&gt;T1 的世代",SUMPRODUCT(R182:R185,Q182:Q185)/SUM(R182:R185))</f>
        <v>0.831226605243151</v>
      </c>
      <c r="C147" s="15" t="n">
        <f aca="false">B147/LQ</f>
        <v>1.02992073694782</v>
      </c>
      <c r="D147" s="1" t="str">
        <f aca="false">IF(C147&gt;=1,"回本","未回本")</f>
        <v>回本</v>
      </c>
    </row>
    <row r="148" customFormat="false" ht="15" hidden="false" customHeight="true" outlineLevel="0" collapsed="false">
      <c r="A148" s="53" t="n">
        <v>6</v>
      </c>
      <c r="B148" s="15" t="n">
        <f aca="false">IF(SUMPRODUCT(ISTEXT(Q186:Q189)*(R186:R189&gt;0))&gt;0,"含 t0&gt;T1 的世代",SUMPRODUCT(R186:R189,Q186:Q189)/SUM(R186:R189))</f>
        <v>0.851194791543225</v>
      </c>
      <c r="C148" s="15" t="n">
        <f aca="false">B148/LQ</f>
        <v>1.05466206382543</v>
      </c>
      <c r="D148" s="1" t="str">
        <f aca="false">IF(C148&gt;=1,"回本","未回本")</f>
        <v>回本</v>
      </c>
    </row>
    <row r="149" customFormat="false" ht="16.5" hidden="false" customHeight="true" outlineLevel="0" collapsed="false">
      <c r="A149" s="46" t="s">
        <v>367</v>
      </c>
      <c r="B149" s="54" t="n">
        <f aca="false">IFERROR(INDEX(A140:A148,MATCH(1,C140:C148,1))+(1-INDEX(C140:C148,MATCH(1,C140:C148,1)))*(INDEX(A140:A148,MATCH(1,C140:C148,1)+1)-INDEX(A140:A148,MATCH(1,C140:C148,1)))/(INDEX(C140:C148,MATCH(1,C140:C148,1)+1)-INDEX(C140:C148,MATCH(1,C140:C148,1))),"格點內未跨過 1")</f>
        <v>4.95454465564605</v>
      </c>
    </row>
    <row r="150" customFormat="false" ht="16.5" hidden="false" customHeight="true" outlineLevel="0" collapsed="false">
      <c r="A150" s="46" t="s">
        <v>368</v>
      </c>
      <c r="B150" s="24" t="s">
        <v>369</v>
      </c>
      <c r="D150" s="1" t="s">
        <v>34</v>
      </c>
    </row>
    <row r="152" customFormat="false" ht="16.5" hidden="false" customHeight="true" outlineLevel="0" collapsed="false">
      <c r="A152" s="50" t="s">
        <v>370</v>
      </c>
    </row>
    <row r="153" customFormat="false" ht="48" hidden="false" customHeight="true" outlineLevel="0" collapsed="false">
      <c r="A153" s="9" t="s">
        <v>285</v>
      </c>
      <c r="B153" s="9" t="s">
        <v>309</v>
      </c>
      <c r="C153" s="40" t="s">
        <v>310</v>
      </c>
      <c r="D153" s="40" t="s">
        <v>311</v>
      </c>
      <c r="E153" s="40" t="s">
        <v>312</v>
      </c>
      <c r="F153" s="40" t="s">
        <v>313</v>
      </c>
      <c r="G153" s="40" t="s">
        <v>314</v>
      </c>
      <c r="H153" s="40" t="s">
        <v>315</v>
      </c>
      <c r="I153" s="9" t="s">
        <v>316</v>
      </c>
      <c r="J153" s="40" t="s">
        <v>317</v>
      </c>
      <c r="K153" s="40" t="s">
        <v>318</v>
      </c>
      <c r="L153" s="40" t="s">
        <v>319</v>
      </c>
      <c r="M153" s="9" t="s">
        <v>320</v>
      </c>
      <c r="N153" s="9" t="s">
        <v>321</v>
      </c>
      <c r="O153" s="9" t="s">
        <v>322</v>
      </c>
      <c r="P153" s="9" t="s">
        <v>323</v>
      </c>
      <c r="Q153" s="40" t="s">
        <v>324</v>
      </c>
      <c r="R153" s="40" t="s">
        <v>325</v>
      </c>
    </row>
    <row r="154" customFormat="false" ht="16.5" hidden="false" customHeight="true" outlineLevel="0" collapsed="false">
      <c r="A154" s="1" t="s">
        <v>371</v>
      </c>
      <c r="B154" s="1" t="s">
        <v>326</v>
      </c>
      <c r="C154" s="1" t="n">
        <f aca="false">MAX(0,IN_A-IN_sv_H)</f>
        <v>2</v>
      </c>
      <c r="D154" s="35" t="n">
        <f aca="false">IN_g</f>
        <v>-0.09</v>
      </c>
      <c r="E154" s="35" t="n">
        <f aca="false">IN_gpre</f>
        <v>-0.09</v>
      </c>
      <c r="F154" s="55" t="n">
        <f aca="false">$A$140</f>
        <v>2</v>
      </c>
      <c r="G154" s="35" t="n">
        <f aca="false">IN_rho</f>
        <v>0.5</v>
      </c>
      <c r="H154" s="1" t="n">
        <f aca="false">IN_T</f>
        <v>6</v>
      </c>
      <c r="I154" s="35" t="n">
        <f aca="false">IN_WACC</f>
        <v>0.1</v>
      </c>
      <c r="J154" s="47" t="n">
        <f aca="false">LN(1+D154)</f>
        <v>-0.0943106794712413</v>
      </c>
      <c r="K154" s="47" t="n">
        <f aca="false">LN(1+E154)</f>
        <v>-0.0943106794712413</v>
      </c>
      <c r="L154" s="47" t="n">
        <f aca="false">LN(1+I154)</f>
        <v>0.0953101798043249</v>
      </c>
      <c r="M154" s="47" t="n">
        <f aca="false">IF(C154&gt;0,EXP(-K154*C154)*IF(ABS(K154-L154)&lt;0.000000000001,(C154)-(0),(EXP((K154-L154)*(C154))-EXP((K154-L154)*(0)))/(K154-L154)),0)</f>
        <v>2.00999692560416</v>
      </c>
      <c r="N154" s="47" t="n">
        <f aca="false">EXP(-J154*C154)*IF(ABS(J154-L154)&lt;0.000000000001,(F154)-(C154),(EXP((J154-L154)*(F154))-EXP((J154-L154)*(C154)))/(J154-L154))</f>
        <v>-0</v>
      </c>
      <c r="O154" s="47" t="n">
        <f aca="false">G154*EXP(-J154*C154)*IF(ABS(J154-L154)&lt;0.000000000001,(H154)-(F154),(EXP((J154-L154)*(H154))-EXP((J154-L154)*(F154)))/(J154-L154))</f>
        <v>1.15851838579556</v>
      </c>
      <c r="P154" s="47" t="n">
        <f aca="false">IF(ABS(-L154)&lt;0.000000000001,(H154)-(0),(EXP((-L154)*(H154))-EXP((-L154)*(0)))/(-L154))</f>
        <v>4.56956508570619</v>
      </c>
      <c r="Q154" s="47" t="n">
        <f aca="false">IF(C154&gt;F154,"t0&gt;T1（未支援）",(M154+N154+O154)/P154)</f>
        <v>0.693395378328449</v>
      </c>
      <c r="R154" s="15" t="n">
        <f aca="false">IN_sh_H*IN_rg_H</f>
        <v>2.81888551801847</v>
      </c>
    </row>
    <row r="155" customFormat="false" ht="16.5" hidden="false" customHeight="true" outlineLevel="0" collapsed="false">
      <c r="A155" s="1" t="s">
        <v>371</v>
      </c>
      <c r="B155" s="1" t="s">
        <v>327</v>
      </c>
      <c r="C155" s="1" t="n">
        <f aca="false">MAX(0,IN_A-IN_sv_G)</f>
        <v>0.5</v>
      </c>
      <c r="D155" s="35" t="n">
        <f aca="false">IN_g</f>
        <v>-0.09</v>
      </c>
      <c r="E155" s="35" t="n">
        <f aca="false">IN_gpre</f>
        <v>-0.09</v>
      </c>
      <c r="F155" s="55" t="n">
        <f aca="false">$A$140</f>
        <v>2</v>
      </c>
      <c r="G155" s="35" t="n">
        <f aca="false">IN_rho</f>
        <v>0.5</v>
      </c>
      <c r="H155" s="1" t="n">
        <f aca="false">IN_T</f>
        <v>6</v>
      </c>
      <c r="I155" s="35" t="n">
        <f aca="false">IN_WACC</f>
        <v>0.1</v>
      </c>
      <c r="J155" s="47" t="n">
        <f aca="false">LN(1+D155)</f>
        <v>-0.0943106794712413</v>
      </c>
      <c r="K155" s="47" t="n">
        <f aca="false">LN(1+E155)</f>
        <v>-0.0943106794712413</v>
      </c>
      <c r="L155" s="47" t="n">
        <f aca="false">LN(1+I155)</f>
        <v>0.0953101798043249</v>
      </c>
      <c r="M155" s="47" t="n">
        <f aca="false">IF(C155&gt;0,EXP(-K155*C155)*IF(ABS(K155-L155)&lt;0.000000000001,(C155)-(0),(EXP((K155-L155)*(C155))-EXP((K155-L155)*(0)))/(K155-L155)),0)</f>
        <v>0.500062323515398</v>
      </c>
      <c r="N155" s="47" t="n">
        <f aca="false">EXP(-J155*C155)*IF(ABS(J155-L155)&lt;0.000000000001,(F155)-(C155),(EXP((J155-L155)*(F155))-EXP((J155-L155)*(C155)))/(J155-L155))</f>
        <v>1.24478520096043</v>
      </c>
      <c r="O155" s="47" t="n">
        <f aca="false">G155*EXP(-J155*C155)*IF(ABS(J155-L155)&lt;0.000000000001,(H155)-(F155),(EXP((J155-L155)*(H155))-EXP((J155-L155)*(F155)))/(J155-L155))</f>
        <v>1.00569205443312</v>
      </c>
      <c r="P155" s="47" t="n">
        <f aca="false">IF(ABS(-L155)&lt;0.000000000001,(H155)-(0),(EXP((-L155)*(H155))-EXP((-L155)*(0)))/(-L155))</f>
        <v>4.56956508570619</v>
      </c>
      <c r="Q155" s="47" t="n">
        <f aca="false">IF(C155&gt;F155,"t0&gt;T1（未支援）",(M155+N155+O155)/P155)</f>
        <v>0.601925900456646</v>
      </c>
      <c r="R155" s="15" t="n">
        <f aca="false">IN_sh_G*IN_rg_G</f>
        <v>9.24654168303684</v>
      </c>
    </row>
    <row r="156" customFormat="false" ht="16.5" hidden="false" customHeight="true" outlineLevel="0" collapsed="false">
      <c r="A156" s="1" t="s">
        <v>371</v>
      </c>
      <c r="B156" s="1" t="s">
        <v>328</v>
      </c>
      <c r="C156" s="1" t="n">
        <f aca="false">MAX(0,IN_A-IN_sv_3)</f>
        <v>0</v>
      </c>
      <c r="D156" s="35" t="n">
        <f aca="false">IN_g</f>
        <v>-0.09</v>
      </c>
      <c r="E156" s="35" t="n">
        <f aca="false">IN_gpre</f>
        <v>-0.09</v>
      </c>
      <c r="F156" s="55" t="n">
        <f aca="false">$A$140</f>
        <v>2</v>
      </c>
      <c r="G156" s="35" t="n">
        <f aca="false">IN_rho</f>
        <v>0.5</v>
      </c>
      <c r="H156" s="1" t="n">
        <f aca="false">IN_T</f>
        <v>6</v>
      </c>
      <c r="I156" s="35" t="n">
        <f aca="false">IN_WACC</f>
        <v>0.1</v>
      </c>
      <c r="J156" s="47" t="n">
        <f aca="false">LN(1+D156)</f>
        <v>-0.0943106794712413</v>
      </c>
      <c r="K156" s="47" t="n">
        <f aca="false">LN(1+E156)</f>
        <v>-0.0943106794712413</v>
      </c>
      <c r="L156" s="47" t="n">
        <f aca="false">LN(1+I156)</f>
        <v>0.0953101798043249</v>
      </c>
      <c r="M156" s="47" t="n">
        <f aca="false">IF(C156&gt;0,EXP(-K156*C156)*IF(ABS(K156-L156)&lt;0.000000000001,(C156)-(0),(EXP((K156-L156)*(C156))-EXP((K156-L156)*(0)))/(K156-L156)),0)</f>
        <v>0</v>
      </c>
      <c r="N156" s="47" t="n">
        <f aca="false">EXP(-J156*C156)*IF(ABS(J156-L156)&lt;0.000000000001,(F156)-(C156),(EXP((J156-L156)*(F156))-EXP((J156-L156)*(C156)))/(J156-L156))</f>
        <v>1.66447845409281</v>
      </c>
      <c r="O156" s="47" t="n">
        <f aca="false">G156*EXP(-J156*C156)*IF(ABS(J156-L156)&lt;0.000000000001,(H156)-(F156),(EXP((J156-L156)*(H156))-EXP((J156-L156)*(F156)))/(J156-L156))</f>
        <v>0.9593690752773</v>
      </c>
      <c r="P156" s="47" t="n">
        <f aca="false">IF(ABS(-L156)&lt;0.000000000001,(H156)-(0),(EXP((-L156)*(H156))-EXP((-L156)*(0)))/(-L156))</f>
        <v>4.56956508570619</v>
      </c>
      <c r="Q156" s="47" t="n">
        <f aca="false">IF(C156&gt;F156,"t0&gt;T1（未支援）",(M156+N156+O156)/P156)</f>
        <v>0.574200712793789</v>
      </c>
      <c r="R156" s="15" t="n">
        <f aca="false">IN_sh_3*IN_rg_3</f>
        <v>0</v>
      </c>
    </row>
    <row r="157" customFormat="false" ht="16.5" hidden="false" customHeight="true" outlineLevel="0" collapsed="false">
      <c r="A157" s="1" t="s">
        <v>371</v>
      </c>
      <c r="B157" s="1" t="s">
        <v>329</v>
      </c>
      <c r="C157" s="1" t="n">
        <f aca="false">MAX(0,IN_A-IN_sv_V)</f>
        <v>0</v>
      </c>
      <c r="D157" s="35" t="n">
        <f aca="false">IN_g</f>
        <v>-0.09</v>
      </c>
      <c r="E157" s="35" t="n">
        <f aca="false">IN_gpre</f>
        <v>-0.09</v>
      </c>
      <c r="F157" s="55" t="n">
        <f aca="false">$A$140</f>
        <v>2</v>
      </c>
      <c r="G157" s="35" t="n">
        <f aca="false">IN_rho</f>
        <v>0.5</v>
      </c>
      <c r="H157" s="1" t="n">
        <f aca="false">IN_T</f>
        <v>6</v>
      </c>
      <c r="I157" s="35" t="n">
        <f aca="false">IN_WACC</f>
        <v>0.1</v>
      </c>
      <c r="J157" s="47" t="n">
        <f aca="false">LN(1+D157)</f>
        <v>-0.0943106794712413</v>
      </c>
      <c r="K157" s="47" t="n">
        <f aca="false">LN(1+E157)</f>
        <v>-0.0943106794712413</v>
      </c>
      <c r="L157" s="47" t="n">
        <f aca="false">LN(1+I157)</f>
        <v>0.0953101798043249</v>
      </c>
      <c r="M157" s="47" t="n">
        <f aca="false">IF(C157&gt;0,EXP(-K157*C157)*IF(ABS(K157-L157)&lt;0.000000000001,(C157)-(0),(EXP((K157-L157)*(C157))-EXP((K157-L157)*(0)))/(K157-L157)),0)</f>
        <v>0</v>
      </c>
      <c r="N157" s="47" t="n">
        <f aca="false">EXP(-J157*C157)*IF(ABS(J157-L157)&lt;0.000000000001,(F157)-(C157),(EXP((J157-L157)*(F157))-EXP((J157-L157)*(C157)))/(J157-L157))</f>
        <v>1.66447845409281</v>
      </c>
      <c r="O157" s="47" t="n">
        <f aca="false">G157*EXP(-J157*C157)*IF(ABS(J157-L157)&lt;0.000000000001,(H157)-(F157),(EXP((J157-L157)*(H157))-EXP((J157-L157)*(F157)))/(J157-L157))</f>
        <v>0.9593690752773</v>
      </c>
      <c r="P157" s="47" t="n">
        <f aca="false">IF(ABS(-L157)&lt;0.000000000001,(H157)-(0),(EXP((-L157)*(H157))-EXP((-L157)*(0)))/(-L157))</f>
        <v>4.56956508570619</v>
      </c>
      <c r="Q157" s="47" t="n">
        <f aca="false">IF(C157&gt;F157,"t0&gt;T1（未支援）",(M157+N157+O157)/P157)</f>
        <v>0.574200712793789</v>
      </c>
      <c r="R157" s="15" t="n">
        <f aca="false">IN_sh_V*IN_rg_V</f>
        <v>0</v>
      </c>
    </row>
    <row r="158" customFormat="false" ht="16.5" hidden="false" customHeight="true" outlineLevel="0" collapsed="false">
      <c r="A158" s="1" t="s">
        <v>372</v>
      </c>
      <c r="B158" s="1" t="s">
        <v>326</v>
      </c>
      <c r="C158" s="1" t="n">
        <f aca="false">MAX(0,IN_A-IN_sv_H)</f>
        <v>2</v>
      </c>
      <c r="D158" s="35" t="n">
        <f aca="false">IN_g</f>
        <v>-0.09</v>
      </c>
      <c r="E158" s="35" t="n">
        <f aca="false">IN_gpre</f>
        <v>-0.09</v>
      </c>
      <c r="F158" s="55" t="n">
        <f aca="false">$A$141</f>
        <v>2.5</v>
      </c>
      <c r="G158" s="35" t="n">
        <f aca="false">IN_rho</f>
        <v>0.5</v>
      </c>
      <c r="H158" s="1" t="n">
        <f aca="false">IN_T</f>
        <v>6</v>
      </c>
      <c r="I158" s="35" t="n">
        <f aca="false">IN_WACC</f>
        <v>0.1</v>
      </c>
      <c r="J158" s="47" t="n">
        <f aca="false">LN(1+D158)</f>
        <v>-0.0943106794712413</v>
      </c>
      <c r="K158" s="47" t="n">
        <f aca="false">LN(1+E158)</f>
        <v>-0.0943106794712413</v>
      </c>
      <c r="L158" s="47" t="n">
        <f aca="false">LN(1+I158)</f>
        <v>0.0953101798043249</v>
      </c>
      <c r="M158" s="47" t="n">
        <f aca="false">IF(C158&gt;0,EXP(-K158*C158)*IF(ABS(K158-L158)&lt;0.000000000001,(C158)-(0),(EXP((K158-L158)*(C158))-EXP((K158-L158)*(0)))/(K158-L158)),0)</f>
        <v>2.00999692560416</v>
      </c>
      <c r="N158" s="47" t="n">
        <f aca="false">EXP(-J158*C158)*IF(ABS(J158-L158)&lt;0.000000000001,(F158)-(C158),(EXP((J158-L158)*(F158))-EXP((J158-L158)*(C158)))/(J158-L158))</f>
        <v>0.394238887233868</v>
      </c>
      <c r="O158" s="47" t="n">
        <f aca="false">G158*EXP(-J158*C158)*IF(ABS(J158-L158)&lt;0.000000000001,(H158)-(F158),(EXP((J158-L158)*(H158))-EXP((J158-L158)*(F158)))/(J158-L158))</f>
        <v>0.961398942178621</v>
      </c>
      <c r="P158" s="47" t="n">
        <f aca="false">IF(ABS(-L158)&lt;0.000000000001,(H158)-(0),(EXP((-L158)*(H158))-EXP((-L158)*(0)))/(-L158))</f>
        <v>4.56956508570619</v>
      </c>
      <c r="Q158" s="47" t="n">
        <f aca="false">IF(C158&gt;F158,"t0&gt;T1（未支援）",(M158+N158+O158)/P158)</f>
        <v>0.736532841067197</v>
      </c>
      <c r="R158" s="15" t="n">
        <f aca="false">IN_sh_H*IN_rg_H</f>
        <v>2.81888551801847</v>
      </c>
    </row>
    <row r="159" customFormat="false" ht="16.5" hidden="false" customHeight="true" outlineLevel="0" collapsed="false">
      <c r="A159" s="1" t="s">
        <v>372</v>
      </c>
      <c r="B159" s="1" t="s">
        <v>327</v>
      </c>
      <c r="C159" s="1" t="n">
        <f aca="false">MAX(0,IN_A-IN_sv_G)</f>
        <v>0.5</v>
      </c>
      <c r="D159" s="35" t="n">
        <f aca="false">IN_g</f>
        <v>-0.09</v>
      </c>
      <c r="E159" s="35" t="n">
        <f aca="false">IN_gpre</f>
        <v>-0.09</v>
      </c>
      <c r="F159" s="55" t="n">
        <f aca="false">$A$141</f>
        <v>2.5</v>
      </c>
      <c r="G159" s="35" t="n">
        <f aca="false">IN_rho</f>
        <v>0.5</v>
      </c>
      <c r="H159" s="1" t="n">
        <f aca="false">IN_T</f>
        <v>6</v>
      </c>
      <c r="I159" s="35" t="n">
        <f aca="false">IN_WACC</f>
        <v>0.1</v>
      </c>
      <c r="J159" s="47" t="n">
        <f aca="false">LN(1+D159)</f>
        <v>-0.0943106794712413</v>
      </c>
      <c r="K159" s="47" t="n">
        <f aca="false">LN(1+E159)</f>
        <v>-0.0943106794712413</v>
      </c>
      <c r="L159" s="47" t="n">
        <f aca="false">LN(1+I159)</f>
        <v>0.0953101798043249</v>
      </c>
      <c r="M159" s="47" t="n">
        <f aca="false">IF(C159&gt;0,EXP(-K159*C159)*IF(ABS(K159-L159)&lt;0.000000000001,(C159)-(0),(EXP((K159-L159)*(C159))-EXP((K159-L159)*(0)))/(K159-L159)),0)</f>
        <v>0.500062323515398</v>
      </c>
      <c r="N159" s="47" t="n">
        <f aca="false">EXP(-J159*C159)*IF(ABS(J159-L159)&lt;0.000000000001,(F159)-(C159),(EXP((J159-L159)*(F159))-EXP((J159-L159)*(C159)))/(J159-L159))</f>
        <v>1.58701793658283</v>
      </c>
      <c r="O159" s="47" t="n">
        <f aca="false">G159*EXP(-J159*C159)*IF(ABS(J159-L159)&lt;0.000000000001,(H159)-(F159),(EXP((J159-L159)*(H159))-EXP((J159-L159)*(F159)))/(J159-L159))</f>
        <v>0.834575686621923</v>
      </c>
      <c r="P159" s="47" t="n">
        <f aca="false">IF(ABS(-L159)&lt;0.000000000001,(H159)-(0),(EXP((-L159)*(H159))-EXP((-L159)*(0)))/(-L159))</f>
        <v>4.56956508570619</v>
      </c>
      <c r="Q159" s="47" t="n">
        <f aca="false">IF(C159&gt;F159,"t0&gt;T1（未支援）",(M159+N159+O159)/P159)</f>
        <v>0.639372870704746</v>
      </c>
      <c r="R159" s="15" t="n">
        <f aca="false">IN_sh_G*IN_rg_G</f>
        <v>9.24654168303684</v>
      </c>
    </row>
    <row r="160" customFormat="false" ht="16.5" hidden="false" customHeight="true" outlineLevel="0" collapsed="false">
      <c r="A160" s="1" t="s">
        <v>372</v>
      </c>
      <c r="B160" s="1" t="s">
        <v>328</v>
      </c>
      <c r="C160" s="1" t="n">
        <f aca="false">MAX(0,IN_A-IN_sv_3)</f>
        <v>0</v>
      </c>
      <c r="D160" s="35" t="n">
        <f aca="false">IN_g</f>
        <v>-0.09</v>
      </c>
      <c r="E160" s="35" t="n">
        <f aca="false">IN_gpre</f>
        <v>-0.09</v>
      </c>
      <c r="F160" s="55" t="n">
        <f aca="false">$A$141</f>
        <v>2.5</v>
      </c>
      <c r="G160" s="35" t="n">
        <f aca="false">IN_rho</f>
        <v>0.5</v>
      </c>
      <c r="H160" s="1" t="n">
        <f aca="false">IN_T</f>
        <v>6</v>
      </c>
      <c r="I160" s="35" t="n">
        <f aca="false">IN_WACC</f>
        <v>0.1</v>
      </c>
      <c r="J160" s="47" t="n">
        <f aca="false">LN(1+D160)</f>
        <v>-0.0943106794712413</v>
      </c>
      <c r="K160" s="47" t="n">
        <f aca="false">LN(1+E160)</f>
        <v>-0.0943106794712413</v>
      </c>
      <c r="L160" s="47" t="n">
        <f aca="false">LN(1+I160)</f>
        <v>0.0953101798043249</v>
      </c>
      <c r="M160" s="47" t="n">
        <f aca="false">IF(C160&gt;0,EXP(-K160*C160)*IF(ABS(K160-L160)&lt;0.000000000001,(C160)-(0),(EXP((K160-L160)*(C160))-EXP((K160-L160)*(0)))/(K160-L160)),0)</f>
        <v>0</v>
      </c>
      <c r="N160" s="47" t="n">
        <f aca="false">EXP(-J160*C160)*IF(ABS(J160-L160)&lt;0.000000000001,(F160)-(C160),(EXP((J160-L160)*(F160))-EXP((J160-L160)*(C160)))/(J160-L160))</f>
        <v>1.99094767661117</v>
      </c>
      <c r="O160" s="47" t="n">
        <f aca="false">G160*EXP(-J160*C160)*IF(ABS(J160-L160)&lt;0.000000000001,(H160)-(F160),(EXP((J160-L160)*(H160))-EXP((J160-L160)*(F160)))/(J160-L160))</f>
        <v>0.796134464018117</v>
      </c>
      <c r="P160" s="47" t="n">
        <f aca="false">IF(ABS(-L160)&lt;0.000000000001,(H160)-(0),(EXP((-L160)*(H160))-EXP((-L160)*(0)))/(-L160))</f>
        <v>4.56956508570619</v>
      </c>
      <c r="Q160" s="47" t="n">
        <f aca="false">IF(C160&gt;F160,"t0&gt;T1（未支援）",(M160+N160+O160)/P160)</f>
        <v>0.609922845687746</v>
      </c>
      <c r="R160" s="15" t="n">
        <f aca="false">IN_sh_3*IN_rg_3</f>
        <v>0</v>
      </c>
    </row>
    <row r="161" customFormat="false" ht="16.5" hidden="false" customHeight="true" outlineLevel="0" collapsed="false">
      <c r="A161" s="1" t="s">
        <v>372</v>
      </c>
      <c r="B161" s="1" t="s">
        <v>329</v>
      </c>
      <c r="C161" s="1" t="n">
        <f aca="false">MAX(0,IN_A-IN_sv_V)</f>
        <v>0</v>
      </c>
      <c r="D161" s="35" t="n">
        <f aca="false">IN_g</f>
        <v>-0.09</v>
      </c>
      <c r="E161" s="35" t="n">
        <f aca="false">IN_gpre</f>
        <v>-0.09</v>
      </c>
      <c r="F161" s="55" t="n">
        <f aca="false">$A$141</f>
        <v>2.5</v>
      </c>
      <c r="G161" s="35" t="n">
        <f aca="false">IN_rho</f>
        <v>0.5</v>
      </c>
      <c r="H161" s="1" t="n">
        <f aca="false">IN_T</f>
        <v>6</v>
      </c>
      <c r="I161" s="35" t="n">
        <f aca="false">IN_WACC</f>
        <v>0.1</v>
      </c>
      <c r="J161" s="47" t="n">
        <f aca="false">LN(1+D161)</f>
        <v>-0.0943106794712413</v>
      </c>
      <c r="K161" s="47" t="n">
        <f aca="false">LN(1+E161)</f>
        <v>-0.0943106794712413</v>
      </c>
      <c r="L161" s="47" t="n">
        <f aca="false">LN(1+I161)</f>
        <v>0.0953101798043249</v>
      </c>
      <c r="M161" s="47" t="n">
        <f aca="false">IF(C161&gt;0,EXP(-K161*C161)*IF(ABS(K161-L161)&lt;0.000000000001,(C161)-(0),(EXP((K161-L161)*(C161))-EXP((K161-L161)*(0)))/(K161-L161)),0)</f>
        <v>0</v>
      </c>
      <c r="N161" s="47" t="n">
        <f aca="false">EXP(-J161*C161)*IF(ABS(J161-L161)&lt;0.000000000001,(F161)-(C161),(EXP((J161-L161)*(F161))-EXP((J161-L161)*(C161)))/(J161-L161))</f>
        <v>1.99094767661117</v>
      </c>
      <c r="O161" s="47" t="n">
        <f aca="false">G161*EXP(-J161*C161)*IF(ABS(J161-L161)&lt;0.000000000001,(H161)-(F161),(EXP((J161-L161)*(H161))-EXP((J161-L161)*(F161)))/(J161-L161))</f>
        <v>0.796134464018117</v>
      </c>
      <c r="P161" s="47" t="n">
        <f aca="false">IF(ABS(-L161)&lt;0.000000000001,(H161)-(0),(EXP((-L161)*(H161))-EXP((-L161)*(0)))/(-L161))</f>
        <v>4.56956508570619</v>
      </c>
      <c r="Q161" s="47" t="n">
        <f aca="false">IF(C161&gt;F161,"t0&gt;T1（未支援）",(M161+N161+O161)/P161)</f>
        <v>0.609922845687746</v>
      </c>
      <c r="R161" s="15" t="n">
        <f aca="false">IN_sh_V*IN_rg_V</f>
        <v>0</v>
      </c>
    </row>
    <row r="162" customFormat="false" ht="16.5" hidden="false" customHeight="true" outlineLevel="0" collapsed="false">
      <c r="A162" s="1" t="s">
        <v>373</v>
      </c>
      <c r="B162" s="1" t="s">
        <v>326</v>
      </c>
      <c r="C162" s="1" t="n">
        <f aca="false">MAX(0,IN_A-IN_sv_H)</f>
        <v>2</v>
      </c>
      <c r="D162" s="35" t="n">
        <f aca="false">IN_g</f>
        <v>-0.09</v>
      </c>
      <c r="E162" s="35" t="n">
        <f aca="false">IN_gpre</f>
        <v>-0.09</v>
      </c>
      <c r="F162" s="55" t="n">
        <f aca="false">$A$142</f>
        <v>3</v>
      </c>
      <c r="G162" s="35" t="n">
        <f aca="false">IN_rho</f>
        <v>0.5</v>
      </c>
      <c r="H162" s="1" t="n">
        <f aca="false">IN_T</f>
        <v>6</v>
      </c>
      <c r="I162" s="35" t="n">
        <f aca="false">IN_WACC</f>
        <v>0.1</v>
      </c>
      <c r="J162" s="47" t="n">
        <f aca="false">LN(1+D162)</f>
        <v>-0.0943106794712413</v>
      </c>
      <c r="K162" s="47" t="n">
        <f aca="false">LN(1+E162)</f>
        <v>-0.0943106794712413</v>
      </c>
      <c r="L162" s="47" t="n">
        <f aca="false">LN(1+I162)</f>
        <v>0.0953101798043249</v>
      </c>
      <c r="M162" s="47" t="n">
        <f aca="false">IF(C162&gt;0,EXP(-K162*C162)*IF(ABS(K162-L162)&lt;0.000000000001,(C162)-(0),(EXP((K162-L162)*(C162))-EXP((K162-L162)*(0)))/(K162-L162)),0)</f>
        <v>2.00999692560416</v>
      </c>
      <c r="N162" s="47" t="n">
        <f aca="false">EXP(-J162*C162)*IF(ABS(J162-L162)&lt;0.000000000001,(F162)-(C162),(EXP((J162-L162)*(F162))-EXP((J162-L162)*(C162)))/(J162-L162))</f>
        <v>0.752817030345005</v>
      </c>
      <c r="O162" s="47" t="n">
        <f aca="false">G162*EXP(-J162*C162)*IF(ABS(J162-L162)&lt;0.000000000001,(H162)-(F162),(EXP((J162-L162)*(H162))-EXP((J162-L162)*(F162)))/(J162-L162))</f>
        <v>0.782109870623053</v>
      </c>
      <c r="P162" s="47" t="n">
        <f aca="false">IF(ABS(-L162)&lt;0.000000000001,(H162)-(0),(EXP((-L162)*(H162))-EXP((-L162)*(0)))/(-L162))</f>
        <v>4.56956508570619</v>
      </c>
      <c r="Q162" s="47" t="n">
        <f aca="false">IF(C162&gt;F162,"t0&gt;T1（未支援）",(M162+N162+O162)/P162)</f>
        <v>0.775768319322314</v>
      </c>
      <c r="R162" s="15" t="n">
        <f aca="false">IN_sh_H*IN_rg_H</f>
        <v>2.81888551801847</v>
      </c>
    </row>
    <row r="163" customFormat="false" ht="16.5" hidden="false" customHeight="true" outlineLevel="0" collapsed="false">
      <c r="A163" s="1" t="s">
        <v>373</v>
      </c>
      <c r="B163" s="1" t="s">
        <v>327</v>
      </c>
      <c r="C163" s="1" t="n">
        <f aca="false">MAX(0,IN_A-IN_sv_G)</f>
        <v>0.5</v>
      </c>
      <c r="D163" s="35" t="n">
        <f aca="false">IN_g</f>
        <v>-0.09</v>
      </c>
      <c r="E163" s="35" t="n">
        <f aca="false">IN_gpre</f>
        <v>-0.09</v>
      </c>
      <c r="F163" s="55" t="n">
        <f aca="false">$A$142</f>
        <v>3</v>
      </c>
      <c r="G163" s="35" t="n">
        <f aca="false">IN_rho</f>
        <v>0.5</v>
      </c>
      <c r="H163" s="1" t="n">
        <f aca="false">IN_T</f>
        <v>6</v>
      </c>
      <c r="I163" s="35" t="n">
        <f aca="false">IN_WACC</f>
        <v>0.1</v>
      </c>
      <c r="J163" s="47" t="n">
        <f aca="false">LN(1+D163)</f>
        <v>-0.0943106794712413</v>
      </c>
      <c r="K163" s="47" t="n">
        <f aca="false">LN(1+E163)</f>
        <v>-0.0943106794712413</v>
      </c>
      <c r="L163" s="47" t="n">
        <f aca="false">LN(1+I163)</f>
        <v>0.0953101798043249</v>
      </c>
      <c r="M163" s="47" t="n">
        <f aca="false">IF(C163&gt;0,EXP(-K163*C163)*IF(ABS(K163-L163)&lt;0.000000000001,(C163)-(0),(EXP((K163-L163)*(C163))-EXP((K163-L163)*(0)))/(K163-L163)),0)</f>
        <v>0.500062323515398</v>
      </c>
      <c r="N163" s="47" t="n">
        <f aca="false">EXP(-J163*C163)*IF(ABS(J163-L163)&lt;0.000000000001,(F163)-(C163),(EXP((J163-L163)*(F163))-EXP((J163-L163)*(C163)))/(J163-L163))</f>
        <v>1.89829412679418</v>
      </c>
      <c r="O163" s="47" t="n">
        <f aca="false">G163*EXP(-J163*C163)*IF(ABS(J163-L163)&lt;0.000000000001,(H163)-(F163),(EXP((J163-L163)*(H163))-EXP((J163-L163)*(F163)))/(J163-L163))</f>
        <v>0.678937591516244</v>
      </c>
      <c r="P163" s="47" t="n">
        <f aca="false">IF(ABS(-L163)&lt;0.000000000001,(H163)-(0),(EXP((-L163)*(H163))-EXP((-L163)*(0)))/(-L163))</f>
        <v>4.56956508570619</v>
      </c>
      <c r="Q163" s="47" t="n">
        <f aca="false">IF(C163&gt;F163,"t0&gt;T1（未支援）",(M163+N163+O163)/P163)</f>
        <v>0.673432588027194</v>
      </c>
      <c r="R163" s="15" t="n">
        <f aca="false">IN_sh_G*IN_rg_G</f>
        <v>9.24654168303684</v>
      </c>
    </row>
    <row r="164" customFormat="false" ht="16.5" hidden="false" customHeight="true" outlineLevel="0" collapsed="false">
      <c r="A164" s="1" t="s">
        <v>373</v>
      </c>
      <c r="B164" s="1" t="s">
        <v>328</v>
      </c>
      <c r="C164" s="1" t="n">
        <f aca="false">MAX(0,IN_A-IN_sv_3)</f>
        <v>0</v>
      </c>
      <c r="D164" s="35" t="n">
        <f aca="false">IN_g</f>
        <v>-0.09</v>
      </c>
      <c r="E164" s="35" t="n">
        <f aca="false">IN_gpre</f>
        <v>-0.09</v>
      </c>
      <c r="F164" s="55" t="n">
        <f aca="false">$A$142</f>
        <v>3</v>
      </c>
      <c r="G164" s="35" t="n">
        <f aca="false">IN_rho</f>
        <v>0.5</v>
      </c>
      <c r="H164" s="1" t="n">
        <f aca="false">IN_T</f>
        <v>6</v>
      </c>
      <c r="I164" s="35" t="n">
        <f aca="false">IN_WACC</f>
        <v>0.1</v>
      </c>
      <c r="J164" s="47" t="n">
        <f aca="false">LN(1+D164)</f>
        <v>-0.0943106794712413</v>
      </c>
      <c r="K164" s="47" t="n">
        <f aca="false">LN(1+E164)</f>
        <v>-0.0943106794712413</v>
      </c>
      <c r="L164" s="47" t="n">
        <f aca="false">LN(1+I164)</f>
        <v>0.0953101798043249</v>
      </c>
      <c r="M164" s="47" t="n">
        <f aca="false">IF(C164&gt;0,EXP(-K164*C164)*IF(ABS(K164-L164)&lt;0.000000000001,(C164)-(0),(EXP((K164-L164)*(C164))-EXP((K164-L164)*(0)))/(K164-L164)),0)</f>
        <v>0</v>
      </c>
      <c r="N164" s="47" t="n">
        <f aca="false">EXP(-J164*C164)*IF(ABS(J164-L164)&lt;0.000000000001,(F164)-(C164),(EXP((J164-L164)*(F164))-EXP((J164-L164)*(C164)))/(J164-L164))</f>
        <v>2.2878862369215</v>
      </c>
      <c r="O164" s="47" t="n">
        <f aca="false">G164*EXP(-J164*C164)*IF(ABS(J164-L164)&lt;0.000000000001,(H164)-(F164),(EXP((J164-L164)*(H164))-EXP((J164-L164)*(F164)))/(J164-L164))</f>
        <v>0.647665183862951</v>
      </c>
      <c r="P164" s="47" t="n">
        <f aca="false">IF(ABS(-L164)&lt;0.000000000001,(H164)-(0),(EXP((-L164)*(H164))-EXP((-L164)*(0)))/(-L164))</f>
        <v>4.56956508570619</v>
      </c>
      <c r="Q164" s="47" t="n">
        <f aca="false">IF(C164&gt;F164,"t0&gt;T1（未支援）",(M164+N164+O164)/P164)</f>
        <v>0.642413745230808</v>
      </c>
      <c r="R164" s="15" t="n">
        <f aca="false">IN_sh_3*IN_rg_3</f>
        <v>0</v>
      </c>
    </row>
    <row r="165" customFormat="false" ht="16.5" hidden="false" customHeight="true" outlineLevel="0" collapsed="false">
      <c r="A165" s="1" t="s">
        <v>373</v>
      </c>
      <c r="B165" s="1" t="s">
        <v>329</v>
      </c>
      <c r="C165" s="1" t="n">
        <f aca="false">MAX(0,IN_A-IN_sv_V)</f>
        <v>0</v>
      </c>
      <c r="D165" s="35" t="n">
        <f aca="false">IN_g</f>
        <v>-0.09</v>
      </c>
      <c r="E165" s="35" t="n">
        <f aca="false">IN_gpre</f>
        <v>-0.09</v>
      </c>
      <c r="F165" s="55" t="n">
        <f aca="false">$A$142</f>
        <v>3</v>
      </c>
      <c r="G165" s="35" t="n">
        <f aca="false">IN_rho</f>
        <v>0.5</v>
      </c>
      <c r="H165" s="1" t="n">
        <f aca="false">IN_T</f>
        <v>6</v>
      </c>
      <c r="I165" s="35" t="n">
        <f aca="false">IN_WACC</f>
        <v>0.1</v>
      </c>
      <c r="J165" s="47" t="n">
        <f aca="false">LN(1+D165)</f>
        <v>-0.0943106794712413</v>
      </c>
      <c r="K165" s="47" t="n">
        <f aca="false">LN(1+E165)</f>
        <v>-0.0943106794712413</v>
      </c>
      <c r="L165" s="47" t="n">
        <f aca="false">LN(1+I165)</f>
        <v>0.0953101798043249</v>
      </c>
      <c r="M165" s="47" t="n">
        <f aca="false">IF(C165&gt;0,EXP(-K165*C165)*IF(ABS(K165-L165)&lt;0.000000000001,(C165)-(0),(EXP((K165-L165)*(C165))-EXP((K165-L165)*(0)))/(K165-L165)),0)</f>
        <v>0</v>
      </c>
      <c r="N165" s="47" t="n">
        <f aca="false">EXP(-J165*C165)*IF(ABS(J165-L165)&lt;0.000000000001,(F165)-(C165),(EXP((J165-L165)*(F165))-EXP((J165-L165)*(C165)))/(J165-L165))</f>
        <v>2.2878862369215</v>
      </c>
      <c r="O165" s="47" t="n">
        <f aca="false">G165*EXP(-J165*C165)*IF(ABS(J165-L165)&lt;0.000000000001,(H165)-(F165),(EXP((J165-L165)*(H165))-EXP((J165-L165)*(F165)))/(J165-L165))</f>
        <v>0.647665183862951</v>
      </c>
      <c r="P165" s="47" t="n">
        <f aca="false">IF(ABS(-L165)&lt;0.000000000001,(H165)-(0),(EXP((-L165)*(H165))-EXP((-L165)*(0)))/(-L165))</f>
        <v>4.56956508570619</v>
      </c>
      <c r="Q165" s="47" t="n">
        <f aca="false">IF(C165&gt;F165,"t0&gt;T1（未支援）",(M165+N165+O165)/P165)</f>
        <v>0.642413745230808</v>
      </c>
      <c r="R165" s="15" t="n">
        <f aca="false">IN_sh_V*IN_rg_V</f>
        <v>0</v>
      </c>
    </row>
    <row r="166" customFormat="false" ht="16.5" hidden="false" customHeight="true" outlineLevel="0" collapsed="false">
      <c r="A166" s="1" t="s">
        <v>374</v>
      </c>
      <c r="B166" s="1" t="s">
        <v>326</v>
      </c>
      <c r="C166" s="1" t="n">
        <f aca="false">MAX(0,IN_A-IN_sv_H)</f>
        <v>2</v>
      </c>
      <c r="D166" s="35" t="n">
        <f aca="false">IN_g</f>
        <v>-0.09</v>
      </c>
      <c r="E166" s="35" t="n">
        <f aca="false">IN_gpre</f>
        <v>-0.09</v>
      </c>
      <c r="F166" s="55" t="n">
        <f aca="false">$A$143</f>
        <v>3.5</v>
      </c>
      <c r="G166" s="35" t="n">
        <f aca="false">IN_rho</f>
        <v>0.5</v>
      </c>
      <c r="H166" s="1" t="n">
        <f aca="false">IN_T</f>
        <v>6</v>
      </c>
      <c r="I166" s="35" t="n">
        <f aca="false">IN_WACC</f>
        <v>0.1</v>
      </c>
      <c r="J166" s="47" t="n">
        <f aca="false">LN(1+D166)</f>
        <v>-0.0943106794712413</v>
      </c>
      <c r="K166" s="47" t="n">
        <f aca="false">LN(1+E166)</f>
        <v>-0.0943106794712413</v>
      </c>
      <c r="L166" s="47" t="n">
        <f aca="false">LN(1+I166)</f>
        <v>0.0953101798043249</v>
      </c>
      <c r="M166" s="47" t="n">
        <f aca="false">IF(C166&gt;0,EXP(-K166*C166)*IF(ABS(K166-L166)&lt;0.000000000001,(C166)-(0),(EXP((K166-L166)*(C166))-EXP((K166-L166)*(0)))/(K166-L166)),0)</f>
        <v>2.00999692560416</v>
      </c>
      <c r="N166" s="47" t="n">
        <f aca="false">EXP(-J166*C166)*IF(ABS(J166-L166)&lt;0.000000000001,(F166)-(C166),(EXP((J166-L166)*(F166))-EXP((J166-L166)*(C166)))/(J166-L166))</f>
        <v>1.07896010978393</v>
      </c>
      <c r="O166" s="47" t="n">
        <f aca="false">G166*EXP(-J166*C166)*IF(ABS(J166-L166)&lt;0.000000000001,(H166)-(F166),(EXP((J166-L166)*(H166))-EXP((J166-L166)*(F166)))/(J166-L166))</f>
        <v>0.619038330903589</v>
      </c>
      <c r="P166" s="47" t="n">
        <f aca="false">IF(ABS(-L166)&lt;0.000000000001,(H166)-(0),(EXP((-L166)*(H166))-EXP((-L166)*(0)))/(-L166))</f>
        <v>4.56956508570619</v>
      </c>
      <c r="Q166" s="47" t="n">
        <f aca="false">IF(C166&gt;F166,"t0&gt;T1（未支援）",(M166+N166+O166)/P166)</f>
        <v>0.811454765769823</v>
      </c>
      <c r="R166" s="15" t="n">
        <f aca="false">IN_sh_H*IN_rg_H</f>
        <v>2.81888551801847</v>
      </c>
    </row>
    <row r="167" customFormat="false" ht="16.5" hidden="false" customHeight="true" outlineLevel="0" collapsed="false">
      <c r="A167" s="1" t="s">
        <v>374</v>
      </c>
      <c r="B167" s="1" t="s">
        <v>327</v>
      </c>
      <c r="C167" s="1" t="n">
        <f aca="false">MAX(0,IN_A-IN_sv_G)</f>
        <v>0.5</v>
      </c>
      <c r="D167" s="35" t="n">
        <f aca="false">IN_g</f>
        <v>-0.09</v>
      </c>
      <c r="E167" s="35" t="n">
        <f aca="false">IN_gpre</f>
        <v>-0.09</v>
      </c>
      <c r="F167" s="55" t="n">
        <f aca="false">$A$143</f>
        <v>3.5</v>
      </c>
      <c r="G167" s="35" t="n">
        <f aca="false">IN_rho</f>
        <v>0.5</v>
      </c>
      <c r="H167" s="1" t="n">
        <f aca="false">IN_T</f>
        <v>6</v>
      </c>
      <c r="I167" s="35" t="n">
        <f aca="false">IN_WACC</f>
        <v>0.1</v>
      </c>
      <c r="J167" s="47" t="n">
        <f aca="false">LN(1+D167)</f>
        <v>-0.0943106794712413</v>
      </c>
      <c r="K167" s="47" t="n">
        <f aca="false">LN(1+E167)</f>
        <v>-0.0943106794712413</v>
      </c>
      <c r="L167" s="47" t="n">
        <f aca="false">LN(1+I167)</f>
        <v>0.0953101798043249</v>
      </c>
      <c r="M167" s="47" t="n">
        <f aca="false">IF(C167&gt;0,EXP(-K167*C167)*IF(ABS(K167-L167)&lt;0.000000000001,(C167)-(0),(EXP((K167-L167)*(C167))-EXP((K167-L167)*(0)))/(K167-L167)),0)</f>
        <v>0.500062323515398</v>
      </c>
      <c r="N167" s="47" t="n">
        <f aca="false">EXP(-J167*C167)*IF(ABS(J167-L167)&lt;0.000000000001,(F167)-(C167),(EXP((J167-L167)*(F167))-EXP((J167-L167)*(C167)))/(J167-L167))</f>
        <v>2.18141393535453</v>
      </c>
      <c r="O167" s="47" t="n">
        <f aca="false">G167*EXP(-J167*C167)*IF(ABS(J167-L167)&lt;0.000000000001,(H167)-(F167),(EXP((J167-L167)*(H167))-EXP((J167-L167)*(F167)))/(J167-L167))</f>
        <v>0.537377687236071</v>
      </c>
      <c r="P167" s="47" t="n">
        <f aca="false">IF(ABS(-L167)&lt;0.000000000001,(H167)-(0),(EXP((-L167)*(H167))-EXP((-L167)*(0)))/(-L167))</f>
        <v>4.56956508570619</v>
      </c>
      <c r="Q167" s="47" t="n">
        <f aca="false">IF(C167&gt;F167,"t0&gt;T1（未支援）",(M167+N167+O167)/P167)</f>
        <v>0.704411445232441</v>
      </c>
      <c r="R167" s="15" t="n">
        <f aca="false">IN_sh_G*IN_rg_G</f>
        <v>9.24654168303684</v>
      </c>
    </row>
    <row r="168" customFormat="false" ht="16.5" hidden="false" customHeight="true" outlineLevel="0" collapsed="false">
      <c r="A168" s="1" t="s">
        <v>374</v>
      </c>
      <c r="B168" s="1" t="s">
        <v>328</v>
      </c>
      <c r="C168" s="1" t="n">
        <f aca="false">MAX(0,IN_A-IN_sv_3)</f>
        <v>0</v>
      </c>
      <c r="D168" s="35" t="n">
        <f aca="false">IN_g</f>
        <v>-0.09</v>
      </c>
      <c r="E168" s="35" t="n">
        <f aca="false">IN_gpre</f>
        <v>-0.09</v>
      </c>
      <c r="F168" s="55" t="n">
        <f aca="false">$A$143</f>
        <v>3.5</v>
      </c>
      <c r="G168" s="35" t="n">
        <f aca="false">IN_rho</f>
        <v>0.5</v>
      </c>
      <c r="H168" s="1" t="n">
        <f aca="false">IN_T</f>
        <v>6</v>
      </c>
      <c r="I168" s="35" t="n">
        <f aca="false">IN_WACC</f>
        <v>0.1</v>
      </c>
      <c r="J168" s="47" t="n">
        <f aca="false">LN(1+D168)</f>
        <v>-0.0943106794712413</v>
      </c>
      <c r="K168" s="47" t="n">
        <f aca="false">LN(1+E168)</f>
        <v>-0.0943106794712413</v>
      </c>
      <c r="L168" s="47" t="n">
        <f aca="false">LN(1+I168)</f>
        <v>0.0953101798043249</v>
      </c>
      <c r="M168" s="47" t="n">
        <f aca="false">IF(C168&gt;0,EXP(-K168*C168)*IF(ABS(K168-L168)&lt;0.000000000001,(C168)-(0),(EXP((K168-L168)*(C168))-EXP((K168-L168)*(0)))/(K168-L168)),0)</f>
        <v>0</v>
      </c>
      <c r="N168" s="47" t="n">
        <f aca="false">EXP(-J168*C168)*IF(ABS(J168-L168)&lt;0.000000000001,(F168)-(C168),(EXP((J168-L168)*(F168))-EXP((J168-L168)*(C168)))/(J168-L168))</f>
        <v>2.55796532100488</v>
      </c>
      <c r="O168" s="47" t="n">
        <f aca="false">G168*EXP(-J168*C168)*IF(ABS(J168-L168)&lt;0.000000000001,(H168)-(F168),(EXP((J168-L168)*(H168))-EXP((J168-L168)*(F168)))/(J168-L168))</f>
        <v>0.512625641821262</v>
      </c>
      <c r="P168" s="47" t="n">
        <f aca="false">IF(ABS(-L168)&lt;0.000000000001,(H168)-(0),(EXP((-L168)*(H168))-EXP((-L168)*(0)))/(-L168))</f>
        <v>4.56956508570619</v>
      </c>
      <c r="Q168" s="47" t="n">
        <f aca="false">IF(C168&gt;F168,"t0&gt;T1（未支援）",(M168+N168+O168)/P168)</f>
        <v>0.671965691533991</v>
      </c>
      <c r="R168" s="15" t="n">
        <f aca="false">IN_sh_3*IN_rg_3</f>
        <v>0</v>
      </c>
    </row>
    <row r="169" customFormat="false" ht="16.5" hidden="false" customHeight="true" outlineLevel="0" collapsed="false">
      <c r="A169" s="1" t="s">
        <v>374</v>
      </c>
      <c r="B169" s="1" t="s">
        <v>329</v>
      </c>
      <c r="C169" s="1" t="n">
        <f aca="false">MAX(0,IN_A-IN_sv_V)</f>
        <v>0</v>
      </c>
      <c r="D169" s="35" t="n">
        <f aca="false">IN_g</f>
        <v>-0.09</v>
      </c>
      <c r="E169" s="35" t="n">
        <f aca="false">IN_gpre</f>
        <v>-0.09</v>
      </c>
      <c r="F169" s="55" t="n">
        <f aca="false">$A$143</f>
        <v>3.5</v>
      </c>
      <c r="G169" s="35" t="n">
        <f aca="false">IN_rho</f>
        <v>0.5</v>
      </c>
      <c r="H169" s="1" t="n">
        <f aca="false">IN_T</f>
        <v>6</v>
      </c>
      <c r="I169" s="35" t="n">
        <f aca="false">IN_WACC</f>
        <v>0.1</v>
      </c>
      <c r="J169" s="47" t="n">
        <f aca="false">LN(1+D169)</f>
        <v>-0.0943106794712413</v>
      </c>
      <c r="K169" s="47" t="n">
        <f aca="false">LN(1+E169)</f>
        <v>-0.0943106794712413</v>
      </c>
      <c r="L169" s="47" t="n">
        <f aca="false">LN(1+I169)</f>
        <v>0.0953101798043249</v>
      </c>
      <c r="M169" s="47" t="n">
        <f aca="false">IF(C169&gt;0,EXP(-K169*C169)*IF(ABS(K169-L169)&lt;0.000000000001,(C169)-(0),(EXP((K169-L169)*(C169))-EXP((K169-L169)*(0)))/(K169-L169)),0)</f>
        <v>0</v>
      </c>
      <c r="N169" s="47" t="n">
        <f aca="false">EXP(-J169*C169)*IF(ABS(J169-L169)&lt;0.000000000001,(F169)-(C169),(EXP((J169-L169)*(F169))-EXP((J169-L169)*(C169)))/(J169-L169))</f>
        <v>2.55796532100488</v>
      </c>
      <c r="O169" s="47" t="n">
        <f aca="false">G169*EXP(-J169*C169)*IF(ABS(J169-L169)&lt;0.000000000001,(H169)-(F169),(EXP((J169-L169)*(H169))-EXP((J169-L169)*(F169)))/(J169-L169))</f>
        <v>0.512625641821262</v>
      </c>
      <c r="P169" s="47" t="n">
        <f aca="false">IF(ABS(-L169)&lt;0.000000000001,(H169)-(0),(EXP((-L169)*(H169))-EXP((-L169)*(0)))/(-L169))</f>
        <v>4.56956508570619</v>
      </c>
      <c r="Q169" s="47" t="n">
        <f aca="false">IF(C169&gt;F169,"t0&gt;T1（未支援）",(M169+N169+O169)/P169)</f>
        <v>0.671965691533991</v>
      </c>
      <c r="R169" s="15" t="n">
        <f aca="false">IN_sh_V*IN_rg_V</f>
        <v>0</v>
      </c>
    </row>
    <row r="170" customFormat="false" ht="16.5" hidden="false" customHeight="true" outlineLevel="0" collapsed="false">
      <c r="A170" s="1" t="s">
        <v>375</v>
      </c>
      <c r="B170" s="1" t="s">
        <v>326</v>
      </c>
      <c r="C170" s="1" t="n">
        <f aca="false">MAX(0,IN_A-IN_sv_H)</f>
        <v>2</v>
      </c>
      <c r="D170" s="35" t="n">
        <f aca="false">IN_g</f>
        <v>-0.09</v>
      </c>
      <c r="E170" s="35" t="n">
        <f aca="false">IN_gpre</f>
        <v>-0.09</v>
      </c>
      <c r="F170" s="55" t="n">
        <f aca="false">$A$144</f>
        <v>4</v>
      </c>
      <c r="G170" s="35" t="n">
        <f aca="false">IN_rho</f>
        <v>0.5</v>
      </c>
      <c r="H170" s="1" t="n">
        <f aca="false">IN_T</f>
        <v>6</v>
      </c>
      <c r="I170" s="35" t="n">
        <f aca="false">IN_WACC</f>
        <v>0.1</v>
      </c>
      <c r="J170" s="47" t="n">
        <f aca="false">LN(1+D170)</f>
        <v>-0.0943106794712413</v>
      </c>
      <c r="K170" s="47" t="n">
        <f aca="false">LN(1+E170)</f>
        <v>-0.0943106794712413</v>
      </c>
      <c r="L170" s="47" t="n">
        <f aca="false">LN(1+I170)</f>
        <v>0.0953101798043249</v>
      </c>
      <c r="M170" s="47" t="n">
        <f aca="false">IF(C170&gt;0,EXP(-K170*C170)*IF(ABS(K170-L170)&lt;0.000000000001,(C170)-(0),(EXP((K170-L170)*(C170))-EXP((K170-L170)*(0)))/(K170-L170)),0)</f>
        <v>2.00999692560416</v>
      </c>
      <c r="N170" s="47" t="n">
        <f aca="false">EXP(-J170*C170)*IF(ABS(J170-L170)&lt;0.000000000001,(F170)-(C170),(EXP((J170-L170)*(F170))-EXP((J170-L170)*(C170)))/(J170-L170))</f>
        <v>1.37560202817587</v>
      </c>
      <c r="O170" s="47" t="n">
        <f aca="false">G170*EXP(-J170*C170)*IF(ABS(J170-L170)&lt;0.000000000001,(H170)-(F170),(EXP((J170-L170)*(H170))-EXP((J170-L170)*(F170)))/(J170-L170))</f>
        <v>0.47071737170762</v>
      </c>
      <c r="P170" s="47" t="n">
        <f aca="false">IF(ABS(-L170)&lt;0.000000000001,(H170)-(0),(EXP((-L170)*(H170))-EXP((-L170)*(0)))/(-L170))</f>
        <v>4.56956508570619</v>
      </c>
      <c r="Q170" s="47" t="n">
        <f aca="false">IF(C170&gt;F170,"t0&gt;T1（未支援）",(M170+N170+O170)/P170)</f>
        <v>0.843913206871784</v>
      </c>
      <c r="R170" s="15" t="n">
        <f aca="false">IN_sh_H*IN_rg_H</f>
        <v>2.81888551801847</v>
      </c>
    </row>
    <row r="171" customFormat="false" ht="16.5" hidden="false" customHeight="true" outlineLevel="0" collapsed="false">
      <c r="A171" s="1" t="s">
        <v>375</v>
      </c>
      <c r="B171" s="1" t="s">
        <v>327</v>
      </c>
      <c r="C171" s="1" t="n">
        <f aca="false">MAX(0,IN_A-IN_sv_G)</f>
        <v>0.5</v>
      </c>
      <c r="D171" s="35" t="n">
        <f aca="false">IN_g</f>
        <v>-0.09</v>
      </c>
      <c r="E171" s="35" t="n">
        <f aca="false">IN_gpre</f>
        <v>-0.09</v>
      </c>
      <c r="F171" s="55" t="n">
        <f aca="false">$A$144</f>
        <v>4</v>
      </c>
      <c r="G171" s="35" t="n">
        <f aca="false">IN_rho</f>
        <v>0.5</v>
      </c>
      <c r="H171" s="1" t="n">
        <f aca="false">IN_T</f>
        <v>6</v>
      </c>
      <c r="I171" s="35" t="n">
        <f aca="false">IN_WACC</f>
        <v>0.1</v>
      </c>
      <c r="J171" s="47" t="n">
        <f aca="false">LN(1+D171)</f>
        <v>-0.0943106794712413</v>
      </c>
      <c r="K171" s="47" t="n">
        <f aca="false">LN(1+E171)</f>
        <v>-0.0943106794712413</v>
      </c>
      <c r="L171" s="47" t="n">
        <f aca="false">LN(1+I171)</f>
        <v>0.0953101798043249</v>
      </c>
      <c r="M171" s="47" t="n">
        <f aca="false">IF(C171&gt;0,EXP(-K171*C171)*IF(ABS(K171-L171)&lt;0.000000000001,(C171)-(0),(EXP((K171-L171)*(C171))-EXP((K171-L171)*(0)))/(K171-L171)),0)</f>
        <v>0.500062323515398</v>
      </c>
      <c r="N171" s="47" t="n">
        <f aca="false">EXP(-J171*C171)*IF(ABS(J171-L171)&lt;0.000000000001,(F171)-(C171),(EXP((J171-L171)*(F171))-EXP((J171-L171)*(C171)))/(J171-L171))</f>
        <v>2.43892423816575</v>
      </c>
      <c r="O171" s="47" t="n">
        <f aca="false">G171*EXP(-J171*C171)*IF(ABS(J171-L171)&lt;0.000000000001,(H171)-(F171),(EXP((J171-L171)*(H171))-EXP((J171-L171)*(F171)))/(J171-L171))</f>
        <v>0.408622535830464</v>
      </c>
      <c r="P171" s="47" t="n">
        <f aca="false">IF(ABS(-L171)&lt;0.000000000001,(H171)-(0),(EXP((-L171)*(H171))-EXP((-L171)*(0)))/(-L171))</f>
        <v>4.56956508570619</v>
      </c>
      <c r="Q171" s="47" t="n">
        <f aca="false">IF(C171&gt;F171,"t0&gt;T1（未支援）",(M171+N171+O171)/P171)</f>
        <v>0.73258812047192</v>
      </c>
      <c r="R171" s="15" t="n">
        <f aca="false">IN_sh_G*IN_rg_G</f>
        <v>9.24654168303684</v>
      </c>
    </row>
    <row r="172" customFormat="false" ht="16.5" hidden="false" customHeight="true" outlineLevel="0" collapsed="false">
      <c r="A172" s="1" t="s">
        <v>375</v>
      </c>
      <c r="B172" s="1" t="s">
        <v>328</v>
      </c>
      <c r="C172" s="1" t="n">
        <f aca="false">MAX(0,IN_A-IN_sv_3)</f>
        <v>0</v>
      </c>
      <c r="D172" s="35" t="n">
        <f aca="false">IN_g</f>
        <v>-0.09</v>
      </c>
      <c r="E172" s="35" t="n">
        <f aca="false">IN_gpre</f>
        <v>-0.09</v>
      </c>
      <c r="F172" s="55" t="n">
        <f aca="false">$A$144</f>
        <v>4</v>
      </c>
      <c r="G172" s="35" t="n">
        <f aca="false">IN_rho</f>
        <v>0.5</v>
      </c>
      <c r="H172" s="1" t="n">
        <f aca="false">IN_T</f>
        <v>6</v>
      </c>
      <c r="I172" s="35" t="n">
        <f aca="false">IN_WACC</f>
        <v>0.1</v>
      </c>
      <c r="J172" s="47" t="n">
        <f aca="false">LN(1+D172)</f>
        <v>-0.0943106794712413</v>
      </c>
      <c r="K172" s="47" t="n">
        <f aca="false">LN(1+E172)</f>
        <v>-0.0943106794712413</v>
      </c>
      <c r="L172" s="47" t="n">
        <f aca="false">LN(1+I172)</f>
        <v>0.0953101798043249</v>
      </c>
      <c r="M172" s="47" t="n">
        <f aca="false">IF(C172&gt;0,EXP(-K172*C172)*IF(ABS(K172-L172)&lt;0.000000000001,(C172)-(0),(EXP((K172-L172)*(C172))-EXP((K172-L172)*(0)))/(K172-L172)),0)</f>
        <v>0</v>
      </c>
      <c r="N172" s="47" t="n">
        <f aca="false">EXP(-J172*C172)*IF(ABS(J172-L172)&lt;0.000000000001,(F172)-(C172),(EXP((J172-L172)*(F172))-EXP((J172-L172)*(C172)))/(J172-L172))</f>
        <v>2.80361449362525</v>
      </c>
      <c r="O172" s="47" t="n">
        <f aca="false">G172*EXP(-J172*C172)*IF(ABS(J172-L172)&lt;0.000000000001,(H172)-(F172),(EXP((J172-L172)*(H172))-EXP((J172-L172)*(F172)))/(J172-L172))</f>
        <v>0.38980105551108</v>
      </c>
      <c r="P172" s="47" t="n">
        <f aca="false">IF(ABS(-L172)&lt;0.000000000001,(H172)-(0),(EXP((-L172)*(H172))-EXP((-L172)*(0)))/(-L172))</f>
        <v>4.56956508570619</v>
      </c>
      <c r="Q172" s="47" t="n">
        <f aca="false">IF(C172&gt;F172,"t0&gt;T1（未支援）",(M172+N172+O172)/P172)</f>
        <v>0.698844526610524</v>
      </c>
      <c r="R172" s="15" t="n">
        <f aca="false">IN_sh_3*IN_rg_3</f>
        <v>0</v>
      </c>
    </row>
    <row r="173" customFormat="false" ht="16.5" hidden="false" customHeight="true" outlineLevel="0" collapsed="false">
      <c r="A173" s="1" t="s">
        <v>375</v>
      </c>
      <c r="B173" s="1" t="s">
        <v>329</v>
      </c>
      <c r="C173" s="1" t="n">
        <f aca="false">MAX(0,IN_A-IN_sv_V)</f>
        <v>0</v>
      </c>
      <c r="D173" s="35" t="n">
        <f aca="false">IN_g</f>
        <v>-0.09</v>
      </c>
      <c r="E173" s="35" t="n">
        <f aca="false">IN_gpre</f>
        <v>-0.09</v>
      </c>
      <c r="F173" s="55" t="n">
        <f aca="false">$A$144</f>
        <v>4</v>
      </c>
      <c r="G173" s="35" t="n">
        <f aca="false">IN_rho</f>
        <v>0.5</v>
      </c>
      <c r="H173" s="1" t="n">
        <f aca="false">IN_T</f>
        <v>6</v>
      </c>
      <c r="I173" s="35" t="n">
        <f aca="false">IN_WACC</f>
        <v>0.1</v>
      </c>
      <c r="J173" s="47" t="n">
        <f aca="false">LN(1+D173)</f>
        <v>-0.0943106794712413</v>
      </c>
      <c r="K173" s="47" t="n">
        <f aca="false">LN(1+E173)</f>
        <v>-0.0943106794712413</v>
      </c>
      <c r="L173" s="47" t="n">
        <f aca="false">LN(1+I173)</f>
        <v>0.0953101798043249</v>
      </c>
      <c r="M173" s="47" t="n">
        <f aca="false">IF(C173&gt;0,EXP(-K173*C173)*IF(ABS(K173-L173)&lt;0.000000000001,(C173)-(0),(EXP((K173-L173)*(C173))-EXP((K173-L173)*(0)))/(K173-L173)),0)</f>
        <v>0</v>
      </c>
      <c r="N173" s="47" t="n">
        <f aca="false">EXP(-J173*C173)*IF(ABS(J173-L173)&lt;0.000000000001,(F173)-(C173),(EXP((J173-L173)*(F173))-EXP((J173-L173)*(C173)))/(J173-L173))</f>
        <v>2.80361449362525</v>
      </c>
      <c r="O173" s="47" t="n">
        <f aca="false">G173*EXP(-J173*C173)*IF(ABS(J173-L173)&lt;0.000000000001,(H173)-(F173),(EXP((J173-L173)*(H173))-EXP((J173-L173)*(F173)))/(J173-L173))</f>
        <v>0.38980105551108</v>
      </c>
      <c r="P173" s="47" t="n">
        <f aca="false">IF(ABS(-L173)&lt;0.000000000001,(H173)-(0),(EXP((-L173)*(H173))-EXP((-L173)*(0)))/(-L173))</f>
        <v>4.56956508570619</v>
      </c>
      <c r="Q173" s="47" t="n">
        <f aca="false">IF(C173&gt;F173,"t0&gt;T1（未支援）",(M173+N173+O173)/P173)</f>
        <v>0.698844526610524</v>
      </c>
      <c r="R173" s="15" t="n">
        <f aca="false">IN_sh_V*IN_rg_V</f>
        <v>0</v>
      </c>
    </row>
    <row r="174" customFormat="false" ht="16.5" hidden="false" customHeight="true" outlineLevel="0" collapsed="false">
      <c r="A174" s="1" t="s">
        <v>376</v>
      </c>
      <c r="B174" s="1" t="s">
        <v>326</v>
      </c>
      <c r="C174" s="1" t="n">
        <f aca="false">MAX(0,IN_A-IN_sv_H)</f>
        <v>2</v>
      </c>
      <c r="D174" s="35" t="n">
        <f aca="false">IN_g</f>
        <v>-0.09</v>
      </c>
      <c r="E174" s="35" t="n">
        <f aca="false">IN_gpre</f>
        <v>-0.09</v>
      </c>
      <c r="F174" s="55" t="n">
        <f aca="false">$A$145</f>
        <v>4.5</v>
      </c>
      <c r="G174" s="35" t="n">
        <f aca="false">IN_rho</f>
        <v>0.5</v>
      </c>
      <c r="H174" s="1" t="n">
        <f aca="false">IN_T</f>
        <v>6</v>
      </c>
      <c r="I174" s="35" t="n">
        <f aca="false">IN_WACC</f>
        <v>0.1</v>
      </c>
      <c r="J174" s="47" t="n">
        <f aca="false">LN(1+D174)</f>
        <v>-0.0943106794712413</v>
      </c>
      <c r="K174" s="47" t="n">
        <f aca="false">LN(1+E174)</f>
        <v>-0.0943106794712413</v>
      </c>
      <c r="L174" s="47" t="n">
        <f aca="false">LN(1+I174)</f>
        <v>0.0953101798043249</v>
      </c>
      <c r="M174" s="47" t="n">
        <f aca="false">IF(C174&gt;0,EXP(-K174*C174)*IF(ABS(K174-L174)&lt;0.000000000001,(C174)-(0),(EXP((K174-L174)*(C174))-EXP((K174-L174)*(0)))/(K174-L174)),0)</f>
        <v>2.00999692560416</v>
      </c>
      <c r="N174" s="47" t="n">
        <f aca="false">EXP(-J174*C174)*IF(ABS(J174-L174)&lt;0.000000000001,(F174)-(C174),(EXP((J174-L174)*(F174))-EXP((J174-L174)*(C174)))/(J174-L174))</f>
        <v>1.64541130298444</v>
      </c>
      <c r="O174" s="47" t="n">
        <f aca="false">G174*EXP(-J174*C174)*IF(ABS(J174-L174)&lt;0.000000000001,(H174)-(F174),(EXP((J174-L174)*(H174))-EXP((J174-L174)*(F174)))/(J174-L174))</f>
        <v>0.335812734303336</v>
      </c>
      <c r="P174" s="47" t="n">
        <f aca="false">IF(ABS(-L174)&lt;0.000000000001,(H174)-(0),(EXP((-L174)*(H174))-EXP((-L174)*(0)))/(-L174))</f>
        <v>4.56956508570619</v>
      </c>
      <c r="Q174" s="47" t="n">
        <f aca="false">IF(C174&gt;F174,"t0&gt;T1（未支援）",(M174+N174+O174)/P174)</f>
        <v>0.873435630751087</v>
      </c>
      <c r="R174" s="15" t="n">
        <f aca="false">IN_sh_H*IN_rg_H</f>
        <v>2.81888551801847</v>
      </c>
    </row>
    <row r="175" customFormat="false" ht="16.5" hidden="false" customHeight="true" outlineLevel="0" collapsed="false">
      <c r="A175" s="1" t="s">
        <v>376</v>
      </c>
      <c r="B175" s="1" t="s">
        <v>327</v>
      </c>
      <c r="C175" s="1" t="n">
        <f aca="false">MAX(0,IN_A-IN_sv_G)</f>
        <v>0.5</v>
      </c>
      <c r="D175" s="35" t="n">
        <f aca="false">IN_g</f>
        <v>-0.09</v>
      </c>
      <c r="E175" s="35" t="n">
        <f aca="false">IN_gpre</f>
        <v>-0.09</v>
      </c>
      <c r="F175" s="55" t="n">
        <f aca="false">$A$145</f>
        <v>4.5</v>
      </c>
      <c r="G175" s="35" t="n">
        <f aca="false">IN_rho</f>
        <v>0.5</v>
      </c>
      <c r="H175" s="1" t="n">
        <f aca="false">IN_T</f>
        <v>6</v>
      </c>
      <c r="I175" s="35" t="n">
        <f aca="false">IN_WACC</f>
        <v>0.1</v>
      </c>
      <c r="J175" s="47" t="n">
        <f aca="false">LN(1+D175)</f>
        <v>-0.0943106794712413</v>
      </c>
      <c r="K175" s="47" t="n">
        <f aca="false">LN(1+E175)</f>
        <v>-0.0943106794712413</v>
      </c>
      <c r="L175" s="47" t="n">
        <f aca="false">LN(1+I175)</f>
        <v>0.0953101798043249</v>
      </c>
      <c r="M175" s="47" t="n">
        <f aca="false">IF(C175&gt;0,EXP(-K175*C175)*IF(ABS(K175-L175)&lt;0.000000000001,(C175)-(0),(EXP((K175-L175)*(C175))-EXP((K175-L175)*(0)))/(K175-L175)),0)</f>
        <v>0.500062323515398</v>
      </c>
      <c r="N175" s="47" t="n">
        <f aca="false">EXP(-J175*C175)*IF(ABS(J175-L175)&lt;0.000000000001,(F175)-(C175),(EXP((J175-L175)*(F175))-EXP((J175-L175)*(C175)))/(J175-L175))</f>
        <v>2.6731415343384</v>
      </c>
      <c r="O175" s="47" t="n">
        <f aca="false">G175*EXP(-J175*C175)*IF(ABS(J175-L175)&lt;0.000000000001,(H175)-(F175),(EXP((J175-L175)*(H175))-EXP((J175-L175)*(F175)))/(J175-L175))</f>
        <v>0.291513887744138</v>
      </c>
      <c r="P175" s="47" t="n">
        <f aca="false">IF(ABS(-L175)&lt;0.000000000001,(H175)-(0),(EXP((-L175)*(H175))-EXP((-L175)*(0)))/(-L175))</f>
        <v>4.56956508570619</v>
      </c>
      <c r="Q175" s="47" t="n">
        <f aca="false">IF(C175&gt;F175,"t0&gt;T1（未支援）",(M175+N175+O175)/P175)</f>
        <v>0.758216084159897</v>
      </c>
      <c r="R175" s="15" t="n">
        <f aca="false">IN_sh_G*IN_rg_G</f>
        <v>9.24654168303684</v>
      </c>
    </row>
    <row r="176" customFormat="false" ht="16.5" hidden="false" customHeight="true" outlineLevel="0" collapsed="false">
      <c r="A176" s="1" t="s">
        <v>376</v>
      </c>
      <c r="B176" s="1" t="s">
        <v>328</v>
      </c>
      <c r="C176" s="1" t="n">
        <f aca="false">MAX(0,IN_A-IN_sv_3)</f>
        <v>0</v>
      </c>
      <c r="D176" s="35" t="n">
        <f aca="false">IN_g</f>
        <v>-0.09</v>
      </c>
      <c r="E176" s="35" t="n">
        <f aca="false">IN_gpre</f>
        <v>-0.09</v>
      </c>
      <c r="F176" s="55" t="n">
        <f aca="false">$A$145</f>
        <v>4.5</v>
      </c>
      <c r="G176" s="35" t="n">
        <f aca="false">IN_rho</f>
        <v>0.5</v>
      </c>
      <c r="H176" s="1" t="n">
        <f aca="false">IN_T</f>
        <v>6</v>
      </c>
      <c r="I176" s="35" t="n">
        <f aca="false">IN_WACC</f>
        <v>0.1</v>
      </c>
      <c r="J176" s="47" t="n">
        <f aca="false">LN(1+D176)</f>
        <v>-0.0943106794712413</v>
      </c>
      <c r="K176" s="47" t="n">
        <f aca="false">LN(1+E176)</f>
        <v>-0.0943106794712413</v>
      </c>
      <c r="L176" s="47" t="n">
        <f aca="false">LN(1+I176)</f>
        <v>0.0953101798043249</v>
      </c>
      <c r="M176" s="47" t="n">
        <f aca="false">IF(C176&gt;0,EXP(-K176*C176)*IF(ABS(K176-L176)&lt;0.000000000001,(C176)-(0),(EXP((K176-L176)*(C176))-EXP((K176-L176)*(0)))/(K176-L176)),0)</f>
        <v>0</v>
      </c>
      <c r="N176" s="47" t="n">
        <f aca="false">EXP(-J176*C176)*IF(ABS(J176-L176)&lt;0.000000000001,(F176)-(C176),(EXP((J176-L176)*(F176))-EXP((J176-L176)*(C176)))/(J176-L176))</f>
        <v>3.02704355409422</v>
      </c>
      <c r="O176" s="47" t="n">
        <f aca="false">G176*EXP(-J176*C176)*IF(ABS(J176-L176)&lt;0.000000000001,(H176)-(F176),(EXP((J176-L176)*(H176))-EXP((J176-L176)*(F176)))/(J176-L176))</f>
        <v>0.278086525276593</v>
      </c>
      <c r="P176" s="47" t="n">
        <f aca="false">IF(ABS(-L176)&lt;0.000000000001,(H176)-(0),(EXP((-L176)*(H176))-EXP((-L176)*(0)))/(-L176))</f>
        <v>4.56956508570619</v>
      </c>
      <c r="Q176" s="47" t="n">
        <f aca="false">IF(C176&gt;F176,"t0&gt;T1（未支援）",(M176+N176+O176)/P176)</f>
        <v>0.723292045824976</v>
      </c>
      <c r="R176" s="15" t="n">
        <f aca="false">IN_sh_3*IN_rg_3</f>
        <v>0</v>
      </c>
    </row>
    <row r="177" customFormat="false" ht="16.5" hidden="false" customHeight="true" outlineLevel="0" collapsed="false">
      <c r="A177" s="1" t="s">
        <v>376</v>
      </c>
      <c r="B177" s="1" t="s">
        <v>329</v>
      </c>
      <c r="C177" s="1" t="n">
        <f aca="false">MAX(0,IN_A-IN_sv_V)</f>
        <v>0</v>
      </c>
      <c r="D177" s="35" t="n">
        <f aca="false">IN_g</f>
        <v>-0.09</v>
      </c>
      <c r="E177" s="35" t="n">
        <f aca="false">IN_gpre</f>
        <v>-0.09</v>
      </c>
      <c r="F177" s="55" t="n">
        <f aca="false">$A$145</f>
        <v>4.5</v>
      </c>
      <c r="G177" s="35" t="n">
        <f aca="false">IN_rho</f>
        <v>0.5</v>
      </c>
      <c r="H177" s="1" t="n">
        <f aca="false">IN_T</f>
        <v>6</v>
      </c>
      <c r="I177" s="35" t="n">
        <f aca="false">IN_WACC</f>
        <v>0.1</v>
      </c>
      <c r="J177" s="47" t="n">
        <f aca="false">LN(1+D177)</f>
        <v>-0.0943106794712413</v>
      </c>
      <c r="K177" s="47" t="n">
        <f aca="false">LN(1+E177)</f>
        <v>-0.0943106794712413</v>
      </c>
      <c r="L177" s="47" t="n">
        <f aca="false">LN(1+I177)</f>
        <v>0.0953101798043249</v>
      </c>
      <c r="M177" s="47" t="n">
        <f aca="false">IF(C177&gt;0,EXP(-K177*C177)*IF(ABS(K177-L177)&lt;0.000000000001,(C177)-(0),(EXP((K177-L177)*(C177))-EXP((K177-L177)*(0)))/(K177-L177)),0)</f>
        <v>0</v>
      </c>
      <c r="N177" s="47" t="n">
        <f aca="false">EXP(-J177*C177)*IF(ABS(J177-L177)&lt;0.000000000001,(F177)-(C177),(EXP((J177-L177)*(F177))-EXP((J177-L177)*(C177)))/(J177-L177))</f>
        <v>3.02704355409422</v>
      </c>
      <c r="O177" s="47" t="n">
        <f aca="false">G177*EXP(-J177*C177)*IF(ABS(J177-L177)&lt;0.000000000001,(H177)-(F177),(EXP((J177-L177)*(H177))-EXP((J177-L177)*(F177)))/(J177-L177))</f>
        <v>0.278086525276593</v>
      </c>
      <c r="P177" s="47" t="n">
        <f aca="false">IF(ABS(-L177)&lt;0.000000000001,(H177)-(0),(EXP((-L177)*(H177))-EXP((-L177)*(0)))/(-L177))</f>
        <v>4.56956508570619</v>
      </c>
      <c r="Q177" s="47" t="n">
        <f aca="false">IF(C177&gt;F177,"t0&gt;T1（未支援）",(M177+N177+O177)/P177)</f>
        <v>0.723292045824976</v>
      </c>
      <c r="R177" s="15" t="n">
        <f aca="false">IN_sh_V*IN_rg_V</f>
        <v>0</v>
      </c>
    </row>
    <row r="178" customFormat="false" ht="16.5" hidden="false" customHeight="true" outlineLevel="0" collapsed="false">
      <c r="A178" s="1" t="s">
        <v>377</v>
      </c>
      <c r="B178" s="1" t="s">
        <v>326</v>
      </c>
      <c r="C178" s="1" t="n">
        <f aca="false">MAX(0,IN_A-IN_sv_H)</f>
        <v>2</v>
      </c>
      <c r="D178" s="35" t="n">
        <f aca="false">IN_g</f>
        <v>-0.09</v>
      </c>
      <c r="E178" s="35" t="n">
        <f aca="false">IN_gpre</f>
        <v>-0.09</v>
      </c>
      <c r="F178" s="55" t="n">
        <f aca="false">$A$146</f>
        <v>5</v>
      </c>
      <c r="G178" s="35" t="n">
        <f aca="false">IN_rho</f>
        <v>0.5</v>
      </c>
      <c r="H178" s="1" t="n">
        <f aca="false">IN_T</f>
        <v>6</v>
      </c>
      <c r="I178" s="35" t="n">
        <f aca="false">IN_WACC</f>
        <v>0.1</v>
      </c>
      <c r="J178" s="47" t="n">
        <f aca="false">LN(1+D178)</f>
        <v>-0.0943106794712413</v>
      </c>
      <c r="K178" s="47" t="n">
        <f aca="false">LN(1+E178)</f>
        <v>-0.0943106794712413</v>
      </c>
      <c r="L178" s="47" t="n">
        <f aca="false">LN(1+I178)</f>
        <v>0.0953101798043249</v>
      </c>
      <c r="M178" s="47" t="n">
        <f aca="false">IF(C178&gt;0,EXP(-K178*C178)*IF(ABS(K178-L178)&lt;0.000000000001,(C178)-(0),(EXP((K178-L178)*(C178))-EXP((K178-L178)*(0)))/(K178-L178)),0)</f>
        <v>2.00999692560416</v>
      </c>
      <c r="N178" s="47" t="n">
        <f aca="false">EXP(-J178*C178)*IF(ABS(J178-L178)&lt;0.000000000001,(F178)-(C178),(EXP((J178-L178)*(F178))-EXP((J178-L178)*(C178)))/(J178-L178))</f>
        <v>1.89081507183595</v>
      </c>
      <c r="O178" s="47" t="n">
        <f aca="false">G178*EXP(-J178*C178)*IF(ABS(J178-L178)&lt;0.000000000001,(H178)-(F178),(EXP((J178-L178)*(H178))-EXP((J178-L178)*(F178)))/(J178-L178))</f>
        <v>0.213110849877579</v>
      </c>
      <c r="P178" s="47" t="n">
        <f aca="false">IF(ABS(-L178)&lt;0.000000000001,(H178)-(0),(EXP((-L178)*(H178))-EXP((-L178)*(0)))/(-L178))</f>
        <v>4.56956508570619</v>
      </c>
      <c r="Q178" s="47" t="n">
        <f aca="false">IF(C178&gt;F178,"t0&gt;T1（未支援）",(M178+N178+O178)/P178)</f>
        <v>0.900287613844527</v>
      </c>
      <c r="R178" s="15" t="n">
        <f aca="false">IN_sh_H*IN_rg_H</f>
        <v>2.81888551801847</v>
      </c>
    </row>
    <row r="179" customFormat="false" ht="16.5" hidden="false" customHeight="true" outlineLevel="0" collapsed="false">
      <c r="A179" s="1" t="s">
        <v>377</v>
      </c>
      <c r="B179" s="1" t="s">
        <v>327</v>
      </c>
      <c r="C179" s="1" t="n">
        <f aca="false">MAX(0,IN_A-IN_sv_G)</f>
        <v>0.5</v>
      </c>
      <c r="D179" s="35" t="n">
        <f aca="false">IN_g</f>
        <v>-0.09</v>
      </c>
      <c r="E179" s="35" t="n">
        <f aca="false">IN_gpre</f>
        <v>-0.09</v>
      </c>
      <c r="F179" s="55" t="n">
        <f aca="false">$A$146</f>
        <v>5</v>
      </c>
      <c r="G179" s="35" t="n">
        <f aca="false">IN_rho</f>
        <v>0.5</v>
      </c>
      <c r="H179" s="1" t="n">
        <f aca="false">IN_T</f>
        <v>6</v>
      </c>
      <c r="I179" s="35" t="n">
        <f aca="false">IN_WACC</f>
        <v>0.1</v>
      </c>
      <c r="J179" s="47" t="n">
        <f aca="false">LN(1+D179)</f>
        <v>-0.0943106794712413</v>
      </c>
      <c r="K179" s="47" t="n">
        <f aca="false">LN(1+E179)</f>
        <v>-0.0943106794712413</v>
      </c>
      <c r="L179" s="47" t="n">
        <f aca="false">LN(1+I179)</f>
        <v>0.0953101798043249</v>
      </c>
      <c r="M179" s="47" t="n">
        <f aca="false">IF(C179&gt;0,EXP(-K179*C179)*IF(ABS(K179-L179)&lt;0.000000000001,(C179)-(0),(EXP((K179-L179)*(C179))-EXP((K179-L179)*(0)))/(K179-L179)),0)</f>
        <v>0.500062323515398</v>
      </c>
      <c r="N179" s="47" t="n">
        <f aca="false">EXP(-J179*C179)*IF(ABS(J179-L179)&lt;0.000000000001,(F179)-(C179),(EXP((J179-L179)*(F179))-EXP((J179-L179)*(C179)))/(J179-L179))</f>
        <v>2.88617278484585</v>
      </c>
      <c r="O179" s="47" t="n">
        <f aca="false">G179*EXP(-J179*C179)*IF(ABS(J179-L179)&lt;0.000000000001,(H179)-(F179),(EXP((J179-L179)*(H179))-EXP((J179-L179)*(F179)))/(J179-L179))</f>
        <v>0.184998262490409</v>
      </c>
      <c r="P179" s="47" t="n">
        <f aca="false">IF(ABS(-L179)&lt;0.000000000001,(H179)-(0),(EXP((-L179)*(H179))-EXP((-L179)*(0)))/(-L179))</f>
        <v>4.56956508570619</v>
      </c>
      <c r="Q179" s="47" t="n">
        <f aca="false">IF(C179&gt;F179,"t0&gt;T1（未支援）",(M179+N179+O179)/P179)</f>
        <v>0.781525879130739</v>
      </c>
      <c r="R179" s="15" t="n">
        <f aca="false">IN_sh_G*IN_rg_G</f>
        <v>9.24654168303684</v>
      </c>
    </row>
    <row r="180" customFormat="false" ht="16.5" hidden="false" customHeight="true" outlineLevel="0" collapsed="false">
      <c r="A180" s="1" t="s">
        <v>377</v>
      </c>
      <c r="B180" s="1" t="s">
        <v>328</v>
      </c>
      <c r="C180" s="1" t="n">
        <f aca="false">MAX(0,IN_A-IN_sv_3)</f>
        <v>0</v>
      </c>
      <c r="D180" s="35" t="n">
        <f aca="false">IN_g</f>
        <v>-0.09</v>
      </c>
      <c r="E180" s="35" t="n">
        <f aca="false">IN_gpre</f>
        <v>-0.09</v>
      </c>
      <c r="F180" s="55" t="n">
        <f aca="false">$A$146</f>
        <v>5</v>
      </c>
      <c r="G180" s="35" t="n">
        <f aca="false">IN_rho</f>
        <v>0.5</v>
      </c>
      <c r="H180" s="1" t="n">
        <f aca="false">IN_T</f>
        <v>6</v>
      </c>
      <c r="I180" s="35" t="n">
        <f aca="false">IN_WACC</f>
        <v>0.1</v>
      </c>
      <c r="J180" s="47" t="n">
        <f aca="false">LN(1+D180)</f>
        <v>-0.0943106794712413</v>
      </c>
      <c r="K180" s="47" t="n">
        <f aca="false">LN(1+E180)</f>
        <v>-0.0943106794712413</v>
      </c>
      <c r="L180" s="47" t="n">
        <f aca="false">LN(1+I180)</f>
        <v>0.0953101798043249</v>
      </c>
      <c r="M180" s="47" t="n">
        <f aca="false">IF(C180&gt;0,EXP(-K180*C180)*IF(ABS(K180-L180)&lt;0.000000000001,(C180)-(0),(EXP((K180-L180)*(C180))-EXP((K180-L180)*(0)))/(K180-L180)),0)</f>
        <v>0</v>
      </c>
      <c r="N180" s="47" t="n">
        <f aca="false">EXP(-J180*C180)*IF(ABS(J180-L180)&lt;0.000000000001,(F180)-(C180),(EXP((J180-L180)*(F180))-EXP((J180-L180)*(C180)))/(J180-L180))</f>
        <v>3.23026241508016</v>
      </c>
      <c r="O180" s="47" t="n">
        <f aca="false">G180*EXP(-J180*C180)*IF(ABS(J180-L180)&lt;0.000000000001,(H180)-(F180),(EXP((J180-L180)*(H180))-EXP((J180-L180)*(F180)))/(J180-L180))</f>
        <v>0.176477094783623</v>
      </c>
      <c r="P180" s="47" t="n">
        <f aca="false">IF(ABS(-L180)&lt;0.000000000001,(H180)-(0),(EXP((-L180)*(H180))-EXP((-L180)*(0)))/(-L180))</f>
        <v>4.56956508570619</v>
      </c>
      <c r="Q180" s="47" t="n">
        <f aca="false">IF(C180&gt;F180,"t0&gt;T1（未支援）",(M180+N180+O180)/P180)</f>
        <v>0.745528173024653</v>
      </c>
      <c r="R180" s="15" t="n">
        <f aca="false">IN_sh_3*IN_rg_3</f>
        <v>0</v>
      </c>
    </row>
    <row r="181" customFormat="false" ht="16.5" hidden="false" customHeight="true" outlineLevel="0" collapsed="false">
      <c r="A181" s="1" t="s">
        <v>377</v>
      </c>
      <c r="B181" s="1" t="s">
        <v>329</v>
      </c>
      <c r="C181" s="1" t="n">
        <f aca="false">MAX(0,IN_A-IN_sv_V)</f>
        <v>0</v>
      </c>
      <c r="D181" s="35" t="n">
        <f aca="false">IN_g</f>
        <v>-0.09</v>
      </c>
      <c r="E181" s="35" t="n">
        <f aca="false">IN_gpre</f>
        <v>-0.09</v>
      </c>
      <c r="F181" s="55" t="n">
        <f aca="false">$A$146</f>
        <v>5</v>
      </c>
      <c r="G181" s="35" t="n">
        <f aca="false">IN_rho</f>
        <v>0.5</v>
      </c>
      <c r="H181" s="1" t="n">
        <f aca="false">IN_T</f>
        <v>6</v>
      </c>
      <c r="I181" s="35" t="n">
        <f aca="false">IN_WACC</f>
        <v>0.1</v>
      </c>
      <c r="J181" s="47" t="n">
        <f aca="false">LN(1+D181)</f>
        <v>-0.0943106794712413</v>
      </c>
      <c r="K181" s="47" t="n">
        <f aca="false">LN(1+E181)</f>
        <v>-0.0943106794712413</v>
      </c>
      <c r="L181" s="47" t="n">
        <f aca="false">LN(1+I181)</f>
        <v>0.0953101798043249</v>
      </c>
      <c r="M181" s="47" t="n">
        <f aca="false">IF(C181&gt;0,EXP(-K181*C181)*IF(ABS(K181-L181)&lt;0.000000000001,(C181)-(0),(EXP((K181-L181)*(C181))-EXP((K181-L181)*(0)))/(K181-L181)),0)</f>
        <v>0</v>
      </c>
      <c r="N181" s="47" t="n">
        <f aca="false">EXP(-J181*C181)*IF(ABS(J181-L181)&lt;0.000000000001,(F181)-(C181),(EXP((J181-L181)*(F181))-EXP((J181-L181)*(C181)))/(J181-L181))</f>
        <v>3.23026241508016</v>
      </c>
      <c r="O181" s="47" t="n">
        <f aca="false">G181*EXP(-J181*C181)*IF(ABS(J181-L181)&lt;0.000000000001,(H181)-(F181),(EXP((J181-L181)*(H181))-EXP((J181-L181)*(F181)))/(J181-L181))</f>
        <v>0.176477094783623</v>
      </c>
      <c r="P181" s="47" t="n">
        <f aca="false">IF(ABS(-L181)&lt;0.000000000001,(H181)-(0),(EXP((-L181)*(H181))-EXP((-L181)*(0)))/(-L181))</f>
        <v>4.56956508570619</v>
      </c>
      <c r="Q181" s="47" t="n">
        <f aca="false">IF(C181&gt;F181,"t0&gt;T1（未支援）",(M181+N181+O181)/P181)</f>
        <v>0.745528173024653</v>
      </c>
      <c r="R181" s="15" t="n">
        <f aca="false">IN_sh_V*IN_rg_V</f>
        <v>0</v>
      </c>
    </row>
    <row r="182" customFormat="false" ht="16.5" hidden="false" customHeight="true" outlineLevel="0" collapsed="false">
      <c r="A182" s="1" t="s">
        <v>378</v>
      </c>
      <c r="B182" s="1" t="s">
        <v>326</v>
      </c>
      <c r="C182" s="1" t="n">
        <f aca="false">MAX(0,IN_A-IN_sv_H)</f>
        <v>2</v>
      </c>
      <c r="D182" s="35" t="n">
        <f aca="false">IN_g</f>
        <v>-0.09</v>
      </c>
      <c r="E182" s="35" t="n">
        <f aca="false">IN_gpre</f>
        <v>-0.09</v>
      </c>
      <c r="F182" s="55" t="n">
        <f aca="false">$A$147</f>
        <v>5.5</v>
      </c>
      <c r="G182" s="35" t="n">
        <f aca="false">IN_rho</f>
        <v>0.5</v>
      </c>
      <c r="H182" s="1" t="n">
        <f aca="false">IN_T</f>
        <v>6</v>
      </c>
      <c r="I182" s="35" t="n">
        <f aca="false">IN_WACC</f>
        <v>0.1</v>
      </c>
      <c r="J182" s="47" t="n">
        <f aca="false">LN(1+D182)</f>
        <v>-0.0943106794712413</v>
      </c>
      <c r="K182" s="47" t="n">
        <f aca="false">LN(1+E182)</f>
        <v>-0.0943106794712413</v>
      </c>
      <c r="L182" s="47" t="n">
        <f aca="false">LN(1+I182)</f>
        <v>0.0953101798043249</v>
      </c>
      <c r="M182" s="47" t="n">
        <f aca="false">IF(C182&gt;0,EXP(-K182*C182)*IF(ABS(K182-L182)&lt;0.000000000001,(C182)-(0),(EXP((K182-L182)*(C182))-EXP((K182-L182)*(0)))/(K182-L182)),0)</f>
        <v>2.00999692560416</v>
      </c>
      <c r="N182" s="47" t="n">
        <f aca="false">EXP(-J182*C182)*IF(ABS(J182-L182)&lt;0.000000000001,(F182)-(C182),(EXP((J182-L182)*(F182))-EXP((J182-L182)*(C182)))/(J182-L182))</f>
        <v>2.11402092645031</v>
      </c>
      <c r="O182" s="47" t="n">
        <f aca="false">G182*EXP(-J182*C182)*IF(ABS(J182-L182)&lt;0.000000000001,(H182)-(F182),(EXP((J182-L182)*(H182))-EXP((J182-L182)*(F182)))/(J182-L182))</f>
        <v>0.101507922570399</v>
      </c>
      <c r="P182" s="47" t="n">
        <f aca="false">IF(ABS(-L182)&lt;0.000000000001,(H182)-(0),(EXP((-L182)*(H182))-EXP((-L182)*(0)))/(-L182))</f>
        <v>4.56956508570619</v>
      </c>
      <c r="Q182" s="47" t="n">
        <f aca="false">IF(C182&gt;F182,"t0&gt;T1（未支援）",(M182+N182+O182)/P182)</f>
        <v>0.92471070996286</v>
      </c>
      <c r="R182" s="15" t="n">
        <f aca="false">IN_sh_H*IN_rg_H</f>
        <v>2.81888551801847</v>
      </c>
    </row>
    <row r="183" customFormat="false" ht="16.5" hidden="false" customHeight="true" outlineLevel="0" collapsed="false">
      <c r="A183" s="1" t="s">
        <v>378</v>
      </c>
      <c r="B183" s="1" t="s">
        <v>327</v>
      </c>
      <c r="C183" s="1" t="n">
        <f aca="false">MAX(0,IN_A-IN_sv_G)</f>
        <v>0.5</v>
      </c>
      <c r="D183" s="35" t="n">
        <f aca="false">IN_g</f>
        <v>-0.09</v>
      </c>
      <c r="E183" s="35" t="n">
        <f aca="false">IN_gpre</f>
        <v>-0.09</v>
      </c>
      <c r="F183" s="55" t="n">
        <f aca="false">$A$147</f>
        <v>5.5</v>
      </c>
      <c r="G183" s="35" t="n">
        <f aca="false">IN_rho</f>
        <v>0.5</v>
      </c>
      <c r="H183" s="1" t="n">
        <f aca="false">IN_T</f>
        <v>6</v>
      </c>
      <c r="I183" s="35" t="n">
        <f aca="false">IN_WACC</f>
        <v>0.1</v>
      </c>
      <c r="J183" s="47" t="n">
        <f aca="false">LN(1+D183)</f>
        <v>-0.0943106794712413</v>
      </c>
      <c r="K183" s="47" t="n">
        <f aca="false">LN(1+E183)</f>
        <v>-0.0943106794712413</v>
      </c>
      <c r="L183" s="47" t="n">
        <f aca="false">LN(1+I183)</f>
        <v>0.0953101798043249</v>
      </c>
      <c r="M183" s="47" t="n">
        <f aca="false">IF(C183&gt;0,EXP(-K183*C183)*IF(ABS(K183-L183)&lt;0.000000000001,(C183)-(0),(EXP((K183-L183)*(C183))-EXP((K183-L183)*(0)))/(K183-L183)),0)</f>
        <v>0.500062323515398</v>
      </c>
      <c r="N183" s="47" t="n">
        <f aca="false">EXP(-J183*C183)*IF(ABS(J183-L183)&lt;0.000000000001,(F183)-(C183),(EXP((J183-L183)*(F183))-EXP((J183-L183)*(C183)))/(J183-L183))</f>
        <v>3.07993436622505</v>
      </c>
      <c r="O183" s="47" t="n">
        <f aca="false">G183*EXP(-J183*C183)*IF(ABS(J183-L183)&lt;0.000000000001,(H183)-(F183),(EXP((J183-L183)*(H183))-EXP((J183-L183)*(F183)))/(J183-L183))</f>
        <v>0.0881174718008125</v>
      </c>
      <c r="P183" s="47" t="n">
        <f aca="false">IF(ABS(-L183)&lt;0.000000000001,(H183)-(0),(EXP((-L183)*(H183))-EXP((-L183)*(0)))/(-L183))</f>
        <v>4.56956508570619</v>
      </c>
      <c r="Q183" s="47" t="n">
        <f aca="false">IF(C183&gt;F183,"t0&gt;T1（未支援）",(M183+N183+O183)/P183)</f>
        <v>0.802727194545338</v>
      </c>
      <c r="R183" s="15" t="n">
        <f aca="false">IN_sh_G*IN_rg_G</f>
        <v>9.24654168303684</v>
      </c>
    </row>
    <row r="184" customFormat="false" ht="16.5" hidden="false" customHeight="true" outlineLevel="0" collapsed="false">
      <c r="A184" s="1" t="s">
        <v>378</v>
      </c>
      <c r="B184" s="1" t="s">
        <v>328</v>
      </c>
      <c r="C184" s="1" t="n">
        <f aca="false">MAX(0,IN_A-IN_sv_3)</f>
        <v>0</v>
      </c>
      <c r="D184" s="35" t="n">
        <f aca="false">IN_g</f>
        <v>-0.09</v>
      </c>
      <c r="E184" s="35" t="n">
        <f aca="false">IN_gpre</f>
        <v>-0.09</v>
      </c>
      <c r="F184" s="55" t="n">
        <f aca="false">$A$147</f>
        <v>5.5</v>
      </c>
      <c r="G184" s="35" t="n">
        <f aca="false">IN_rho</f>
        <v>0.5</v>
      </c>
      <c r="H184" s="1" t="n">
        <f aca="false">IN_T</f>
        <v>6</v>
      </c>
      <c r="I184" s="35" t="n">
        <f aca="false">IN_WACC</f>
        <v>0.1</v>
      </c>
      <c r="J184" s="47" t="n">
        <f aca="false">LN(1+D184)</f>
        <v>-0.0943106794712413</v>
      </c>
      <c r="K184" s="47" t="n">
        <f aca="false">LN(1+E184)</f>
        <v>-0.0943106794712413</v>
      </c>
      <c r="L184" s="47" t="n">
        <f aca="false">LN(1+I184)</f>
        <v>0.0953101798043249</v>
      </c>
      <c r="M184" s="47" t="n">
        <f aca="false">IF(C184&gt;0,EXP(-K184*C184)*IF(ABS(K184-L184)&lt;0.000000000001,(C184)-(0),(EXP((K184-L184)*(C184))-EXP((K184-L184)*(0)))/(K184-L184)),0)</f>
        <v>0</v>
      </c>
      <c r="N184" s="47" t="n">
        <f aca="false">EXP(-J184*C184)*IF(ABS(J184-L184)&lt;0.000000000001,(F184)-(C184),(EXP((J184-L184)*(F184))-EXP((J184-L184)*(C184)))/(J184-L184))</f>
        <v>3.41509918328631</v>
      </c>
      <c r="O184" s="47" t="n">
        <f aca="false">G184*EXP(-J184*C184)*IF(ABS(J184-L184)&lt;0.000000000001,(H184)-(F184),(EXP((J184-L184)*(H184))-EXP((J184-L184)*(F184)))/(J184-L184))</f>
        <v>0.0840587106805473</v>
      </c>
      <c r="P184" s="47" t="n">
        <f aca="false">IF(ABS(-L184)&lt;0.000000000001,(H184)-(0),(EXP((-L184)*(H184))-EXP((-L184)*(0)))/(-L184))</f>
        <v>4.56956508570619</v>
      </c>
      <c r="Q184" s="47" t="n">
        <f aca="false">IF(C184&gt;F184,"t0&gt;T1（未支援）",(M184+N184+O184)/P184)</f>
        <v>0.765752938920245</v>
      </c>
      <c r="R184" s="15" t="n">
        <f aca="false">IN_sh_3*IN_rg_3</f>
        <v>0</v>
      </c>
    </row>
    <row r="185" customFormat="false" ht="16.5" hidden="false" customHeight="true" outlineLevel="0" collapsed="false">
      <c r="A185" s="1" t="s">
        <v>378</v>
      </c>
      <c r="B185" s="1" t="s">
        <v>329</v>
      </c>
      <c r="C185" s="1" t="n">
        <f aca="false">MAX(0,IN_A-IN_sv_V)</f>
        <v>0</v>
      </c>
      <c r="D185" s="35" t="n">
        <f aca="false">IN_g</f>
        <v>-0.09</v>
      </c>
      <c r="E185" s="35" t="n">
        <f aca="false">IN_gpre</f>
        <v>-0.09</v>
      </c>
      <c r="F185" s="55" t="n">
        <f aca="false">$A$147</f>
        <v>5.5</v>
      </c>
      <c r="G185" s="35" t="n">
        <f aca="false">IN_rho</f>
        <v>0.5</v>
      </c>
      <c r="H185" s="1" t="n">
        <f aca="false">IN_T</f>
        <v>6</v>
      </c>
      <c r="I185" s="35" t="n">
        <f aca="false">IN_WACC</f>
        <v>0.1</v>
      </c>
      <c r="J185" s="47" t="n">
        <f aca="false">LN(1+D185)</f>
        <v>-0.0943106794712413</v>
      </c>
      <c r="K185" s="47" t="n">
        <f aca="false">LN(1+E185)</f>
        <v>-0.0943106794712413</v>
      </c>
      <c r="L185" s="47" t="n">
        <f aca="false">LN(1+I185)</f>
        <v>0.0953101798043249</v>
      </c>
      <c r="M185" s="47" t="n">
        <f aca="false">IF(C185&gt;0,EXP(-K185*C185)*IF(ABS(K185-L185)&lt;0.000000000001,(C185)-(0),(EXP((K185-L185)*(C185))-EXP((K185-L185)*(0)))/(K185-L185)),0)</f>
        <v>0</v>
      </c>
      <c r="N185" s="47" t="n">
        <f aca="false">EXP(-J185*C185)*IF(ABS(J185-L185)&lt;0.000000000001,(F185)-(C185),(EXP((J185-L185)*(F185))-EXP((J185-L185)*(C185)))/(J185-L185))</f>
        <v>3.41509918328631</v>
      </c>
      <c r="O185" s="47" t="n">
        <f aca="false">G185*EXP(-J185*C185)*IF(ABS(J185-L185)&lt;0.000000000001,(H185)-(F185),(EXP((J185-L185)*(H185))-EXP((J185-L185)*(F185)))/(J185-L185))</f>
        <v>0.0840587106805473</v>
      </c>
      <c r="P185" s="47" t="n">
        <f aca="false">IF(ABS(-L185)&lt;0.000000000001,(H185)-(0),(EXP((-L185)*(H185))-EXP((-L185)*(0)))/(-L185))</f>
        <v>4.56956508570619</v>
      </c>
      <c r="Q185" s="47" t="n">
        <f aca="false">IF(C185&gt;F185,"t0&gt;T1（未支援）",(M185+N185+O185)/P185)</f>
        <v>0.765752938920245</v>
      </c>
      <c r="R185" s="15" t="n">
        <f aca="false">IN_sh_V*IN_rg_V</f>
        <v>0</v>
      </c>
    </row>
    <row r="186" customFormat="false" ht="16.5" hidden="false" customHeight="true" outlineLevel="0" collapsed="false">
      <c r="A186" s="1" t="s">
        <v>379</v>
      </c>
      <c r="B186" s="1" t="s">
        <v>326</v>
      </c>
      <c r="C186" s="1" t="n">
        <f aca="false">MAX(0,IN_A-IN_sv_H)</f>
        <v>2</v>
      </c>
      <c r="D186" s="35" t="n">
        <f aca="false">IN_g</f>
        <v>-0.09</v>
      </c>
      <c r="E186" s="35" t="n">
        <f aca="false">IN_gpre</f>
        <v>-0.09</v>
      </c>
      <c r="F186" s="55" t="n">
        <f aca="false">$A$148</f>
        <v>6</v>
      </c>
      <c r="G186" s="35" t="n">
        <f aca="false">IN_rho</f>
        <v>0.5</v>
      </c>
      <c r="H186" s="1" t="n">
        <f aca="false">IN_T</f>
        <v>6</v>
      </c>
      <c r="I186" s="35" t="n">
        <f aca="false">IN_WACC</f>
        <v>0.1</v>
      </c>
      <c r="J186" s="47" t="n">
        <f aca="false">LN(1+D186)</f>
        <v>-0.0943106794712413</v>
      </c>
      <c r="K186" s="47" t="n">
        <f aca="false">LN(1+E186)</f>
        <v>-0.0943106794712413</v>
      </c>
      <c r="L186" s="47" t="n">
        <f aca="false">LN(1+I186)</f>
        <v>0.0953101798043249</v>
      </c>
      <c r="M186" s="47" t="n">
        <f aca="false">IF(C186&gt;0,EXP(-K186*C186)*IF(ABS(K186-L186)&lt;0.000000000001,(C186)-(0),(EXP((K186-L186)*(C186))-EXP((K186-L186)*(0)))/(K186-L186)),0)</f>
        <v>2.00999692560416</v>
      </c>
      <c r="N186" s="47" t="n">
        <f aca="false">EXP(-J186*C186)*IF(ABS(J186-L186)&lt;0.000000000001,(F186)-(C186),(EXP((J186-L186)*(F186))-EXP((J186-L186)*(C186)))/(J186-L186))</f>
        <v>2.31703677159111</v>
      </c>
      <c r="O186" s="47" t="n">
        <f aca="false">G186*EXP(-J186*C186)*IF(ABS(J186-L186)&lt;0.000000000001,(H186)-(F186),(EXP((J186-L186)*(H186))-EXP((J186-L186)*(F186)))/(J186-L186))</f>
        <v>-0</v>
      </c>
      <c r="P186" s="47" t="n">
        <f aca="false">IF(ABS(-L186)&lt;0.000000000001,(H186)-(0),(EXP((-L186)*(H186))-EXP((-L186)*(0)))/(-L186))</f>
        <v>4.56956508570619</v>
      </c>
      <c r="Q186" s="47" t="n">
        <f aca="false">IF(C186&gt;F186,"t0&gt;T1（未支援）",(M186+N186+O186)/P186)</f>
        <v>0.946924623249252</v>
      </c>
      <c r="R186" s="15" t="n">
        <f aca="false">IN_sh_H*IN_rg_H</f>
        <v>2.81888551801847</v>
      </c>
    </row>
    <row r="187" customFormat="false" ht="16.5" hidden="false" customHeight="true" outlineLevel="0" collapsed="false">
      <c r="A187" s="1" t="s">
        <v>379</v>
      </c>
      <c r="B187" s="1" t="s">
        <v>327</v>
      </c>
      <c r="C187" s="1" t="n">
        <f aca="false">MAX(0,IN_A-IN_sv_G)</f>
        <v>0.5</v>
      </c>
      <c r="D187" s="35" t="n">
        <f aca="false">IN_g</f>
        <v>-0.09</v>
      </c>
      <c r="E187" s="35" t="n">
        <f aca="false">IN_gpre</f>
        <v>-0.09</v>
      </c>
      <c r="F187" s="55" t="n">
        <f aca="false">$A$148</f>
        <v>6</v>
      </c>
      <c r="G187" s="35" t="n">
        <f aca="false">IN_rho</f>
        <v>0.5</v>
      </c>
      <c r="H187" s="1" t="n">
        <f aca="false">IN_T</f>
        <v>6</v>
      </c>
      <c r="I187" s="35" t="n">
        <f aca="false">IN_WACC</f>
        <v>0.1</v>
      </c>
      <c r="J187" s="47" t="n">
        <f aca="false">LN(1+D187)</f>
        <v>-0.0943106794712413</v>
      </c>
      <c r="K187" s="47" t="n">
        <f aca="false">LN(1+E187)</f>
        <v>-0.0943106794712413</v>
      </c>
      <c r="L187" s="47" t="n">
        <f aca="false">LN(1+I187)</f>
        <v>0.0953101798043249</v>
      </c>
      <c r="M187" s="47" t="n">
        <f aca="false">IF(C187&gt;0,EXP(-K187*C187)*IF(ABS(K187-L187)&lt;0.000000000001,(C187)-(0),(EXP((K187-L187)*(C187))-EXP((K187-L187)*(0)))/(K187-L187)),0)</f>
        <v>0.500062323515398</v>
      </c>
      <c r="N187" s="47" t="n">
        <f aca="false">EXP(-J187*C187)*IF(ABS(J187-L187)&lt;0.000000000001,(F187)-(C187),(EXP((J187-L187)*(F187))-EXP((J187-L187)*(C187)))/(J187-L187))</f>
        <v>3.25616930982667</v>
      </c>
      <c r="O187" s="47" t="n">
        <f aca="false">G187*EXP(-J187*C187)*IF(ABS(J187-L187)&lt;0.000000000001,(H187)-(F187),(EXP((J187-L187)*(H187))-EXP((J187-L187)*(F187)))/(J187-L187))</f>
        <v>-0</v>
      </c>
      <c r="P187" s="47" t="n">
        <f aca="false">IF(ABS(-L187)&lt;0.000000000001,(H187)-(0),(EXP((-L187)*(H187))-EXP((-L187)*(0)))/(-L187))</f>
        <v>4.56956508570619</v>
      </c>
      <c r="Q187" s="47" t="n">
        <f aca="false">IF(C187&gt;F187,"t0&gt;T1（未支援）",(M187+N187+O187)/P187)</f>
        <v>0.822010752203034</v>
      </c>
      <c r="R187" s="15" t="n">
        <f aca="false">IN_sh_G*IN_rg_G</f>
        <v>9.24654168303684</v>
      </c>
    </row>
    <row r="188" customFormat="false" ht="16.5" hidden="false" customHeight="true" outlineLevel="0" collapsed="false">
      <c r="A188" s="1" t="s">
        <v>379</v>
      </c>
      <c r="B188" s="1" t="s">
        <v>328</v>
      </c>
      <c r="C188" s="1" t="n">
        <f aca="false">MAX(0,IN_A-IN_sv_3)</f>
        <v>0</v>
      </c>
      <c r="D188" s="35" t="n">
        <f aca="false">IN_g</f>
        <v>-0.09</v>
      </c>
      <c r="E188" s="35" t="n">
        <f aca="false">IN_gpre</f>
        <v>-0.09</v>
      </c>
      <c r="F188" s="55" t="n">
        <f aca="false">$A$148</f>
        <v>6</v>
      </c>
      <c r="G188" s="35" t="n">
        <f aca="false">IN_rho</f>
        <v>0.5</v>
      </c>
      <c r="H188" s="1" t="n">
        <f aca="false">IN_T</f>
        <v>6</v>
      </c>
      <c r="I188" s="35" t="n">
        <f aca="false">IN_WACC</f>
        <v>0.1</v>
      </c>
      <c r="J188" s="47" t="n">
        <f aca="false">LN(1+D188)</f>
        <v>-0.0943106794712413</v>
      </c>
      <c r="K188" s="47" t="n">
        <f aca="false">LN(1+E188)</f>
        <v>-0.0943106794712413</v>
      </c>
      <c r="L188" s="47" t="n">
        <f aca="false">LN(1+I188)</f>
        <v>0.0953101798043249</v>
      </c>
      <c r="M188" s="47" t="n">
        <f aca="false">IF(C188&gt;0,EXP(-K188*C188)*IF(ABS(K188-L188)&lt;0.000000000001,(C188)-(0),(EXP((K188-L188)*(C188))-EXP((K188-L188)*(0)))/(K188-L188)),0)</f>
        <v>0</v>
      </c>
      <c r="N188" s="47" t="n">
        <f aca="false">EXP(-J188*C188)*IF(ABS(J188-L188)&lt;0.000000000001,(F188)-(C188),(EXP((J188-L188)*(F188))-EXP((J188-L188)*(C188)))/(J188-L188))</f>
        <v>3.5832166046474</v>
      </c>
      <c r="O188" s="47" t="n">
        <f aca="false">G188*EXP(-J188*C188)*IF(ABS(J188-L188)&lt;0.000000000001,(H188)-(F188),(EXP((J188-L188)*(H188))-EXP((J188-L188)*(F188)))/(J188-L188))</f>
        <v>-0</v>
      </c>
      <c r="P188" s="47" t="n">
        <f aca="false">IF(ABS(-L188)&lt;0.000000000001,(H188)-(0),(EXP((-L188)*(H188))-EXP((-L188)*(0)))/(-L188))</f>
        <v>4.56956508570619</v>
      </c>
      <c r="Q188" s="47" t="n">
        <f aca="false">IF(C188&gt;F188,"t0&gt;T1（未支援）",(M188+N188+O188)/P188)</f>
        <v>0.784148280512706</v>
      </c>
      <c r="R188" s="15" t="n">
        <f aca="false">IN_sh_3*IN_rg_3</f>
        <v>0</v>
      </c>
    </row>
    <row r="189" customFormat="false" ht="16.5" hidden="false" customHeight="true" outlineLevel="0" collapsed="false">
      <c r="A189" s="1" t="s">
        <v>379</v>
      </c>
      <c r="B189" s="1" t="s">
        <v>329</v>
      </c>
      <c r="C189" s="1" t="n">
        <f aca="false">MAX(0,IN_A-IN_sv_V)</f>
        <v>0</v>
      </c>
      <c r="D189" s="35" t="n">
        <f aca="false">IN_g</f>
        <v>-0.09</v>
      </c>
      <c r="E189" s="35" t="n">
        <f aca="false">IN_gpre</f>
        <v>-0.09</v>
      </c>
      <c r="F189" s="55" t="n">
        <f aca="false">$A$148</f>
        <v>6</v>
      </c>
      <c r="G189" s="35" t="n">
        <f aca="false">IN_rho</f>
        <v>0.5</v>
      </c>
      <c r="H189" s="1" t="n">
        <f aca="false">IN_T</f>
        <v>6</v>
      </c>
      <c r="I189" s="35" t="n">
        <f aca="false">IN_WACC</f>
        <v>0.1</v>
      </c>
      <c r="J189" s="47" t="n">
        <f aca="false">LN(1+D189)</f>
        <v>-0.0943106794712413</v>
      </c>
      <c r="K189" s="47" t="n">
        <f aca="false">LN(1+E189)</f>
        <v>-0.0943106794712413</v>
      </c>
      <c r="L189" s="47" t="n">
        <f aca="false">LN(1+I189)</f>
        <v>0.0953101798043249</v>
      </c>
      <c r="M189" s="47" t="n">
        <f aca="false">IF(C189&gt;0,EXP(-K189*C189)*IF(ABS(K189-L189)&lt;0.000000000001,(C189)-(0),(EXP((K189-L189)*(C189))-EXP((K189-L189)*(0)))/(K189-L189)),0)</f>
        <v>0</v>
      </c>
      <c r="N189" s="47" t="n">
        <f aca="false">EXP(-J189*C189)*IF(ABS(J189-L189)&lt;0.000000000001,(F189)-(C189),(EXP((J189-L189)*(F189))-EXP((J189-L189)*(C189)))/(J189-L189))</f>
        <v>3.5832166046474</v>
      </c>
      <c r="O189" s="47" t="n">
        <f aca="false">G189*EXP(-J189*C189)*IF(ABS(J189-L189)&lt;0.000000000001,(H189)-(F189),(EXP((J189-L189)*(H189))-EXP((J189-L189)*(F189)))/(J189-L189))</f>
        <v>-0</v>
      </c>
      <c r="P189" s="47" t="n">
        <f aca="false">IF(ABS(-L189)&lt;0.000000000001,(H189)-(0),(EXP((-L189)*(H189))-EXP((-L189)*(0)))/(-L189))</f>
        <v>4.56956508570619</v>
      </c>
      <c r="Q189" s="47" t="n">
        <f aca="false">IF(C189&gt;F189,"t0&gt;T1（未支援）",(M189+N189+O189)/P189)</f>
        <v>0.784148280512706</v>
      </c>
      <c r="R189" s="15" t="n">
        <f aca="false">IN_sh_V*IN_rg_V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2026-10-20T05:59:54Z</dcterms:created>
  <dc:creator>openpyxl</dc:creator>
  <dc:description/>
  <dc:language>en-US</dc:language>
  <cp:lastModifiedBy/>
  <dcterms:modified xsi:type="dcterms:W3CDTF">2026-10-24T12:08:09Z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